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9000CEE7-52EC-4F76-A945-DA0ACED6DBA1}" xr6:coauthVersionLast="47" xr6:coauthVersionMax="47" xr10:uidLastSave="{00000000-0000-0000-0000-000000000000}"/>
  <bookViews>
    <workbookView xWindow="-120" yWindow="-120" windowWidth="29040" windowHeight="15720" firstSheet="8" activeTab="15"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Escapegaps" sheetId="7" r:id="rId7"/>
    <sheet name="EfficiencyCreep" sheetId="8" r:id="rId8"/>
    <sheet name="Growth" sheetId="9" r:id="rId9"/>
    <sheet name="SizeTransMatricesNew" sheetId="10" r:id="rId10"/>
    <sheet name="Puerulus" sheetId="11" r:id="rId11"/>
    <sheet name="PuerulusPar" sheetId="12" r:id="rId12"/>
    <sheet name="Recruitment" sheetId="13" r:id="rId13"/>
    <sheet name="migrate" sheetId="14" r:id="rId14"/>
    <sheet name="IsWhite" sheetId="15" r:id="rId15"/>
    <sheet name="maturity" sheetId="16" r:id="rId16"/>
    <sheet name="lengthweight" sheetId="17" r:id="rId17"/>
    <sheet name="Catch" sheetId="18" r:id="rId18"/>
    <sheet name="CPUE" sheetId="19" r:id="rId19"/>
    <sheet name="LengthFreq" sheetId="20" r:id="rId20"/>
    <sheet name="HighGrading" sheetId="21" r:id="rId21"/>
    <sheet name="LegalID" sheetId="22" r:id="rId22"/>
    <sheet name="LegalPattern" sheetId="23" r:id="rId23"/>
    <sheet name="LegalList" sheetId="24" r:id="rId24"/>
    <sheet name="Sheet1" sheetId="25" r:id="rId25"/>
    <sheet name="Sheet2"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1"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B4" i="9"/>
  <c r="E3" i="9"/>
  <c r="C3" i="9"/>
  <c r="B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<sst xmlns="http://schemas.openxmlformats.org/spreadsheetml/2006/main" count="522" uniqueCount="327">
  <si>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</si>
  <si>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</si>
  <si>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</si>
  <si>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</si>
  <si>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</si>
  <si>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</si>
  <si>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</si>
  <si>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</si>
  <si>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</si>
  <si>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</si>
  <si>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</si>
  <si>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</si>
  <si>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</si>
  <si>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</si>
  <si>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</si>
  <si>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</si>
  <si>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max sex, if two sexes 1, if one sex 0</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</si>
  <si>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</si>
  <si>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</si>
  <si>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</si>
  <si>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</si>
  <si>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</si>
  <si>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</si>
  <si>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</si>
  <si>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</si>
  <si>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</si>
  <si>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</si>
  <si>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</si>
  <si>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</si>
  <si>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</si>
  <si>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</si>
  <si>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</si>
  <si>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</si>
  <si>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</si>
  <si>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</si>
  <si>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</si>
  <si>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</si>
  <si>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</si>
  <si>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</si>
  <si>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</si>
  <si>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</si>
  <si>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</si>
  <si>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</si>
  <si>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</si>
  <si>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 Define weights to data types - globally (required) or individual: Individual required for all length fleets to allow for francis weightings to be apploied. Records are by fleet, timestep, sex (only list changes from 1). Set timestep to -1 for all.  Sex only used for length freq. For individ, type = cpue, numbers, length or larvae . Sex starts at 0.</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</si>
  <si>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</si>
  <si>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</si>
  <si>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</si>
  <si>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</si>
  <si>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</si>
  <si>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</si>
  <si>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</si>
  <si>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</si>
  <si>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</si>
  <si>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</si>
  <si>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</si>
  <si>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</si>
  <si>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</si>
  <si>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</si>
  <si>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</si>
  <si>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</si>
  <si>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</si>
  <si>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</si>
  <si>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</si>
  <si>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</si>
  <si>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</si>
  <si>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</si>
  <si>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</si>
  <si>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</si>
  <si>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</si>
  <si>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</si>
  <si>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</si>
  <si>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</si>
  <si>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</si>
  <si>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</si>
  <si>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</si>
  <si>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</si>
  <si>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</si>
  <si>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</si>
  <si>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</si>
  <si>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</si>
  <si>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</si>
  <si>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</si>
  <si>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</si>
  <si>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</si>
  <si>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</si>
  <si>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</si>
  <si>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</si>
  <si>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</si>
  <si>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</si>
  <si>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</si>
  <si>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</si>
  <si>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</si>
  <si>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</si>
  <si>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</si>
  <si>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</si>
  <si>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</si>
  <si>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</si>
  <si>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</si>
  <si>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</si>
  <si>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</si>
  <si>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</si>
  <si>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</si>
  <si>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</si>
  <si>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</si>
  <si>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</si>
  <si>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</si>
  <si>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</si>
  <si>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</si>
  <si>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</si>
  <si>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</si>
  <si>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</si>
  <si>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</si>
  <si>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</si>
  <si>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</si>
  <si>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</si>
  <si>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</si>
  <si>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</si>
  <si>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</si>
  <si>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</si>
  <si>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</si>
  <si>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</si>
  <si>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</si>
  <si>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</si>
  <si>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</si>
  <si>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</si>
  <si>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</si>
  <si>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</si>
  <si>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</si>
  <si>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</si>
  <si>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</si>
  <si>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</si>
  <si>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</si>
  <si>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</si>
  <si>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</si>
  <si>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</si>
  <si>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</si>
  <si>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</si>
  <si>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</si>
  <si>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</si>
  <si>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</si>
  <si>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</si>
  <si>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</si>
  <si>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</si>
  <si>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</si>
  <si>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</si>
  <si>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</si>
  <si>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</si>
  <si>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</si>
  <si>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</si>
  <si>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</si>
  <si>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</si>
  <si>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</si>
  <si>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</si>
  <si>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</si>
  <si>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</si>
  <si>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</si>
  <si>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</si>
  <si>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</si>
  <si>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</si>
  <si>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</si>
  <si>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</si>
  <si>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</si>
  <si>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</si>
  <si>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</si>
  <si>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</si>
  <si>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</si>
  <si>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</si>
  <si>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</si>
  <si>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</si>
  <si>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</si>
  <si>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</si>
  <si>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</si>
  <si>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</si>
  <si>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</si>
  <si>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</si>
  <si>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</si>
  <si>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</si>
  <si>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</si>
  <si>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</si>
  <si>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</si>
  <si>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</si>
  <si>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</si>
  <si>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</si>
  <si>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</si>
  <si>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</si>
  <si>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</si>
  <si>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</si>
  <si>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</si>
  <si>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</si>
  <si>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</si>
  <si>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</si>
  <si>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</si>
  <si>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</si>
  <si>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</si>
  <si>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</si>
  <si>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</si>
  <si>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</si>
  <si>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</si>
  <si>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</si>
  <si>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cat</t>
  </si>
  <si>
    <t>a</t>
  </si>
  <si>
    <t>b</t>
  </si>
  <si>
    <t>age</t>
  </si>
  <si>
    <t>mature</t>
  </si>
  <si>
    <t>dspawn</t>
  </si>
  <si>
    <t>fecundity</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</si>
  <si>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</si>
  <si>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</si>
  <si>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</si>
  <si>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</si>
  <si>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</si>
  <si>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</si>
  <si>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Index starts at 0, fleet at 1, sex at 0 (combined sexes),1 (sex 1) or 2, timestep at 1. </t>
  </si>
  <si>
    <t>CpueInd</t>
  </si>
  <si>
    <t>Fleet</t>
  </si>
  <si>
    <t>Year</t>
  </si>
  <si>
    <t>Step</t>
  </si>
  <si>
    <t>Index</t>
  </si>
  <si>
    <t>CV</t>
  </si>
  <si>
    <t>## not loaded: numb refers to how many samples the data was derived from.  Fleet must match fleetcopde tab. Sex and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</si>
  <si>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</si>
  <si>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</si>
  <si>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</si>
  <si>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</si>
  <si>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</si>
  <si>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</si>
  <si>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</si>
  <si>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</si>
  <si>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</si>
  <si>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</si>
  <si>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</si>
  <si>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</si>
  <si>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</si>
  <si>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</si>
  <si>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</si>
  <si>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</si>
  <si>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</si>
  <si>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</si>
  <si>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</si>
  <si>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</si>
  <si>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</si>
  <si>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</si>
  <si>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</si>
  <si>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</si>
  <si>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</si>
  <si>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</si>
  <si>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</si>
  <si>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</si>
  <si>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</si>
  <si>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</si>
  <si>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</si>
  <si>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</si>
  <si>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</si>
  <si>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</si>
  <si>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</si>
  <si>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</si>
  <si>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</si>
  <si>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</si>
  <si>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</si>
  <si>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</si>
  <si>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</si>
  <si>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</si>
  <si>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</si>
  <si>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</si>
  <si>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 not loaded: Every combination of legal lobster based on sampling (i.e. what is and is not setose). Start year Sex Zone Tstep Depth Min Max Biological</t>
  </si>
  <si>
    <t>pos</t>
  </si>
  <si>
    <t>9999 F X X X 76 X none</t>
  </si>
  <si>
    <t>9999 M X X X 76 X none</t>
  </si>
  <si>
    <t>Survey</t>
  </si>
  <si>
    <t xml:space="preserve">## not loaded: Every combination of legal lobster based on sampling (i.e. what is and is not setose) and limited to Non white lobsters </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</si>
  <si>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</si>
  <si>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</si>
  <si>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</si>
  <si>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</si>
  <si>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</si>
  <si>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</si>
  <si>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</si>
  <si>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</si>
  <si>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</si>
  <si>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</si>
  <si>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</si>
  <si>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</si>
  <si>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</si>
  <si>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</si>
  <si>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</si>
  <si>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</si>
  <si>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</si>
  <si>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</si>
  <si>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</si>
  <si>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</si>
  <si>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</si>
  <si>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</si>
  <si>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</si>
  <si>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</si>
  <si>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</si>
  <si>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</si>
  <si>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</si>
  <si>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</si>
  <si>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</si>
  <si>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</si>
  <si>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</si>
  <si>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</si>
  <si>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</si>
  <si>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</si>
  <si>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</si>
  <si>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</si>
  <si>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</si>
  <si>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</si>
  <si>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</si>
  <si>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</si>
  <si>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</si>
  <si>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parameters for logistic curve to describe proportion of catch retained for landings. Used to assign to different years. Put sea (season) as xxxx if all years . Sex as X if combined.</t>
  </si>
  <si>
    <t>sea</t>
  </si>
  <si>
    <t>lowtp</t>
  </si>
  <si>
    <t>zone</t>
  </si>
  <si>
    <t>ts</t>
  </si>
  <si>
    <t>depth</t>
  </si>
  <si>
    <t>min</t>
  </si>
  <si>
    <t>max</t>
  </si>
  <si>
    <t>bio</t>
  </si>
  <si>
    <t>num</t>
  </si>
  <si>
    <t>XXXX</t>
  </si>
  <si>
    <t>X</t>
  </si>
  <si>
    <t>none</t>
  </si>
  <si>
    <t>## not loaded:  equation W = a*Length^b. This must be in KG.</t>
  </si>
  <si>
    <t>## not loaded:  MaturityOgive = 1/(1+exp((lens-a)/b)) . Fecundity = a*Length^b. if male only (and no fecundity) set parameters to length weight and double breeding to be super large. One for each model area. Check your parameters have the correct 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</si>
</sst>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scheme val="minor"/>
    </font>
    <font>
      <sz val="11"/>
      <color theme="1"/>
      <name val="Calibri"/>
    </font>
    <font>
      <sz val="11"/>
      <name val="Calibri"/>
    </font>
    <font>
      <sz val="11"/>
      <color theme="1"/>
      <name val="Calibri"/>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1">
    <xf numFmtId="0" fontId="0" fillId="0" borderId="0" xfId="0"/>
    <xf numFmtId="0" fontId="3" fillId="0" borderId="0" xfId="0" applyFont="1"/>
    <xf numFmtId="0" fontId="1" fillId="0" borderId="0" xfId="0" applyFont="1"/>
    <xf numFmtId="0" fontId="1" fillId="0" borderId="0" xfId="0" applyFont="1" applyAlignment="1">
      <alignment horizontal="right"/>
    </xf>
    <xf numFmtId="0" fontId="1" fillId="3" borderId="3" xfId="0" applyFont="1" applyFill="1" applyBorder="1"/>
    <xf numFmtId="0" fontId="1" fillId="4" borderId="3" xfId="0" applyFont="1" applyFill="1" applyBorder="1"/>
    <xf numFmtId="11" fontId="1" fillId="0" borderId="0" xfId="0" applyNumberFormat="1" applyFont="1"/>
    <xf numFmtId="0" fontId="1" fillId="2" borderId="3" xfId="0" applyFont="1" applyFill="1" applyBorder="1"/>
    <xf numFmtId="0" fontId="1" fillId="0" borderId="0" xfId="0" applyFont="1" applyAlignment="1">
      <alignment wrapText="1"/>
    </xf>
    <xf numFmtId="0" fontId="1" fillId="2" borderId="1" xfId="0" applyFont="1" applyFill="1" applyBorder="1" applyAlignment="1">
      <alignment wrapText="1"/>
    </xf>
    <xf numFmtId="0" fontId="2"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5"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
  <sheetViews>
    <sheetView workbookViewId="0">
      <selection sqref="A1:U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9" t="s">
        <v>0</v>
      </c>
      <c r="B1" s="10"/>
      <c r="C1" s="10"/>
      <c r="D1" s="10"/>
      <c r="E1" s="10"/>
      <c r="F1" s="10"/>
      <c r="G1" s="10"/>
      <c r="H1" s="10"/>
      <c r="I1" s="10"/>
      <c r="J1" s="10"/>
      <c r="K1" s="10"/>
      <c r="L1" s="10"/>
      <c r="M1" s="10"/>
      <c r="N1" s="10"/>
      <c r="O1" s="10"/>
      <c r="P1" s="10"/>
      <c r="Q1" s="10"/>
      <c r="R1" s="10"/>
      <c r="S1" s="10"/>
      <c r="T1" s="10"/>
      <c r="U1" s="10"/>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1">
        <v>1</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workbookViewId="0"/>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9" t="s">
        <v>28</v>
      </c>
      <c r="B1" s="10"/>
      <c r="C1" s="10"/>
      <c r="D1" s="10"/>
      <c r="E1" s="10"/>
      <c r="F1" s="10"/>
      <c r="G1" s="10"/>
      <c r="H1" s="10"/>
      <c r="I1" s="10"/>
      <c r="J1" s="10"/>
      <c r="K1" s="10"/>
      <c r="L1" s="10"/>
      <c r="M1" s="10"/>
      <c r="N1" s="10"/>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000"/>
  <sheetViews>
    <sheetView workbookViewId="0"/>
  </sheetViews>
  <sheetFormatPr defaultColWidth="14.42578125" defaultRowHeight="15" customHeight="1" x14ac:dyDescent="0.25"/>
  <cols>
    <col min="1" max="26" width="11.42578125" customWidth="1"/>
  </cols>
  <sheetData>
    <row r="1" spans="1:21" ht="22.5" customHeight="1" x14ac:dyDescent="0.25">
      <c r="A1" s="9" t="s">
        <v>39</v>
      </c>
      <c r="B1" s="10"/>
      <c r="C1" s="10"/>
      <c r="D1" s="10"/>
      <c r="E1" s="10"/>
      <c r="F1" s="10"/>
      <c r="G1" s="10"/>
      <c r="H1" s="10"/>
      <c r="I1" s="10"/>
      <c r="J1" s="10"/>
      <c r="K1" s="10"/>
      <c r="L1" s="10"/>
      <c r="M1" s="10"/>
      <c r="N1" s="10"/>
      <c r="O1" s="10"/>
      <c r="P1" s="10"/>
      <c r="Q1" s="10"/>
      <c r="R1" s="10"/>
      <c r="S1" s="10"/>
      <c r="T1" s="10"/>
      <c r="U1" s="10"/>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000"/>
  <sheetViews>
    <sheetView workbookViewId="0"/>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x14ac:dyDescent="0.25">
      <c r="A1" s="9" t="s">
        <v>44</v>
      </c>
      <c r="B1" s="10"/>
      <c r="C1" s="10"/>
      <c r="D1" s="10"/>
      <c r="E1" s="10"/>
      <c r="F1" s="10"/>
      <c r="G1" s="10"/>
      <c r="H1" s="10"/>
      <c r="I1" s="10"/>
      <c r="J1" s="10"/>
      <c r="K1" s="10"/>
      <c r="L1" s="10"/>
      <c r="M1" s="10"/>
      <c r="N1" s="10"/>
      <c r="O1" s="10"/>
      <c r="P1" s="10"/>
      <c r="Q1" s="10"/>
      <c r="R1" s="10"/>
      <c r="S1" s="10"/>
      <c r="T1" s="10"/>
      <c r="U1" s="10"/>
    </row>
    <row r="2" spans="1:21" x14ac:dyDescent="0.25">
      <c r="A2" s="1" t="s">
        <v>45</v>
      </c>
      <c r="B2" s="1" t="s">
        <v>46</v>
      </c>
      <c r="C2" s="1" t="s">
        <v>2</v>
      </c>
      <c r="D2" s="1" t="s">
        <v>47</v>
      </c>
      <c r="E2" s="1" t="s">
        <v>42</v>
      </c>
      <c r="F2" s="1" t="s">
        <v>48</v>
      </c>
      <c r="G2" s="1" t="s">
        <v>49</v>
      </c>
    </row>
    <row r="3" spans="1:21" x14ac:dyDescent="0.25">
      <c r="A3" s="1" t="s">
        <v>50</v>
      </c>
      <c r="B3" s="1" t="s">
        <v>51</v>
      </c>
      <c r="C3" s="1">
        <v>1</v>
      </c>
    </row>
    <row r="4" spans="1:21" x14ac:dyDescent="0.25">
      <c r="A4" s="1" t="s">
        <v>50</v>
      </c>
      <c r="B4" s="1" t="s">
        <v>52</v>
      </c>
      <c r="C4" s="1">
        <v>1</v>
      </c>
    </row>
    <row r="5" spans="1:21" x14ac:dyDescent="0.25">
      <c r="A5" s="1" t="s">
        <v>50</v>
      </c>
      <c r="B5" s="1" t="s">
        <v>53</v>
      </c>
      <c r="C5" s="1">
        <v>0.25</v>
      </c>
    </row>
    <row r="6" spans="1:21" x14ac:dyDescent="0.25">
      <c r="A6" s="1" t="s">
        <v>50</v>
      </c>
      <c r="B6" s="1" t="s">
        <v>54</v>
      </c>
      <c r="C6" s="1">
        <v>1</v>
      </c>
    </row>
    <row r="7" spans="1:21" x14ac:dyDescent="0.25">
      <c r="A7" s="1" t="s">
        <v>50</v>
      </c>
      <c r="B7" s="2" t="s">
        <v>55</v>
      </c>
      <c r="C7" s="2">
        <v>0</v>
      </c>
      <c r="D7" s="2"/>
      <c r="E7" s="2"/>
      <c r="F7" s="2"/>
      <c r="G7" s="2"/>
      <c r="H7" s="2"/>
      <c r="I7" s="2"/>
    </row>
    <row r="8" spans="1:21" x14ac:dyDescent="0.25">
      <c r="A8" s="1" t="s">
        <v>50</v>
      </c>
      <c r="B8" s="2" t="s">
        <v>56</v>
      </c>
      <c r="C8" s="2">
        <v>0</v>
      </c>
      <c r="D8" s="2"/>
      <c r="E8" s="2"/>
      <c r="F8" s="2"/>
      <c r="G8" s="2"/>
      <c r="H8" s="2"/>
      <c r="I8" s="2"/>
    </row>
    <row r="9" spans="1:21" x14ac:dyDescent="0.25">
      <c r="A9" s="1" t="s">
        <v>50</v>
      </c>
      <c r="B9" s="2" t="s">
        <v>57</v>
      </c>
      <c r="C9" s="2">
        <v>0</v>
      </c>
      <c r="D9" s="2"/>
      <c r="E9" s="2"/>
      <c r="F9" s="2"/>
      <c r="G9" s="2"/>
      <c r="H9" s="2"/>
      <c r="I9" s="2"/>
    </row>
    <row r="10" spans="1:21" x14ac:dyDescent="0.25">
      <c r="A10" s="1" t="s">
        <v>50</v>
      </c>
      <c r="B10" s="2" t="s">
        <v>58</v>
      </c>
      <c r="C10" s="2">
        <v>0</v>
      </c>
      <c r="D10" s="2"/>
      <c r="E10" s="2"/>
      <c r="F10" s="2"/>
      <c r="G10" s="2"/>
      <c r="H10" s="2"/>
      <c r="I10" s="2"/>
    </row>
    <row r="11" spans="1:21" x14ac:dyDescent="0.25">
      <c r="A11" s="1" t="s">
        <v>59</v>
      </c>
      <c r="B11" s="1" t="s">
        <v>51</v>
      </c>
      <c r="C11" s="1">
        <v>5</v>
      </c>
      <c r="D11" s="1">
        <v>4</v>
      </c>
      <c r="E11" s="1">
        <v>-1</v>
      </c>
      <c r="F11" s="1">
        <v>-1</v>
      </c>
      <c r="G11" s="1" t="s">
        <v>60</v>
      </c>
    </row>
    <row r="12" spans="1:21" x14ac:dyDescent="0.25">
      <c r="A12" s="1" t="s">
        <v>59</v>
      </c>
      <c r="B12" s="1" t="s">
        <v>53</v>
      </c>
      <c r="C12" s="1">
        <v>1</v>
      </c>
      <c r="D12" s="2">
        <v>2</v>
      </c>
      <c r="E12" s="1">
        <v>-1</v>
      </c>
      <c r="F12" s="1">
        <v>0</v>
      </c>
      <c r="G12" s="1" t="s">
        <v>61</v>
      </c>
    </row>
    <row r="13" spans="1:21" x14ac:dyDescent="0.25">
      <c r="A13" s="1" t="s">
        <v>59</v>
      </c>
      <c r="B13" s="1" t="s">
        <v>53</v>
      </c>
      <c r="C13" s="1">
        <v>1</v>
      </c>
      <c r="D13" s="2">
        <v>2</v>
      </c>
      <c r="E13" s="1">
        <v>-1</v>
      </c>
      <c r="F13" s="1">
        <v>1</v>
      </c>
      <c r="G13" s="1" t="s">
        <v>61</v>
      </c>
    </row>
    <row r="14" spans="1:21" x14ac:dyDescent="0.25">
      <c r="A14" s="1" t="s">
        <v>59</v>
      </c>
      <c r="B14" s="1" t="s">
        <v>53</v>
      </c>
      <c r="C14" s="1">
        <v>1</v>
      </c>
      <c r="D14" s="2">
        <v>4</v>
      </c>
      <c r="E14" s="1">
        <v>-1</v>
      </c>
      <c r="F14" s="1">
        <v>0</v>
      </c>
      <c r="G14" s="2" t="s">
        <v>60</v>
      </c>
    </row>
    <row r="15" spans="1:21" x14ac:dyDescent="0.25">
      <c r="A15" s="1" t="s">
        <v>59</v>
      </c>
      <c r="B15" s="1" t="s">
        <v>53</v>
      </c>
      <c r="C15" s="1">
        <v>1</v>
      </c>
      <c r="D15" s="2">
        <v>4</v>
      </c>
      <c r="E15" s="1">
        <v>-1</v>
      </c>
      <c r="F15" s="1">
        <v>1</v>
      </c>
      <c r="G15" s="2" t="s">
        <v>60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000"/>
  <sheetViews>
    <sheetView workbookViewId="0"/>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9" t="s">
        <v>62</v>
      </c>
      <c r="B1" s="10"/>
      <c r="C1" s="10"/>
      <c r="D1" s="10"/>
      <c r="E1" s="10"/>
      <c r="F1" s="10"/>
      <c r="G1" s="10"/>
      <c r="H1" s="10"/>
      <c r="I1" s="10"/>
      <c r="J1" s="10"/>
      <c r="K1" s="10"/>
      <c r="L1" s="10"/>
      <c r="M1" s="10"/>
      <c r="N1" s="10"/>
      <c r="O1" s="10"/>
      <c r="P1" s="10"/>
      <c r="Q1" s="10"/>
      <c r="R1" s="10"/>
      <c r="S1" s="10"/>
      <c r="T1" s="10"/>
      <c r="U1" s="10"/>
    </row>
    <row r="2" spans="1:21" x14ac:dyDescent="0.25">
      <c r="A2" s="1" t="s">
        <v>63</v>
      </c>
      <c r="B2" s="1" t="s">
        <v>47</v>
      </c>
      <c r="C2" s="1" t="s">
        <v>64</v>
      </c>
      <c r="D2" s="1" t="s">
        <v>65</v>
      </c>
      <c r="E2" s="1" t="s">
        <v>66</v>
      </c>
      <c r="F2" s="1" t="s">
        <v>67</v>
      </c>
      <c r="G2" s="1" t="s">
        <v>68</v>
      </c>
    </row>
    <row r="3" spans="1:21" x14ac:dyDescent="0.25">
      <c r="A3" s="1">
        <v>1</v>
      </c>
      <c r="B3" s="1">
        <v>1</v>
      </c>
      <c r="C3" s="1" t="s">
        <v>69</v>
      </c>
      <c r="D3" s="1">
        <v>0</v>
      </c>
      <c r="E3" s="1">
        <v>1</v>
      </c>
      <c r="F3" s="1">
        <v>1</v>
      </c>
      <c r="G3" s="1" t="s">
        <v>70</v>
      </c>
    </row>
    <row r="4" spans="1:21" x14ac:dyDescent="0.25">
      <c r="A4" s="2">
        <v>1</v>
      </c>
      <c r="B4" s="1">
        <v>2</v>
      </c>
      <c r="C4" s="2" t="s">
        <v>61</v>
      </c>
      <c r="D4" s="2">
        <v>1</v>
      </c>
      <c r="E4" s="2">
        <v>1</v>
      </c>
      <c r="F4" s="2">
        <v>1</v>
      </c>
      <c r="G4" s="1" t="s">
        <v>71</v>
      </c>
    </row>
    <row r="5" spans="1:21" x14ac:dyDescent="0.25">
      <c r="A5" s="1">
        <v>1</v>
      </c>
      <c r="B5" s="1">
        <v>3</v>
      </c>
      <c r="C5" s="1" t="s">
        <v>72</v>
      </c>
      <c r="D5" s="1">
        <v>0</v>
      </c>
      <c r="E5" s="1">
        <v>2</v>
      </c>
      <c r="F5" s="1">
        <v>1</v>
      </c>
      <c r="G5" s="1" t="s">
        <v>72</v>
      </c>
    </row>
    <row r="6" spans="1:21" x14ac:dyDescent="0.25">
      <c r="A6" s="1">
        <v>1</v>
      </c>
      <c r="B6" s="1">
        <v>4</v>
      </c>
      <c r="C6" s="1" t="s">
        <v>60</v>
      </c>
      <c r="D6" s="1">
        <v>1</v>
      </c>
      <c r="E6" s="1">
        <v>3</v>
      </c>
      <c r="F6" s="1">
        <v>0</v>
      </c>
      <c r="G6" s="1" t="s">
        <v>60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000"/>
  <sheetViews>
    <sheetView workbookViewId="0"/>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9" t="s">
        <v>73</v>
      </c>
      <c r="B1" s="10"/>
      <c r="C1" s="10"/>
      <c r="D1" s="10"/>
      <c r="E1" s="10"/>
      <c r="F1" s="10"/>
      <c r="G1" s="10"/>
      <c r="H1" s="10"/>
      <c r="I1" s="10"/>
      <c r="J1" s="10"/>
      <c r="K1" s="10"/>
      <c r="L1" s="10"/>
      <c r="M1" s="10"/>
      <c r="N1" s="10"/>
      <c r="O1" s="10"/>
      <c r="P1" s="10"/>
      <c r="Q1" s="10"/>
      <c r="R1" s="10"/>
      <c r="S1" s="10"/>
      <c r="T1" s="10"/>
      <c r="U1" s="10"/>
    </row>
    <row r="2" spans="1:21" x14ac:dyDescent="0.25">
      <c r="A2" s="1" t="s">
        <v>74</v>
      </c>
      <c r="B2" s="1" t="s">
        <v>75</v>
      </c>
      <c r="C2" s="1" t="s">
        <v>76</v>
      </c>
      <c r="D2" s="1" t="s">
        <v>77</v>
      </c>
      <c r="E2" s="1" t="s">
        <v>78</v>
      </c>
      <c r="F2" s="1" t="s">
        <v>79</v>
      </c>
      <c r="G2" s="1" t="s">
        <v>80</v>
      </c>
      <c r="H2" s="1" t="s">
        <v>81</v>
      </c>
      <c r="I2" s="1" t="s">
        <v>82</v>
      </c>
      <c r="J2" s="1" t="s">
        <v>83</v>
      </c>
      <c r="K2" s="1" t="s">
        <v>84</v>
      </c>
    </row>
    <row r="3" spans="1:21" x14ac:dyDescent="0.25">
      <c r="A3" s="1" t="s">
        <v>85</v>
      </c>
      <c r="B3" s="1">
        <v>1</v>
      </c>
      <c r="C3" s="1">
        <v>25</v>
      </c>
      <c r="D3" s="1">
        <v>10.5</v>
      </c>
      <c r="E3" s="1">
        <v>1</v>
      </c>
      <c r="F3" s="1">
        <v>0</v>
      </c>
      <c r="G3" s="1">
        <v>0</v>
      </c>
      <c r="H3" s="1">
        <v>7.5</v>
      </c>
      <c r="I3" s="1">
        <v>0.1</v>
      </c>
      <c r="J3" s="1" t="s">
        <v>86</v>
      </c>
      <c r="K3" s="1" t="s">
        <v>87</v>
      </c>
    </row>
    <row r="4" spans="1:21" x14ac:dyDescent="0.25">
      <c r="A4" s="1" t="s">
        <v>88</v>
      </c>
      <c r="B4" s="1">
        <v>0.05</v>
      </c>
      <c r="C4" s="1">
        <v>0.2</v>
      </c>
      <c r="D4" s="1">
        <v>0.08</v>
      </c>
      <c r="E4" s="1">
        <v>-1</v>
      </c>
      <c r="F4" s="1">
        <v>0</v>
      </c>
      <c r="G4" s="1">
        <v>0</v>
      </c>
      <c r="H4" s="1">
        <v>0.13</v>
      </c>
      <c r="I4" s="1">
        <v>0.01</v>
      </c>
      <c r="J4" s="1" t="s">
        <v>86</v>
      </c>
      <c r="K4" s="1" t="s">
        <v>89</v>
      </c>
    </row>
    <row r="5" spans="1:21" x14ac:dyDescent="0.25">
      <c r="A5" s="1" t="s">
        <v>88</v>
      </c>
      <c r="B5" s="1">
        <v>0</v>
      </c>
      <c r="C5" s="1">
        <v>10</v>
      </c>
      <c r="D5" s="1">
        <v>1</v>
      </c>
      <c r="E5" s="1">
        <v>-1</v>
      </c>
      <c r="F5" s="1">
        <v>0</v>
      </c>
      <c r="G5" s="1">
        <v>0</v>
      </c>
      <c r="H5" s="1">
        <v>0.1</v>
      </c>
      <c r="I5" s="1">
        <v>0.01</v>
      </c>
      <c r="J5" s="1" t="s">
        <v>86</v>
      </c>
      <c r="K5" s="1" t="s">
        <v>90</v>
      </c>
    </row>
    <row r="6" spans="1:21" x14ac:dyDescent="0.25">
      <c r="A6" s="1" t="s">
        <v>88</v>
      </c>
      <c r="B6" s="1">
        <v>1</v>
      </c>
      <c r="C6" s="1">
        <v>5</v>
      </c>
      <c r="D6" s="1">
        <v>3</v>
      </c>
      <c r="E6" s="1">
        <v>-1</v>
      </c>
      <c r="F6" s="1">
        <v>0</v>
      </c>
      <c r="G6" s="1">
        <v>0</v>
      </c>
      <c r="H6" s="1">
        <v>0.1</v>
      </c>
      <c r="I6" s="1">
        <v>0.01</v>
      </c>
      <c r="J6" s="1" t="s">
        <v>86</v>
      </c>
      <c r="K6" s="1" t="s">
        <v>91</v>
      </c>
    </row>
    <row r="7" spans="1:21" x14ac:dyDescent="0.25">
      <c r="A7" s="1" t="s">
        <v>92</v>
      </c>
      <c r="B7" s="1">
        <v>0</v>
      </c>
      <c r="C7" s="1">
        <v>1</v>
      </c>
      <c r="D7" s="1">
        <v>1</v>
      </c>
      <c r="E7" s="1">
        <v>-2</v>
      </c>
      <c r="F7" s="1">
        <v>0</v>
      </c>
      <c r="G7" s="1">
        <v>0</v>
      </c>
      <c r="H7" s="1">
        <v>0.1</v>
      </c>
      <c r="I7" s="1">
        <v>0.01</v>
      </c>
      <c r="J7" s="1" t="s">
        <v>86</v>
      </c>
      <c r="K7" s="1" t="s">
        <v>93</v>
      </c>
    </row>
    <row r="8" spans="1:21" x14ac:dyDescent="0.25">
      <c r="A8" s="1" t="s">
        <v>94</v>
      </c>
      <c r="B8" s="1">
        <v>1E-3</v>
      </c>
      <c r="C8" s="1">
        <v>1</v>
      </c>
      <c r="D8" s="1">
        <v>0.5</v>
      </c>
      <c r="E8" s="1">
        <v>-1</v>
      </c>
      <c r="F8" s="1">
        <v>0</v>
      </c>
      <c r="G8" s="1">
        <v>0</v>
      </c>
      <c r="H8" s="1">
        <v>0.1</v>
      </c>
      <c r="I8" s="1">
        <v>0.01</v>
      </c>
      <c r="J8" s="1" t="s">
        <v>86</v>
      </c>
      <c r="K8" s="1" t="s">
        <v>95</v>
      </c>
    </row>
    <row r="9" spans="1:21" x14ac:dyDescent="0.25">
      <c r="A9" s="1" t="s">
        <v>96</v>
      </c>
      <c r="B9" s="1">
        <v>10</v>
      </c>
      <c r="C9" s="1">
        <v>25</v>
      </c>
      <c r="D9" s="1">
        <v>15</v>
      </c>
      <c r="E9" s="1">
        <v>-1</v>
      </c>
      <c r="F9" s="1">
        <v>0</v>
      </c>
      <c r="G9" s="1">
        <v>0</v>
      </c>
      <c r="H9" s="1">
        <v>0.1</v>
      </c>
      <c r="I9" s="1">
        <v>0.01</v>
      </c>
      <c r="J9" s="1" t="s">
        <v>86</v>
      </c>
      <c r="K9" s="1" t="s">
        <v>97</v>
      </c>
    </row>
    <row r="10" spans="1:21" x14ac:dyDescent="0.25">
      <c r="A10" s="1" t="s">
        <v>98</v>
      </c>
      <c r="B10" s="1">
        <v>-6</v>
      </c>
      <c r="C10" s="1">
        <v>1</v>
      </c>
      <c r="D10" s="1">
        <v>-0.2</v>
      </c>
      <c r="E10" s="1">
        <v>-1</v>
      </c>
      <c r="F10" s="1">
        <v>0</v>
      </c>
      <c r="G10" s="1">
        <v>0</v>
      </c>
      <c r="H10" s="1">
        <v>0.1</v>
      </c>
      <c r="I10" s="1">
        <v>0.01</v>
      </c>
      <c r="J10" s="1" t="s">
        <v>86</v>
      </c>
      <c r="K10" s="1" t="s">
        <v>99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00"/>
  <sheetViews>
    <sheetView workbookViewId="0"/>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9" t="s">
        <v>100</v>
      </c>
      <c r="B1" s="10"/>
      <c r="C1" s="10"/>
      <c r="D1" s="10"/>
      <c r="E1" s="10"/>
      <c r="F1" s="10"/>
      <c r="G1" s="10"/>
      <c r="H1" s="10"/>
      <c r="I1" s="10"/>
      <c r="J1" s="10"/>
      <c r="K1" s="10"/>
      <c r="L1" s="10"/>
      <c r="M1" s="10"/>
      <c r="N1" s="10"/>
      <c r="O1" s="10"/>
      <c r="P1" s="10"/>
      <c r="Q1" s="10"/>
      <c r="R1" s="10"/>
      <c r="S1" s="10"/>
      <c r="T1" s="10"/>
      <c r="U1" s="10"/>
      <c r="V1" s="10"/>
      <c r="W1" s="10"/>
    </row>
    <row r="2" spans="1:38" x14ac:dyDescent="0.25">
      <c r="A2" s="1" t="s">
        <v>101</v>
      </c>
      <c r="B2" s="1" t="s">
        <v>48</v>
      </c>
      <c r="C2" s="1" t="s">
        <v>49</v>
      </c>
      <c r="D2" s="1" t="s">
        <v>102</v>
      </c>
      <c r="E2" s="1" t="s">
        <v>103</v>
      </c>
      <c r="F2" s="1" t="s">
        <v>104</v>
      </c>
      <c r="G2" s="1" t="s">
        <v>105</v>
      </c>
      <c r="H2" s="1" t="s">
        <v>106</v>
      </c>
      <c r="I2" s="1" t="s">
        <v>80</v>
      </c>
      <c r="J2" s="1" t="s">
        <v>81</v>
      </c>
      <c r="K2" s="1" t="s">
        <v>82</v>
      </c>
      <c r="L2" s="1" t="s">
        <v>45</v>
      </c>
      <c r="M2" s="1" t="s">
        <v>84</v>
      </c>
      <c r="N2" s="1" t="s">
        <v>107</v>
      </c>
      <c r="O2" s="1" t="s">
        <v>108</v>
      </c>
      <c r="P2" s="1" t="s">
        <v>109</v>
      </c>
      <c r="Q2" s="1" t="s">
        <v>110</v>
      </c>
      <c r="R2" s="1" t="s">
        <v>111</v>
      </c>
      <c r="AG2" s="2"/>
      <c r="AH2" s="2"/>
      <c r="AI2" s="2"/>
      <c r="AJ2" s="2"/>
      <c r="AK2" s="2"/>
      <c r="AL2" s="2"/>
    </row>
    <row r="3" spans="1:38" x14ac:dyDescent="0.25">
      <c r="A3" s="1">
        <v>0</v>
      </c>
      <c r="B3" s="1" t="s">
        <v>112</v>
      </c>
      <c r="C3" s="1" t="s">
        <v>113</v>
      </c>
      <c r="D3" s="1">
        <v>50</v>
      </c>
      <c r="E3" s="1">
        <v>80</v>
      </c>
      <c r="F3" s="1">
        <v>65</v>
      </c>
      <c r="G3" s="1">
        <v>5</v>
      </c>
      <c r="H3" s="1">
        <v>0</v>
      </c>
      <c r="I3" s="1">
        <v>0</v>
      </c>
      <c r="J3" s="1">
        <v>65</v>
      </c>
      <c r="K3" s="1">
        <f t="shared" ref="K3:K5" si="0">J3*0.05</f>
        <v>3.25</v>
      </c>
      <c r="L3" s="1" t="s">
        <v>114</v>
      </c>
      <c r="M3" s="1" t="s">
        <v>115</v>
      </c>
      <c r="N3" s="1">
        <v>1970</v>
      </c>
      <c r="O3" s="1">
        <v>1</v>
      </c>
      <c r="P3" s="1">
        <v>1</v>
      </c>
      <c r="Q3" s="1">
        <v>1</v>
      </c>
      <c r="R3" s="1">
        <v>0</v>
      </c>
      <c r="AG3" s="2"/>
      <c r="AH3" s="2"/>
      <c r="AI3" s="2"/>
      <c r="AJ3" s="2"/>
      <c r="AK3" s="2"/>
      <c r="AL3" s="2"/>
    </row>
    <row r="4" spans="1:38" x14ac:dyDescent="0.25">
      <c r="A4" s="1">
        <v>0</v>
      </c>
      <c r="B4" s="1" t="s">
        <v>112</v>
      </c>
      <c r="C4" s="1" t="s">
        <v>116</v>
      </c>
      <c r="D4" s="1">
        <v>0.01</v>
      </c>
      <c r="E4" s="1">
        <v>2</v>
      </c>
      <c r="F4" s="1">
        <v>1.5</v>
      </c>
      <c r="G4" s="1">
        <v>5</v>
      </c>
      <c r="H4" s="1">
        <v>0</v>
      </c>
      <c r="I4" s="1">
        <v>0</v>
      </c>
      <c r="J4" s="1">
        <v>1.5</v>
      </c>
      <c r="K4" s="1">
        <f t="shared" si="0"/>
        <v>7.5000000000000011E-2</v>
      </c>
      <c r="L4" s="1" t="s">
        <v>114</v>
      </c>
      <c r="M4" s="1" t="s">
        <v>115</v>
      </c>
      <c r="N4" s="1">
        <v>1971</v>
      </c>
      <c r="O4" s="1">
        <v>1</v>
      </c>
      <c r="P4" s="1">
        <v>1</v>
      </c>
      <c r="Q4" s="1">
        <v>1</v>
      </c>
      <c r="R4" s="1">
        <v>0</v>
      </c>
      <c r="AG4" s="2"/>
      <c r="AH4" s="2"/>
      <c r="AI4" s="2"/>
      <c r="AJ4" s="2"/>
      <c r="AK4" s="2"/>
      <c r="AL4" s="2"/>
    </row>
    <row r="5" spans="1:38" x14ac:dyDescent="0.25">
      <c r="A5" s="1">
        <v>0</v>
      </c>
      <c r="B5" s="1" t="s">
        <v>112</v>
      </c>
      <c r="C5" s="1" t="s">
        <v>117</v>
      </c>
      <c r="D5" s="1">
        <v>75</v>
      </c>
      <c r="E5" s="1">
        <v>150</v>
      </c>
      <c r="F5" s="1">
        <v>149</v>
      </c>
      <c r="G5" s="1">
        <v>5</v>
      </c>
      <c r="H5" s="1">
        <v>0</v>
      </c>
      <c r="I5" s="1">
        <v>0</v>
      </c>
      <c r="J5" s="1">
        <v>120</v>
      </c>
      <c r="K5" s="1">
        <f t="shared" si="0"/>
        <v>6</v>
      </c>
      <c r="L5" s="1" t="s">
        <v>114</v>
      </c>
      <c r="M5" s="1" t="s">
        <v>115</v>
      </c>
      <c r="N5" s="1">
        <v>1972</v>
      </c>
      <c r="O5" s="1">
        <v>1</v>
      </c>
      <c r="P5" s="1">
        <v>1</v>
      </c>
      <c r="Q5" s="1">
        <v>1</v>
      </c>
      <c r="R5" s="1">
        <v>0</v>
      </c>
      <c r="AG5" s="2"/>
      <c r="AH5" s="2"/>
      <c r="AI5" s="2"/>
      <c r="AJ5" s="2"/>
      <c r="AK5" s="2"/>
      <c r="AL5" s="2"/>
    </row>
    <row r="6" spans="1:38" x14ac:dyDescent="0.25">
      <c r="A6" s="1">
        <v>0</v>
      </c>
      <c r="B6" s="1" t="s">
        <v>112</v>
      </c>
      <c r="C6" s="1" t="s">
        <v>118</v>
      </c>
      <c r="D6" s="1">
        <v>-10</v>
      </c>
      <c r="E6" s="1">
        <v>0</v>
      </c>
      <c r="F6" s="1">
        <v>-5</v>
      </c>
      <c r="G6" s="1">
        <v>5</v>
      </c>
      <c r="H6" s="1">
        <v>0</v>
      </c>
      <c r="I6" s="1">
        <v>0</v>
      </c>
      <c r="J6" s="1">
        <v>-0.1</v>
      </c>
      <c r="K6" s="1">
        <v>1E-3</v>
      </c>
      <c r="L6" s="1" t="s">
        <v>114</v>
      </c>
      <c r="M6" s="1" t="s">
        <v>115</v>
      </c>
      <c r="N6" s="1">
        <v>1973</v>
      </c>
      <c r="O6" s="1">
        <v>1</v>
      </c>
      <c r="P6" s="1">
        <v>1</v>
      </c>
      <c r="Q6" s="1">
        <v>1</v>
      </c>
      <c r="R6" s="1">
        <v>0</v>
      </c>
      <c r="AG6" s="2"/>
      <c r="AH6" s="2"/>
      <c r="AI6" s="2"/>
      <c r="AJ6" s="2"/>
      <c r="AK6" s="2"/>
      <c r="AL6" s="2"/>
    </row>
    <row r="7" spans="1:38" x14ac:dyDescent="0.25">
      <c r="A7" s="1">
        <v>0</v>
      </c>
      <c r="B7" s="1" t="s">
        <v>88</v>
      </c>
      <c r="C7" s="1" t="s">
        <v>113</v>
      </c>
      <c r="D7" s="1">
        <v>50</v>
      </c>
      <c r="E7" s="1">
        <v>80</v>
      </c>
      <c r="F7" s="1">
        <v>65</v>
      </c>
      <c r="G7" s="1">
        <v>5</v>
      </c>
      <c r="H7" s="1">
        <v>0</v>
      </c>
      <c r="I7" s="1">
        <v>0</v>
      </c>
      <c r="J7" s="1">
        <v>65</v>
      </c>
      <c r="K7" s="1">
        <f t="shared" ref="K7:K9" si="1">J7*0.05</f>
        <v>3.25</v>
      </c>
      <c r="L7" s="1" t="s">
        <v>114</v>
      </c>
      <c r="M7" s="1" t="s">
        <v>119</v>
      </c>
      <c r="N7" s="1">
        <v>1974</v>
      </c>
      <c r="O7" s="1">
        <v>1</v>
      </c>
      <c r="P7" s="1">
        <v>1</v>
      </c>
      <c r="Q7" s="1">
        <v>1</v>
      </c>
      <c r="R7" s="1">
        <v>0</v>
      </c>
      <c r="AG7" s="2"/>
      <c r="AH7" s="2"/>
      <c r="AI7" s="2"/>
      <c r="AJ7" s="2"/>
      <c r="AK7" s="2"/>
      <c r="AL7" s="2"/>
    </row>
    <row r="8" spans="1:38" x14ac:dyDescent="0.25">
      <c r="A8" s="1">
        <v>0</v>
      </c>
      <c r="B8" s="1" t="s">
        <v>88</v>
      </c>
      <c r="C8" s="1" t="s">
        <v>116</v>
      </c>
      <c r="D8" s="1">
        <v>0.01</v>
      </c>
      <c r="E8" s="1">
        <v>2</v>
      </c>
      <c r="F8" s="1">
        <v>1.5</v>
      </c>
      <c r="G8" s="1">
        <v>5</v>
      </c>
      <c r="H8" s="1">
        <v>0</v>
      </c>
      <c r="I8" s="1">
        <v>0</v>
      </c>
      <c r="J8" s="1">
        <v>1.5</v>
      </c>
      <c r="K8" s="1">
        <f t="shared" si="1"/>
        <v>7.5000000000000011E-2</v>
      </c>
      <c r="L8" s="1" t="s">
        <v>114</v>
      </c>
      <c r="M8" s="1" t="s">
        <v>119</v>
      </c>
      <c r="N8" s="1">
        <v>1975</v>
      </c>
      <c r="O8" s="1">
        <v>1</v>
      </c>
      <c r="P8" s="1">
        <v>1</v>
      </c>
      <c r="Q8" s="1">
        <v>1</v>
      </c>
      <c r="R8" s="1">
        <v>0</v>
      </c>
      <c r="AG8" s="2"/>
      <c r="AH8" s="2"/>
      <c r="AI8" s="2"/>
      <c r="AJ8" s="2"/>
      <c r="AK8" s="2"/>
      <c r="AL8" s="2"/>
    </row>
    <row r="9" spans="1:38" x14ac:dyDescent="0.25">
      <c r="A9" s="1">
        <v>0</v>
      </c>
      <c r="B9" s="1" t="s">
        <v>88</v>
      </c>
      <c r="C9" s="1" t="s">
        <v>117</v>
      </c>
      <c r="D9" s="1">
        <v>75</v>
      </c>
      <c r="E9" s="1">
        <v>150</v>
      </c>
      <c r="F9" s="1">
        <v>120</v>
      </c>
      <c r="G9" s="1">
        <v>5</v>
      </c>
      <c r="H9" s="1">
        <v>0</v>
      </c>
      <c r="I9" s="1">
        <v>0</v>
      </c>
      <c r="J9" s="1">
        <v>120</v>
      </c>
      <c r="K9" s="1">
        <f t="shared" si="1"/>
        <v>6</v>
      </c>
      <c r="L9" s="1" t="s">
        <v>114</v>
      </c>
      <c r="M9" s="1" t="s">
        <v>119</v>
      </c>
      <c r="N9" s="1">
        <v>1976</v>
      </c>
      <c r="O9" s="1">
        <v>1</v>
      </c>
      <c r="P9" s="1">
        <v>1</v>
      </c>
      <c r="Q9" s="1">
        <v>1</v>
      </c>
      <c r="R9" s="1">
        <v>0</v>
      </c>
      <c r="AG9" s="2"/>
      <c r="AH9" s="2"/>
      <c r="AI9" s="2"/>
      <c r="AJ9" s="2"/>
      <c r="AK9" s="2"/>
      <c r="AL9" s="2"/>
    </row>
    <row r="10" spans="1:38" x14ac:dyDescent="0.25">
      <c r="A10" s="1">
        <v>0</v>
      </c>
      <c r="B10" s="1" t="s">
        <v>88</v>
      </c>
      <c r="C10" s="1" t="s">
        <v>118</v>
      </c>
      <c r="D10" s="1">
        <v>-10</v>
      </c>
      <c r="E10" s="1">
        <v>0</v>
      </c>
      <c r="F10" s="1">
        <v>-5</v>
      </c>
      <c r="G10" s="1">
        <v>5</v>
      </c>
      <c r="H10" s="1">
        <v>0</v>
      </c>
      <c r="I10" s="1">
        <v>0</v>
      </c>
      <c r="J10" s="1">
        <v>-0.1</v>
      </c>
      <c r="K10" s="1">
        <v>1E-3</v>
      </c>
      <c r="L10" s="1" t="s">
        <v>114</v>
      </c>
      <c r="M10" s="1" t="s">
        <v>119</v>
      </c>
      <c r="N10" s="1">
        <v>1977</v>
      </c>
      <c r="O10" s="1">
        <v>1</v>
      </c>
      <c r="P10" s="1">
        <v>1</v>
      </c>
      <c r="Q10" s="1">
        <v>1</v>
      </c>
      <c r="R10" s="1">
        <v>0</v>
      </c>
      <c r="AG10" s="2"/>
      <c r="AH10" s="2"/>
      <c r="AI10" s="2"/>
      <c r="AJ10" s="2"/>
      <c r="AK10" s="2"/>
      <c r="AL10" s="2"/>
    </row>
    <row r="11" spans="1:38" x14ac:dyDescent="0.25">
      <c r="A11" s="2">
        <v>1</v>
      </c>
      <c r="B11" s="2" t="s">
        <v>112</v>
      </c>
      <c r="C11" s="2" t="s">
        <v>113</v>
      </c>
      <c r="D11" s="2">
        <v>50</v>
      </c>
      <c r="E11" s="2">
        <v>80</v>
      </c>
      <c r="F11" s="2">
        <v>75</v>
      </c>
      <c r="G11" s="2">
        <v>5</v>
      </c>
      <c r="H11" s="2">
        <v>0</v>
      </c>
      <c r="I11" s="2">
        <v>0</v>
      </c>
      <c r="J11" s="2">
        <v>65</v>
      </c>
      <c r="K11" s="2">
        <f t="shared" ref="K11:K13" si="2">J11*0.05</f>
        <v>3.25</v>
      </c>
      <c r="L11" s="2" t="s">
        <v>114</v>
      </c>
      <c r="M11" s="2" t="s">
        <v>120</v>
      </c>
      <c r="N11" s="1">
        <v>1978</v>
      </c>
      <c r="O11" s="1">
        <v>1</v>
      </c>
      <c r="P11" s="1">
        <v>1</v>
      </c>
      <c r="Q11" s="1">
        <v>1</v>
      </c>
      <c r="R11" s="1">
        <v>0</v>
      </c>
      <c r="AG11" s="2"/>
      <c r="AH11" s="2"/>
      <c r="AI11" s="2"/>
      <c r="AJ11" s="2"/>
      <c r="AK11" s="2"/>
      <c r="AL11" s="2"/>
    </row>
    <row r="12" spans="1:38" x14ac:dyDescent="0.25">
      <c r="A12" s="2">
        <v>1</v>
      </c>
      <c r="B12" s="2" t="s">
        <v>112</v>
      </c>
      <c r="C12" s="2" t="s">
        <v>116</v>
      </c>
      <c r="D12" s="2">
        <v>0.01</v>
      </c>
      <c r="E12" s="2">
        <v>2</v>
      </c>
      <c r="F12" s="2">
        <v>1.5</v>
      </c>
      <c r="G12" s="2">
        <v>5</v>
      </c>
      <c r="H12" s="2">
        <v>0</v>
      </c>
      <c r="I12" s="2">
        <v>0</v>
      </c>
      <c r="J12" s="2">
        <v>1.5</v>
      </c>
      <c r="K12" s="2">
        <f t="shared" si="2"/>
        <v>7.5000000000000011E-2</v>
      </c>
      <c r="L12" s="2" t="s">
        <v>114</v>
      </c>
      <c r="M12" s="2" t="s">
        <v>120</v>
      </c>
      <c r="N12" s="1">
        <v>1979</v>
      </c>
      <c r="O12" s="1">
        <v>1</v>
      </c>
      <c r="P12" s="1">
        <v>1</v>
      </c>
      <c r="Q12" s="1">
        <v>1</v>
      </c>
      <c r="R12" s="1">
        <v>0</v>
      </c>
      <c r="AG12" s="2"/>
      <c r="AH12" s="2"/>
      <c r="AI12" s="2"/>
      <c r="AJ12" s="2"/>
      <c r="AK12" s="2"/>
      <c r="AL12" s="2"/>
    </row>
    <row r="13" spans="1:38" x14ac:dyDescent="0.25">
      <c r="A13" s="2">
        <v>1</v>
      </c>
      <c r="B13" s="2" t="s">
        <v>112</v>
      </c>
      <c r="C13" s="2" t="s">
        <v>117</v>
      </c>
      <c r="D13" s="2">
        <v>75</v>
      </c>
      <c r="E13" s="2">
        <v>150</v>
      </c>
      <c r="F13" s="1">
        <v>149</v>
      </c>
      <c r="G13" s="1">
        <v>5</v>
      </c>
      <c r="H13" s="2">
        <v>0</v>
      </c>
      <c r="I13" s="2">
        <v>0</v>
      </c>
      <c r="J13" s="2">
        <v>120</v>
      </c>
      <c r="K13" s="2">
        <f t="shared" si="2"/>
        <v>6</v>
      </c>
      <c r="L13" s="2" t="s">
        <v>114</v>
      </c>
      <c r="M13" s="2" t="s">
        <v>120</v>
      </c>
      <c r="N13" s="1">
        <v>1980</v>
      </c>
      <c r="O13" s="1">
        <v>1</v>
      </c>
      <c r="P13" s="1">
        <v>1</v>
      </c>
      <c r="Q13" s="1">
        <v>1</v>
      </c>
      <c r="R13" s="1">
        <v>0</v>
      </c>
      <c r="AG13" s="2"/>
      <c r="AH13" s="2"/>
      <c r="AI13" s="2"/>
      <c r="AJ13" s="2"/>
      <c r="AK13" s="2"/>
      <c r="AL13" s="2"/>
    </row>
    <row r="14" spans="1:38" x14ac:dyDescent="0.25">
      <c r="A14" s="2">
        <v>1</v>
      </c>
      <c r="B14" s="2" t="s">
        <v>112</v>
      </c>
      <c r="C14" s="2" t="s">
        <v>118</v>
      </c>
      <c r="D14" s="2">
        <v>-10</v>
      </c>
      <c r="E14" s="2">
        <v>0</v>
      </c>
      <c r="F14" s="1">
        <v>-5</v>
      </c>
      <c r="G14" s="1">
        <v>5</v>
      </c>
      <c r="H14" s="2">
        <v>0</v>
      </c>
      <c r="I14" s="2">
        <v>0</v>
      </c>
      <c r="J14" s="2">
        <v>-0.1</v>
      </c>
      <c r="K14" s="2">
        <v>1E-3</v>
      </c>
      <c r="L14" s="2" t="s">
        <v>114</v>
      </c>
      <c r="M14" s="2" t="s">
        <v>120</v>
      </c>
      <c r="N14" s="1">
        <v>1981</v>
      </c>
      <c r="O14" s="1">
        <v>1</v>
      </c>
      <c r="P14" s="1">
        <v>1</v>
      </c>
      <c r="Q14" s="1">
        <v>1</v>
      </c>
      <c r="R14" s="1">
        <v>0</v>
      </c>
      <c r="AG14" s="2"/>
      <c r="AH14" s="2"/>
      <c r="AI14" s="2"/>
      <c r="AJ14" s="2"/>
      <c r="AK14" s="2"/>
      <c r="AL14" s="2"/>
    </row>
    <row r="15" spans="1:38" x14ac:dyDescent="0.25">
      <c r="A15" s="2">
        <v>1</v>
      </c>
      <c r="B15" s="2" t="s">
        <v>88</v>
      </c>
      <c r="C15" s="2" t="s">
        <v>113</v>
      </c>
      <c r="D15" s="2">
        <v>50</v>
      </c>
      <c r="E15" s="2">
        <v>80</v>
      </c>
      <c r="F15" s="2">
        <v>75</v>
      </c>
      <c r="G15" s="2">
        <v>5</v>
      </c>
      <c r="H15" s="2">
        <v>0</v>
      </c>
      <c r="I15" s="2">
        <v>0</v>
      </c>
      <c r="J15" s="2">
        <v>65</v>
      </c>
      <c r="K15" s="2">
        <f t="shared" ref="K15:K17" si="3">J15*0.05</f>
        <v>3.25</v>
      </c>
      <c r="L15" s="2" t="s">
        <v>114</v>
      </c>
      <c r="M15" s="2" t="s">
        <v>121</v>
      </c>
      <c r="N15" s="1">
        <v>1982</v>
      </c>
      <c r="O15" s="1">
        <v>1</v>
      </c>
      <c r="P15" s="1">
        <v>1</v>
      </c>
      <c r="Q15" s="1">
        <v>1</v>
      </c>
      <c r="R15" s="1">
        <v>0</v>
      </c>
      <c r="AG15" s="2"/>
      <c r="AH15" s="2"/>
      <c r="AI15" s="2"/>
      <c r="AJ15" s="2"/>
      <c r="AK15" s="2"/>
      <c r="AL15" s="2"/>
    </row>
    <row r="16" spans="1:38" x14ac:dyDescent="0.25">
      <c r="A16" s="2">
        <v>1</v>
      </c>
      <c r="B16" s="2" t="s">
        <v>88</v>
      </c>
      <c r="C16" s="2" t="s">
        <v>116</v>
      </c>
      <c r="D16" s="2">
        <v>0.01</v>
      </c>
      <c r="E16" s="2">
        <v>2</v>
      </c>
      <c r="F16" s="2">
        <v>1.5</v>
      </c>
      <c r="G16" s="2">
        <v>5</v>
      </c>
      <c r="H16" s="2">
        <v>0</v>
      </c>
      <c r="I16" s="2">
        <v>0</v>
      </c>
      <c r="J16" s="2">
        <v>1.5</v>
      </c>
      <c r="K16" s="2">
        <f t="shared" si="3"/>
        <v>7.5000000000000011E-2</v>
      </c>
      <c r="L16" s="2" t="s">
        <v>114</v>
      </c>
      <c r="M16" s="2" t="s">
        <v>121</v>
      </c>
      <c r="N16" s="1">
        <v>1983</v>
      </c>
      <c r="O16" s="1">
        <v>1</v>
      </c>
      <c r="P16" s="1">
        <v>1</v>
      </c>
      <c r="Q16" s="1">
        <v>1</v>
      </c>
      <c r="R16" s="1">
        <v>0</v>
      </c>
      <c r="AG16" s="2"/>
      <c r="AH16" s="2"/>
      <c r="AI16" s="2"/>
      <c r="AJ16" s="2"/>
      <c r="AK16" s="2"/>
      <c r="AL16" s="2"/>
    </row>
    <row r="17" spans="1:38" x14ac:dyDescent="0.25">
      <c r="A17" s="2">
        <v>1</v>
      </c>
      <c r="B17" s="2" t="s">
        <v>88</v>
      </c>
      <c r="C17" s="2" t="s">
        <v>117</v>
      </c>
      <c r="D17" s="2">
        <v>75</v>
      </c>
      <c r="E17" s="2">
        <v>150</v>
      </c>
      <c r="F17" s="1">
        <v>120</v>
      </c>
      <c r="G17" s="2">
        <v>5</v>
      </c>
      <c r="H17" s="2">
        <v>0</v>
      </c>
      <c r="I17" s="2">
        <v>0</v>
      </c>
      <c r="J17" s="2">
        <v>120</v>
      </c>
      <c r="K17" s="2">
        <f t="shared" si="3"/>
        <v>6</v>
      </c>
      <c r="L17" s="2" t="s">
        <v>114</v>
      </c>
      <c r="M17" s="2" t="s">
        <v>121</v>
      </c>
      <c r="N17" s="1">
        <v>1984</v>
      </c>
      <c r="O17" s="1">
        <v>1</v>
      </c>
      <c r="P17" s="1">
        <v>1</v>
      </c>
      <c r="Q17" s="1">
        <v>1</v>
      </c>
      <c r="R17" s="1">
        <v>0</v>
      </c>
      <c r="AG17" s="2"/>
      <c r="AH17" s="2"/>
      <c r="AI17" s="2"/>
      <c r="AJ17" s="2"/>
      <c r="AK17" s="2"/>
      <c r="AL17" s="2"/>
    </row>
    <row r="18" spans="1:38" x14ac:dyDescent="0.25">
      <c r="A18" s="2">
        <v>1</v>
      </c>
      <c r="B18" s="2" t="s">
        <v>88</v>
      </c>
      <c r="C18" s="2" t="s">
        <v>118</v>
      </c>
      <c r="D18" s="2">
        <v>-10</v>
      </c>
      <c r="E18" s="2">
        <v>0</v>
      </c>
      <c r="F18" s="1">
        <v>-5</v>
      </c>
      <c r="G18" s="2">
        <v>5</v>
      </c>
      <c r="H18" s="2">
        <v>0</v>
      </c>
      <c r="I18" s="2">
        <v>0</v>
      </c>
      <c r="J18" s="2">
        <v>-0.1</v>
      </c>
      <c r="K18" s="2">
        <v>1E-3</v>
      </c>
      <c r="L18" s="2" t="s">
        <v>114</v>
      </c>
      <c r="M18" s="2" t="s">
        <v>121</v>
      </c>
      <c r="N18" s="1">
        <v>1985</v>
      </c>
      <c r="O18" s="1">
        <v>1</v>
      </c>
      <c r="P18" s="1">
        <v>1</v>
      </c>
      <c r="Q18" s="1">
        <v>1</v>
      </c>
      <c r="R18" s="1">
        <v>0</v>
      </c>
      <c r="AG18" s="2"/>
      <c r="AH18" s="2"/>
      <c r="AI18" s="2"/>
      <c r="AJ18" s="2"/>
      <c r="AK18" s="2"/>
      <c r="AL18" s="2"/>
    </row>
    <row r="19" spans="1:38" x14ac:dyDescent="0.25">
      <c r="A19" s="1">
        <v>2</v>
      </c>
      <c r="B19" s="1" t="s">
        <v>112</v>
      </c>
      <c r="C19" s="1" t="s">
        <v>113</v>
      </c>
      <c r="D19" s="1">
        <v>50</v>
      </c>
      <c r="E19" s="1">
        <v>80</v>
      </c>
      <c r="F19" s="1">
        <v>78</v>
      </c>
      <c r="G19" s="1">
        <v>5</v>
      </c>
      <c r="H19" s="1">
        <v>0</v>
      </c>
      <c r="I19" s="1">
        <v>0</v>
      </c>
      <c r="J19" s="1">
        <v>65</v>
      </c>
      <c r="K19" s="1">
        <f t="shared" ref="K19:K21" si="4">J19*0.05</f>
        <v>3.25</v>
      </c>
      <c r="L19" s="1" t="s">
        <v>114</v>
      </c>
      <c r="M19" s="1" t="s">
        <v>122</v>
      </c>
      <c r="N19" s="1">
        <v>1986</v>
      </c>
      <c r="O19" s="1">
        <v>1</v>
      </c>
      <c r="P19" s="1">
        <v>1</v>
      </c>
      <c r="Q19" s="1">
        <v>1</v>
      </c>
      <c r="R19" s="1">
        <v>0</v>
      </c>
      <c r="AG19" s="2"/>
      <c r="AH19" s="2"/>
      <c r="AI19" s="2"/>
      <c r="AJ19" s="2"/>
      <c r="AK19" s="2"/>
      <c r="AL19" s="2"/>
    </row>
    <row r="20" spans="1:38" x14ac:dyDescent="0.25">
      <c r="A20" s="1">
        <v>2</v>
      </c>
      <c r="B20" s="1" t="s">
        <v>112</v>
      </c>
      <c r="C20" s="1" t="s">
        <v>116</v>
      </c>
      <c r="D20" s="1">
        <v>0.01</v>
      </c>
      <c r="E20" s="1">
        <v>2</v>
      </c>
      <c r="F20" s="1">
        <v>1.5</v>
      </c>
      <c r="G20" s="1">
        <v>5</v>
      </c>
      <c r="H20" s="1">
        <v>0</v>
      </c>
      <c r="I20" s="1">
        <v>0</v>
      </c>
      <c r="J20" s="1">
        <v>1.5</v>
      </c>
      <c r="K20" s="1">
        <f t="shared" si="4"/>
        <v>7.5000000000000011E-2</v>
      </c>
      <c r="L20" s="1" t="s">
        <v>114</v>
      </c>
      <c r="M20" s="1" t="s">
        <v>122</v>
      </c>
      <c r="N20" s="1">
        <v>1987</v>
      </c>
      <c r="O20" s="1">
        <v>1</v>
      </c>
      <c r="P20" s="1">
        <v>1</v>
      </c>
      <c r="Q20" s="1">
        <v>1</v>
      </c>
      <c r="R20" s="1">
        <v>0</v>
      </c>
      <c r="AG20" s="2"/>
      <c r="AH20" s="2"/>
      <c r="AI20" s="2"/>
      <c r="AJ20" s="2"/>
      <c r="AK20" s="2"/>
      <c r="AL20" s="2"/>
    </row>
    <row r="21" spans="1:38" ht="15.75" customHeight="1" x14ac:dyDescent="0.25">
      <c r="A21" s="1">
        <v>2</v>
      </c>
      <c r="B21" s="1" t="s">
        <v>112</v>
      </c>
      <c r="C21" s="1" t="s">
        <v>117</v>
      </c>
      <c r="D21" s="1">
        <v>75</v>
      </c>
      <c r="E21" s="1">
        <v>150</v>
      </c>
      <c r="F21" s="1">
        <v>149</v>
      </c>
      <c r="G21" s="1">
        <v>5</v>
      </c>
      <c r="H21" s="1">
        <v>0</v>
      </c>
      <c r="I21" s="1">
        <v>0</v>
      </c>
      <c r="J21" s="1">
        <v>120</v>
      </c>
      <c r="K21" s="1">
        <f t="shared" si="4"/>
        <v>6</v>
      </c>
      <c r="L21" s="1" t="s">
        <v>114</v>
      </c>
      <c r="M21" s="1" t="s">
        <v>122</v>
      </c>
      <c r="N21" s="1">
        <v>1988</v>
      </c>
      <c r="O21" s="1">
        <v>1</v>
      </c>
      <c r="P21" s="1">
        <v>1</v>
      </c>
      <c r="Q21" s="1">
        <v>1</v>
      </c>
      <c r="R21" s="1">
        <v>0</v>
      </c>
      <c r="AG21" s="2"/>
      <c r="AH21" s="2"/>
      <c r="AI21" s="2"/>
      <c r="AJ21" s="2"/>
      <c r="AK21" s="2"/>
      <c r="AL21" s="2"/>
    </row>
    <row r="22" spans="1:38" ht="15.75" customHeight="1" x14ac:dyDescent="0.25">
      <c r="A22" s="1">
        <v>2</v>
      </c>
      <c r="B22" s="1" t="s">
        <v>112</v>
      </c>
      <c r="C22" s="1" t="s">
        <v>118</v>
      </c>
      <c r="D22" s="1">
        <v>-10</v>
      </c>
      <c r="E22" s="1">
        <v>0</v>
      </c>
      <c r="F22" s="1">
        <v>-5</v>
      </c>
      <c r="G22" s="1">
        <v>5</v>
      </c>
      <c r="H22" s="1">
        <v>0</v>
      </c>
      <c r="I22" s="1">
        <v>0</v>
      </c>
      <c r="J22" s="1">
        <v>-0.1</v>
      </c>
      <c r="K22" s="1">
        <v>1E-3</v>
      </c>
      <c r="L22" s="1" t="s">
        <v>114</v>
      </c>
      <c r="M22" s="1" t="s">
        <v>122</v>
      </c>
      <c r="N22" s="1">
        <v>1989</v>
      </c>
      <c r="O22" s="1">
        <v>1</v>
      </c>
      <c r="P22" s="1">
        <v>1</v>
      </c>
      <c r="Q22" s="1">
        <v>1</v>
      </c>
      <c r="R22" s="1">
        <v>0</v>
      </c>
      <c r="AG22" s="2"/>
      <c r="AH22" s="2"/>
      <c r="AI22" s="2"/>
      <c r="AJ22" s="2"/>
      <c r="AK22" s="2"/>
      <c r="AL22" s="2"/>
    </row>
    <row r="23" spans="1:38" ht="15.75" customHeight="1" x14ac:dyDescent="0.25">
      <c r="A23" s="1">
        <v>2</v>
      </c>
      <c r="B23" s="1" t="s">
        <v>88</v>
      </c>
      <c r="C23" s="1" t="s">
        <v>113</v>
      </c>
      <c r="D23" s="1">
        <v>50</v>
      </c>
      <c r="E23" s="1">
        <v>80</v>
      </c>
      <c r="F23" s="1">
        <v>78</v>
      </c>
      <c r="G23" s="1">
        <v>5</v>
      </c>
      <c r="H23" s="1">
        <v>0</v>
      </c>
      <c r="I23" s="1">
        <v>0</v>
      </c>
      <c r="J23" s="1">
        <v>65</v>
      </c>
      <c r="K23" s="1">
        <f t="shared" ref="K23:K25" si="5">J23*0.05</f>
        <v>3.25</v>
      </c>
      <c r="L23" s="1" t="s">
        <v>114</v>
      </c>
      <c r="M23" s="1" t="s">
        <v>123</v>
      </c>
      <c r="N23" s="1">
        <v>1990</v>
      </c>
      <c r="O23" s="1">
        <v>2</v>
      </c>
      <c r="P23" s="1">
        <v>2</v>
      </c>
      <c r="Q23" s="1">
        <v>2</v>
      </c>
      <c r="R23" s="1">
        <v>0</v>
      </c>
      <c r="AG23" s="2"/>
      <c r="AH23" s="2"/>
      <c r="AI23" s="2"/>
      <c r="AJ23" s="2"/>
      <c r="AK23" s="2"/>
      <c r="AL23" s="2"/>
    </row>
    <row r="24" spans="1:38" ht="15.75" customHeight="1" x14ac:dyDescent="0.25">
      <c r="A24" s="1">
        <v>2</v>
      </c>
      <c r="B24" s="1" t="s">
        <v>88</v>
      </c>
      <c r="C24" s="1" t="s">
        <v>116</v>
      </c>
      <c r="D24" s="1">
        <v>0.01</v>
      </c>
      <c r="E24" s="1">
        <v>2</v>
      </c>
      <c r="F24" s="1">
        <v>1.5</v>
      </c>
      <c r="G24" s="1">
        <v>5</v>
      </c>
      <c r="H24" s="1">
        <v>0</v>
      </c>
      <c r="I24" s="1">
        <v>0</v>
      </c>
      <c r="J24" s="1">
        <v>1.5</v>
      </c>
      <c r="K24" s="1">
        <f t="shared" si="5"/>
        <v>7.5000000000000011E-2</v>
      </c>
      <c r="L24" s="1" t="s">
        <v>114</v>
      </c>
      <c r="M24" s="1" t="s">
        <v>123</v>
      </c>
      <c r="N24" s="1">
        <v>1991</v>
      </c>
      <c r="O24" s="1">
        <v>2</v>
      </c>
      <c r="P24" s="1">
        <v>2</v>
      </c>
      <c r="Q24" s="1">
        <v>2</v>
      </c>
      <c r="R24" s="1">
        <v>0</v>
      </c>
      <c r="AG24" s="2"/>
      <c r="AH24" s="2"/>
      <c r="AI24" s="2"/>
      <c r="AJ24" s="2"/>
      <c r="AK24" s="2"/>
      <c r="AL24" s="2"/>
    </row>
    <row r="25" spans="1:38" ht="15.75" customHeight="1" x14ac:dyDescent="0.25">
      <c r="A25" s="1">
        <v>2</v>
      </c>
      <c r="B25" s="1" t="s">
        <v>88</v>
      </c>
      <c r="C25" s="1" t="s">
        <v>117</v>
      </c>
      <c r="D25" s="1">
        <v>75</v>
      </c>
      <c r="E25" s="1">
        <v>150</v>
      </c>
      <c r="F25" s="1">
        <v>120</v>
      </c>
      <c r="G25" s="1">
        <v>5</v>
      </c>
      <c r="H25" s="1">
        <v>0</v>
      </c>
      <c r="I25" s="1">
        <v>0</v>
      </c>
      <c r="J25" s="1">
        <v>120</v>
      </c>
      <c r="K25" s="1">
        <f t="shared" si="5"/>
        <v>6</v>
      </c>
      <c r="L25" s="1" t="s">
        <v>114</v>
      </c>
      <c r="M25" s="1" t="s">
        <v>123</v>
      </c>
      <c r="N25" s="1">
        <v>1992</v>
      </c>
      <c r="O25" s="1">
        <v>2</v>
      </c>
      <c r="P25" s="1">
        <v>2</v>
      </c>
      <c r="Q25" s="1">
        <v>2</v>
      </c>
      <c r="R25" s="1">
        <v>0</v>
      </c>
      <c r="AG25" s="2"/>
      <c r="AH25" s="2"/>
      <c r="AI25" s="2"/>
      <c r="AJ25" s="2"/>
      <c r="AK25" s="2"/>
      <c r="AL25" s="2"/>
    </row>
    <row r="26" spans="1:38" ht="15.75" customHeight="1" x14ac:dyDescent="0.25">
      <c r="A26" s="1">
        <v>2</v>
      </c>
      <c r="B26" s="1" t="s">
        <v>88</v>
      </c>
      <c r="C26" s="1" t="s">
        <v>118</v>
      </c>
      <c r="D26" s="1">
        <v>-10</v>
      </c>
      <c r="E26" s="1">
        <v>0</v>
      </c>
      <c r="F26" s="1">
        <v>-5</v>
      </c>
      <c r="G26" s="1">
        <v>5</v>
      </c>
      <c r="H26" s="1">
        <v>0</v>
      </c>
      <c r="I26" s="1">
        <v>0</v>
      </c>
      <c r="J26" s="1">
        <v>-0.1</v>
      </c>
      <c r="K26" s="1">
        <v>1E-3</v>
      </c>
      <c r="L26" s="1" t="s">
        <v>114</v>
      </c>
      <c r="M26" s="1" t="s">
        <v>123</v>
      </c>
      <c r="N26" s="1">
        <v>1993</v>
      </c>
      <c r="O26" s="1">
        <v>2</v>
      </c>
      <c r="P26" s="1">
        <v>2</v>
      </c>
      <c r="Q26" s="1">
        <v>2</v>
      </c>
      <c r="R26" s="1">
        <v>0</v>
      </c>
      <c r="AG26" s="2"/>
      <c r="AH26" s="2"/>
      <c r="AI26" s="2"/>
      <c r="AJ26" s="2"/>
      <c r="AK26" s="2"/>
      <c r="AL26" s="2"/>
    </row>
    <row r="27" spans="1:38" ht="15.75" customHeight="1" x14ac:dyDescent="0.25">
      <c r="A27" s="2"/>
      <c r="B27" s="2"/>
      <c r="C27" s="2"/>
      <c r="D27" s="2"/>
      <c r="E27" s="2"/>
      <c r="F27" s="2"/>
      <c r="G27" s="2"/>
      <c r="H27" s="2"/>
      <c r="I27" s="2"/>
      <c r="J27" s="2"/>
      <c r="K27" s="2"/>
      <c r="L27" s="2"/>
      <c r="M27" s="2"/>
      <c r="N27" s="1">
        <v>1994</v>
      </c>
      <c r="O27" s="1">
        <v>2</v>
      </c>
      <c r="P27" s="1">
        <v>2</v>
      </c>
      <c r="Q27" s="1">
        <v>2</v>
      </c>
      <c r="R27" s="1">
        <v>0</v>
      </c>
      <c r="AG27" s="2"/>
      <c r="AH27" s="2"/>
      <c r="AI27" s="2"/>
      <c r="AJ27" s="2"/>
      <c r="AK27" s="2"/>
      <c r="AL27" s="2"/>
    </row>
    <row r="28" spans="1:38" ht="15.75" customHeight="1" x14ac:dyDescent="0.25">
      <c r="A28" s="2"/>
      <c r="B28" s="2"/>
      <c r="C28" s="2"/>
      <c r="D28" s="2"/>
      <c r="E28" s="2"/>
      <c r="F28" s="2"/>
      <c r="G28" s="2"/>
      <c r="H28" s="2"/>
      <c r="I28" s="2"/>
      <c r="J28" s="2"/>
      <c r="K28" s="2"/>
      <c r="L28" s="2"/>
      <c r="M28" s="2"/>
      <c r="N28" s="1">
        <v>1995</v>
      </c>
      <c r="O28" s="1">
        <v>2</v>
      </c>
      <c r="P28" s="1">
        <v>2</v>
      </c>
      <c r="Q28" s="1">
        <v>2</v>
      </c>
      <c r="R28" s="1">
        <v>0</v>
      </c>
      <c r="AG28" s="2"/>
      <c r="AH28" s="2"/>
      <c r="AI28" s="2"/>
      <c r="AJ28" s="2"/>
      <c r="AK28" s="2"/>
      <c r="AL28" s="2"/>
    </row>
    <row r="29" spans="1:38" ht="15.75" customHeight="1" x14ac:dyDescent="0.25">
      <c r="A29" s="2"/>
      <c r="B29" s="2"/>
      <c r="C29" s="2"/>
      <c r="D29" s="2"/>
      <c r="E29" s="2"/>
      <c r="H29" s="2"/>
      <c r="I29" s="2"/>
      <c r="J29" s="2"/>
      <c r="K29" s="2"/>
      <c r="L29" s="2"/>
      <c r="M29" s="2"/>
      <c r="N29" s="1">
        <v>1996</v>
      </c>
      <c r="O29" s="1">
        <v>2</v>
      </c>
      <c r="P29" s="1">
        <v>2</v>
      </c>
      <c r="Q29" s="1">
        <v>2</v>
      </c>
      <c r="R29" s="1">
        <v>0</v>
      </c>
      <c r="AG29" s="2"/>
      <c r="AH29" s="2"/>
      <c r="AI29" s="2"/>
      <c r="AJ29" s="2"/>
      <c r="AK29" s="2"/>
      <c r="AL29" s="2"/>
    </row>
    <row r="30" spans="1:38" ht="15.75" customHeight="1" x14ac:dyDescent="0.25">
      <c r="A30" s="2"/>
      <c r="B30" s="2"/>
      <c r="C30" s="2"/>
      <c r="D30" s="2"/>
      <c r="E30" s="2"/>
      <c r="H30" s="2"/>
      <c r="I30" s="2"/>
      <c r="J30" s="2"/>
      <c r="K30" s="2"/>
      <c r="L30" s="2"/>
      <c r="M30" s="2"/>
      <c r="N30" s="1">
        <v>1997</v>
      </c>
      <c r="O30" s="1">
        <v>2</v>
      </c>
      <c r="P30" s="1">
        <v>2</v>
      </c>
      <c r="Q30" s="1">
        <v>2</v>
      </c>
      <c r="R30" s="1">
        <v>0</v>
      </c>
      <c r="AG30" s="2"/>
      <c r="AH30" s="2"/>
      <c r="AI30" s="2"/>
      <c r="AJ30" s="2"/>
      <c r="AK30" s="2"/>
      <c r="AL30" s="2"/>
    </row>
    <row r="31" spans="1:38" ht="15.75" customHeight="1" x14ac:dyDescent="0.25">
      <c r="A31" s="2"/>
      <c r="B31" s="2"/>
      <c r="C31" s="2"/>
      <c r="D31" s="2"/>
      <c r="E31" s="2"/>
      <c r="F31" s="2"/>
      <c r="G31" s="2"/>
      <c r="H31" s="2"/>
      <c r="I31" s="2"/>
      <c r="J31" s="2"/>
      <c r="K31" s="2"/>
      <c r="L31" s="2"/>
      <c r="M31" s="2"/>
      <c r="N31" s="1">
        <v>1998</v>
      </c>
      <c r="O31" s="1">
        <v>2</v>
      </c>
      <c r="P31" s="1">
        <v>2</v>
      </c>
      <c r="Q31" s="1">
        <v>2</v>
      </c>
      <c r="R31" s="1">
        <v>0</v>
      </c>
      <c r="AG31" s="2"/>
      <c r="AH31" s="2"/>
      <c r="AI31" s="2"/>
      <c r="AJ31" s="2"/>
      <c r="AK31" s="2"/>
      <c r="AL31" s="2"/>
    </row>
    <row r="32" spans="1:38" ht="15.75" customHeight="1" x14ac:dyDescent="0.25">
      <c r="A32" s="2"/>
      <c r="B32" s="2"/>
      <c r="C32" s="2"/>
      <c r="D32" s="2"/>
      <c r="E32" s="2"/>
      <c r="F32" s="2"/>
      <c r="G32" s="2"/>
      <c r="H32" s="2"/>
      <c r="I32" s="2"/>
      <c r="J32" s="2"/>
      <c r="K32" s="2"/>
      <c r="L32" s="2"/>
      <c r="M32" s="2"/>
      <c r="N32" s="1">
        <v>1999</v>
      </c>
      <c r="O32" s="1">
        <v>2</v>
      </c>
      <c r="P32" s="1">
        <v>2</v>
      </c>
      <c r="Q32" s="1">
        <v>2</v>
      </c>
      <c r="R32" s="1">
        <v>0</v>
      </c>
      <c r="AG32" s="2"/>
      <c r="AH32" s="2"/>
      <c r="AI32" s="2"/>
      <c r="AJ32" s="2"/>
      <c r="AK32" s="2"/>
      <c r="AL32" s="2"/>
    </row>
    <row r="33" spans="1:38" ht="15.75" customHeight="1" x14ac:dyDescent="0.25">
      <c r="A33" s="2"/>
      <c r="B33" s="2"/>
      <c r="C33" s="2"/>
      <c r="D33" s="2"/>
      <c r="E33" s="2"/>
      <c r="F33" s="2"/>
      <c r="G33" s="2"/>
      <c r="H33" s="2"/>
      <c r="I33" s="2"/>
      <c r="J33" s="2"/>
      <c r="K33" s="2"/>
      <c r="L33" s="2"/>
      <c r="M33" s="2"/>
      <c r="N33" s="1">
        <v>2000</v>
      </c>
      <c r="O33" s="1">
        <v>2</v>
      </c>
      <c r="P33" s="1">
        <v>2</v>
      </c>
      <c r="Q33" s="1">
        <v>2</v>
      </c>
      <c r="R33" s="1">
        <v>0</v>
      </c>
      <c r="AG33" s="2"/>
      <c r="AH33" s="2"/>
      <c r="AI33" s="2"/>
      <c r="AJ33" s="2"/>
      <c r="AK33" s="2"/>
      <c r="AL33" s="2"/>
    </row>
    <row r="34" spans="1:38" ht="15.75" customHeight="1" x14ac:dyDescent="0.25">
      <c r="A34" s="2"/>
      <c r="B34" s="2"/>
      <c r="C34" s="2"/>
      <c r="D34" s="2"/>
      <c r="E34" s="2"/>
      <c r="F34" s="2"/>
      <c r="G34" s="2"/>
      <c r="H34" s="2"/>
      <c r="I34" s="2"/>
      <c r="J34" s="2"/>
      <c r="K34" s="2"/>
      <c r="L34" s="2"/>
      <c r="M34" s="2"/>
      <c r="N34" s="1">
        <v>2001</v>
      </c>
      <c r="O34" s="1">
        <v>2</v>
      </c>
      <c r="P34" s="1">
        <v>2</v>
      </c>
      <c r="Q34" s="1">
        <v>2</v>
      </c>
      <c r="R34" s="1">
        <v>0</v>
      </c>
      <c r="AG34" s="2"/>
      <c r="AH34" s="2"/>
      <c r="AI34" s="2"/>
      <c r="AJ34" s="2"/>
      <c r="AK34" s="2"/>
      <c r="AL34" s="2"/>
    </row>
    <row r="35" spans="1:38" ht="15.75" customHeight="1" x14ac:dyDescent="0.25">
      <c r="N35" s="1">
        <v>2002</v>
      </c>
      <c r="O35" s="1">
        <v>2</v>
      </c>
      <c r="P35" s="1">
        <v>2</v>
      </c>
      <c r="Q35" s="1">
        <v>2</v>
      </c>
      <c r="R35" s="1">
        <v>0</v>
      </c>
      <c r="AG35" s="2"/>
      <c r="AH35" s="2"/>
      <c r="AI35" s="2"/>
      <c r="AJ35" s="2"/>
      <c r="AK35" s="2"/>
      <c r="AL35" s="2"/>
    </row>
    <row r="36" spans="1:38" ht="15.75" customHeight="1" x14ac:dyDescent="0.25">
      <c r="N36" s="1">
        <v>2003</v>
      </c>
      <c r="O36" s="1">
        <v>2</v>
      </c>
      <c r="P36" s="1">
        <v>2</v>
      </c>
      <c r="Q36" s="1">
        <v>2</v>
      </c>
      <c r="R36" s="1">
        <v>0</v>
      </c>
      <c r="AG36" s="2"/>
      <c r="AH36" s="2"/>
      <c r="AI36" s="2"/>
      <c r="AJ36" s="2"/>
      <c r="AK36" s="2"/>
      <c r="AL36" s="2"/>
    </row>
    <row r="37" spans="1:38" ht="15.75" customHeight="1" x14ac:dyDescent="0.25">
      <c r="N37" s="1">
        <v>2004</v>
      </c>
      <c r="O37" s="1">
        <v>2</v>
      </c>
      <c r="P37" s="1">
        <v>2</v>
      </c>
      <c r="Q37" s="1">
        <v>2</v>
      </c>
      <c r="R37" s="1">
        <v>0</v>
      </c>
      <c r="AG37" s="2"/>
      <c r="AH37" s="2"/>
      <c r="AI37" s="2"/>
      <c r="AJ37" s="2"/>
      <c r="AK37" s="2"/>
      <c r="AL37" s="2"/>
    </row>
    <row r="38" spans="1:38" ht="15.75" customHeight="1" x14ac:dyDescent="0.25">
      <c r="N38" s="1">
        <v>2005</v>
      </c>
      <c r="O38" s="1">
        <v>2</v>
      </c>
      <c r="P38" s="1">
        <v>2</v>
      </c>
      <c r="Q38" s="1">
        <v>2</v>
      </c>
      <c r="R38" s="1">
        <v>0</v>
      </c>
      <c r="AG38" s="2"/>
      <c r="AH38" s="2"/>
      <c r="AI38" s="2"/>
      <c r="AJ38" s="2"/>
      <c r="AK38" s="2"/>
      <c r="AL38" s="2"/>
    </row>
    <row r="39" spans="1:38" ht="15.75" customHeight="1" x14ac:dyDescent="0.25">
      <c r="N39" s="1">
        <v>2006</v>
      </c>
      <c r="O39" s="1">
        <v>2</v>
      </c>
      <c r="P39" s="1">
        <v>2</v>
      </c>
      <c r="Q39" s="1">
        <v>2</v>
      </c>
      <c r="R39" s="1">
        <v>0</v>
      </c>
      <c r="AG39" s="2"/>
      <c r="AH39" s="2"/>
      <c r="AI39" s="2"/>
      <c r="AJ39" s="2"/>
      <c r="AK39" s="2"/>
      <c r="AL39" s="2"/>
    </row>
    <row r="40" spans="1:38" ht="15.75" customHeight="1" x14ac:dyDescent="0.25">
      <c r="N40" s="1">
        <v>2007</v>
      </c>
      <c r="O40" s="1">
        <v>2</v>
      </c>
      <c r="P40" s="1">
        <v>2</v>
      </c>
      <c r="Q40" s="1">
        <v>2</v>
      </c>
      <c r="R40" s="1">
        <v>0</v>
      </c>
      <c r="AG40" s="2"/>
      <c r="AH40" s="2"/>
      <c r="AI40" s="2"/>
      <c r="AJ40" s="2"/>
      <c r="AK40" s="2"/>
      <c r="AL40" s="2"/>
    </row>
    <row r="41" spans="1:38" ht="15.75" customHeight="1" x14ac:dyDescent="0.25">
      <c r="N41" s="1">
        <v>2008</v>
      </c>
      <c r="O41" s="1">
        <v>2</v>
      </c>
      <c r="P41" s="1">
        <v>2</v>
      </c>
      <c r="Q41" s="1">
        <v>2</v>
      </c>
      <c r="R41" s="1">
        <v>0</v>
      </c>
      <c r="AG41" s="2"/>
      <c r="AH41" s="2"/>
      <c r="AI41" s="2"/>
      <c r="AJ41" s="2"/>
      <c r="AK41" s="2"/>
      <c r="AL41" s="2"/>
    </row>
    <row r="42" spans="1:38" ht="15.75" customHeight="1" x14ac:dyDescent="0.25">
      <c r="N42" s="1">
        <v>2009</v>
      </c>
      <c r="O42" s="1">
        <v>2</v>
      </c>
      <c r="P42" s="1">
        <v>2</v>
      </c>
      <c r="Q42" s="1">
        <v>2</v>
      </c>
      <c r="R42" s="1">
        <v>0</v>
      </c>
      <c r="AG42" s="2"/>
      <c r="AH42" s="2"/>
      <c r="AI42" s="2"/>
      <c r="AJ42" s="2"/>
      <c r="AK42" s="2"/>
      <c r="AL42" s="2"/>
    </row>
    <row r="43" spans="1:38" ht="15.75" customHeight="1" x14ac:dyDescent="0.25">
      <c r="N43" s="1">
        <v>2010</v>
      </c>
      <c r="O43" s="1">
        <v>2</v>
      </c>
      <c r="P43" s="1">
        <v>2</v>
      </c>
      <c r="Q43" s="1">
        <v>2</v>
      </c>
      <c r="R43" s="1">
        <v>0</v>
      </c>
      <c r="AG43" s="2"/>
      <c r="AH43" s="2"/>
      <c r="AI43" s="2"/>
      <c r="AJ43" s="2"/>
      <c r="AK43" s="2"/>
      <c r="AL43" s="2"/>
    </row>
    <row r="44" spans="1:38" ht="15.75" customHeight="1" x14ac:dyDescent="0.25">
      <c r="N44" s="1">
        <v>2011</v>
      </c>
      <c r="O44" s="1">
        <v>2</v>
      </c>
      <c r="P44" s="1">
        <v>2</v>
      </c>
      <c r="Q44" s="1">
        <v>2</v>
      </c>
      <c r="R44" s="1">
        <v>0</v>
      </c>
      <c r="AG44" s="2"/>
      <c r="AH44" s="2"/>
      <c r="AI44" s="2"/>
      <c r="AJ44" s="2"/>
      <c r="AK44" s="2"/>
      <c r="AL44" s="2"/>
    </row>
    <row r="45" spans="1:38" ht="15.75" customHeight="1" x14ac:dyDescent="0.25">
      <c r="N45" s="1">
        <v>2012</v>
      </c>
      <c r="O45" s="1">
        <v>2</v>
      </c>
      <c r="P45" s="1">
        <v>2</v>
      </c>
      <c r="Q45" s="1">
        <v>2</v>
      </c>
      <c r="R45" s="1">
        <v>0</v>
      </c>
      <c r="AG45" s="2"/>
      <c r="AH45" s="2"/>
      <c r="AI45" s="2"/>
      <c r="AJ45" s="2"/>
      <c r="AK45" s="2"/>
      <c r="AL45" s="2"/>
    </row>
    <row r="46" spans="1:38" ht="15.75" customHeight="1" x14ac:dyDescent="0.25">
      <c r="N46" s="1">
        <v>2013</v>
      </c>
      <c r="O46" s="1">
        <v>2</v>
      </c>
      <c r="P46" s="1">
        <v>2</v>
      </c>
      <c r="Q46" s="1">
        <v>2</v>
      </c>
      <c r="R46" s="1">
        <v>0</v>
      </c>
      <c r="AG46" s="2"/>
      <c r="AH46" s="2"/>
      <c r="AI46" s="2"/>
      <c r="AJ46" s="2"/>
      <c r="AK46" s="2"/>
      <c r="AL46" s="2"/>
    </row>
    <row r="47" spans="1:38" ht="15.75" customHeight="1" x14ac:dyDescent="0.25">
      <c r="N47" s="1">
        <v>2014</v>
      </c>
      <c r="O47" s="1">
        <v>2</v>
      </c>
      <c r="P47" s="1">
        <v>2</v>
      </c>
      <c r="Q47" s="1">
        <v>2</v>
      </c>
      <c r="R47" s="1">
        <v>0</v>
      </c>
      <c r="AG47" s="2"/>
      <c r="AH47" s="2"/>
      <c r="AI47" s="2"/>
      <c r="AJ47" s="2"/>
      <c r="AK47" s="2"/>
      <c r="AL47" s="2"/>
    </row>
    <row r="48" spans="1:38" ht="15.75" customHeight="1" x14ac:dyDescent="0.25">
      <c r="N48" s="1">
        <v>2015</v>
      </c>
      <c r="O48" s="1">
        <v>2</v>
      </c>
      <c r="P48" s="1">
        <v>2</v>
      </c>
      <c r="Q48" s="1">
        <v>2</v>
      </c>
      <c r="R48" s="1">
        <v>0</v>
      </c>
      <c r="AG48" s="2"/>
      <c r="AH48" s="2"/>
      <c r="AI48" s="2"/>
      <c r="AJ48" s="2"/>
      <c r="AK48" s="2"/>
      <c r="AL48" s="2"/>
    </row>
    <row r="49" spans="14:38" ht="15.75" customHeight="1" x14ac:dyDescent="0.25">
      <c r="N49" s="1">
        <v>2016</v>
      </c>
      <c r="O49" s="1">
        <v>2</v>
      </c>
      <c r="P49" s="1">
        <v>2</v>
      </c>
      <c r="Q49" s="1">
        <v>2</v>
      </c>
      <c r="R49" s="1">
        <v>0</v>
      </c>
      <c r="AG49" s="2"/>
      <c r="AH49" s="2"/>
      <c r="AI49" s="2"/>
      <c r="AJ49" s="2"/>
      <c r="AK49" s="2"/>
      <c r="AL49" s="2"/>
    </row>
    <row r="50" spans="14:38" ht="15.75" customHeight="1" x14ac:dyDescent="0.25">
      <c r="N50" s="1">
        <v>2017</v>
      </c>
      <c r="O50" s="1">
        <v>2</v>
      </c>
      <c r="P50" s="1">
        <v>2</v>
      </c>
      <c r="Q50" s="1">
        <v>2</v>
      </c>
      <c r="R50" s="1">
        <v>0</v>
      </c>
      <c r="AG50" s="2"/>
      <c r="AH50" s="2"/>
      <c r="AI50" s="2"/>
      <c r="AJ50" s="2"/>
      <c r="AK50" s="2"/>
      <c r="AL50" s="2"/>
    </row>
    <row r="51" spans="14:38" ht="15.75" customHeight="1" x14ac:dyDescent="0.25">
      <c r="N51" s="1">
        <v>2018</v>
      </c>
      <c r="O51" s="1">
        <v>2</v>
      </c>
      <c r="P51" s="1">
        <v>2</v>
      </c>
      <c r="Q51" s="1">
        <v>2</v>
      </c>
      <c r="R51" s="1">
        <v>0</v>
      </c>
      <c r="AG51" s="2"/>
      <c r="AH51" s="2"/>
      <c r="AI51" s="2"/>
      <c r="AJ51" s="2"/>
      <c r="AK51" s="2"/>
      <c r="AL51" s="2"/>
    </row>
    <row r="52" spans="14:38" ht="15.75" customHeight="1" x14ac:dyDescent="0.25">
      <c r="N52" s="1">
        <v>2019</v>
      </c>
      <c r="O52" s="1">
        <v>2</v>
      </c>
      <c r="P52" s="1">
        <v>2</v>
      </c>
      <c r="Q52" s="1">
        <v>2</v>
      </c>
      <c r="R52" s="1">
        <v>0</v>
      </c>
      <c r="AG52" s="2"/>
      <c r="AH52" s="2"/>
      <c r="AI52" s="2"/>
      <c r="AJ52" s="2"/>
      <c r="AK52" s="2"/>
      <c r="AL52" s="2"/>
    </row>
    <row r="53" spans="14:38" ht="15.75" customHeight="1" x14ac:dyDescent="0.25">
      <c r="N53" s="1">
        <v>2020</v>
      </c>
      <c r="O53" s="1">
        <v>2</v>
      </c>
      <c r="P53" s="1">
        <v>2</v>
      </c>
      <c r="Q53" s="1">
        <v>2</v>
      </c>
      <c r="R53" s="1">
        <v>0</v>
      </c>
      <c r="AG53" s="2"/>
      <c r="AH53" s="2"/>
      <c r="AI53" s="2"/>
      <c r="AJ53" s="2"/>
      <c r="AK53" s="2"/>
      <c r="AL53" s="2"/>
    </row>
    <row r="54" spans="14:38" ht="15.75" customHeight="1" x14ac:dyDescent="0.25">
      <c r="N54" s="1">
        <v>2021</v>
      </c>
      <c r="O54" s="1">
        <v>2</v>
      </c>
      <c r="P54" s="1">
        <v>2</v>
      </c>
      <c r="Q54" s="1">
        <v>2</v>
      </c>
      <c r="R54" s="1">
        <v>0</v>
      </c>
      <c r="AG54" s="2"/>
      <c r="AH54" s="2"/>
      <c r="AI54" s="2"/>
      <c r="AJ54" s="2"/>
      <c r="AK54" s="2"/>
      <c r="AL54" s="2"/>
    </row>
    <row r="55" spans="14:38" ht="15.75" customHeight="1" x14ac:dyDescent="0.25">
      <c r="N55" s="1">
        <v>2022</v>
      </c>
      <c r="O55" s="1">
        <v>2</v>
      </c>
      <c r="P55" s="1">
        <v>2</v>
      </c>
      <c r="Q55" s="1">
        <v>2</v>
      </c>
      <c r="R55" s="1">
        <v>0</v>
      </c>
      <c r="AG55" s="2"/>
      <c r="AH55" s="2"/>
      <c r="AI55" s="2"/>
      <c r="AJ55" s="2"/>
      <c r="AK55" s="2"/>
      <c r="AL55" s="2"/>
    </row>
    <row r="56" spans="14:38" ht="15.75" customHeight="1" x14ac:dyDescent="0.25">
      <c r="N56" s="1">
        <v>2023</v>
      </c>
      <c r="O56" s="1">
        <v>2</v>
      </c>
      <c r="P56" s="1">
        <v>2</v>
      </c>
      <c r="Q56" s="1">
        <v>2</v>
      </c>
      <c r="R56" s="1">
        <v>0</v>
      </c>
      <c r="AG56" s="2"/>
      <c r="AH56" s="2"/>
      <c r="AI56" s="2"/>
      <c r="AJ56" s="2"/>
      <c r="AK56" s="2"/>
      <c r="AL56" s="2"/>
    </row>
    <row r="57" spans="14:38" ht="15.75" customHeight="1" x14ac:dyDescent="0.25">
      <c r="N57" s="1">
        <v>2024</v>
      </c>
      <c r="O57" s="1">
        <v>2</v>
      </c>
      <c r="P57" s="1">
        <v>2</v>
      </c>
      <c r="Q57" s="1">
        <v>2</v>
      </c>
      <c r="R57" s="1">
        <v>0</v>
      </c>
      <c r="AG57" s="2"/>
      <c r="AH57" s="2"/>
      <c r="AI57" s="2"/>
      <c r="AJ57" s="2"/>
      <c r="AK57" s="2"/>
      <c r="AL57" s="2"/>
    </row>
    <row r="58" spans="14:38" ht="15.75" customHeight="1" x14ac:dyDescent="0.25">
      <c r="N58" s="1">
        <v>2025</v>
      </c>
      <c r="O58" s="1">
        <v>2</v>
      </c>
      <c r="P58" s="1">
        <v>2</v>
      </c>
      <c r="Q58" s="1">
        <v>2</v>
      </c>
      <c r="R58" s="1">
        <v>0</v>
      </c>
      <c r="AG58" s="2"/>
      <c r="AH58" s="2"/>
      <c r="AI58" s="2"/>
      <c r="AJ58" s="2"/>
      <c r="AK58" s="2"/>
      <c r="AL58" s="2"/>
    </row>
    <row r="59" spans="14:38" ht="15.75" customHeight="1" x14ac:dyDescent="0.25">
      <c r="N59" s="1">
        <v>2026</v>
      </c>
      <c r="O59" s="1">
        <v>2</v>
      </c>
      <c r="P59" s="1">
        <v>2</v>
      </c>
      <c r="Q59" s="1">
        <v>2</v>
      </c>
      <c r="R59" s="1">
        <v>0</v>
      </c>
      <c r="AG59" s="2"/>
      <c r="AH59" s="2"/>
      <c r="AI59" s="2"/>
      <c r="AJ59" s="2"/>
      <c r="AK59" s="2"/>
      <c r="AL59" s="2"/>
    </row>
    <row r="60" spans="14:38" ht="15.75" customHeight="1" x14ac:dyDescent="0.25">
      <c r="N60" s="1">
        <v>2027</v>
      </c>
      <c r="O60" s="1">
        <v>2</v>
      </c>
      <c r="P60" s="1">
        <v>2</v>
      </c>
      <c r="Q60" s="1">
        <v>2</v>
      </c>
      <c r="R60" s="1">
        <v>0</v>
      </c>
      <c r="AG60" s="2"/>
      <c r="AH60" s="2"/>
      <c r="AI60" s="2"/>
      <c r="AJ60" s="2"/>
      <c r="AK60" s="2"/>
      <c r="AL60" s="2"/>
    </row>
    <row r="61" spans="14:38" ht="15.75" customHeight="1" x14ac:dyDescent="0.25">
      <c r="N61" s="1">
        <v>2028</v>
      </c>
      <c r="O61" s="1">
        <v>2</v>
      </c>
      <c r="P61" s="1">
        <v>2</v>
      </c>
      <c r="Q61" s="1">
        <v>2</v>
      </c>
      <c r="R61" s="1">
        <v>0</v>
      </c>
      <c r="AG61" s="2"/>
      <c r="AH61" s="2"/>
      <c r="AI61" s="2"/>
      <c r="AJ61" s="2"/>
      <c r="AK61" s="2"/>
      <c r="AL61" s="2"/>
    </row>
    <row r="62" spans="14:38" ht="15.75" customHeight="1" x14ac:dyDescent="0.25">
      <c r="N62" s="1">
        <v>2029</v>
      </c>
      <c r="O62" s="1">
        <v>2</v>
      </c>
      <c r="P62" s="1">
        <v>2</v>
      </c>
      <c r="Q62" s="1">
        <v>2</v>
      </c>
      <c r="R62" s="1">
        <v>0</v>
      </c>
      <c r="AG62" s="2"/>
      <c r="AH62" s="2"/>
      <c r="AI62" s="2"/>
      <c r="AJ62" s="2"/>
      <c r="AK62" s="2"/>
      <c r="AL62" s="2"/>
    </row>
    <row r="63" spans="14:38" ht="15.75" customHeight="1" x14ac:dyDescent="0.25">
      <c r="N63" s="1">
        <v>2030</v>
      </c>
      <c r="O63" s="1">
        <v>2</v>
      </c>
      <c r="P63" s="1">
        <v>2</v>
      </c>
      <c r="Q63" s="1">
        <v>2</v>
      </c>
      <c r="R63" s="1">
        <v>0</v>
      </c>
      <c r="AG63" s="2"/>
      <c r="AH63" s="2"/>
      <c r="AI63" s="2"/>
      <c r="AJ63" s="2"/>
      <c r="AK63" s="2"/>
      <c r="AL63" s="2"/>
    </row>
    <row r="64" spans="14:38" ht="15.75" customHeight="1" x14ac:dyDescent="0.25">
      <c r="N64" s="1">
        <v>2031</v>
      </c>
      <c r="O64" s="1">
        <v>2</v>
      </c>
      <c r="P64" s="1">
        <v>2</v>
      </c>
      <c r="Q64" s="1">
        <v>2</v>
      </c>
      <c r="R64" s="1">
        <v>0</v>
      </c>
      <c r="AG64" s="2"/>
      <c r="AH64" s="2"/>
      <c r="AI64" s="2"/>
      <c r="AJ64" s="2"/>
      <c r="AK64" s="2"/>
      <c r="AL64" s="2"/>
    </row>
    <row r="65" spans="14:38" ht="15.75" customHeight="1" x14ac:dyDescent="0.25">
      <c r="N65" s="1">
        <v>2032</v>
      </c>
      <c r="O65" s="1">
        <v>2</v>
      </c>
      <c r="P65" s="1">
        <v>2</v>
      </c>
      <c r="Q65" s="1">
        <v>2</v>
      </c>
      <c r="R65" s="1">
        <v>0</v>
      </c>
      <c r="AG65" s="2"/>
      <c r="AH65" s="2"/>
      <c r="AI65" s="2"/>
      <c r="AJ65" s="2"/>
      <c r="AK65" s="2"/>
      <c r="AL65" s="2"/>
    </row>
    <row r="66" spans="14:38" ht="15.75" customHeight="1" x14ac:dyDescent="0.25">
      <c r="N66" s="1">
        <v>2033</v>
      </c>
      <c r="O66" s="1">
        <v>2</v>
      </c>
      <c r="P66" s="1">
        <v>2</v>
      </c>
      <c r="Q66" s="1">
        <v>2</v>
      </c>
      <c r="R66" s="1">
        <v>0</v>
      </c>
      <c r="AG66" s="2"/>
      <c r="AH66" s="2"/>
      <c r="AI66" s="2"/>
      <c r="AJ66" s="2"/>
      <c r="AK66" s="2"/>
      <c r="AL66" s="2"/>
    </row>
    <row r="67" spans="14:38" ht="15.75" customHeight="1" x14ac:dyDescent="0.25">
      <c r="N67" s="1">
        <v>2034</v>
      </c>
      <c r="O67" s="1">
        <v>2</v>
      </c>
      <c r="P67" s="1">
        <v>2</v>
      </c>
      <c r="Q67" s="1">
        <v>2</v>
      </c>
      <c r="R67" s="1">
        <v>0</v>
      </c>
      <c r="AG67" s="2"/>
      <c r="AH67" s="2"/>
      <c r="AI67" s="2"/>
      <c r="AJ67" s="2"/>
      <c r="AK67" s="2"/>
      <c r="AL67" s="2"/>
    </row>
    <row r="68" spans="14:38" ht="15.75" customHeight="1" x14ac:dyDescent="0.25">
      <c r="N68" s="1">
        <v>2035</v>
      </c>
      <c r="O68" s="1">
        <v>2</v>
      </c>
      <c r="P68" s="1">
        <v>2</v>
      </c>
      <c r="Q68" s="1">
        <v>2</v>
      </c>
      <c r="R68" s="1">
        <v>0</v>
      </c>
      <c r="AG68" s="2"/>
      <c r="AH68" s="2"/>
      <c r="AI68" s="2"/>
      <c r="AJ68" s="2"/>
      <c r="AK68" s="2"/>
      <c r="AL68" s="2"/>
    </row>
    <row r="69" spans="14:38" ht="15.75" customHeight="1" x14ac:dyDescent="0.25">
      <c r="N69" s="1">
        <v>2036</v>
      </c>
      <c r="O69" s="1">
        <v>2</v>
      </c>
      <c r="P69" s="1">
        <v>2</v>
      </c>
      <c r="Q69" s="1">
        <v>2</v>
      </c>
      <c r="R69" s="1">
        <v>0</v>
      </c>
      <c r="AG69" s="2"/>
      <c r="AH69" s="2"/>
      <c r="AI69" s="2"/>
      <c r="AJ69" s="2"/>
      <c r="AK69" s="2"/>
      <c r="AL69" s="2"/>
    </row>
    <row r="70" spans="14:38" ht="15.75" customHeight="1" x14ac:dyDescent="0.25">
      <c r="N70" s="1">
        <v>2037</v>
      </c>
      <c r="O70" s="1">
        <v>2</v>
      </c>
      <c r="P70" s="1">
        <v>2</v>
      </c>
      <c r="Q70" s="1">
        <v>2</v>
      </c>
      <c r="R70" s="1">
        <v>0</v>
      </c>
      <c r="AG70" s="2"/>
      <c r="AH70" s="2"/>
      <c r="AI70" s="2"/>
      <c r="AJ70" s="2"/>
      <c r="AK70" s="2"/>
      <c r="AL70" s="2"/>
    </row>
    <row r="71" spans="14:38" ht="15.75" customHeight="1" x14ac:dyDescent="0.25">
      <c r="N71" s="1">
        <v>2038</v>
      </c>
      <c r="O71" s="1">
        <v>2</v>
      </c>
      <c r="P71" s="1">
        <v>2</v>
      </c>
      <c r="Q71" s="1">
        <v>2</v>
      </c>
      <c r="R71" s="1">
        <v>0</v>
      </c>
      <c r="AG71" s="2"/>
      <c r="AH71" s="2"/>
      <c r="AI71" s="2"/>
      <c r="AJ71" s="2"/>
      <c r="AK71" s="2"/>
      <c r="AL71" s="2"/>
    </row>
    <row r="72" spans="14:38" ht="15.75" customHeight="1" x14ac:dyDescent="0.25">
      <c r="N72" s="1">
        <v>2039</v>
      </c>
      <c r="O72" s="1">
        <v>2</v>
      </c>
      <c r="P72" s="1">
        <v>2</v>
      </c>
      <c r="Q72" s="1">
        <v>2</v>
      </c>
      <c r="R72" s="1">
        <v>0</v>
      </c>
      <c r="AG72" s="2"/>
      <c r="AH72" s="2"/>
      <c r="AI72" s="2"/>
      <c r="AJ72" s="2"/>
      <c r="AK72" s="2"/>
      <c r="AL72" s="2"/>
    </row>
    <row r="73" spans="14:38" ht="15.75" customHeight="1" x14ac:dyDescent="0.25">
      <c r="N73" s="1">
        <v>2040</v>
      </c>
      <c r="O73" s="1">
        <v>2</v>
      </c>
      <c r="P73" s="1">
        <v>2</v>
      </c>
      <c r="Q73" s="1">
        <v>2</v>
      </c>
      <c r="R73" s="1">
        <v>0</v>
      </c>
      <c r="AG73" s="2"/>
      <c r="AH73" s="2"/>
      <c r="AI73" s="2"/>
      <c r="AJ73" s="2"/>
      <c r="AK73" s="2"/>
      <c r="AL73" s="2"/>
    </row>
    <row r="74" spans="14:38" ht="15.75" customHeight="1" x14ac:dyDescent="0.25">
      <c r="N74" s="1">
        <v>2041</v>
      </c>
      <c r="O74" s="1">
        <v>2</v>
      </c>
      <c r="P74" s="1">
        <v>2</v>
      </c>
      <c r="Q74" s="1">
        <v>2</v>
      </c>
      <c r="R74" s="1">
        <v>0</v>
      </c>
      <c r="AG74" s="2"/>
      <c r="AH74" s="2"/>
      <c r="AI74" s="2"/>
      <c r="AJ74" s="2"/>
      <c r="AK74" s="2"/>
      <c r="AL74" s="2"/>
    </row>
    <row r="75" spans="14:38" ht="15.75" customHeight="1" x14ac:dyDescent="0.25">
      <c r="N75" s="1">
        <v>2042</v>
      </c>
      <c r="O75" s="1">
        <v>2</v>
      </c>
      <c r="P75" s="1">
        <v>2</v>
      </c>
      <c r="Q75" s="1">
        <v>2</v>
      </c>
      <c r="R75" s="1">
        <v>0</v>
      </c>
      <c r="AG75" s="2"/>
      <c r="AH75" s="2"/>
      <c r="AI75" s="2"/>
      <c r="AJ75" s="2"/>
      <c r="AK75" s="2"/>
      <c r="AL75" s="2"/>
    </row>
    <row r="76" spans="14:38" ht="15.75" customHeight="1" x14ac:dyDescent="0.25">
      <c r="N76" s="1">
        <v>2043</v>
      </c>
      <c r="O76" s="1">
        <v>2</v>
      </c>
      <c r="P76" s="1">
        <v>2</v>
      </c>
      <c r="Q76" s="1">
        <v>2</v>
      </c>
      <c r="R76" s="1">
        <v>0</v>
      </c>
      <c r="AG76" s="2"/>
      <c r="AH76" s="2"/>
      <c r="AI76" s="2"/>
      <c r="AJ76" s="2"/>
      <c r="AK76" s="2"/>
      <c r="AL76" s="2"/>
    </row>
    <row r="77" spans="14:38" ht="15.75" customHeight="1" x14ac:dyDescent="0.25">
      <c r="N77" s="1">
        <v>2044</v>
      </c>
      <c r="O77" s="1">
        <v>2</v>
      </c>
      <c r="P77" s="1">
        <v>2</v>
      </c>
      <c r="Q77" s="1">
        <v>2</v>
      </c>
      <c r="R77" s="1">
        <v>0</v>
      </c>
      <c r="AG77" s="2"/>
      <c r="AH77" s="2"/>
      <c r="AI77" s="2"/>
      <c r="AJ77" s="2"/>
      <c r="AK77" s="2"/>
      <c r="AL77" s="2"/>
    </row>
    <row r="78" spans="14:38" ht="15.75" customHeight="1" x14ac:dyDescent="0.25">
      <c r="N78" s="1">
        <v>2045</v>
      </c>
      <c r="O78" s="1">
        <v>2</v>
      </c>
      <c r="P78" s="1">
        <v>2</v>
      </c>
      <c r="Q78" s="1">
        <v>2</v>
      </c>
      <c r="R78" s="1">
        <v>0</v>
      </c>
      <c r="AG78" s="2"/>
      <c r="AH78" s="2"/>
      <c r="AI78" s="2"/>
      <c r="AJ78" s="2"/>
      <c r="AK78" s="2"/>
      <c r="AL78" s="2"/>
    </row>
    <row r="79" spans="14:38" ht="15.75" customHeight="1" x14ac:dyDescent="0.25">
      <c r="N79" s="1">
        <v>2046</v>
      </c>
      <c r="O79" s="1">
        <v>2</v>
      </c>
      <c r="P79" s="1">
        <v>2</v>
      </c>
      <c r="Q79" s="1">
        <v>2</v>
      </c>
      <c r="R79" s="1">
        <v>0</v>
      </c>
      <c r="AG79" s="2"/>
      <c r="AH79" s="2"/>
      <c r="AI79" s="2"/>
      <c r="AJ79" s="2"/>
      <c r="AK79" s="2"/>
      <c r="AL79" s="2"/>
    </row>
    <row r="80" spans="14:38" ht="15.75" customHeight="1" x14ac:dyDescent="0.25">
      <c r="N80" s="1">
        <v>2047</v>
      </c>
      <c r="O80" s="1">
        <v>2</v>
      </c>
      <c r="P80" s="1">
        <v>2</v>
      </c>
      <c r="Q80" s="1">
        <v>2</v>
      </c>
      <c r="R80" s="1">
        <v>0</v>
      </c>
      <c r="AG80" s="2"/>
      <c r="AH80" s="2"/>
      <c r="AI80" s="2"/>
      <c r="AJ80" s="2"/>
      <c r="AK80" s="2"/>
      <c r="AL80" s="2"/>
    </row>
    <row r="81" spans="14:38" ht="15.75" customHeight="1" x14ac:dyDescent="0.25">
      <c r="N81" s="1">
        <v>2048</v>
      </c>
      <c r="O81" s="1">
        <v>2</v>
      </c>
      <c r="P81" s="1">
        <v>2</v>
      </c>
      <c r="Q81" s="1">
        <v>2</v>
      </c>
      <c r="R81" s="1">
        <v>0</v>
      </c>
      <c r="AG81" s="2"/>
      <c r="AH81" s="2"/>
      <c r="AI81" s="2"/>
      <c r="AJ81" s="2"/>
      <c r="AK81" s="2"/>
      <c r="AL81" s="2"/>
    </row>
    <row r="82" spans="14:38" ht="15.75" customHeight="1" x14ac:dyDescent="0.25">
      <c r="N82" s="1">
        <v>2049</v>
      </c>
      <c r="O82" s="1">
        <v>2</v>
      </c>
      <c r="P82" s="1">
        <v>2</v>
      </c>
      <c r="Q82" s="1">
        <v>2</v>
      </c>
      <c r="R82" s="1">
        <v>0</v>
      </c>
      <c r="AG82" s="2"/>
      <c r="AH82" s="2"/>
      <c r="AI82" s="2"/>
      <c r="AJ82" s="2"/>
      <c r="AK82" s="2"/>
      <c r="AL82" s="2"/>
    </row>
    <row r="83" spans="14:38" ht="15.75" customHeight="1" x14ac:dyDescent="0.25">
      <c r="N83" s="1">
        <v>2050</v>
      </c>
      <c r="O83" s="1">
        <v>2</v>
      </c>
      <c r="P83" s="1">
        <v>2</v>
      </c>
      <c r="Q83" s="1">
        <v>2</v>
      </c>
      <c r="R83" s="1">
        <v>0</v>
      </c>
      <c r="AG83" s="2"/>
      <c r="AH83" s="2"/>
      <c r="AI83" s="2"/>
      <c r="AJ83" s="2"/>
      <c r="AK83" s="2"/>
      <c r="AL83" s="2"/>
    </row>
    <row r="84" spans="14:38" ht="15.75" customHeight="1" x14ac:dyDescent="0.25">
      <c r="N84" s="1">
        <v>2051</v>
      </c>
      <c r="O84" s="1">
        <v>2</v>
      </c>
      <c r="P84" s="1">
        <v>2</v>
      </c>
      <c r="Q84" s="1">
        <v>2</v>
      </c>
      <c r="R84" s="1">
        <v>0</v>
      </c>
      <c r="AG84" s="2"/>
      <c r="AH84" s="2"/>
      <c r="AI84" s="2"/>
      <c r="AJ84" s="2"/>
      <c r="AK84" s="2"/>
      <c r="AL84" s="2"/>
    </row>
    <row r="85" spans="14:38" ht="15.75" customHeight="1" x14ac:dyDescent="0.25">
      <c r="N85" s="1">
        <v>2052</v>
      </c>
      <c r="O85" s="1">
        <v>2</v>
      </c>
      <c r="P85" s="1">
        <v>2</v>
      </c>
      <c r="Q85" s="1">
        <v>2</v>
      </c>
      <c r="R85" s="1">
        <v>0</v>
      </c>
      <c r="AG85" s="2"/>
      <c r="AH85" s="2"/>
      <c r="AI85" s="2"/>
      <c r="AJ85" s="2"/>
      <c r="AK85" s="2"/>
      <c r="AL85" s="2"/>
    </row>
    <row r="86" spans="14:38" ht="15.75" customHeight="1" x14ac:dyDescent="0.25">
      <c r="N86" s="1">
        <v>2053</v>
      </c>
      <c r="O86" s="1">
        <v>2</v>
      </c>
      <c r="P86" s="1">
        <v>2</v>
      </c>
      <c r="Q86" s="1">
        <v>2</v>
      </c>
      <c r="R86" s="1">
        <v>0</v>
      </c>
      <c r="AG86" s="2"/>
      <c r="AH86" s="2"/>
      <c r="AI86" s="2"/>
      <c r="AJ86" s="2"/>
      <c r="AK86" s="2"/>
      <c r="AL86" s="2"/>
    </row>
    <row r="87" spans="14:38" ht="15.75" customHeight="1" x14ac:dyDescent="0.25">
      <c r="N87" s="1">
        <v>2054</v>
      </c>
      <c r="O87" s="1">
        <v>2</v>
      </c>
      <c r="P87" s="1">
        <v>2</v>
      </c>
      <c r="Q87" s="1">
        <v>2</v>
      </c>
      <c r="R87" s="1">
        <v>0</v>
      </c>
      <c r="AG87" s="2"/>
      <c r="AH87" s="2"/>
      <c r="AI87" s="2"/>
      <c r="AJ87" s="2"/>
      <c r="AK87" s="2"/>
      <c r="AL87" s="2"/>
    </row>
    <row r="88" spans="14:38" ht="15.75" customHeight="1" x14ac:dyDescent="0.25">
      <c r="N88" s="1">
        <v>2055</v>
      </c>
      <c r="O88" s="1">
        <v>2</v>
      </c>
      <c r="P88" s="1">
        <v>2</v>
      </c>
      <c r="Q88" s="1">
        <v>2</v>
      </c>
      <c r="R88" s="1">
        <v>0</v>
      </c>
      <c r="AG88" s="2"/>
      <c r="AH88" s="2"/>
      <c r="AI88" s="2"/>
      <c r="AJ88" s="2"/>
      <c r="AK88" s="2"/>
      <c r="AL88" s="2"/>
    </row>
    <row r="89" spans="14:38" ht="15.75" customHeight="1" x14ac:dyDescent="0.25">
      <c r="N89" s="1">
        <v>2056</v>
      </c>
      <c r="O89" s="1">
        <v>2</v>
      </c>
      <c r="P89" s="1">
        <v>2</v>
      </c>
      <c r="Q89" s="1">
        <v>2</v>
      </c>
      <c r="R89" s="1">
        <v>0</v>
      </c>
      <c r="AG89" s="2"/>
      <c r="AH89" s="2"/>
      <c r="AI89" s="2"/>
      <c r="AJ89" s="2"/>
      <c r="AK89" s="2"/>
      <c r="AL89" s="2"/>
    </row>
    <row r="90" spans="14:38" ht="15.75" customHeight="1" x14ac:dyDescent="0.25">
      <c r="N90" s="1">
        <v>2057</v>
      </c>
      <c r="O90" s="1">
        <v>2</v>
      </c>
      <c r="P90" s="1">
        <v>2</v>
      </c>
      <c r="Q90" s="1">
        <v>2</v>
      </c>
      <c r="R90" s="1">
        <v>0</v>
      </c>
      <c r="AG90" s="2"/>
      <c r="AH90" s="2"/>
      <c r="AI90" s="2"/>
      <c r="AJ90" s="2"/>
      <c r="AK90" s="2"/>
      <c r="AL90" s="2"/>
    </row>
    <row r="91" spans="14:38" ht="15.75" customHeight="1" x14ac:dyDescent="0.25">
      <c r="N91" s="1">
        <v>2058</v>
      </c>
      <c r="O91" s="1">
        <v>2</v>
      </c>
      <c r="P91" s="1">
        <v>2</v>
      </c>
      <c r="Q91" s="1">
        <v>2</v>
      </c>
      <c r="R91" s="1">
        <v>0</v>
      </c>
      <c r="AG91" s="2"/>
      <c r="AH91" s="2"/>
      <c r="AI91" s="2"/>
      <c r="AJ91" s="2"/>
      <c r="AK91" s="2"/>
      <c r="AL91" s="2"/>
    </row>
    <row r="92" spans="14:38" ht="15.75" customHeight="1" x14ac:dyDescent="0.25">
      <c r="N92" s="1">
        <v>2059</v>
      </c>
      <c r="O92" s="1">
        <v>2</v>
      </c>
      <c r="P92" s="1">
        <v>2</v>
      </c>
      <c r="Q92" s="1">
        <v>2</v>
      </c>
      <c r="R92" s="1">
        <v>0</v>
      </c>
      <c r="AG92" s="2"/>
      <c r="AH92" s="2"/>
      <c r="AI92" s="2"/>
      <c r="AJ92" s="2"/>
      <c r="AK92" s="2"/>
      <c r="AL92" s="2"/>
    </row>
    <row r="93" spans="14:38" ht="15.75" customHeight="1" x14ac:dyDescent="0.25">
      <c r="N93" s="1">
        <v>2060</v>
      </c>
      <c r="O93" s="1">
        <v>2</v>
      </c>
      <c r="P93" s="1">
        <v>2</v>
      </c>
      <c r="Q93" s="1">
        <v>2</v>
      </c>
      <c r="R93" s="1">
        <v>0</v>
      </c>
      <c r="AG93" s="2"/>
      <c r="AH93" s="2"/>
      <c r="AI93" s="2"/>
      <c r="AJ93" s="2"/>
      <c r="AK93" s="2"/>
      <c r="AL93" s="2"/>
    </row>
    <row r="94" spans="14:38" ht="15.75" customHeight="1" x14ac:dyDescent="0.25">
      <c r="N94" s="1">
        <v>2061</v>
      </c>
      <c r="O94" s="1">
        <v>2</v>
      </c>
      <c r="P94" s="1">
        <v>2</v>
      </c>
      <c r="Q94" s="1">
        <v>2</v>
      </c>
      <c r="R94" s="1">
        <v>0</v>
      </c>
      <c r="AG94" s="2"/>
      <c r="AH94" s="2"/>
      <c r="AI94" s="2"/>
      <c r="AJ94" s="2"/>
      <c r="AK94" s="2"/>
      <c r="AL94" s="2"/>
    </row>
    <row r="95" spans="14:38" ht="15.75" customHeight="1" x14ac:dyDescent="0.25">
      <c r="N95" s="1">
        <v>2062</v>
      </c>
      <c r="O95" s="1">
        <v>2</v>
      </c>
      <c r="P95" s="1">
        <v>2</v>
      </c>
      <c r="Q95" s="1">
        <v>2</v>
      </c>
      <c r="R95" s="1">
        <v>0</v>
      </c>
      <c r="AG95" s="2"/>
      <c r="AH95" s="2"/>
      <c r="AI95" s="2"/>
      <c r="AJ95" s="2"/>
      <c r="AK95" s="2"/>
      <c r="AL95" s="2"/>
    </row>
    <row r="96" spans="14:38" ht="15.75" customHeight="1" x14ac:dyDescent="0.25">
      <c r="N96" s="1">
        <v>2063</v>
      </c>
      <c r="O96" s="1">
        <v>2</v>
      </c>
      <c r="P96" s="1">
        <v>2</v>
      </c>
      <c r="Q96" s="1">
        <v>2</v>
      </c>
      <c r="R96" s="1">
        <v>0</v>
      </c>
      <c r="AG96" s="2"/>
      <c r="AH96" s="2"/>
      <c r="AI96" s="2"/>
      <c r="AJ96" s="2"/>
      <c r="AK96" s="2"/>
      <c r="AL96" s="2"/>
    </row>
    <row r="97" spans="14:38" ht="15.75" customHeight="1" x14ac:dyDescent="0.25">
      <c r="N97" s="1">
        <v>2064</v>
      </c>
      <c r="O97" s="1">
        <v>2</v>
      </c>
      <c r="P97" s="1">
        <v>2</v>
      </c>
      <c r="Q97" s="1">
        <v>2</v>
      </c>
      <c r="R97" s="1">
        <v>0</v>
      </c>
      <c r="AG97" s="2"/>
      <c r="AH97" s="2"/>
      <c r="AI97" s="2"/>
      <c r="AJ97" s="2"/>
      <c r="AK97" s="2"/>
      <c r="AL97" s="2"/>
    </row>
    <row r="98" spans="14:38" ht="15.75" customHeight="1" x14ac:dyDescent="0.25">
      <c r="N98" s="1">
        <v>2065</v>
      </c>
      <c r="O98" s="1">
        <v>2</v>
      </c>
      <c r="P98" s="1">
        <v>2</v>
      </c>
      <c r="Q98" s="1">
        <v>2</v>
      </c>
      <c r="R98" s="1">
        <v>0</v>
      </c>
      <c r="AG98" s="2"/>
      <c r="AH98" s="2"/>
      <c r="AI98" s="2"/>
      <c r="AJ98" s="2"/>
      <c r="AK98" s="2"/>
      <c r="AL98" s="2"/>
    </row>
    <row r="99" spans="14:38" ht="15.75" customHeight="1" x14ac:dyDescent="0.25">
      <c r="N99" s="1">
        <v>2066</v>
      </c>
      <c r="O99" s="1">
        <v>2</v>
      </c>
      <c r="P99" s="1">
        <v>2</v>
      </c>
      <c r="Q99" s="1">
        <v>2</v>
      </c>
      <c r="R99" s="1">
        <v>0</v>
      </c>
      <c r="AG99" s="2"/>
      <c r="AH99" s="2"/>
      <c r="AI99" s="2"/>
      <c r="AJ99" s="2"/>
      <c r="AK99" s="2"/>
      <c r="AL99" s="2"/>
    </row>
    <row r="100" spans="14:38" ht="15.75" customHeight="1" x14ac:dyDescent="0.25">
      <c r="N100" s="1">
        <v>2067</v>
      </c>
      <c r="O100" s="1">
        <v>2</v>
      </c>
      <c r="P100" s="1">
        <v>2</v>
      </c>
      <c r="Q100" s="1">
        <v>2</v>
      </c>
      <c r="R100" s="1">
        <v>0</v>
      </c>
      <c r="AG100" s="2"/>
      <c r="AH100" s="2"/>
      <c r="AI100" s="2"/>
      <c r="AJ100" s="2"/>
      <c r="AK100" s="2"/>
      <c r="AL100" s="2"/>
    </row>
    <row r="101" spans="14:38" ht="15.75" customHeight="1" x14ac:dyDescent="0.25">
      <c r="N101" s="1">
        <v>2068</v>
      </c>
      <c r="O101" s="1">
        <v>2</v>
      </c>
      <c r="P101" s="1">
        <v>2</v>
      </c>
      <c r="Q101" s="1">
        <v>2</v>
      </c>
      <c r="R101" s="1">
        <v>0</v>
      </c>
      <c r="AG101" s="2"/>
      <c r="AH101" s="2"/>
      <c r="AI101" s="2"/>
      <c r="AJ101" s="2"/>
      <c r="AK101" s="2"/>
      <c r="AL101" s="2"/>
    </row>
    <row r="102" spans="14:38" ht="15.75" customHeight="1" x14ac:dyDescent="0.25">
      <c r="N102" s="1">
        <v>2069</v>
      </c>
      <c r="O102" s="1">
        <v>2</v>
      </c>
      <c r="P102" s="1">
        <v>2</v>
      </c>
      <c r="Q102" s="1">
        <v>2</v>
      </c>
      <c r="R102" s="1">
        <v>0</v>
      </c>
      <c r="AG102" s="2"/>
      <c r="AH102" s="2"/>
      <c r="AI102" s="2"/>
      <c r="AJ102" s="2"/>
      <c r="AK102" s="2"/>
      <c r="AL102" s="2"/>
    </row>
    <row r="103" spans="14:38" ht="15.75" customHeight="1" x14ac:dyDescent="0.25">
      <c r="N103" s="1">
        <v>2070</v>
      </c>
      <c r="O103" s="1">
        <v>2</v>
      </c>
      <c r="P103" s="1">
        <v>2</v>
      </c>
      <c r="Q103" s="1">
        <v>2</v>
      </c>
      <c r="R103" s="1">
        <v>0</v>
      </c>
      <c r="AG103" s="2"/>
      <c r="AH103" s="2"/>
      <c r="AI103" s="2"/>
      <c r="AJ103" s="2"/>
      <c r="AK103" s="2"/>
      <c r="AL103" s="2"/>
    </row>
    <row r="104" spans="14:38" ht="15.75" customHeight="1" x14ac:dyDescent="0.25">
      <c r="N104" s="1">
        <v>2071</v>
      </c>
      <c r="O104" s="1">
        <v>2</v>
      </c>
      <c r="P104" s="1">
        <v>2</v>
      </c>
      <c r="Q104" s="1">
        <v>2</v>
      </c>
      <c r="R104" s="1">
        <v>0</v>
      </c>
      <c r="AG104" s="2"/>
      <c r="AH104" s="2"/>
      <c r="AI104" s="2"/>
      <c r="AJ104" s="2"/>
      <c r="AK104" s="2"/>
      <c r="AL104" s="2"/>
    </row>
    <row r="105" spans="14:38" ht="15.75" customHeight="1" x14ac:dyDescent="0.25">
      <c r="N105" s="1">
        <v>2072</v>
      </c>
      <c r="O105" s="1">
        <v>2</v>
      </c>
      <c r="P105" s="1">
        <v>2</v>
      </c>
      <c r="Q105" s="1">
        <v>2</v>
      </c>
      <c r="R105" s="1">
        <v>0</v>
      </c>
      <c r="AG105" s="2"/>
      <c r="AH105" s="2"/>
      <c r="AI105" s="2"/>
      <c r="AJ105" s="2"/>
      <c r="AK105" s="2"/>
      <c r="AL105" s="2"/>
    </row>
    <row r="106" spans="14:38" ht="15.75" customHeight="1" x14ac:dyDescent="0.25">
      <c r="N106" s="1">
        <v>2073</v>
      </c>
      <c r="O106" s="1">
        <v>2</v>
      </c>
      <c r="P106" s="1">
        <v>2</v>
      </c>
      <c r="Q106" s="1">
        <v>2</v>
      </c>
      <c r="R106" s="1">
        <v>0</v>
      </c>
      <c r="AG106" s="2"/>
      <c r="AH106" s="2"/>
      <c r="AI106" s="2"/>
      <c r="AJ106" s="2"/>
      <c r="AK106" s="2"/>
      <c r="AL106" s="2"/>
    </row>
    <row r="107" spans="14:38" ht="15.75" customHeight="1" x14ac:dyDescent="0.25">
      <c r="N107" s="1">
        <v>2074</v>
      </c>
      <c r="O107" s="1">
        <v>2</v>
      </c>
      <c r="P107" s="1">
        <v>2</v>
      </c>
      <c r="Q107" s="1">
        <v>2</v>
      </c>
      <c r="R107" s="1">
        <v>0</v>
      </c>
      <c r="AG107" s="2"/>
      <c r="AH107" s="2"/>
      <c r="AI107" s="2"/>
      <c r="AJ107" s="2"/>
      <c r="AK107" s="2"/>
      <c r="AL107" s="2"/>
    </row>
    <row r="108" spans="14:38" ht="15.75" customHeight="1" x14ac:dyDescent="0.25">
      <c r="N108" s="1">
        <v>2075</v>
      </c>
      <c r="O108" s="1">
        <v>2</v>
      </c>
      <c r="P108" s="1">
        <v>2</v>
      </c>
      <c r="Q108" s="1">
        <v>2</v>
      </c>
      <c r="R108" s="1">
        <v>0</v>
      </c>
      <c r="AG108" s="2"/>
      <c r="AH108" s="2"/>
      <c r="AI108" s="2"/>
      <c r="AJ108" s="2"/>
      <c r="AK108" s="2"/>
      <c r="AL108" s="2"/>
    </row>
    <row r="109" spans="14:38" ht="15.75" customHeight="1" x14ac:dyDescent="0.25">
      <c r="N109" s="1">
        <v>2076</v>
      </c>
      <c r="O109" s="1">
        <v>2</v>
      </c>
      <c r="P109" s="1">
        <v>2</v>
      </c>
      <c r="Q109" s="1">
        <v>2</v>
      </c>
      <c r="R109" s="1">
        <v>0</v>
      </c>
      <c r="AG109" s="2"/>
      <c r="AH109" s="2"/>
      <c r="AI109" s="2"/>
      <c r="AJ109" s="2"/>
      <c r="AK109" s="2"/>
      <c r="AL109" s="2"/>
    </row>
    <row r="110" spans="14:38" ht="15.75" customHeight="1" x14ac:dyDescent="0.25">
      <c r="N110" s="1">
        <v>2077</v>
      </c>
      <c r="O110" s="1">
        <v>2</v>
      </c>
      <c r="P110" s="1">
        <v>2</v>
      </c>
      <c r="Q110" s="1">
        <v>2</v>
      </c>
      <c r="R110" s="1">
        <v>0</v>
      </c>
      <c r="AG110" s="2"/>
      <c r="AH110" s="2"/>
      <c r="AI110" s="2"/>
      <c r="AJ110" s="2"/>
      <c r="AK110" s="2"/>
      <c r="AL110" s="2"/>
    </row>
    <row r="111" spans="14:38" ht="15.75" customHeight="1" x14ac:dyDescent="0.25">
      <c r="N111" s="1">
        <v>2078</v>
      </c>
      <c r="O111" s="1">
        <v>2</v>
      </c>
      <c r="P111" s="1">
        <v>2</v>
      </c>
      <c r="Q111" s="1">
        <v>2</v>
      </c>
      <c r="R111" s="1">
        <v>0</v>
      </c>
      <c r="AG111" s="2"/>
      <c r="AH111" s="2"/>
      <c r="AI111" s="2"/>
      <c r="AJ111" s="2"/>
      <c r="AK111" s="2"/>
      <c r="AL111" s="2"/>
    </row>
    <row r="112" spans="14:38" ht="15.75" customHeight="1" x14ac:dyDescent="0.25">
      <c r="N112" s="1">
        <v>2079</v>
      </c>
      <c r="O112" s="1">
        <v>2</v>
      </c>
      <c r="P112" s="1">
        <v>2</v>
      </c>
      <c r="Q112" s="1">
        <v>2</v>
      </c>
      <c r="R112" s="1">
        <v>0</v>
      </c>
      <c r="AG112" s="2"/>
      <c r="AH112" s="2"/>
      <c r="AI112" s="2"/>
      <c r="AJ112" s="2"/>
      <c r="AK112" s="2"/>
      <c r="AL112" s="2"/>
    </row>
    <row r="113" spans="14:38" ht="15.75" customHeight="1" x14ac:dyDescent="0.25">
      <c r="N113" s="1">
        <v>2080</v>
      </c>
      <c r="O113" s="1">
        <v>2</v>
      </c>
      <c r="P113" s="1">
        <v>2</v>
      </c>
      <c r="Q113" s="1">
        <v>2</v>
      </c>
      <c r="R113" s="1">
        <v>0</v>
      </c>
      <c r="AG113" s="2"/>
      <c r="AH113" s="2"/>
      <c r="AI113" s="2"/>
      <c r="AJ113" s="2"/>
      <c r="AK113" s="2"/>
      <c r="AL113" s="2"/>
    </row>
    <row r="114" spans="14:38" ht="15.75" customHeight="1" x14ac:dyDescent="0.25">
      <c r="N114" s="1">
        <v>2081</v>
      </c>
      <c r="O114" s="1">
        <v>2</v>
      </c>
      <c r="P114" s="1">
        <v>2</v>
      </c>
      <c r="Q114" s="1">
        <v>2</v>
      </c>
      <c r="R114" s="1">
        <v>0</v>
      </c>
      <c r="AG114" s="2"/>
      <c r="AH114" s="2"/>
      <c r="AI114" s="2"/>
      <c r="AJ114" s="2"/>
      <c r="AK114" s="2"/>
      <c r="AL114" s="2"/>
    </row>
    <row r="115" spans="14:38" ht="15.75" customHeight="1" x14ac:dyDescent="0.25">
      <c r="N115" s="1">
        <v>2082</v>
      </c>
      <c r="O115" s="1">
        <v>2</v>
      </c>
      <c r="P115" s="1">
        <v>2</v>
      </c>
      <c r="Q115" s="1">
        <v>2</v>
      </c>
      <c r="R115" s="1">
        <v>0</v>
      </c>
      <c r="AG115" s="2"/>
      <c r="AH115" s="2"/>
      <c r="AI115" s="2"/>
      <c r="AJ115" s="2"/>
      <c r="AK115" s="2"/>
      <c r="AL115" s="2"/>
    </row>
    <row r="116" spans="14:38" ht="15.75" customHeight="1" x14ac:dyDescent="0.25">
      <c r="N116" s="1">
        <v>2083</v>
      </c>
      <c r="O116" s="1">
        <v>2</v>
      </c>
      <c r="P116" s="1">
        <v>2</v>
      </c>
      <c r="Q116" s="1">
        <v>2</v>
      </c>
      <c r="R116" s="1">
        <v>0</v>
      </c>
      <c r="AG116" s="2"/>
      <c r="AH116" s="2"/>
      <c r="AI116" s="2"/>
      <c r="AJ116" s="2"/>
      <c r="AK116" s="2"/>
      <c r="AL116" s="2"/>
    </row>
    <row r="117" spans="14:38" ht="15.75" customHeight="1" x14ac:dyDescent="0.25">
      <c r="N117" s="1">
        <v>2084</v>
      </c>
      <c r="O117" s="1">
        <v>2</v>
      </c>
      <c r="P117" s="1">
        <v>2</v>
      </c>
      <c r="Q117" s="1">
        <v>2</v>
      </c>
      <c r="R117" s="1">
        <v>0</v>
      </c>
      <c r="AG117" s="2"/>
      <c r="AH117" s="2"/>
      <c r="AI117" s="2"/>
      <c r="AJ117" s="2"/>
      <c r="AK117" s="2"/>
      <c r="AL117" s="2"/>
    </row>
    <row r="118" spans="14:38" ht="15.75" customHeight="1" x14ac:dyDescent="0.25">
      <c r="N118" s="1">
        <v>2085</v>
      </c>
      <c r="O118" s="1">
        <v>2</v>
      </c>
      <c r="P118" s="1">
        <v>2</v>
      </c>
      <c r="Q118" s="1">
        <v>2</v>
      </c>
      <c r="R118" s="1">
        <v>0</v>
      </c>
      <c r="AG118" s="2"/>
      <c r="AH118" s="2"/>
      <c r="AI118" s="2"/>
      <c r="AJ118" s="2"/>
      <c r="AK118" s="2"/>
      <c r="AL118" s="2"/>
    </row>
    <row r="119" spans="14:38" ht="15.75" customHeight="1" x14ac:dyDescent="0.25">
      <c r="N119" s="1">
        <v>2086</v>
      </c>
      <c r="O119" s="1">
        <v>2</v>
      </c>
      <c r="P119" s="1">
        <v>2</v>
      </c>
      <c r="Q119" s="1">
        <v>2</v>
      </c>
      <c r="R119" s="1">
        <v>0</v>
      </c>
      <c r="AG119" s="2"/>
      <c r="AH119" s="2"/>
      <c r="AI119" s="2"/>
      <c r="AJ119" s="2"/>
      <c r="AK119" s="2"/>
      <c r="AL119" s="2"/>
    </row>
    <row r="120" spans="14:38" ht="15.75" customHeight="1" x14ac:dyDescent="0.25">
      <c r="N120" s="1">
        <v>2087</v>
      </c>
      <c r="O120" s="1">
        <v>2</v>
      </c>
      <c r="P120" s="1">
        <v>2</v>
      </c>
      <c r="Q120" s="1">
        <v>2</v>
      </c>
      <c r="R120" s="1">
        <v>0</v>
      </c>
      <c r="AG120" s="2"/>
      <c r="AH120" s="2"/>
      <c r="AI120" s="2"/>
      <c r="AJ120" s="2"/>
      <c r="AK120" s="2"/>
      <c r="AL120" s="2"/>
    </row>
    <row r="121" spans="14:38" ht="15.75" customHeight="1" x14ac:dyDescent="0.25">
      <c r="N121" s="1">
        <v>2088</v>
      </c>
      <c r="O121" s="1">
        <v>2</v>
      </c>
      <c r="P121" s="1">
        <v>2</v>
      </c>
      <c r="Q121" s="1">
        <v>2</v>
      </c>
      <c r="R121" s="1">
        <v>0</v>
      </c>
      <c r="AG121" s="2"/>
      <c r="AH121" s="2"/>
      <c r="AI121" s="2"/>
      <c r="AJ121" s="2"/>
      <c r="AK121" s="2"/>
      <c r="AL121" s="2"/>
    </row>
    <row r="122" spans="14:38" ht="15.75" customHeight="1" x14ac:dyDescent="0.25">
      <c r="N122" s="1">
        <v>2089</v>
      </c>
      <c r="O122" s="1">
        <v>2</v>
      </c>
      <c r="P122" s="1">
        <v>2</v>
      </c>
      <c r="Q122" s="1">
        <v>2</v>
      </c>
      <c r="R122" s="1">
        <v>0</v>
      </c>
      <c r="AG122" s="2"/>
      <c r="AH122" s="2"/>
      <c r="AI122" s="2"/>
      <c r="AJ122" s="2"/>
      <c r="AK122" s="2"/>
      <c r="AL122" s="2"/>
    </row>
    <row r="123" spans="14:38" ht="15.75" customHeight="1" x14ac:dyDescent="0.25">
      <c r="N123" s="1">
        <v>2090</v>
      </c>
      <c r="O123" s="1">
        <v>2</v>
      </c>
      <c r="P123" s="1">
        <v>2</v>
      </c>
      <c r="Q123" s="1">
        <v>2</v>
      </c>
      <c r="R123" s="1">
        <v>0</v>
      </c>
      <c r="AG123" s="2"/>
      <c r="AH123" s="2"/>
      <c r="AI123" s="2"/>
      <c r="AJ123" s="2"/>
      <c r="AK123" s="2"/>
      <c r="AL123" s="2"/>
    </row>
    <row r="124" spans="14:38" ht="15.75" customHeight="1" x14ac:dyDescent="0.25">
      <c r="N124" s="1">
        <v>2091</v>
      </c>
      <c r="O124" s="1">
        <v>2</v>
      </c>
      <c r="P124" s="1">
        <v>2</v>
      </c>
      <c r="Q124" s="1">
        <v>2</v>
      </c>
      <c r="R124" s="1">
        <v>0</v>
      </c>
      <c r="AG124" s="2"/>
      <c r="AH124" s="2"/>
      <c r="AI124" s="2"/>
      <c r="AJ124" s="2"/>
      <c r="AK124" s="2"/>
      <c r="AL124" s="2"/>
    </row>
    <row r="125" spans="14:38" ht="15.75" customHeight="1" x14ac:dyDescent="0.25">
      <c r="N125" s="1">
        <v>2092</v>
      </c>
      <c r="O125" s="1">
        <v>2</v>
      </c>
      <c r="P125" s="1">
        <v>2</v>
      </c>
      <c r="Q125" s="1">
        <v>2</v>
      </c>
      <c r="R125" s="1">
        <v>0</v>
      </c>
      <c r="AG125" s="2"/>
      <c r="AH125" s="2"/>
      <c r="AI125" s="2"/>
      <c r="AJ125" s="2"/>
      <c r="AK125" s="2"/>
      <c r="AL125" s="2"/>
    </row>
    <row r="126" spans="14:38" ht="15.75" customHeight="1" x14ac:dyDescent="0.25">
      <c r="N126" s="1">
        <v>2093</v>
      </c>
      <c r="O126" s="1">
        <v>2</v>
      </c>
      <c r="P126" s="1">
        <v>2</v>
      </c>
      <c r="Q126" s="1">
        <v>2</v>
      </c>
      <c r="R126" s="1">
        <v>0</v>
      </c>
      <c r="AG126" s="2"/>
      <c r="AH126" s="2"/>
      <c r="AI126" s="2"/>
      <c r="AJ126" s="2"/>
      <c r="AK126" s="2"/>
      <c r="AL126" s="2"/>
    </row>
    <row r="127" spans="14:38" ht="15.75" customHeight="1" x14ac:dyDescent="0.25">
      <c r="N127" s="1">
        <v>2094</v>
      </c>
      <c r="O127" s="1">
        <v>2</v>
      </c>
      <c r="P127" s="1">
        <v>2</v>
      </c>
      <c r="Q127" s="1">
        <v>2</v>
      </c>
      <c r="R127" s="1">
        <v>0</v>
      </c>
      <c r="AG127" s="2"/>
      <c r="AH127" s="2"/>
      <c r="AI127" s="2"/>
      <c r="AJ127" s="2"/>
      <c r="AK127" s="2"/>
      <c r="AL127" s="2"/>
    </row>
    <row r="128" spans="14:38" ht="15.75" customHeight="1" x14ac:dyDescent="0.25">
      <c r="N128" s="1">
        <v>2095</v>
      </c>
      <c r="O128" s="1">
        <v>2</v>
      </c>
      <c r="P128" s="1">
        <v>2</v>
      </c>
      <c r="Q128" s="1">
        <v>2</v>
      </c>
      <c r="R128" s="1">
        <v>0</v>
      </c>
      <c r="AG128" s="2"/>
      <c r="AH128" s="2"/>
      <c r="AI128" s="2"/>
      <c r="AJ128" s="2"/>
      <c r="AK128" s="2"/>
      <c r="AL128" s="2"/>
    </row>
    <row r="129" spans="14:38" ht="15.75" customHeight="1" x14ac:dyDescent="0.25">
      <c r="N129" s="1">
        <v>2096</v>
      </c>
      <c r="O129" s="1">
        <v>2</v>
      </c>
      <c r="P129" s="1">
        <v>2</v>
      </c>
      <c r="Q129" s="1">
        <v>2</v>
      </c>
      <c r="R129" s="1">
        <v>0</v>
      </c>
      <c r="AG129" s="2"/>
      <c r="AH129" s="2"/>
      <c r="AI129" s="2"/>
      <c r="AJ129" s="2"/>
      <c r="AK129" s="2"/>
      <c r="AL129" s="2"/>
    </row>
    <row r="130" spans="14:38" ht="15.75" customHeight="1" x14ac:dyDescent="0.25">
      <c r="N130" s="1">
        <v>2097</v>
      </c>
      <c r="O130" s="1">
        <v>2</v>
      </c>
      <c r="P130" s="1">
        <v>2</v>
      </c>
      <c r="Q130" s="1">
        <v>2</v>
      </c>
      <c r="R130" s="1">
        <v>0</v>
      </c>
      <c r="AG130" s="2"/>
      <c r="AH130" s="2"/>
      <c r="AI130" s="2"/>
      <c r="AJ130" s="2"/>
      <c r="AK130" s="2"/>
      <c r="AL130" s="2"/>
    </row>
    <row r="131" spans="14:38" ht="15.75" customHeight="1" x14ac:dyDescent="0.25">
      <c r="N131" s="1">
        <v>2098</v>
      </c>
      <c r="O131" s="1">
        <v>2</v>
      </c>
      <c r="P131" s="1">
        <v>2</v>
      </c>
      <c r="Q131" s="1">
        <v>2</v>
      </c>
      <c r="R131" s="1">
        <v>0</v>
      </c>
      <c r="AG131" s="2"/>
      <c r="AH131" s="2"/>
      <c r="AI131" s="2"/>
      <c r="AJ131" s="2"/>
      <c r="AK131" s="2"/>
      <c r="AL131" s="2"/>
    </row>
    <row r="132" spans="14:38" ht="15.75" customHeight="1" x14ac:dyDescent="0.25">
      <c r="N132" s="1">
        <v>2099</v>
      </c>
      <c r="O132" s="1">
        <v>2</v>
      </c>
      <c r="P132" s="1">
        <v>2</v>
      </c>
      <c r="Q132" s="1">
        <v>2</v>
      </c>
      <c r="R132" s="1">
        <v>0</v>
      </c>
      <c r="AG132" s="2"/>
      <c r="AH132" s="2"/>
      <c r="AI132" s="2"/>
      <c r="AJ132" s="2"/>
      <c r="AK132" s="2"/>
      <c r="AL132" s="2"/>
    </row>
    <row r="133" spans="14:38" ht="15.75" customHeight="1" x14ac:dyDescent="0.25">
      <c r="N133" s="1">
        <v>2100</v>
      </c>
      <c r="O133" s="1">
        <v>2</v>
      </c>
      <c r="P133" s="1">
        <v>2</v>
      </c>
      <c r="Q133" s="1">
        <v>2</v>
      </c>
      <c r="R133" s="1">
        <v>0</v>
      </c>
      <c r="AG133" s="2"/>
      <c r="AH133" s="2"/>
      <c r="AI133" s="2"/>
      <c r="AJ133" s="2"/>
      <c r="AK133" s="2"/>
      <c r="AL133" s="2"/>
    </row>
    <row r="134" spans="14:38" ht="15.75" customHeight="1" x14ac:dyDescent="0.25">
      <c r="N134" s="1">
        <v>2101</v>
      </c>
      <c r="O134" s="1">
        <v>2</v>
      </c>
      <c r="P134" s="1">
        <v>2</v>
      </c>
      <c r="Q134" s="1">
        <v>2</v>
      </c>
      <c r="R134" s="1">
        <v>0</v>
      </c>
      <c r="AG134" s="2"/>
      <c r="AH134" s="2"/>
      <c r="AI134" s="2"/>
      <c r="AJ134" s="2"/>
      <c r="AK134" s="2"/>
      <c r="AL134" s="2"/>
    </row>
    <row r="135" spans="14:38" ht="15.75" customHeight="1" x14ac:dyDescent="0.25">
      <c r="N135" s="1">
        <v>2102</v>
      </c>
      <c r="O135" s="1">
        <v>2</v>
      </c>
      <c r="P135" s="1">
        <v>2</v>
      </c>
      <c r="Q135" s="1">
        <v>2</v>
      </c>
      <c r="R135" s="1">
        <v>0</v>
      </c>
      <c r="AG135" s="2"/>
      <c r="AH135" s="2"/>
      <c r="AI135" s="2"/>
      <c r="AJ135" s="2"/>
      <c r="AK135" s="2"/>
      <c r="AL135" s="2"/>
    </row>
    <row r="136" spans="14:38" ht="15.75" customHeight="1" x14ac:dyDescent="0.25">
      <c r="N136" s="1">
        <v>2103</v>
      </c>
      <c r="O136" s="1">
        <v>2</v>
      </c>
      <c r="P136" s="1">
        <v>2</v>
      </c>
      <c r="Q136" s="1">
        <v>2</v>
      </c>
      <c r="R136" s="1">
        <v>0</v>
      </c>
      <c r="AG136" s="2"/>
      <c r="AH136" s="2"/>
      <c r="AI136" s="2"/>
      <c r="AJ136" s="2"/>
      <c r="AK136" s="2"/>
      <c r="AL136" s="2"/>
    </row>
    <row r="137" spans="14:38" ht="15.75" customHeight="1" x14ac:dyDescent="0.25">
      <c r="N137" s="1">
        <v>2104</v>
      </c>
      <c r="O137" s="1">
        <v>2</v>
      </c>
      <c r="P137" s="1">
        <v>2</v>
      </c>
      <c r="Q137" s="1">
        <v>2</v>
      </c>
      <c r="R137" s="1">
        <v>0</v>
      </c>
      <c r="AG137" s="2"/>
      <c r="AH137" s="2"/>
      <c r="AI137" s="2"/>
      <c r="AJ137" s="2"/>
      <c r="AK137" s="2"/>
      <c r="AL137" s="2"/>
    </row>
    <row r="138" spans="14:38" ht="15.75" customHeight="1" x14ac:dyDescent="0.25">
      <c r="N138" s="1">
        <v>2105</v>
      </c>
      <c r="O138" s="1">
        <v>2</v>
      </c>
      <c r="P138" s="1">
        <v>2</v>
      </c>
      <c r="Q138" s="1">
        <v>2</v>
      </c>
      <c r="R138" s="1">
        <v>0</v>
      </c>
      <c r="AG138" s="2"/>
      <c r="AH138" s="2"/>
      <c r="AI138" s="2"/>
      <c r="AJ138" s="2"/>
      <c r="AK138" s="2"/>
      <c r="AL138" s="2"/>
    </row>
    <row r="139" spans="14:38" ht="15.75" customHeight="1" x14ac:dyDescent="0.25">
      <c r="N139" s="1">
        <v>2106</v>
      </c>
      <c r="O139" s="1">
        <v>2</v>
      </c>
      <c r="P139" s="1">
        <v>2</v>
      </c>
      <c r="Q139" s="1">
        <v>2</v>
      </c>
      <c r="R139" s="1">
        <v>0</v>
      </c>
      <c r="AG139" s="2"/>
      <c r="AH139" s="2"/>
      <c r="AI139" s="2"/>
      <c r="AJ139" s="2"/>
      <c r="AK139" s="2"/>
      <c r="AL139" s="2"/>
    </row>
    <row r="140" spans="14:38" ht="15.75" customHeight="1" x14ac:dyDescent="0.25">
      <c r="N140" s="1">
        <v>2107</v>
      </c>
      <c r="O140" s="1">
        <v>2</v>
      </c>
      <c r="P140" s="1">
        <v>2</v>
      </c>
      <c r="Q140" s="1">
        <v>2</v>
      </c>
      <c r="R140" s="1">
        <v>0</v>
      </c>
      <c r="AG140" s="2"/>
      <c r="AH140" s="2"/>
      <c r="AI140" s="2"/>
      <c r="AJ140" s="2"/>
      <c r="AK140" s="2"/>
      <c r="AL140" s="2"/>
    </row>
    <row r="141" spans="14:38" ht="15.75" customHeight="1" x14ac:dyDescent="0.25">
      <c r="N141" s="1">
        <v>2108</v>
      </c>
      <c r="O141" s="1">
        <v>2</v>
      </c>
      <c r="P141" s="1">
        <v>2</v>
      </c>
      <c r="Q141" s="1">
        <v>2</v>
      </c>
      <c r="R141" s="1">
        <v>0</v>
      </c>
      <c r="AG141" s="2"/>
      <c r="AH141" s="2"/>
      <c r="AI141" s="2"/>
      <c r="AJ141" s="2"/>
      <c r="AK141" s="2"/>
      <c r="AL141" s="2"/>
    </row>
    <row r="142" spans="14:38" ht="15.75" customHeight="1" x14ac:dyDescent="0.25">
      <c r="N142" s="1">
        <v>2109</v>
      </c>
      <c r="O142" s="1">
        <v>2</v>
      </c>
      <c r="P142" s="1">
        <v>2</v>
      </c>
      <c r="Q142" s="1">
        <v>2</v>
      </c>
      <c r="R142" s="1">
        <v>0</v>
      </c>
      <c r="AG142" s="2"/>
      <c r="AH142" s="2"/>
      <c r="AI142" s="2"/>
      <c r="AJ142" s="2"/>
      <c r="AK142" s="2"/>
      <c r="AL142" s="2"/>
    </row>
    <row r="143" spans="14:38" ht="15.75" customHeight="1" x14ac:dyDescent="0.25">
      <c r="N143" s="1">
        <v>2110</v>
      </c>
      <c r="O143" s="1">
        <v>2</v>
      </c>
      <c r="P143" s="1">
        <v>2</v>
      </c>
      <c r="Q143" s="1">
        <v>2</v>
      </c>
      <c r="R143" s="1">
        <v>0</v>
      </c>
      <c r="AG143" s="2"/>
      <c r="AH143" s="2"/>
      <c r="AI143" s="2"/>
      <c r="AJ143" s="2"/>
      <c r="AK143" s="2"/>
      <c r="AL143" s="2"/>
    </row>
    <row r="144" spans="14:38" ht="15.75" customHeight="1" x14ac:dyDescent="0.25">
      <c r="N144" s="1">
        <v>2111</v>
      </c>
      <c r="O144" s="1">
        <v>2</v>
      </c>
      <c r="P144" s="1">
        <v>2</v>
      </c>
      <c r="Q144" s="1">
        <v>2</v>
      </c>
      <c r="R144" s="1">
        <v>0</v>
      </c>
      <c r="AG144" s="2"/>
      <c r="AH144" s="2"/>
      <c r="AI144" s="2"/>
      <c r="AJ144" s="2"/>
      <c r="AK144" s="2"/>
      <c r="AL144" s="2"/>
    </row>
    <row r="145" spans="14:38" ht="15.75" customHeight="1" x14ac:dyDescent="0.25">
      <c r="N145" s="1">
        <v>2112</v>
      </c>
      <c r="O145" s="1">
        <v>2</v>
      </c>
      <c r="P145" s="1">
        <v>2</v>
      </c>
      <c r="Q145" s="1">
        <v>2</v>
      </c>
      <c r="R145" s="1">
        <v>0</v>
      </c>
      <c r="AG145" s="2"/>
      <c r="AH145" s="2"/>
      <c r="AI145" s="2"/>
      <c r="AJ145" s="2"/>
      <c r="AK145" s="2"/>
      <c r="AL145" s="2"/>
    </row>
    <row r="146" spans="14:38" ht="15.75" customHeight="1" x14ac:dyDescent="0.25">
      <c r="N146" s="1">
        <v>2113</v>
      </c>
      <c r="O146" s="1">
        <v>2</v>
      </c>
      <c r="P146" s="1">
        <v>2</v>
      </c>
      <c r="Q146" s="1">
        <v>2</v>
      </c>
      <c r="R146" s="1">
        <v>0</v>
      </c>
      <c r="AG146" s="2"/>
      <c r="AH146" s="2"/>
      <c r="AI146" s="2"/>
      <c r="AJ146" s="2"/>
      <c r="AK146" s="2"/>
      <c r="AL146" s="2"/>
    </row>
    <row r="147" spans="14:38" ht="15.75" customHeight="1" x14ac:dyDescent="0.25">
      <c r="N147" s="1">
        <v>2114</v>
      </c>
      <c r="O147" s="1">
        <v>2</v>
      </c>
      <c r="P147" s="1">
        <v>2</v>
      </c>
      <c r="Q147" s="1">
        <v>2</v>
      </c>
      <c r="R147" s="1">
        <v>0</v>
      </c>
      <c r="AG147" s="2"/>
      <c r="AH147" s="2"/>
      <c r="AI147" s="2"/>
      <c r="AJ147" s="2"/>
      <c r="AK147" s="2"/>
      <c r="AL147" s="2"/>
    </row>
    <row r="148" spans="14:38" ht="15.75" customHeight="1" x14ac:dyDescent="0.25">
      <c r="N148" s="1">
        <v>2115</v>
      </c>
      <c r="O148" s="1">
        <v>2</v>
      </c>
      <c r="P148" s="1">
        <v>2</v>
      </c>
      <c r="Q148" s="1">
        <v>2</v>
      </c>
      <c r="R148" s="1">
        <v>0</v>
      </c>
      <c r="AG148" s="2"/>
      <c r="AH148" s="2"/>
      <c r="AI148" s="2"/>
      <c r="AJ148" s="2"/>
      <c r="AK148" s="2"/>
      <c r="AL148" s="2"/>
    </row>
    <row r="149" spans="14:38" ht="15.75" customHeight="1" x14ac:dyDescent="0.25">
      <c r="N149" s="1">
        <v>2116</v>
      </c>
      <c r="O149" s="1">
        <v>2</v>
      </c>
      <c r="P149" s="1">
        <v>2</v>
      </c>
      <c r="Q149" s="1">
        <v>2</v>
      </c>
      <c r="R149" s="1">
        <v>0</v>
      </c>
      <c r="AG149" s="2"/>
      <c r="AH149" s="2"/>
      <c r="AI149" s="2"/>
      <c r="AJ149" s="2"/>
      <c r="AK149" s="2"/>
      <c r="AL149" s="2"/>
    </row>
    <row r="150" spans="14:38" ht="15.75" customHeight="1" x14ac:dyDescent="0.25">
      <c r="N150" s="1">
        <v>2117</v>
      </c>
      <c r="O150" s="1">
        <v>2</v>
      </c>
      <c r="P150" s="1">
        <v>2</v>
      </c>
      <c r="Q150" s="1">
        <v>2</v>
      </c>
      <c r="R150" s="1">
        <v>0</v>
      </c>
      <c r="AG150" s="2"/>
      <c r="AH150" s="2"/>
      <c r="AI150" s="2"/>
      <c r="AJ150" s="2"/>
      <c r="AK150" s="2"/>
      <c r="AL150" s="2"/>
    </row>
    <row r="151" spans="14:38" ht="15.75" customHeight="1" x14ac:dyDescent="0.25">
      <c r="N151" s="1">
        <v>2118</v>
      </c>
      <c r="O151" s="1">
        <v>2</v>
      </c>
      <c r="P151" s="1">
        <v>2</v>
      </c>
      <c r="Q151" s="1">
        <v>2</v>
      </c>
      <c r="R151" s="1">
        <v>0</v>
      </c>
      <c r="AG151" s="2"/>
      <c r="AH151" s="2"/>
      <c r="AI151" s="2"/>
      <c r="AJ151" s="2"/>
      <c r="AK151" s="2"/>
      <c r="AL151" s="2"/>
    </row>
    <row r="152" spans="14:38" ht="15.75" customHeight="1" x14ac:dyDescent="0.25">
      <c r="N152" s="1">
        <v>2119</v>
      </c>
      <c r="O152" s="1">
        <v>2</v>
      </c>
      <c r="P152" s="1">
        <v>2</v>
      </c>
      <c r="Q152" s="1">
        <v>2</v>
      </c>
      <c r="R152" s="1">
        <v>0</v>
      </c>
      <c r="AG152" s="2"/>
      <c r="AH152" s="2"/>
      <c r="AI152" s="2"/>
      <c r="AJ152" s="2"/>
      <c r="AK152" s="2"/>
      <c r="AL152" s="2"/>
    </row>
    <row r="153" spans="14:38" ht="15.75" customHeight="1" x14ac:dyDescent="0.25">
      <c r="N153" s="1">
        <v>2120</v>
      </c>
      <c r="O153" s="1">
        <v>2</v>
      </c>
      <c r="P153" s="1">
        <v>2</v>
      </c>
      <c r="Q153" s="1">
        <v>2</v>
      </c>
      <c r="R153" s="1">
        <v>0</v>
      </c>
      <c r="AG153" s="2"/>
      <c r="AH153" s="2"/>
      <c r="AI153" s="2"/>
      <c r="AJ153" s="2"/>
      <c r="AK153" s="2"/>
      <c r="AL153" s="2"/>
    </row>
    <row r="154" spans="14:38" ht="15.75" customHeight="1" x14ac:dyDescent="0.25">
      <c r="N154" s="1">
        <v>2121</v>
      </c>
      <c r="O154" s="1">
        <v>2</v>
      </c>
      <c r="P154" s="1">
        <v>2</v>
      </c>
      <c r="Q154" s="1">
        <v>2</v>
      </c>
      <c r="R154" s="1">
        <v>0</v>
      </c>
      <c r="AG154" s="2"/>
      <c r="AH154" s="2"/>
      <c r="AI154" s="2"/>
      <c r="AJ154" s="2"/>
      <c r="AK154" s="2"/>
      <c r="AL154" s="2"/>
    </row>
    <row r="155" spans="14:38" ht="15.75" customHeight="1" x14ac:dyDescent="0.25">
      <c r="N155" s="1">
        <v>2122</v>
      </c>
      <c r="O155" s="1">
        <v>2</v>
      </c>
      <c r="P155" s="1">
        <v>2</v>
      </c>
      <c r="Q155" s="1">
        <v>2</v>
      </c>
      <c r="R155" s="1">
        <v>0</v>
      </c>
      <c r="AG155" s="2"/>
      <c r="AH155" s="2"/>
      <c r="AI155" s="2"/>
      <c r="AJ155" s="2"/>
      <c r="AK155" s="2"/>
      <c r="AL155" s="2"/>
    </row>
    <row r="156" spans="14:38" ht="15.75" customHeight="1" x14ac:dyDescent="0.25">
      <c r="N156" s="1">
        <v>2123</v>
      </c>
      <c r="O156" s="1">
        <v>2</v>
      </c>
      <c r="P156" s="1">
        <v>2</v>
      </c>
      <c r="Q156" s="1">
        <v>2</v>
      </c>
      <c r="R156" s="1">
        <v>0</v>
      </c>
      <c r="AG156" s="2"/>
      <c r="AH156" s="2"/>
      <c r="AI156" s="2"/>
      <c r="AJ156" s="2"/>
      <c r="AK156" s="2"/>
      <c r="AL156" s="2"/>
    </row>
    <row r="157" spans="14:38" ht="15.75" customHeight="1" x14ac:dyDescent="0.25">
      <c r="N157" s="1">
        <v>2124</v>
      </c>
      <c r="O157" s="1">
        <v>2</v>
      </c>
      <c r="P157" s="1">
        <v>2</v>
      </c>
      <c r="Q157" s="1">
        <v>2</v>
      </c>
      <c r="R157" s="1">
        <v>0</v>
      </c>
      <c r="AG157" s="2"/>
      <c r="AH157" s="2"/>
      <c r="AI157" s="2"/>
      <c r="AJ157" s="2"/>
      <c r="AK157" s="2"/>
      <c r="AL157" s="2"/>
    </row>
    <row r="158" spans="14:38" ht="15.75" customHeight="1" x14ac:dyDescent="0.25">
      <c r="N158" s="1">
        <v>2125</v>
      </c>
      <c r="O158" s="1">
        <v>2</v>
      </c>
      <c r="P158" s="1">
        <v>2</v>
      </c>
      <c r="Q158" s="1">
        <v>2</v>
      </c>
      <c r="R158" s="1">
        <v>0</v>
      </c>
      <c r="AG158" s="2"/>
      <c r="AH158" s="2"/>
      <c r="AI158" s="2"/>
      <c r="AJ158" s="2"/>
      <c r="AK158" s="2"/>
      <c r="AL158" s="2"/>
    </row>
    <row r="159" spans="14:38" ht="15.75" customHeight="1" x14ac:dyDescent="0.25">
      <c r="N159" s="1">
        <v>2126</v>
      </c>
      <c r="O159" s="1">
        <v>2</v>
      </c>
      <c r="P159" s="1">
        <v>2</v>
      </c>
      <c r="Q159" s="1">
        <v>2</v>
      </c>
      <c r="R159" s="1">
        <v>0</v>
      </c>
      <c r="AG159" s="2"/>
      <c r="AH159" s="2"/>
      <c r="AI159" s="2"/>
      <c r="AJ159" s="2"/>
      <c r="AK159" s="2"/>
      <c r="AL159" s="2"/>
    </row>
    <row r="160" spans="14:38" ht="15.75" customHeight="1" x14ac:dyDescent="0.25">
      <c r="N160" s="1">
        <v>2127</v>
      </c>
      <c r="O160" s="1">
        <v>2</v>
      </c>
      <c r="P160" s="1">
        <v>2</v>
      </c>
      <c r="Q160" s="1">
        <v>2</v>
      </c>
      <c r="R160" s="1">
        <v>0</v>
      </c>
      <c r="AG160" s="2"/>
      <c r="AH160" s="2"/>
      <c r="AI160" s="2"/>
      <c r="AJ160" s="2"/>
      <c r="AK160" s="2"/>
      <c r="AL160" s="2"/>
    </row>
    <row r="161" spans="14:38" ht="15.75" customHeight="1" x14ac:dyDescent="0.25">
      <c r="N161" s="1">
        <v>2128</v>
      </c>
      <c r="O161" s="1">
        <v>2</v>
      </c>
      <c r="P161" s="1">
        <v>2</v>
      </c>
      <c r="Q161" s="1">
        <v>2</v>
      </c>
      <c r="R161" s="1">
        <v>0</v>
      </c>
      <c r="AG161" s="2"/>
      <c r="AH161" s="2"/>
      <c r="AI161" s="2"/>
      <c r="AJ161" s="2"/>
      <c r="AK161" s="2"/>
      <c r="AL161" s="2"/>
    </row>
    <row r="162" spans="14:38" ht="15.75" customHeight="1" x14ac:dyDescent="0.25">
      <c r="N162" s="1">
        <v>2129</v>
      </c>
      <c r="O162" s="1">
        <v>2</v>
      </c>
      <c r="P162" s="1">
        <v>2</v>
      </c>
      <c r="Q162" s="1">
        <v>2</v>
      </c>
      <c r="R162" s="1">
        <v>0</v>
      </c>
      <c r="AG162" s="2"/>
      <c r="AH162" s="2"/>
      <c r="AI162" s="2"/>
      <c r="AJ162" s="2"/>
      <c r="AK162" s="2"/>
      <c r="AL162" s="2"/>
    </row>
    <row r="163" spans="14:38" ht="15.75" customHeight="1" x14ac:dyDescent="0.25">
      <c r="N163" s="1">
        <v>2130</v>
      </c>
      <c r="O163" s="1">
        <v>2</v>
      </c>
      <c r="P163" s="1">
        <v>2</v>
      </c>
      <c r="Q163" s="1">
        <v>2</v>
      </c>
      <c r="R163" s="1">
        <v>0</v>
      </c>
      <c r="AG163" s="2"/>
      <c r="AH163" s="2"/>
      <c r="AI163" s="2"/>
      <c r="AJ163" s="2"/>
      <c r="AK163" s="2"/>
      <c r="AL163" s="2"/>
    </row>
    <row r="164" spans="14:38" ht="15.75" customHeight="1" x14ac:dyDescent="0.25">
      <c r="N164" s="1">
        <v>2131</v>
      </c>
      <c r="O164" s="1">
        <v>2</v>
      </c>
      <c r="P164" s="1">
        <v>2</v>
      </c>
      <c r="Q164" s="1">
        <v>2</v>
      </c>
      <c r="R164" s="1">
        <v>0</v>
      </c>
      <c r="AG164" s="2"/>
      <c r="AH164" s="2"/>
      <c r="AI164" s="2"/>
      <c r="AJ164" s="2"/>
      <c r="AK164" s="2"/>
      <c r="AL164" s="2"/>
    </row>
    <row r="165" spans="14:38" ht="15.75" customHeight="1" x14ac:dyDescent="0.25">
      <c r="N165" s="1">
        <v>2132</v>
      </c>
      <c r="O165" s="1">
        <v>2</v>
      </c>
      <c r="P165" s="1">
        <v>2</v>
      </c>
      <c r="Q165" s="1">
        <v>2</v>
      </c>
      <c r="R165" s="1">
        <v>0</v>
      </c>
      <c r="AG165" s="2"/>
      <c r="AH165" s="2"/>
      <c r="AI165" s="2"/>
      <c r="AJ165" s="2"/>
      <c r="AK165" s="2"/>
      <c r="AL165" s="2"/>
    </row>
    <row r="166" spans="14:38" ht="15.75" customHeight="1" x14ac:dyDescent="0.25">
      <c r="N166" s="1">
        <v>2133</v>
      </c>
      <c r="O166" s="1">
        <v>2</v>
      </c>
      <c r="P166" s="1">
        <v>2</v>
      </c>
      <c r="Q166" s="1">
        <v>2</v>
      </c>
      <c r="R166" s="1">
        <v>0</v>
      </c>
      <c r="AG166" s="2"/>
      <c r="AH166" s="2"/>
      <c r="AI166" s="2"/>
      <c r="AJ166" s="2"/>
      <c r="AK166" s="2"/>
      <c r="AL166" s="2"/>
    </row>
    <row r="167" spans="14:38" ht="15.75" customHeight="1" x14ac:dyDescent="0.25">
      <c r="N167" s="1">
        <v>2134</v>
      </c>
      <c r="O167" s="1">
        <v>2</v>
      </c>
      <c r="P167" s="1">
        <v>2</v>
      </c>
      <c r="Q167" s="1">
        <v>2</v>
      </c>
      <c r="R167" s="1">
        <v>0</v>
      </c>
      <c r="AG167" s="2"/>
      <c r="AH167" s="2"/>
      <c r="AI167" s="2"/>
      <c r="AJ167" s="2"/>
      <c r="AK167" s="2"/>
      <c r="AL167" s="2"/>
    </row>
    <row r="168" spans="14:38" ht="15.75" customHeight="1" x14ac:dyDescent="0.25">
      <c r="N168" s="1">
        <v>2135</v>
      </c>
      <c r="O168" s="1">
        <v>2</v>
      </c>
      <c r="P168" s="1">
        <v>2</v>
      </c>
      <c r="Q168" s="1">
        <v>2</v>
      </c>
      <c r="R168" s="1">
        <v>0</v>
      </c>
      <c r="AG168" s="2"/>
      <c r="AH168" s="2"/>
      <c r="AI168" s="2"/>
      <c r="AJ168" s="2"/>
      <c r="AK168" s="2"/>
      <c r="AL168" s="2"/>
    </row>
    <row r="169" spans="14:38" ht="15.75" customHeight="1" x14ac:dyDescent="0.25">
      <c r="N169" s="1">
        <v>2136</v>
      </c>
      <c r="O169" s="1">
        <v>2</v>
      </c>
      <c r="P169" s="1">
        <v>2</v>
      </c>
      <c r="Q169" s="1">
        <v>2</v>
      </c>
      <c r="R169" s="1">
        <v>0</v>
      </c>
      <c r="AG169" s="2"/>
      <c r="AH169" s="2"/>
      <c r="AI169" s="2"/>
      <c r="AJ169" s="2"/>
      <c r="AK169" s="2"/>
      <c r="AL169" s="2"/>
    </row>
    <row r="170" spans="14:38" ht="15.75" customHeight="1" x14ac:dyDescent="0.25">
      <c r="N170" s="1">
        <v>2137</v>
      </c>
      <c r="O170" s="1">
        <v>2</v>
      </c>
      <c r="P170" s="1">
        <v>2</v>
      </c>
      <c r="Q170" s="1">
        <v>2</v>
      </c>
      <c r="R170" s="1">
        <v>0</v>
      </c>
      <c r="AG170" s="2"/>
      <c r="AH170" s="2"/>
      <c r="AI170" s="2"/>
      <c r="AJ170" s="2"/>
      <c r="AK170" s="2"/>
      <c r="AL170" s="2"/>
    </row>
    <row r="171" spans="14:38" ht="15.75" customHeight="1" x14ac:dyDescent="0.25">
      <c r="N171" s="1">
        <v>2138</v>
      </c>
      <c r="O171" s="1">
        <v>2</v>
      </c>
      <c r="P171" s="1">
        <v>2</v>
      </c>
      <c r="Q171" s="1">
        <v>2</v>
      </c>
      <c r="R171" s="1">
        <v>0</v>
      </c>
      <c r="AG171" s="2"/>
      <c r="AH171" s="2"/>
      <c r="AI171" s="2"/>
      <c r="AJ171" s="2"/>
      <c r="AK171" s="2"/>
      <c r="AL171" s="2"/>
    </row>
    <row r="172" spans="14:38" ht="15.75" customHeight="1" x14ac:dyDescent="0.25">
      <c r="N172" s="1">
        <v>2139</v>
      </c>
      <c r="O172" s="1">
        <v>2</v>
      </c>
      <c r="P172" s="1">
        <v>2</v>
      </c>
      <c r="Q172" s="1">
        <v>2</v>
      </c>
      <c r="R172" s="1">
        <v>0</v>
      </c>
      <c r="AG172" s="2"/>
      <c r="AH172" s="2"/>
      <c r="AI172" s="2"/>
      <c r="AJ172" s="2"/>
      <c r="AK172" s="2"/>
      <c r="AL172" s="2"/>
    </row>
    <row r="173" spans="14:38" ht="15.75" customHeight="1" x14ac:dyDescent="0.25">
      <c r="N173" s="1">
        <v>2140</v>
      </c>
      <c r="O173" s="1">
        <v>2</v>
      </c>
      <c r="P173" s="1">
        <v>2</v>
      </c>
      <c r="Q173" s="1">
        <v>2</v>
      </c>
      <c r="R173" s="1">
        <v>0</v>
      </c>
      <c r="AG173" s="2"/>
      <c r="AH173" s="2"/>
      <c r="AI173" s="2"/>
      <c r="AJ173" s="2"/>
      <c r="AK173" s="2"/>
      <c r="AL173" s="2"/>
    </row>
    <row r="174" spans="14:38" ht="15.75" customHeight="1" x14ac:dyDescent="0.25">
      <c r="N174" s="1">
        <v>2141</v>
      </c>
      <c r="O174" s="1">
        <v>2</v>
      </c>
      <c r="P174" s="1">
        <v>2</v>
      </c>
      <c r="Q174" s="1">
        <v>2</v>
      </c>
      <c r="R174" s="1">
        <v>0</v>
      </c>
      <c r="AG174" s="2"/>
      <c r="AH174" s="2"/>
      <c r="AI174" s="2"/>
      <c r="AJ174" s="2"/>
      <c r="AK174" s="2"/>
      <c r="AL174" s="2"/>
    </row>
    <row r="175" spans="14:38" ht="15.75" customHeight="1" x14ac:dyDescent="0.25">
      <c r="N175" s="1">
        <v>2142</v>
      </c>
      <c r="O175" s="1">
        <v>2</v>
      </c>
      <c r="P175" s="1">
        <v>2</v>
      </c>
      <c r="Q175" s="1">
        <v>2</v>
      </c>
      <c r="R175" s="1">
        <v>0</v>
      </c>
      <c r="AG175" s="2"/>
      <c r="AH175" s="2"/>
      <c r="AI175" s="2"/>
      <c r="AJ175" s="2"/>
      <c r="AK175" s="2"/>
      <c r="AL175" s="2"/>
    </row>
    <row r="176" spans="14:38" ht="15.75" customHeight="1" x14ac:dyDescent="0.25">
      <c r="N176" s="1">
        <v>2143</v>
      </c>
      <c r="O176" s="1">
        <v>2</v>
      </c>
      <c r="P176" s="1">
        <v>2</v>
      </c>
      <c r="Q176" s="1">
        <v>2</v>
      </c>
      <c r="R176" s="1">
        <v>0</v>
      </c>
      <c r="AG176" s="2"/>
      <c r="AH176" s="2"/>
      <c r="AI176" s="2"/>
      <c r="AJ176" s="2"/>
      <c r="AK176" s="2"/>
      <c r="AL176" s="2"/>
    </row>
    <row r="177" spans="14:38" ht="15.75" customHeight="1" x14ac:dyDescent="0.25">
      <c r="N177" s="1">
        <v>2144</v>
      </c>
      <c r="O177" s="1">
        <v>2</v>
      </c>
      <c r="P177" s="1">
        <v>2</v>
      </c>
      <c r="Q177" s="1">
        <v>2</v>
      </c>
      <c r="R177" s="1">
        <v>0</v>
      </c>
      <c r="AG177" s="2"/>
      <c r="AH177" s="2"/>
      <c r="AI177" s="2"/>
      <c r="AJ177" s="2"/>
      <c r="AK177" s="2"/>
      <c r="AL177" s="2"/>
    </row>
    <row r="178" spans="14:38" ht="15.75" customHeight="1" x14ac:dyDescent="0.25">
      <c r="N178" s="1">
        <v>2145</v>
      </c>
      <c r="O178" s="1">
        <v>2</v>
      </c>
      <c r="P178" s="1">
        <v>2</v>
      </c>
      <c r="Q178" s="1">
        <v>2</v>
      </c>
      <c r="R178" s="1">
        <v>0</v>
      </c>
      <c r="AG178" s="2"/>
      <c r="AH178" s="2"/>
      <c r="AI178" s="2"/>
      <c r="AJ178" s="2"/>
      <c r="AK178" s="2"/>
      <c r="AL178" s="2"/>
    </row>
    <row r="179" spans="14:38" ht="15.75" customHeight="1" x14ac:dyDescent="0.25">
      <c r="N179" s="1">
        <v>2146</v>
      </c>
      <c r="O179" s="1">
        <v>2</v>
      </c>
      <c r="P179" s="1">
        <v>2</v>
      </c>
      <c r="Q179" s="1">
        <v>2</v>
      </c>
      <c r="R179" s="1">
        <v>0</v>
      </c>
      <c r="AG179" s="2"/>
      <c r="AH179" s="2"/>
      <c r="AI179" s="2"/>
      <c r="AJ179" s="2"/>
      <c r="AK179" s="2"/>
      <c r="AL179" s="2"/>
    </row>
    <row r="180" spans="14:38" ht="15.75" customHeight="1" x14ac:dyDescent="0.25">
      <c r="N180" s="1">
        <v>2147</v>
      </c>
      <c r="O180" s="1">
        <v>2</v>
      </c>
      <c r="P180" s="1">
        <v>2</v>
      </c>
      <c r="Q180" s="1">
        <v>2</v>
      </c>
      <c r="R180" s="1">
        <v>0</v>
      </c>
      <c r="AG180" s="2"/>
      <c r="AH180" s="2"/>
      <c r="AI180" s="2"/>
      <c r="AJ180" s="2"/>
      <c r="AK180" s="2"/>
      <c r="AL180" s="2"/>
    </row>
    <row r="181" spans="14:38" ht="15.75" customHeight="1" x14ac:dyDescent="0.25">
      <c r="N181" s="1">
        <v>2148</v>
      </c>
      <c r="O181" s="1">
        <v>2</v>
      </c>
      <c r="P181" s="1">
        <v>2</v>
      </c>
      <c r="Q181" s="1">
        <v>2</v>
      </c>
      <c r="R181" s="1">
        <v>0</v>
      </c>
      <c r="AG181" s="2"/>
      <c r="AH181" s="2"/>
      <c r="AI181" s="2"/>
      <c r="AJ181" s="2"/>
      <c r="AK181" s="2"/>
      <c r="AL181" s="2"/>
    </row>
    <row r="182" spans="14:38" ht="15.75" customHeight="1" x14ac:dyDescent="0.25">
      <c r="N182" s="1">
        <v>2149</v>
      </c>
      <c r="O182" s="1">
        <v>2</v>
      </c>
      <c r="P182" s="1">
        <v>2</v>
      </c>
      <c r="Q182" s="1">
        <v>2</v>
      </c>
      <c r="R182" s="1">
        <v>0</v>
      </c>
      <c r="AG182" s="2"/>
      <c r="AH182" s="2"/>
      <c r="AI182" s="2"/>
      <c r="AJ182" s="2"/>
      <c r="AK182" s="2"/>
      <c r="AL182" s="2"/>
    </row>
    <row r="183" spans="14:38" ht="15.75" customHeight="1" x14ac:dyDescent="0.25">
      <c r="N183" s="1">
        <v>2150</v>
      </c>
      <c r="O183" s="1">
        <v>2</v>
      </c>
      <c r="P183" s="1">
        <v>2</v>
      </c>
      <c r="Q183" s="1">
        <v>2</v>
      </c>
      <c r="R183" s="1">
        <v>0</v>
      </c>
      <c r="AG183" s="2"/>
      <c r="AH183" s="2"/>
      <c r="AI183" s="2"/>
      <c r="AJ183" s="2"/>
      <c r="AK183" s="2"/>
      <c r="AL183" s="2"/>
    </row>
    <row r="184" spans="14:38" ht="15.75" customHeight="1" x14ac:dyDescent="0.25">
      <c r="N184" s="1">
        <v>2151</v>
      </c>
      <c r="O184" s="1">
        <v>2</v>
      </c>
      <c r="P184" s="1">
        <v>2</v>
      </c>
      <c r="Q184" s="1">
        <v>2</v>
      </c>
      <c r="R184" s="1">
        <v>0</v>
      </c>
      <c r="AG184" s="2"/>
      <c r="AH184" s="2"/>
      <c r="AI184" s="2"/>
      <c r="AJ184" s="2"/>
      <c r="AK184" s="2"/>
      <c r="AL184" s="2"/>
    </row>
    <row r="185" spans="14:38" ht="15.75" customHeight="1" x14ac:dyDescent="0.25">
      <c r="N185" s="1">
        <v>2152</v>
      </c>
      <c r="O185" s="1">
        <v>2</v>
      </c>
      <c r="P185" s="1">
        <v>2</v>
      </c>
      <c r="Q185" s="1">
        <v>2</v>
      </c>
      <c r="R185" s="1">
        <v>0</v>
      </c>
      <c r="AG185" s="2"/>
      <c r="AH185" s="2"/>
      <c r="AI185" s="2"/>
      <c r="AJ185" s="2"/>
      <c r="AK185" s="2"/>
      <c r="AL185" s="2"/>
    </row>
    <row r="186" spans="14:38" ht="15.75" customHeight="1" x14ac:dyDescent="0.25">
      <c r="N186" s="1">
        <v>2153</v>
      </c>
      <c r="O186" s="1">
        <v>2</v>
      </c>
      <c r="P186" s="1">
        <v>2</v>
      </c>
      <c r="Q186" s="1">
        <v>2</v>
      </c>
      <c r="R186" s="1">
        <v>0</v>
      </c>
      <c r="AG186" s="2"/>
      <c r="AH186" s="2"/>
      <c r="AI186" s="2"/>
      <c r="AJ186" s="2"/>
      <c r="AK186" s="2"/>
      <c r="AL186" s="2"/>
    </row>
    <row r="187" spans="14:38" ht="15.75" customHeight="1" x14ac:dyDescent="0.25">
      <c r="N187" s="1">
        <v>2154</v>
      </c>
      <c r="O187" s="1">
        <v>2</v>
      </c>
      <c r="P187" s="1">
        <v>2</v>
      </c>
      <c r="Q187" s="1">
        <v>2</v>
      </c>
      <c r="R187" s="1">
        <v>0</v>
      </c>
      <c r="AG187" s="2"/>
      <c r="AH187" s="2"/>
      <c r="AI187" s="2"/>
      <c r="AJ187" s="2"/>
      <c r="AK187" s="2"/>
      <c r="AL187" s="2"/>
    </row>
    <row r="188" spans="14:38" ht="15.75" customHeight="1" x14ac:dyDescent="0.25">
      <c r="N188" s="1">
        <v>2155</v>
      </c>
      <c r="O188" s="1">
        <v>2</v>
      </c>
      <c r="P188" s="1">
        <v>2</v>
      </c>
      <c r="Q188" s="1">
        <v>2</v>
      </c>
      <c r="R188" s="1">
        <v>0</v>
      </c>
      <c r="AG188" s="2"/>
      <c r="AH188" s="2"/>
      <c r="AI188" s="2"/>
      <c r="AJ188" s="2"/>
      <c r="AK188" s="2"/>
      <c r="AL188" s="2"/>
    </row>
    <row r="189" spans="14:38" ht="15.75" customHeight="1" x14ac:dyDescent="0.25">
      <c r="N189" s="1">
        <v>2156</v>
      </c>
      <c r="O189" s="1">
        <v>2</v>
      </c>
      <c r="P189" s="1">
        <v>2</v>
      </c>
      <c r="Q189" s="1">
        <v>2</v>
      </c>
      <c r="R189" s="1">
        <v>0</v>
      </c>
      <c r="AG189" s="2"/>
      <c r="AH189" s="2"/>
      <c r="AI189" s="2"/>
      <c r="AJ189" s="2"/>
      <c r="AK189" s="2"/>
      <c r="AL189" s="2"/>
    </row>
    <row r="190" spans="14:38" ht="15.75" customHeight="1" x14ac:dyDescent="0.25">
      <c r="N190" s="1">
        <v>2157</v>
      </c>
      <c r="O190" s="1">
        <v>2</v>
      </c>
      <c r="P190" s="1">
        <v>2</v>
      </c>
      <c r="Q190" s="1">
        <v>2</v>
      </c>
      <c r="R190" s="1">
        <v>0</v>
      </c>
      <c r="AG190" s="2"/>
      <c r="AH190" s="2"/>
      <c r="AI190" s="2"/>
      <c r="AJ190" s="2"/>
      <c r="AK190" s="2"/>
      <c r="AL190" s="2"/>
    </row>
    <row r="191" spans="14:38" ht="15.75" customHeight="1" x14ac:dyDescent="0.25">
      <c r="N191" s="1">
        <v>2158</v>
      </c>
      <c r="O191" s="1">
        <v>2</v>
      </c>
      <c r="P191" s="1">
        <v>2</v>
      </c>
      <c r="Q191" s="1">
        <v>2</v>
      </c>
      <c r="R191" s="1">
        <v>0</v>
      </c>
      <c r="AG191" s="2"/>
      <c r="AH191" s="2"/>
      <c r="AI191" s="2"/>
      <c r="AJ191" s="2"/>
      <c r="AK191" s="2"/>
      <c r="AL191" s="2"/>
    </row>
    <row r="192" spans="14:38" ht="15.75" customHeight="1" x14ac:dyDescent="0.25">
      <c r="N192" s="1">
        <v>2159</v>
      </c>
      <c r="O192" s="1">
        <v>2</v>
      </c>
      <c r="P192" s="1">
        <v>2</v>
      </c>
      <c r="Q192" s="1">
        <v>2</v>
      </c>
      <c r="R192" s="1">
        <v>0</v>
      </c>
      <c r="AG192" s="2"/>
      <c r="AH192" s="2"/>
      <c r="AI192" s="2"/>
      <c r="AJ192" s="2"/>
      <c r="AK192" s="2"/>
      <c r="AL192" s="2"/>
    </row>
    <row r="193" spans="14:38" ht="15.75" customHeight="1" x14ac:dyDescent="0.25">
      <c r="N193" s="1">
        <v>2160</v>
      </c>
      <c r="O193" s="1">
        <v>2</v>
      </c>
      <c r="P193" s="1">
        <v>2</v>
      </c>
      <c r="Q193" s="1">
        <v>2</v>
      </c>
      <c r="R193" s="1">
        <v>0</v>
      </c>
      <c r="AG193" s="2"/>
      <c r="AH193" s="2"/>
      <c r="AI193" s="2"/>
      <c r="AJ193" s="2"/>
      <c r="AK193" s="2"/>
      <c r="AL193" s="2"/>
    </row>
    <row r="194" spans="14:38" ht="15.75" customHeight="1" x14ac:dyDescent="0.25">
      <c r="N194" s="1">
        <v>2161</v>
      </c>
      <c r="O194" s="1">
        <v>2</v>
      </c>
      <c r="P194" s="1">
        <v>2</v>
      </c>
      <c r="Q194" s="1">
        <v>2</v>
      </c>
      <c r="R194" s="1">
        <v>0</v>
      </c>
      <c r="AG194" s="2"/>
      <c r="AH194" s="2"/>
      <c r="AI194" s="2"/>
      <c r="AJ194" s="2"/>
      <c r="AK194" s="2"/>
      <c r="AL194" s="2"/>
    </row>
    <row r="195" spans="14:38" ht="15.75" customHeight="1" x14ac:dyDescent="0.25">
      <c r="N195" s="1">
        <v>2162</v>
      </c>
      <c r="O195" s="1">
        <v>2</v>
      </c>
      <c r="P195" s="1">
        <v>2</v>
      </c>
      <c r="Q195" s="1">
        <v>2</v>
      </c>
      <c r="R195" s="1">
        <v>0</v>
      </c>
      <c r="AG195" s="2"/>
      <c r="AH195" s="2"/>
      <c r="AI195" s="2"/>
      <c r="AJ195" s="2"/>
      <c r="AK195" s="2"/>
      <c r="AL195" s="2"/>
    </row>
    <row r="196" spans="14:38" ht="15.75" customHeight="1" x14ac:dyDescent="0.25">
      <c r="N196" s="1">
        <v>2163</v>
      </c>
      <c r="O196" s="1">
        <v>2</v>
      </c>
      <c r="P196" s="1">
        <v>2</v>
      </c>
      <c r="Q196" s="1">
        <v>2</v>
      </c>
      <c r="R196" s="1">
        <v>0</v>
      </c>
      <c r="AG196" s="2"/>
      <c r="AH196" s="2"/>
      <c r="AI196" s="2"/>
      <c r="AJ196" s="2"/>
      <c r="AK196" s="2"/>
      <c r="AL196" s="2"/>
    </row>
    <row r="197" spans="14:38" ht="15.75" customHeight="1" x14ac:dyDescent="0.25">
      <c r="N197" s="1">
        <v>2164</v>
      </c>
      <c r="O197" s="1">
        <v>2</v>
      </c>
      <c r="P197" s="1">
        <v>2</v>
      </c>
      <c r="Q197" s="1">
        <v>2</v>
      </c>
      <c r="R197" s="1">
        <v>0</v>
      </c>
      <c r="AG197" s="2"/>
      <c r="AH197" s="2"/>
      <c r="AI197" s="2"/>
      <c r="AJ197" s="2"/>
      <c r="AK197" s="2"/>
      <c r="AL197" s="2"/>
    </row>
    <row r="198" spans="14:38" ht="15.75" customHeight="1" x14ac:dyDescent="0.25">
      <c r="N198" s="1">
        <v>2165</v>
      </c>
      <c r="O198" s="1">
        <v>2</v>
      </c>
      <c r="P198" s="1">
        <v>2</v>
      </c>
      <c r="Q198" s="1">
        <v>2</v>
      </c>
      <c r="R198" s="1">
        <v>0</v>
      </c>
      <c r="AG198" s="2"/>
      <c r="AH198" s="2"/>
      <c r="AI198" s="2"/>
      <c r="AJ198" s="2"/>
      <c r="AK198" s="2"/>
      <c r="AL198" s="2"/>
    </row>
    <row r="199" spans="14:38" ht="15.75" customHeight="1" x14ac:dyDescent="0.25">
      <c r="N199" s="1">
        <v>2166</v>
      </c>
      <c r="O199" s="1">
        <v>2</v>
      </c>
      <c r="P199" s="1">
        <v>2</v>
      </c>
      <c r="Q199" s="1">
        <v>2</v>
      </c>
      <c r="R199" s="1">
        <v>0</v>
      </c>
      <c r="AG199" s="2"/>
      <c r="AH199" s="2"/>
      <c r="AI199" s="2"/>
      <c r="AJ199" s="2"/>
      <c r="AK199" s="2"/>
      <c r="AL199" s="2"/>
    </row>
    <row r="200" spans="14:38" ht="15.75" customHeight="1" x14ac:dyDescent="0.25">
      <c r="N200" s="1">
        <v>2167</v>
      </c>
      <c r="O200" s="1">
        <v>2</v>
      </c>
      <c r="P200" s="1">
        <v>2</v>
      </c>
      <c r="Q200" s="1">
        <v>2</v>
      </c>
      <c r="R200" s="1">
        <v>0</v>
      </c>
      <c r="AG200" s="2"/>
      <c r="AH200" s="2"/>
      <c r="AI200" s="2"/>
      <c r="AJ200" s="2"/>
      <c r="AK200" s="2"/>
      <c r="AL200" s="2"/>
    </row>
    <row r="201" spans="14:38" ht="15.75" customHeight="1" x14ac:dyDescent="0.25">
      <c r="N201" s="1">
        <v>2168</v>
      </c>
      <c r="O201" s="1">
        <v>2</v>
      </c>
      <c r="P201" s="1">
        <v>2</v>
      </c>
      <c r="Q201" s="1">
        <v>2</v>
      </c>
      <c r="R201" s="1">
        <v>0</v>
      </c>
      <c r="AG201" s="2"/>
      <c r="AH201" s="2"/>
      <c r="AI201" s="2"/>
      <c r="AJ201" s="2"/>
      <c r="AK201" s="2"/>
      <c r="AL201" s="2"/>
    </row>
    <row r="202" spans="14:38" ht="15.75" customHeight="1" x14ac:dyDescent="0.25">
      <c r="N202" s="1">
        <v>2169</v>
      </c>
      <c r="O202" s="1">
        <v>2</v>
      </c>
      <c r="P202" s="1">
        <v>2</v>
      </c>
      <c r="Q202" s="1">
        <v>2</v>
      </c>
      <c r="R202" s="1">
        <v>0</v>
      </c>
      <c r="AG202" s="2"/>
      <c r="AH202" s="2"/>
      <c r="AI202" s="2"/>
      <c r="AJ202" s="2"/>
      <c r="AK202" s="2"/>
      <c r="AL202" s="2"/>
    </row>
    <row r="203" spans="14:38" ht="15.75" customHeight="1" x14ac:dyDescent="0.25">
      <c r="N203" s="1">
        <v>2170</v>
      </c>
      <c r="O203" s="1">
        <v>2</v>
      </c>
      <c r="P203" s="1">
        <v>2</v>
      </c>
      <c r="Q203" s="1">
        <v>2</v>
      </c>
      <c r="R203" s="1">
        <v>0</v>
      </c>
      <c r="AG203" s="2"/>
      <c r="AH203" s="2"/>
      <c r="AI203" s="2"/>
      <c r="AJ203" s="2"/>
      <c r="AK203" s="2"/>
      <c r="AL203" s="2"/>
    </row>
    <row r="204" spans="14:38" ht="15.75" customHeight="1" x14ac:dyDescent="0.25">
      <c r="N204" s="1">
        <v>2171</v>
      </c>
      <c r="O204" s="1">
        <v>2</v>
      </c>
      <c r="P204" s="1">
        <v>2</v>
      </c>
      <c r="Q204" s="1">
        <v>2</v>
      </c>
      <c r="R204" s="1">
        <v>0</v>
      </c>
      <c r="AG204" s="2"/>
      <c r="AH204" s="2"/>
      <c r="AI204" s="2"/>
      <c r="AJ204" s="2"/>
      <c r="AK204" s="2"/>
      <c r="AL204" s="2"/>
    </row>
    <row r="205" spans="14:38" ht="15.75" customHeight="1" x14ac:dyDescent="0.25">
      <c r="N205" s="1">
        <v>2172</v>
      </c>
      <c r="O205" s="1">
        <v>2</v>
      </c>
      <c r="P205" s="1">
        <v>2</v>
      </c>
      <c r="Q205" s="1">
        <v>2</v>
      </c>
      <c r="R205" s="1">
        <v>0</v>
      </c>
      <c r="AG205" s="2"/>
      <c r="AH205" s="2"/>
      <c r="AI205" s="2"/>
      <c r="AJ205" s="2"/>
      <c r="AK205" s="2"/>
      <c r="AL205" s="2"/>
    </row>
    <row r="206" spans="14:38" ht="15.75" customHeight="1" x14ac:dyDescent="0.25">
      <c r="N206" s="1">
        <v>2173</v>
      </c>
      <c r="O206" s="1">
        <v>2</v>
      </c>
      <c r="P206" s="1">
        <v>2</v>
      </c>
      <c r="Q206" s="1">
        <v>2</v>
      </c>
      <c r="R206" s="1">
        <v>0</v>
      </c>
      <c r="AG206" s="2"/>
      <c r="AH206" s="2"/>
      <c r="AI206" s="2"/>
      <c r="AJ206" s="2"/>
      <c r="AK206" s="2"/>
      <c r="AL206" s="2"/>
    </row>
    <row r="207" spans="14:38" ht="15.75" customHeight="1" x14ac:dyDescent="0.25">
      <c r="N207" s="1">
        <v>2174</v>
      </c>
      <c r="O207" s="1">
        <v>2</v>
      </c>
      <c r="P207" s="1">
        <v>2</v>
      </c>
      <c r="Q207" s="1">
        <v>2</v>
      </c>
      <c r="R207" s="1">
        <v>0</v>
      </c>
      <c r="AG207" s="2"/>
      <c r="AH207" s="2"/>
      <c r="AI207" s="2"/>
      <c r="AJ207" s="2"/>
      <c r="AK207" s="2"/>
      <c r="AL207" s="2"/>
    </row>
    <row r="208" spans="14:38" ht="15.75" customHeight="1" x14ac:dyDescent="0.25">
      <c r="N208" s="1">
        <v>2175</v>
      </c>
      <c r="O208" s="1">
        <v>2</v>
      </c>
      <c r="P208" s="1">
        <v>2</v>
      </c>
      <c r="Q208" s="1">
        <v>2</v>
      </c>
      <c r="R208" s="1">
        <v>0</v>
      </c>
      <c r="AG208" s="2"/>
      <c r="AH208" s="2"/>
      <c r="AI208" s="2"/>
      <c r="AJ208" s="2"/>
      <c r="AK208" s="2"/>
      <c r="AL208" s="2"/>
    </row>
    <row r="209" spans="14:38" ht="15.75" customHeight="1" x14ac:dyDescent="0.25">
      <c r="N209" s="1">
        <v>2176</v>
      </c>
      <c r="O209" s="1">
        <v>2</v>
      </c>
      <c r="P209" s="1">
        <v>2</v>
      </c>
      <c r="Q209" s="1">
        <v>2</v>
      </c>
      <c r="R209" s="1">
        <v>0</v>
      </c>
      <c r="AG209" s="2"/>
      <c r="AH209" s="2"/>
      <c r="AI209" s="2"/>
      <c r="AJ209" s="2"/>
      <c r="AK209" s="2"/>
      <c r="AL209" s="2"/>
    </row>
    <row r="210" spans="14:38" ht="15.75" customHeight="1" x14ac:dyDescent="0.25">
      <c r="N210" s="1">
        <v>2177</v>
      </c>
      <c r="O210" s="1">
        <v>2</v>
      </c>
      <c r="P210" s="1">
        <v>2</v>
      </c>
      <c r="Q210" s="1">
        <v>2</v>
      </c>
      <c r="R210" s="1">
        <v>0</v>
      </c>
      <c r="AG210" s="2"/>
      <c r="AH210" s="2"/>
      <c r="AI210" s="2"/>
      <c r="AJ210" s="2"/>
      <c r="AK210" s="2"/>
      <c r="AL210" s="2"/>
    </row>
    <row r="211" spans="14:38" ht="15.75" customHeight="1" x14ac:dyDescent="0.25">
      <c r="N211" s="1">
        <v>2178</v>
      </c>
      <c r="O211" s="1">
        <v>2</v>
      </c>
      <c r="P211" s="1">
        <v>2</v>
      </c>
      <c r="Q211" s="1">
        <v>2</v>
      </c>
      <c r="R211" s="1">
        <v>0</v>
      </c>
      <c r="AG211" s="2"/>
      <c r="AH211" s="2"/>
      <c r="AI211" s="2"/>
      <c r="AJ211" s="2"/>
      <c r="AK211" s="2"/>
      <c r="AL211" s="2"/>
    </row>
    <row r="212" spans="14:38" ht="15.75" customHeight="1" x14ac:dyDescent="0.25">
      <c r="N212" s="1">
        <v>2179</v>
      </c>
      <c r="O212" s="1">
        <v>2</v>
      </c>
      <c r="P212" s="1">
        <v>2</v>
      </c>
      <c r="Q212" s="1">
        <v>2</v>
      </c>
      <c r="R212" s="1">
        <v>0</v>
      </c>
      <c r="AG212" s="2"/>
      <c r="AH212" s="2"/>
      <c r="AI212" s="2"/>
      <c r="AJ212" s="2"/>
      <c r="AK212" s="2"/>
      <c r="AL212" s="2"/>
    </row>
    <row r="213" spans="14:38" ht="15.75" customHeight="1" x14ac:dyDescent="0.25">
      <c r="N213" s="1">
        <v>2180</v>
      </c>
      <c r="O213" s="1">
        <v>2</v>
      </c>
      <c r="P213" s="1">
        <v>2</v>
      </c>
      <c r="Q213" s="1">
        <v>2</v>
      </c>
      <c r="R213" s="1">
        <v>0</v>
      </c>
      <c r="AG213" s="2"/>
      <c r="AH213" s="2"/>
      <c r="AI213" s="2"/>
      <c r="AJ213" s="2"/>
      <c r="AK213" s="2"/>
      <c r="AL213" s="2"/>
    </row>
    <row r="214" spans="14:38" ht="15.75" customHeight="1" x14ac:dyDescent="0.25">
      <c r="N214" s="1">
        <v>2181</v>
      </c>
      <c r="O214" s="1">
        <v>2</v>
      </c>
      <c r="P214" s="1">
        <v>2</v>
      </c>
      <c r="Q214" s="1">
        <v>2</v>
      </c>
      <c r="R214" s="1">
        <v>0</v>
      </c>
      <c r="AG214" s="2"/>
      <c r="AH214" s="2"/>
      <c r="AI214" s="2"/>
      <c r="AJ214" s="2"/>
      <c r="AK214" s="2"/>
      <c r="AL214" s="2"/>
    </row>
    <row r="215" spans="14:38" ht="15.75" customHeight="1" x14ac:dyDescent="0.25">
      <c r="N215" s="1">
        <v>2182</v>
      </c>
      <c r="O215" s="1">
        <v>2</v>
      </c>
      <c r="P215" s="1">
        <v>2</v>
      </c>
      <c r="Q215" s="1">
        <v>2</v>
      </c>
      <c r="R215" s="1">
        <v>0</v>
      </c>
      <c r="AG215" s="2"/>
      <c r="AH215" s="2"/>
      <c r="AI215" s="2"/>
      <c r="AJ215" s="2"/>
      <c r="AK215" s="2"/>
      <c r="AL215" s="2"/>
    </row>
    <row r="216" spans="14:38" ht="15.75" customHeight="1" x14ac:dyDescent="0.25">
      <c r="N216" s="1">
        <v>2183</v>
      </c>
      <c r="O216" s="1">
        <v>2</v>
      </c>
      <c r="P216" s="1">
        <v>2</v>
      </c>
      <c r="Q216" s="1">
        <v>2</v>
      </c>
      <c r="R216" s="1">
        <v>0</v>
      </c>
      <c r="AG216" s="2"/>
      <c r="AH216" s="2"/>
      <c r="AI216" s="2"/>
      <c r="AJ216" s="2"/>
      <c r="AK216" s="2"/>
      <c r="AL216" s="2"/>
    </row>
    <row r="217" spans="14:38" ht="15.75" customHeight="1" x14ac:dyDescent="0.25">
      <c r="N217" s="1">
        <v>2184</v>
      </c>
      <c r="O217" s="1">
        <v>2</v>
      </c>
      <c r="P217" s="1">
        <v>2</v>
      </c>
      <c r="Q217" s="1">
        <v>2</v>
      </c>
      <c r="R217" s="1">
        <v>0</v>
      </c>
      <c r="AG217" s="2"/>
      <c r="AH217" s="2"/>
      <c r="AI217" s="2"/>
      <c r="AJ217" s="2"/>
      <c r="AK217" s="2"/>
      <c r="AL217" s="2"/>
    </row>
    <row r="218" spans="14:38" ht="15.75" customHeight="1" x14ac:dyDescent="0.25">
      <c r="N218" s="1">
        <v>2185</v>
      </c>
      <c r="O218" s="1">
        <v>2</v>
      </c>
      <c r="P218" s="1">
        <v>2</v>
      </c>
      <c r="Q218" s="1">
        <v>2</v>
      </c>
      <c r="R218" s="1">
        <v>0</v>
      </c>
      <c r="AG218" s="2"/>
      <c r="AH218" s="2"/>
      <c r="AI218" s="2"/>
      <c r="AJ218" s="2"/>
      <c r="AK218" s="2"/>
      <c r="AL218" s="2"/>
    </row>
    <row r="219" spans="14:38" ht="15.75" customHeight="1" x14ac:dyDescent="0.25">
      <c r="N219" s="1">
        <v>2186</v>
      </c>
      <c r="O219" s="1">
        <v>2</v>
      </c>
      <c r="P219" s="1">
        <v>2</v>
      </c>
      <c r="Q219" s="1">
        <v>2</v>
      </c>
      <c r="R219" s="1">
        <v>0</v>
      </c>
      <c r="AG219" s="2"/>
      <c r="AH219" s="2"/>
      <c r="AI219" s="2"/>
      <c r="AJ219" s="2"/>
      <c r="AK219" s="2"/>
      <c r="AL219" s="2"/>
    </row>
    <row r="220" spans="14:38" ht="15.75" customHeight="1" x14ac:dyDescent="0.25">
      <c r="N220" s="1">
        <v>2187</v>
      </c>
      <c r="O220" s="1">
        <v>2</v>
      </c>
      <c r="P220" s="1">
        <v>2</v>
      </c>
      <c r="Q220" s="1">
        <v>2</v>
      </c>
      <c r="R220" s="1">
        <v>0</v>
      </c>
      <c r="AG220" s="2"/>
      <c r="AH220" s="2"/>
      <c r="AI220" s="2"/>
      <c r="AJ220" s="2"/>
      <c r="AK220" s="2"/>
      <c r="AL220" s="2"/>
    </row>
    <row r="221" spans="14:38" ht="15.75" customHeight="1" x14ac:dyDescent="0.25">
      <c r="N221" s="1">
        <v>2188</v>
      </c>
      <c r="O221" s="1">
        <v>2</v>
      </c>
      <c r="P221" s="1">
        <v>2</v>
      </c>
      <c r="Q221" s="1">
        <v>2</v>
      </c>
      <c r="R221" s="1">
        <v>0</v>
      </c>
      <c r="AG221" s="2"/>
      <c r="AH221" s="2"/>
      <c r="AI221" s="2"/>
      <c r="AJ221" s="2"/>
      <c r="AK221" s="2"/>
      <c r="AL221" s="2"/>
    </row>
    <row r="222" spans="14:38" ht="15.75" customHeight="1" x14ac:dyDescent="0.25">
      <c r="N222" s="1">
        <v>2189</v>
      </c>
      <c r="O222" s="1">
        <v>2</v>
      </c>
      <c r="P222" s="1">
        <v>2</v>
      </c>
      <c r="Q222" s="1">
        <v>2</v>
      </c>
      <c r="R222" s="1">
        <v>0</v>
      </c>
      <c r="AG222" s="2"/>
      <c r="AH222" s="2"/>
      <c r="AI222" s="2"/>
      <c r="AJ222" s="2"/>
      <c r="AK222" s="2"/>
      <c r="AL222" s="2"/>
    </row>
    <row r="223" spans="14:38" ht="15.75" customHeight="1" x14ac:dyDescent="0.25">
      <c r="N223" s="1">
        <v>2190</v>
      </c>
      <c r="O223" s="1">
        <v>2</v>
      </c>
      <c r="P223" s="1">
        <v>2</v>
      </c>
      <c r="Q223" s="1">
        <v>2</v>
      </c>
      <c r="R223" s="1">
        <v>0</v>
      </c>
      <c r="AG223" s="2"/>
      <c r="AH223" s="2"/>
      <c r="AI223" s="2"/>
      <c r="AJ223" s="2"/>
      <c r="AK223" s="2"/>
      <c r="AL223" s="2"/>
    </row>
    <row r="224" spans="14:38" ht="15.75" customHeight="1" x14ac:dyDescent="0.25">
      <c r="N224" s="1">
        <v>2191</v>
      </c>
      <c r="O224" s="1">
        <v>2</v>
      </c>
      <c r="P224" s="1">
        <v>2</v>
      </c>
      <c r="Q224" s="1">
        <v>2</v>
      </c>
      <c r="R224" s="1">
        <v>0</v>
      </c>
      <c r="AG224" s="2"/>
      <c r="AH224" s="2"/>
      <c r="AI224" s="2"/>
      <c r="AJ224" s="2"/>
      <c r="AK224" s="2"/>
      <c r="AL224" s="2"/>
    </row>
    <row r="225" spans="14:38" ht="15.75" customHeight="1" x14ac:dyDescent="0.25">
      <c r="N225" s="1">
        <v>2192</v>
      </c>
      <c r="O225" s="1">
        <v>2</v>
      </c>
      <c r="P225" s="1">
        <v>2</v>
      </c>
      <c r="Q225" s="1">
        <v>2</v>
      </c>
      <c r="R225" s="1">
        <v>0</v>
      </c>
      <c r="AG225" s="2"/>
      <c r="AH225" s="2"/>
      <c r="AI225" s="2"/>
      <c r="AJ225" s="2"/>
      <c r="AK225" s="2"/>
      <c r="AL225" s="2"/>
    </row>
    <row r="226" spans="14:38" ht="15.75" customHeight="1" x14ac:dyDescent="0.25">
      <c r="N226" s="1">
        <v>2193</v>
      </c>
      <c r="O226" s="1">
        <v>2</v>
      </c>
      <c r="P226" s="1">
        <v>2</v>
      </c>
      <c r="Q226" s="1">
        <v>2</v>
      </c>
      <c r="R226" s="1">
        <v>0</v>
      </c>
      <c r="AG226" s="2"/>
      <c r="AH226" s="2"/>
      <c r="AI226" s="2"/>
      <c r="AJ226" s="2"/>
      <c r="AK226" s="2"/>
      <c r="AL226" s="2"/>
    </row>
    <row r="227" spans="14:38" ht="15.75" customHeight="1" x14ac:dyDescent="0.25">
      <c r="N227" s="1">
        <v>2194</v>
      </c>
      <c r="O227" s="1">
        <v>2</v>
      </c>
      <c r="P227" s="1">
        <v>2</v>
      </c>
      <c r="Q227" s="1">
        <v>2</v>
      </c>
      <c r="R227" s="1">
        <v>0</v>
      </c>
      <c r="AG227" s="2"/>
      <c r="AH227" s="2"/>
      <c r="AI227" s="2"/>
      <c r="AJ227" s="2"/>
      <c r="AK227" s="2"/>
      <c r="AL227" s="2"/>
    </row>
    <row r="228" spans="14:38" ht="15.75" customHeight="1" x14ac:dyDescent="0.25">
      <c r="N228" s="1">
        <v>2195</v>
      </c>
      <c r="O228" s="1">
        <v>2</v>
      </c>
      <c r="P228" s="1">
        <v>2</v>
      </c>
      <c r="Q228" s="1">
        <v>2</v>
      </c>
      <c r="R228" s="1">
        <v>0</v>
      </c>
      <c r="AG228" s="2"/>
      <c r="AH228" s="2"/>
      <c r="AI228" s="2"/>
      <c r="AJ228" s="2"/>
      <c r="AK228" s="2"/>
      <c r="AL228" s="2"/>
    </row>
    <row r="229" spans="14:38" ht="15.75" customHeight="1" x14ac:dyDescent="0.25">
      <c r="N229" s="1">
        <v>2196</v>
      </c>
      <c r="O229" s="1">
        <v>2</v>
      </c>
      <c r="P229" s="1">
        <v>2</v>
      </c>
      <c r="Q229" s="1">
        <v>2</v>
      </c>
      <c r="R229" s="1">
        <v>0</v>
      </c>
      <c r="AG229" s="2"/>
      <c r="AH229" s="2"/>
      <c r="AI229" s="2"/>
      <c r="AJ229" s="2"/>
      <c r="AK229" s="2"/>
      <c r="AL229" s="2"/>
    </row>
    <row r="230" spans="14:38" ht="15.75" customHeight="1" x14ac:dyDescent="0.25">
      <c r="N230" s="1">
        <v>2197</v>
      </c>
      <c r="O230" s="1">
        <v>2</v>
      </c>
      <c r="P230" s="1">
        <v>2</v>
      </c>
      <c r="Q230" s="1">
        <v>2</v>
      </c>
      <c r="R230" s="1">
        <v>0</v>
      </c>
      <c r="AG230" s="2"/>
      <c r="AH230" s="2"/>
      <c r="AI230" s="2"/>
      <c r="AJ230" s="2"/>
      <c r="AK230" s="2"/>
      <c r="AL230" s="2"/>
    </row>
    <row r="231" spans="14:38" ht="15.75" customHeight="1" x14ac:dyDescent="0.25">
      <c r="N231" s="1">
        <v>2198</v>
      </c>
      <c r="O231" s="1">
        <v>2</v>
      </c>
      <c r="P231" s="1">
        <v>2</v>
      </c>
      <c r="Q231" s="1">
        <v>2</v>
      </c>
      <c r="R231" s="1">
        <v>0</v>
      </c>
      <c r="AG231" s="2"/>
      <c r="AH231" s="2"/>
      <c r="AI231" s="2"/>
      <c r="AJ231" s="2"/>
      <c r="AK231" s="2"/>
      <c r="AL231" s="2"/>
    </row>
    <row r="232" spans="14:38" ht="15.75" customHeight="1" x14ac:dyDescent="0.25">
      <c r="N232" s="1">
        <v>2199</v>
      </c>
      <c r="O232" s="1">
        <v>2</v>
      </c>
      <c r="P232" s="1">
        <v>2</v>
      </c>
      <c r="Q232" s="1">
        <v>2</v>
      </c>
      <c r="R232" s="1">
        <v>0</v>
      </c>
      <c r="AG232" s="2"/>
      <c r="AH232" s="2"/>
      <c r="AI232" s="2"/>
      <c r="AJ232" s="2"/>
      <c r="AK232" s="2"/>
      <c r="AL232" s="2"/>
    </row>
    <row r="233" spans="14:38" ht="15.75" customHeight="1" x14ac:dyDescent="0.25">
      <c r="N233" s="1">
        <v>2200</v>
      </c>
      <c r="O233" s="1">
        <v>2</v>
      </c>
      <c r="P233" s="1">
        <v>2</v>
      </c>
      <c r="Q233" s="1">
        <v>2</v>
      </c>
      <c r="R233" s="1">
        <v>0</v>
      </c>
      <c r="AG233" s="2"/>
      <c r="AH233" s="2"/>
      <c r="AI233" s="2"/>
      <c r="AJ233" s="2"/>
      <c r="AK233" s="2"/>
      <c r="AL233" s="2"/>
    </row>
    <row r="234" spans="14:38" ht="15.75" customHeight="1" x14ac:dyDescent="0.25">
      <c r="N234" s="1">
        <v>2201</v>
      </c>
      <c r="O234" s="1">
        <v>2</v>
      </c>
      <c r="P234" s="1">
        <v>2</v>
      </c>
      <c r="Q234" s="1">
        <v>2</v>
      </c>
      <c r="R234" s="1">
        <v>0</v>
      </c>
      <c r="AG234" s="2"/>
      <c r="AH234" s="2"/>
      <c r="AI234" s="2"/>
      <c r="AJ234" s="2"/>
      <c r="AK234" s="2"/>
      <c r="AL234" s="2"/>
    </row>
    <row r="235" spans="14:38" ht="15.75" customHeight="1" x14ac:dyDescent="0.25">
      <c r="N235" s="1">
        <v>2202</v>
      </c>
      <c r="O235" s="1">
        <v>2</v>
      </c>
      <c r="P235" s="1">
        <v>2</v>
      </c>
      <c r="Q235" s="1">
        <v>2</v>
      </c>
      <c r="R235" s="1">
        <v>0</v>
      </c>
      <c r="AG235" s="2"/>
      <c r="AH235" s="2"/>
      <c r="AI235" s="2"/>
      <c r="AJ235" s="2"/>
      <c r="AK235" s="2"/>
      <c r="AL235" s="2"/>
    </row>
    <row r="236" spans="14:38" ht="15.75" customHeight="1" x14ac:dyDescent="0.25">
      <c r="N236" s="1">
        <v>2203</v>
      </c>
      <c r="O236" s="1">
        <v>2</v>
      </c>
      <c r="P236" s="1">
        <v>2</v>
      </c>
      <c r="Q236" s="1">
        <v>2</v>
      </c>
      <c r="R236" s="1">
        <v>0</v>
      </c>
      <c r="AG236" s="2"/>
      <c r="AH236" s="2"/>
      <c r="AI236" s="2"/>
      <c r="AJ236" s="2"/>
      <c r="AK236" s="2"/>
      <c r="AL236" s="2"/>
    </row>
    <row r="237" spans="14:38" ht="15.75" customHeight="1" x14ac:dyDescent="0.25">
      <c r="N237" s="1">
        <v>2204</v>
      </c>
      <c r="O237" s="1">
        <v>2</v>
      </c>
      <c r="P237" s="1">
        <v>2</v>
      </c>
      <c r="Q237" s="1">
        <v>2</v>
      </c>
      <c r="R237" s="1">
        <v>0</v>
      </c>
      <c r="AG237" s="2"/>
      <c r="AH237" s="2"/>
      <c r="AI237" s="2"/>
      <c r="AJ237" s="2"/>
      <c r="AK237" s="2"/>
      <c r="AL237" s="2"/>
    </row>
    <row r="238" spans="14:38" ht="15.75" customHeight="1" x14ac:dyDescent="0.25">
      <c r="N238" s="1">
        <v>2205</v>
      </c>
      <c r="O238" s="1">
        <v>2</v>
      </c>
      <c r="P238" s="1">
        <v>2</v>
      </c>
      <c r="Q238" s="1">
        <v>2</v>
      </c>
      <c r="R238" s="1">
        <v>0</v>
      </c>
      <c r="AG238" s="2"/>
      <c r="AH238" s="2"/>
      <c r="AI238" s="2"/>
      <c r="AJ238" s="2"/>
      <c r="AK238" s="2"/>
      <c r="AL238" s="2"/>
    </row>
    <row r="239" spans="14:38" ht="15.75" customHeight="1" x14ac:dyDescent="0.25">
      <c r="N239" s="1">
        <v>2206</v>
      </c>
      <c r="O239" s="1">
        <v>2</v>
      </c>
      <c r="P239" s="1">
        <v>2</v>
      </c>
      <c r="Q239" s="1">
        <v>2</v>
      </c>
      <c r="R239" s="1">
        <v>0</v>
      </c>
      <c r="AG239" s="2"/>
      <c r="AH239" s="2"/>
      <c r="AI239" s="2"/>
      <c r="AJ239" s="2"/>
      <c r="AK239" s="2"/>
      <c r="AL239" s="2"/>
    </row>
    <row r="240" spans="14:38" ht="15.75" customHeight="1" x14ac:dyDescent="0.25">
      <c r="N240" s="1">
        <v>2207</v>
      </c>
      <c r="O240" s="1">
        <v>2</v>
      </c>
      <c r="P240" s="1">
        <v>2</v>
      </c>
      <c r="Q240" s="1">
        <v>2</v>
      </c>
      <c r="R240" s="1">
        <v>0</v>
      </c>
      <c r="AG240" s="2"/>
      <c r="AH240" s="2"/>
      <c r="AI240" s="2"/>
      <c r="AJ240" s="2"/>
      <c r="AK240" s="2"/>
      <c r="AL240" s="2"/>
    </row>
    <row r="241" spans="14:38" ht="15.75" customHeight="1" x14ac:dyDescent="0.25">
      <c r="N241" s="1">
        <v>2208</v>
      </c>
      <c r="O241" s="1">
        <v>2</v>
      </c>
      <c r="P241" s="1">
        <v>2</v>
      </c>
      <c r="Q241" s="1">
        <v>2</v>
      </c>
      <c r="R241" s="1">
        <v>0</v>
      </c>
      <c r="AG241" s="2"/>
      <c r="AH241" s="2"/>
      <c r="AI241" s="2"/>
      <c r="AJ241" s="2"/>
      <c r="AK241" s="2"/>
      <c r="AL241" s="2"/>
    </row>
    <row r="242" spans="14:38" ht="15.75" customHeight="1" x14ac:dyDescent="0.25">
      <c r="N242" s="1">
        <v>2209</v>
      </c>
      <c r="O242" s="1">
        <v>2</v>
      </c>
      <c r="P242" s="1">
        <v>2</v>
      </c>
      <c r="Q242" s="1">
        <v>2</v>
      </c>
      <c r="R242" s="1">
        <v>0</v>
      </c>
      <c r="AG242" s="2"/>
      <c r="AH242" s="2"/>
      <c r="AI242" s="2"/>
      <c r="AJ242" s="2"/>
      <c r="AK242" s="2"/>
      <c r="AL242" s="2"/>
    </row>
    <row r="243" spans="14:38" ht="15.75" customHeight="1" x14ac:dyDescent="0.25">
      <c r="N243" s="1">
        <v>2210</v>
      </c>
      <c r="O243" s="1">
        <v>2</v>
      </c>
      <c r="P243" s="1">
        <v>2</v>
      </c>
      <c r="Q243" s="1">
        <v>2</v>
      </c>
      <c r="R243" s="1">
        <v>0</v>
      </c>
      <c r="AG243" s="2"/>
      <c r="AH243" s="2"/>
      <c r="AI243" s="2"/>
      <c r="AJ243" s="2"/>
      <c r="AK243" s="2"/>
      <c r="AL243" s="2"/>
    </row>
    <row r="244" spans="14:38" ht="15.75" customHeight="1" x14ac:dyDescent="0.25">
      <c r="N244" s="1">
        <v>2211</v>
      </c>
      <c r="O244" s="1">
        <v>2</v>
      </c>
      <c r="P244" s="1">
        <v>2</v>
      </c>
      <c r="Q244" s="1">
        <v>2</v>
      </c>
      <c r="R244" s="1">
        <v>0</v>
      </c>
      <c r="AG244" s="2"/>
      <c r="AH244" s="2"/>
      <c r="AI244" s="2"/>
      <c r="AJ244" s="2"/>
      <c r="AK244" s="2"/>
      <c r="AL244" s="2"/>
    </row>
    <row r="245" spans="14:38" ht="15.75" customHeight="1" x14ac:dyDescent="0.25">
      <c r="N245" s="1">
        <v>2212</v>
      </c>
      <c r="O245" s="1">
        <v>2</v>
      </c>
      <c r="P245" s="1">
        <v>2</v>
      </c>
      <c r="Q245" s="1">
        <v>2</v>
      </c>
      <c r="R245" s="1">
        <v>0</v>
      </c>
      <c r="AG245" s="2"/>
      <c r="AH245" s="2"/>
      <c r="AI245" s="2"/>
      <c r="AJ245" s="2"/>
      <c r="AK245" s="2"/>
      <c r="AL245" s="2"/>
    </row>
    <row r="246" spans="14:38" ht="15.75" customHeight="1" x14ac:dyDescent="0.25">
      <c r="N246" s="1">
        <v>2213</v>
      </c>
      <c r="O246" s="1">
        <v>2</v>
      </c>
      <c r="P246" s="1">
        <v>2</v>
      </c>
      <c r="Q246" s="1">
        <v>2</v>
      </c>
      <c r="R246" s="1">
        <v>0</v>
      </c>
      <c r="AG246" s="2"/>
      <c r="AH246" s="2"/>
      <c r="AI246" s="2"/>
      <c r="AJ246" s="2"/>
      <c r="AK246" s="2"/>
      <c r="AL246" s="2"/>
    </row>
    <row r="247" spans="14:38" ht="15.75" customHeight="1" x14ac:dyDescent="0.25">
      <c r="N247" s="1">
        <v>2214</v>
      </c>
      <c r="O247" s="1">
        <v>2</v>
      </c>
      <c r="P247" s="1">
        <v>2</v>
      </c>
      <c r="Q247" s="1">
        <v>2</v>
      </c>
      <c r="R247" s="1">
        <v>0</v>
      </c>
      <c r="AG247" s="2"/>
      <c r="AH247" s="2"/>
      <c r="AI247" s="2"/>
      <c r="AJ247" s="2"/>
      <c r="AK247" s="2"/>
      <c r="AL247" s="2"/>
    </row>
    <row r="248" spans="14:38" ht="15.75" customHeight="1" x14ac:dyDescent="0.25">
      <c r="N248" s="1">
        <v>2215</v>
      </c>
      <c r="O248" s="1">
        <v>2</v>
      </c>
      <c r="P248" s="1">
        <v>2</v>
      </c>
      <c r="Q248" s="1">
        <v>2</v>
      </c>
      <c r="R248" s="1">
        <v>0</v>
      </c>
      <c r="AG248" s="2"/>
      <c r="AH248" s="2"/>
      <c r="AI248" s="2"/>
      <c r="AJ248" s="2"/>
      <c r="AK248" s="2"/>
      <c r="AL248" s="2"/>
    </row>
    <row r="249" spans="14:38" ht="15.75" customHeight="1" x14ac:dyDescent="0.25">
      <c r="N249" s="1">
        <v>2216</v>
      </c>
      <c r="O249" s="1">
        <v>2</v>
      </c>
      <c r="P249" s="1">
        <v>2</v>
      </c>
      <c r="Q249" s="1">
        <v>2</v>
      </c>
      <c r="R249" s="1">
        <v>0</v>
      </c>
      <c r="AG249" s="2"/>
      <c r="AH249" s="2"/>
      <c r="AI249" s="2"/>
      <c r="AJ249" s="2"/>
      <c r="AK249" s="2"/>
      <c r="AL249" s="2"/>
    </row>
    <row r="250" spans="14:38" ht="15.75" customHeight="1" x14ac:dyDescent="0.25">
      <c r="N250" s="1">
        <v>2217</v>
      </c>
      <c r="O250" s="1">
        <v>2</v>
      </c>
      <c r="P250" s="1">
        <v>2</v>
      </c>
      <c r="Q250" s="1">
        <v>2</v>
      </c>
      <c r="R250" s="1">
        <v>0</v>
      </c>
      <c r="AG250" s="2"/>
      <c r="AH250" s="2"/>
      <c r="AI250" s="2"/>
      <c r="AJ250" s="2"/>
      <c r="AK250" s="2"/>
      <c r="AL250" s="2"/>
    </row>
    <row r="251" spans="14:38" ht="15.75" customHeight="1" x14ac:dyDescent="0.25">
      <c r="N251" s="1">
        <v>2218</v>
      </c>
      <c r="O251" s="1">
        <v>2</v>
      </c>
      <c r="P251" s="1">
        <v>2</v>
      </c>
      <c r="Q251" s="1">
        <v>2</v>
      </c>
      <c r="R251" s="1">
        <v>0</v>
      </c>
      <c r="AG251" s="2"/>
      <c r="AH251" s="2"/>
      <c r="AI251" s="2"/>
      <c r="AJ251" s="2"/>
      <c r="AK251" s="2"/>
      <c r="AL251" s="2"/>
    </row>
    <row r="252" spans="14:38" ht="15.75" customHeight="1" x14ac:dyDescent="0.25">
      <c r="N252" s="1">
        <v>2219</v>
      </c>
      <c r="O252" s="1">
        <v>2</v>
      </c>
      <c r="P252" s="1">
        <v>2</v>
      </c>
      <c r="Q252" s="1">
        <v>2</v>
      </c>
      <c r="R252" s="1">
        <v>0</v>
      </c>
      <c r="AG252" s="2"/>
      <c r="AH252" s="2"/>
      <c r="AI252" s="2"/>
      <c r="AJ252" s="2"/>
      <c r="AK252" s="2"/>
      <c r="AL252" s="2"/>
    </row>
    <row r="253" spans="14:38" ht="15.75" customHeight="1" x14ac:dyDescent="0.25">
      <c r="N253" s="1">
        <v>2220</v>
      </c>
      <c r="O253" s="1">
        <v>2</v>
      </c>
      <c r="P253" s="1">
        <v>2</v>
      </c>
      <c r="Q253" s="1">
        <v>2</v>
      </c>
      <c r="R253" s="1">
        <v>0</v>
      </c>
      <c r="AG253" s="2"/>
      <c r="AH253" s="2"/>
      <c r="AI253" s="2"/>
      <c r="AJ253" s="2"/>
      <c r="AK253" s="2"/>
      <c r="AL253" s="2"/>
    </row>
    <row r="254" spans="14:38" ht="15.75" customHeight="1" x14ac:dyDescent="0.25">
      <c r="N254" s="1">
        <v>2221</v>
      </c>
      <c r="O254" s="1">
        <v>2</v>
      </c>
      <c r="P254" s="1">
        <v>2</v>
      </c>
      <c r="Q254" s="1">
        <v>2</v>
      </c>
      <c r="R254" s="1">
        <v>0</v>
      </c>
      <c r="AG254" s="2"/>
      <c r="AH254" s="2"/>
      <c r="AI254" s="2"/>
      <c r="AJ254" s="2"/>
      <c r="AK254" s="2"/>
      <c r="AL254" s="2"/>
    </row>
    <row r="255" spans="14:38" ht="15.75" customHeight="1" x14ac:dyDescent="0.25">
      <c r="N255" s="1">
        <v>2222</v>
      </c>
      <c r="O255" s="1">
        <v>2</v>
      </c>
      <c r="P255" s="1">
        <v>2</v>
      </c>
      <c r="Q255" s="1">
        <v>2</v>
      </c>
      <c r="R255" s="1">
        <v>0</v>
      </c>
      <c r="AG255" s="2"/>
      <c r="AH255" s="2"/>
      <c r="AI255" s="2"/>
      <c r="AJ255" s="2"/>
      <c r="AK255" s="2"/>
      <c r="AL255" s="2"/>
    </row>
    <row r="256" spans="14:38" ht="15.75" customHeight="1" x14ac:dyDescent="0.25">
      <c r="N256" s="1">
        <v>2223</v>
      </c>
      <c r="O256" s="1">
        <v>2</v>
      </c>
      <c r="P256" s="1">
        <v>2</v>
      </c>
      <c r="Q256" s="1">
        <v>2</v>
      </c>
      <c r="R256" s="1">
        <v>0</v>
      </c>
      <c r="AG256" s="2"/>
      <c r="AH256" s="2"/>
      <c r="AI256" s="2"/>
      <c r="AJ256" s="2"/>
      <c r="AK256" s="2"/>
      <c r="AL256" s="2"/>
    </row>
    <row r="257" spans="14:38" ht="15.75" customHeight="1" x14ac:dyDescent="0.25">
      <c r="N257" s="1">
        <v>2224</v>
      </c>
      <c r="O257" s="1">
        <v>2</v>
      </c>
      <c r="P257" s="1">
        <v>2</v>
      </c>
      <c r="Q257" s="1">
        <v>2</v>
      </c>
      <c r="R257" s="1">
        <v>0</v>
      </c>
      <c r="AG257" s="2"/>
      <c r="AH257" s="2"/>
      <c r="AI257" s="2"/>
      <c r="AJ257" s="2"/>
      <c r="AK257" s="2"/>
      <c r="AL257" s="2"/>
    </row>
    <row r="258" spans="14:38" ht="15.75" customHeight="1" x14ac:dyDescent="0.25">
      <c r="N258" s="1">
        <v>2225</v>
      </c>
      <c r="O258" s="1">
        <v>2</v>
      </c>
      <c r="P258" s="1">
        <v>2</v>
      </c>
      <c r="Q258" s="1">
        <v>2</v>
      </c>
      <c r="R258" s="1">
        <v>0</v>
      </c>
      <c r="AG258" s="2"/>
      <c r="AH258" s="2"/>
      <c r="AI258" s="2"/>
      <c r="AJ258" s="2"/>
      <c r="AK258" s="2"/>
      <c r="AL258" s="2"/>
    </row>
    <row r="259" spans="14:38" ht="15.75" customHeight="1" x14ac:dyDescent="0.25">
      <c r="N259" s="1">
        <v>2226</v>
      </c>
      <c r="O259" s="1">
        <v>2</v>
      </c>
      <c r="P259" s="1">
        <v>2</v>
      </c>
      <c r="Q259" s="1">
        <v>2</v>
      </c>
      <c r="R259" s="1">
        <v>0</v>
      </c>
      <c r="AG259" s="2"/>
      <c r="AH259" s="2"/>
      <c r="AI259" s="2"/>
      <c r="AJ259" s="2"/>
      <c r="AK259" s="2"/>
      <c r="AL259" s="2"/>
    </row>
    <row r="260" spans="14:38" ht="15.75" customHeight="1" x14ac:dyDescent="0.25">
      <c r="N260" s="1">
        <v>2227</v>
      </c>
      <c r="O260" s="1">
        <v>2</v>
      </c>
      <c r="P260" s="1">
        <v>2</v>
      </c>
      <c r="Q260" s="1">
        <v>2</v>
      </c>
      <c r="R260" s="1">
        <v>0</v>
      </c>
      <c r="AG260" s="2"/>
      <c r="AH260" s="2"/>
      <c r="AI260" s="2"/>
      <c r="AJ260" s="2"/>
      <c r="AK260" s="2"/>
      <c r="AL260" s="2"/>
    </row>
    <row r="261" spans="14:38" ht="15.75" customHeight="1" x14ac:dyDescent="0.25">
      <c r="N261" s="1">
        <v>2228</v>
      </c>
      <c r="O261" s="1">
        <v>2</v>
      </c>
      <c r="P261" s="1">
        <v>2</v>
      </c>
      <c r="Q261" s="1">
        <v>2</v>
      </c>
      <c r="R261" s="1">
        <v>0</v>
      </c>
      <c r="AG261" s="2"/>
      <c r="AH261" s="2"/>
      <c r="AI261" s="2"/>
      <c r="AJ261" s="2"/>
      <c r="AK261" s="2"/>
      <c r="AL261" s="2"/>
    </row>
    <row r="262" spans="14:38" ht="15.75" customHeight="1" x14ac:dyDescent="0.25">
      <c r="N262" s="1">
        <v>2229</v>
      </c>
      <c r="O262" s="1">
        <v>2</v>
      </c>
      <c r="P262" s="1">
        <v>2</v>
      </c>
      <c r="Q262" s="1">
        <v>2</v>
      </c>
      <c r="R262" s="1">
        <v>0</v>
      </c>
      <c r="AG262" s="2"/>
      <c r="AH262" s="2"/>
      <c r="AI262" s="2"/>
      <c r="AJ262" s="2"/>
      <c r="AK262" s="2"/>
      <c r="AL262" s="2"/>
    </row>
    <row r="263" spans="14:38" ht="15.75" customHeight="1" x14ac:dyDescent="0.25">
      <c r="N263" s="1">
        <v>2230</v>
      </c>
      <c r="O263" s="1">
        <v>2</v>
      </c>
      <c r="P263" s="1">
        <v>2</v>
      </c>
      <c r="Q263" s="1">
        <v>2</v>
      </c>
      <c r="R263" s="1">
        <v>0</v>
      </c>
      <c r="AG263" s="2"/>
      <c r="AH263" s="2"/>
      <c r="AI263" s="2"/>
      <c r="AJ263" s="2"/>
      <c r="AK263" s="2"/>
      <c r="AL263" s="2"/>
    </row>
    <row r="264" spans="14:38" ht="15.75" customHeight="1" x14ac:dyDescent="0.25">
      <c r="N264" s="1">
        <v>2231</v>
      </c>
      <c r="O264" s="1">
        <v>2</v>
      </c>
      <c r="P264" s="1">
        <v>2</v>
      </c>
      <c r="Q264" s="1">
        <v>2</v>
      </c>
      <c r="R264" s="1">
        <v>0</v>
      </c>
      <c r="AG264" s="2"/>
      <c r="AH264" s="2"/>
      <c r="AI264" s="2"/>
      <c r="AJ264" s="2"/>
      <c r="AK264" s="2"/>
      <c r="AL264" s="2"/>
    </row>
    <row r="265" spans="14:38" ht="15.75" customHeight="1" x14ac:dyDescent="0.25">
      <c r="N265" s="1">
        <v>2232</v>
      </c>
      <c r="O265" s="1">
        <v>2</v>
      </c>
      <c r="P265" s="1">
        <v>2</v>
      </c>
      <c r="Q265" s="1">
        <v>2</v>
      </c>
      <c r="R265" s="1">
        <v>0</v>
      </c>
      <c r="AG265" s="2"/>
      <c r="AH265" s="2"/>
      <c r="AI265" s="2"/>
      <c r="AJ265" s="2"/>
      <c r="AK265" s="2"/>
      <c r="AL265" s="2"/>
    </row>
    <row r="266" spans="14:38" ht="15.75" customHeight="1" x14ac:dyDescent="0.25">
      <c r="N266" s="1">
        <v>2233</v>
      </c>
      <c r="O266" s="1">
        <v>2</v>
      </c>
      <c r="P266" s="1">
        <v>2</v>
      </c>
      <c r="Q266" s="1">
        <v>2</v>
      </c>
      <c r="R266" s="1">
        <v>0</v>
      </c>
      <c r="AG266" s="2"/>
      <c r="AH266" s="2"/>
      <c r="AI266" s="2"/>
      <c r="AJ266" s="2"/>
      <c r="AK266" s="2"/>
      <c r="AL266" s="2"/>
    </row>
    <row r="267" spans="14:38" ht="15.75" customHeight="1" x14ac:dyDescent="0.25">
      <c r="N267" s="1">
        <v>2234</v>
      </c>
      <c r="O267" s="1">
        <v>2</v>
      </c>
      <c r="P267" s="1">
        <v>2</v>
      </c>
      <c r="Q267" s="1">
        <v>2</v>
      </c>
      <c r="R267" s="1">
        <v>0</v>
      </c>
      <c r="AG267" s="2"/>
      <c r="AH267" s="2"/>
      <c r="AI267" s="2"/>
      <c r="AJ267" s="2"/>
      <c r="AK267" s="2"/>
      <c r="AL267" s="2"/>
    </row>
    <row r="268" spans="14:38" ht="15.75" customHeight="1" x14ac:dyDescent="0.25">
      <c r="N268" s="1">
        <v>2235</v>
      </c>
      <c r="O268" s="1">
        <v>2</v>
      </c>
      <c r="P268" s="1">
        <v>2</v>
      </c>
      <c r="Q268" s="1">
        <v>2</v>
      </c>
      <c r="R268" s="1">
        <v>0</v>
      </c>
      <c r="AG268" s="2"/>
      <c r="AH268" s="2"/>
      <c r="AI268" s="2"/>
      <c r="AJ268" s="2"/>
      <c r="AK268" s="2"/>
      <c r="AL268" s="2"/>
    </row>
    <row r="269" spans="14:38" ht="15.75" customHeight="1" x14ac:dyDescent="0.25">
      <c r="N269" s="1">
        <v>2236</v>
      </c>
      <c r="O269" s="1">
        <v>2</v>
      </c>
      <c r="P269" s="1">
        <v>2</v>
      </c>
      <c r="Q269" s="1">
        <v>2</v>
      </c>
      <c r="R269" s="1">
        <v>0</v>
      </c>
      <c r="AG269" s="2"/>
      <c r="AH269" s="2"/>
      <c r="AI269" s="2"/>
      <c r="AJ269" s="2"/>
      <c r="AK269" s="2"/>
      <c r="AL269" s="2"/>
    </row>
    <row r="270" spans="14:38" ht="15.75" customHeight="1" x14ac:dyDescent="0.25">
      <c r="N270" s="1">
        <v>2237</v>
      </c>
      <c r="O270" s="1">
        <v>2</v>
      </c>
      <c r="P270" s="1">
        <v>2</v>
      </c>
      <c r="Q270" s="1">
        <v>2</v>
      </c>
      <c r="R270" s="1">
        <v>0</v>
      </c>
      <c r="AG270" s="2"/>
      <c r="AH270" s="2"/>
      <c r="AI270" s="2"/>
      <c r="AJ270" s="2"/>
      <c r="AK270" s="2"/>
      <c r="AL270" s="2"/>
    </row>
    <row r="271" spans="14:38" ht="15.75" customHeight="1" x14ac:dyDescent="0.25">
      <c r="N271" s="1">
        <v>2238</v>
      </c>
      <c r="O271" s="1">
        <v>2</v>
      </c>
      <c r="P271" s="1">
        <v>2</v>
      </c>
      <c r="Q271" s="1">
        <v>2</v>
      </c>
      <c r="R271" s="1">
        <v>0</v>
      </c>
      <c r="AG271" s="2"/>
      <c r="AH271" s="2"/>
      <c r="AI271" s="2"/>
      <c r="AJ271" s="2"/>
      <c r="AK271" s="2"/>
      <c r="AL271" s="2"/>
    </row>
    <row r="272" spans="14:38" ht="15.75" customHeight="1" x14ac:dyDescent="0.25">
      <c r="N272" s="1">
        <v>2239</v>
      </c>
      <c r="O272" s="1">
        <v>2</v>
      </c>
      <c r="P272" s="1">
        <v>2</v>
      </c>
      <c r="Q272" s="1">
        <v>2</v>
      </c>
      <c r="R272" s="1">
        <v>0</v>
      </c>
      <c r="AG272" s="2"/>
      <c r="AH272" s="2"/>
      <c r="AI272" s="2"/>
      <c r="AJ272" s="2"/>
      <c r="AK272" s="2"/>
      <c r="AL272" s="2"/>
    </row>
    <row r="273" spans="14:38" ht="15.75" customHeight="1" x14ac:dyDescent="0.25">
      <c r="N273" s="1">
        <v>2240</v>
      </c>
      <c r="O273" s="1">
        <v>2</v>
      </c>
      <c r="P273" s="1">
        <v>2</v>
      </c>
      <c r="Q273" s="1">
        <v>2</v>
      </c>
      <c r="R273" s="1">
        <v>0</v>
      </c>
      <c r="AG273" s="2"/>
      <c r="AH273" s="2"/>
      <c r="AI273" s="2"/>
      <c r="AJ273" s="2"/>
      <c r="AK273" s="2"/>
      <c r="AL273" s="2"/>
    </row>
    <row r="274" spans="14:38" ht="15.75" customHeight="1" x14ac:dyDescent="0.25">
      <c r="N274" s="1">
        <v>2241</v>
      </c>
      <c r="O274" s="1">
        <v>2</v>
      </c>
      <c r="P274" s="1">
        <v>2</v>
      </c>
      <c r="Q274" s="1">
        <v>2</v>
      </c>
      <c r="R274" s="1">
        <v>0</v>
      </c>
      <c r="AG274" s="2"/>
      <c r="AH274" s="2"/>
      <c r="AI274" s="2"/>
      <c r="AJ274" s="2"/>
      <c r="AK274" s="2"/>
      <c r="AL274" s="2"/>
    </row>
    <row r="275" spans="14:38" ht="15.75" customHeight="1" x14ac:dyDescent="0.25">
      <c r="N275" s="1">
        <v>2242</v>
      </c>
      <c r="O275" s="1">
        <v>2</v>
      </c>
      <c r="P275" s="1">
        <v>2</v>
      </c>
      <c r="Q275" s="1">
        <v>2</v>
      </c>
      <c r="R275" s="1">
        <v>0</v>
      </c>
      <c r="AG275" s="2"/>
      <c r="AH275" s="2"/>
      <c r="AI275" s="2"/>
      <c r="AJ275" s="2"/>
      <c r="AK275" s="2"/>
      <c r="AL275" s="2"/>
    </row>
    <row r="276" spans="14:38" ht="15.75" customHeight="1" x14ac:dyDescent="0.25">
      <c r="N276" s="1">
        <v>2243</v>
      </c>
      <c r="O276" s="1">
        <v>2</v>
      </c>
      <c r="P276" s="1">
        <v>2</v>
      </c>
      <c r="Q276" s="1">
        <v>2</v>
      </c>
      <c r="R276" s="1">
        <v>0</v>
      </c>
      <c r="AG276" s="2"/>
      <c r="AH276" s="2"/>
      <c r="AI276" s="2"/>
      <c r="AJ276" s="2"/>
      <c r="AK276" s="2"/>
      <c r="AL276" s="2"/>
    </row>
    <row r="277" spans="14:38" ht="15.75" customHeight="1" x14ac:dyDescent="0.25">
      <c r="N277" s="1">
        <v>2244</v>
      </c>
      <c r="O277" s="1">
        <v>2</v>
      </c>
      <c r="P277" s="1">
        <v>2</v>
      </c>
      <c r="Q277" s="1">
        <v>2</v>
      </c>
      <c r="R277" s="1">
        <v>0</v>
      </c>
      <c r="AG277" s="2"/>
      <c r="AH277" s="2"/>
      <c r="AI277" s="2"/>
      <c r="AJ277" s="2"/>
      <c r="AK277" s="2"/>
      <c r="AL277" s="2"/>
    </row>
    <row r="278" spans="14:38" ht="15.75" customHeight="1" x14ac:dyDescent="0.25">
      <c r="N278" s="1">
        <v>2245</v>
      </c>
      <c r="O278" s="1">
        <v>2</v>
      </c>
      <c r="P278" s="1">
        <v>2</v>
      </c>
      <c r="Q278" s="1">
        <v>2</v>
      </c>
      <c r="R278" s="1">
        <v>0</v>
      </c>
      <c r="AG278" s="2"/>
      <c r="AH278" s="2"/>
      <c r="AI278" s="2"/>
      <c r="AJ278" s="2"/>
      <c r="AK278" s="2"/>
      <c r="AL278" s="2"/>
    </row>
    <row r="279" spans="14:38" ht="15.75" customHeight="1" x14ac:dyDescent="0.25">
      <c r="N279" s="1">
        <v>2246</v>
      </c>
      <c r="O279" s="1">
        <v>2</v>
      </c>
      <c r="P279" s="1">
        <v>2</v>
      </c>
      <c r="Q279" s="1">
        <v>2</v>
      </c>
      <c r="R279" s="1">
        <v>0</v>
      </c>
      <c r="AG279" s="2"/>
      <c r="AH279" s="2"/>
      <c r="AI279" s="2"/>
      <c r="AJ279" s="2"/>
      <c r="AK279" s="2"/>
      <c r="AL279" s="2"/>
    </row>
    <row r="280" spans="14:38" ht="15.75" customHeight="1" x14ac:dyDescent="0.25">
      <c r="N280" s="1">
        <v>2247</v>
      </c>
      <c r="O280" s="1">
        <v>2</v>
      </c>
      <c r="P280" s="1">
        <v>2</v>
      </c>
      <c r="Q280" s="1">
        <v>2</v>
      </c>
      <c r="R280" s="1">
        <v>0</v>
      </c>
      <c r="AG280" s="2"/>
      <c r="AH280" s="2"/>
      <c r="AI280" s="2"/>
      <c r="AJ280" s="2"/>
      <c r="AK280" s="2"/>
      <c r="AL280" s="2"/>
    </row>
    <row r="281" spans="14:38" ht="15.75" customHeight="1" x14ac:dyDescent="0.25">
      <c r="N281" s="1">
        <v>2248</v>
      </c>
      <c r="O281" s="1">
        <v>2</v>
      </c>
      <c r="P281" s="1">
        <v>2</v>
      </c>
      <c r="Q281" s="1">
        <v>2</v>
      </c>
      <c r="R281" s="1">
        <v>0</v>
      </c>
      <c r="AG281" s="2"/>
      <c r="AH281" s="2"/>
      <c r="AI281" s="2"/>
      <c r="AJ281" s="2"/>
      <c r="AK281" s="2"/>
      <c r="AL281" s="2"/>
    </row>
    <row r="282" spans="14:38" ht="15.75" customHeight="1" x14ac:dyDescent="0.25">
      <c r="N282" s="1">
        <v>2249</v>
      </c>
      <c r="O282" s="1">
        <v>2</v>
      </c>
      <c r="P282" s="1">
        <v>2</v>
      </c>
      <c r="Q282" s="1">
        <v>2</v>
      </c>
      <c r="R282" s="1">
        <v>0</v>
      </c>
      <c r="AG282" s="2"/>
      <c r="AH282" s="2"/>
      <c r="AI282" s="2"/>
      <c r="AJ282" s="2"/>
      <c r="AK282" s="2"/>
      <c r="AL282" s="2"/>
    </row>
    <row r="283" spans="14:38" ht="15.75" customHeight="1" x14ac:dyDescent="0.25">
      <c r="N283" s="1">
        <v>2250</v>
      </c>
      <c r="O283" s="1">
        <v>2</v>
      </c>
      <c r="P283" s="1">
        <v>2</v>
      </c>
      <c r="Q283" s="1">
        <v>2</v>
      </c>
      <c r="R283" s="1">
        <v>0</v>
      </c>
      <c r="AG283" s="2"/>
      <c r="AH283" s="2"/>
      <c r="AI283" s="2"/>
      <c r="AJ283" s="2"/>
      <c r="AK283" s="2"/>
      <c r="AL283" s="2"/>
    </row>
    <row r="284" spans="14:38" ht="15.75" customHeight="1" x14ac:dyDescent="0.25">
      <c r="N284" s="1">
        <v>2251</v>
      </c>
      <c r="O284" s="1">
        <v>2</v>
      </c>
      <c r="P284" s="1">
        <v>2</v>
      </c>
      <c r="Q284" s="1">
        <v>2</v>
      </c>
      <c r="R284" s="1">
        <v>0</v>
      </c>
      <c r="AG284" s="2"/>
      <c r="AH284" s="2"/>
      <c r="AI284" s="2"/>
      <c r="AJ284" s="2"/>
      <c r="AK284" s="2"/>
      <c r="AL284" s="2"/>
    </row>
    <row r="285" spans="14:38" ht="15.75" customHeight="1" x14ac:dyDescent="0.25">
      <c r="N285" s="1">
        <v>2252</v>
      </c>
      <c r="O285" s="1">
        <v>2</v>
      </c>
      <c r="P285" s="1">
        <v>2</v>
      </c>
      <c r="Q285" s="1">
        <v>2</v>
      </c>
      <c r="R285" s="1">
        <v>0</v>
      </c>
      <c r="AG285" s="2"/>
      <c r="AH285" s="2"/>
      <c r="AI285" s="2"/>
      <c r="AJ285" s="2"/>
      <c r="AK285" s="2"/>
      <c r="AL285" s="2"/>
    </row>
    <row r="286" spans="14:38" ht="15.75" customHeight="1" x14ac:dyDescent="0.25">
      <c r="N286" s="1">
        <v>2253</v>
      </c>
      <c r="O286" s="1">
        <v>2</v>
      </c>
      <c r="P286" s="1">
        <v>2</v>
      </c>
      <c r="Q286" s="1">
        <v>2</v>
      </c>
      <c r="R286" s="1">
        <v>0</v>
      </c>
      <c r="AG286" s="2"/>
      <c r="AH286" s="2"/>
      <c r="AI286" s="2"/>
      <c r="AJ286" s="2"/>
      <c r="AK286" s="2"/>
      <c r="AL286" s="2"/>
    </row>
    <row r="287" spans="14:38" ht="15.75" customHeight="1" x14ac:dyDescent="0.25">
      <c r="N287" s="1">
        <v>2254</v>
      </c>
      <c r="O287" s="1">
        <v>2</v>
      </c>
      <c r="P287" s="1">
        <v>2</v>
      </c>
      <c r="Q287" s="1">
        <v>2</v>
      </c>
      <c r="R287" s="1">
        <v>0</v>
      </c>
      <c r="AG287" s="2"/>
      <c r="AH287" s="2"/>
      <c r="AI287" s="2"/>
      <c r="AJ287" s="2"/>
      <c r="AK287" s="2"/>
      <c r="AL287" s="2"/>
    </row>
    <row r="288" spans="14:38" ht="15.75" customHeight="1" x14ac:dyDescent="0.25">
      <c r="N288" s="1">
        <v>2255</v>
      </c>
      <c r="O288" s="1">
        <v>2</v>
      </c>
      <c r="P288" s="1">
        <v>2</v>
      </c>
      <c r="Q288" s="1">
        <v>2</v>
      </c>
      <c r="R288" s="1">
        <v>0</v>
      </c>
      <c r="AG288" s="2"/>
      <c r="AH288" s="2"/>
      <c r="AI288" s="2"/>
      <c r="AJ288" s="2"/>
      <c r="AK288" s="2"/>
      <c r="AL288" s="2"/>
    </row>
    <row r="289" spans="14:38" ht="15.75" customHeight="1" x14ac:dyDescent="0.25">
      <c r="N289" s="1">
        <v>2256</v>
      </c>
      <c r="O289" s="1">
        <v>2</v>
      </c>
      <c r="P289" s="1">
        <v>2</v>
      </c>
      <c r="Q289" s="1">
        <v>2</v>
      </c>
      <c r="R289" s="1">
        <v>0</v>
      </c>
      <c r="AG289" s="2"/>
      <c r="AH289" s="2"/>
      <c r="AI289" s="2"/>
      <c r="AJ289" s="2"/>
      <c r="AK289" s="2"/>
      <c r="AL289" s="2"/>
    </row>
    <row r="290" spans="14:38" ht="15.75" customHeight="1" x14ac:dyDescent="0.25">
      <c r="N290" s="1">
        <v>2257</v>
      </c>
      <c r="O290" s="1">
        <v>2</v>
      </c>
      <c r="P290" s="1">
        <v>2</v>
      </c>
      <c r="Q290" s="1">
        <v>2</v>
      </c>
      <c r="R290" s="1">
        <v>0</v>
      </c>
      <c r="AG290" s="2"/>
      <c r="AH290" s="2"/>
      <c r="AI290" s="2"/>
      <c r="AJ290" s="2"/>
      <c r="AK290" s="2"/>
      <c r="AL290" s="2"/>
    </row>
    <row r="291" spans="14:38" ht="15.75" customHeight="1" x14ac:dyDescent="0.25">
      <c r="N291" s="1">
        <v>2258</v>
      </c>
      <c r="O291" s="1">
        <v>2</v>
      </c>
      <c r="P291" s="1">
        <v>2</v>
      </c>
      <c r="Q291" s="1">
        <v>2</v>
      </c>
      <c r="R291" s="1">
        <v>0</v>
      </c>
      <c r="AG291" s="2"/>
      <c r="AH291" s="2"/>
      <c r="AI291" s="2"/>
      <c r="AJ291" s="2"/>
      <c r="AK291" s="2"/>
      <c r="AL291" s="2"/>
    </row>
    <row r="292" spans="14:38" ht="15.75" customHeight="1" x14ac:dyDescent="0.25">
      <c r="N292" s="1">
        <v>2259</v>
      </c>
      <c r="O292" s="1">
        <v>2</v>
      </c>
      <c r="P292" s="1">
        <v>2</v>
      </c>
      <c r="Q292" s="1">
        <v>2</v>
      </c>
      <c r="R292" s="1">
        <v>0</v>
      </c>
      <c r="AG292" s="2"/>
      <c r="AH292" s="2"/>
      <c r="AI292" s="2"/>
      <c r="AJ292" s="2"/>
      <c r="AK292" s="2"/>
      <c r="AL292" s="2"/>
    </row>
    <row r="293" spans="14:38" ht="15.75" customHeight="1" x14ac:dyDescent="0.25">
      <c r="N293" s="1">
        <v>2260</v>
      </c>
      <c r="O293" s="1">
        <v>2</v>
      </c>
      <c r="P293" s="1">
        <v>2</v>
      </c>
      <c r="Q293" s="1">
        <v>2</v>
      </c>
      <c r="R293" s="1">
        <v>0</v>
      </c>
      <c r="AG293" s="2"/>
      <c r="AH293" s="2"/>
      <c r="AI293" s="2"/>
      <c r="AJ293" s="2"/>
      <c r="AK293" s="2"/>
      <c r="AL293" s="2"/>
    </row>
    <row r="294" spans="14:38" ht="15.75" customHeight="1" x14ac:dyDescent="0.25">
      <c r="N294" s="1">
        <v>2261</v>
      </c>
      <c r="O294" s="1">
        <v>2</v>
      </c>
      <c r="P294" s="1">
        <v>2</v>
      </c>
      <c r="Q294" s="1">
        <v>2</v>
      </c>
      <c r="R294" s="1">
        <v>0</v>
      </c>
      <c r="AG294" s="2"/>
      <c r="AH294" s="2"/>
      <c r="AI294" s="2"/>
      <c r="AJ294" s="2"/>
      <c r="AK294" s="2"/>
      <c r="AL294" s="2"/>
    </row>
    <row r="295" spans="14:38" ht="15.75" customHeight="1" x14ac:dyDescent="0.25">
      <c r="N295" s="1">
        <v>2262</v>
      </c>
      <c r="O295" s="1">
        <v>2</v>
      </c>
      <c r="P295" s="1">
        <v>2</v>
      </c>
      <c r="Q295" s="1">
        <v>2</v>
      </c>
      <c r="R295" s="1">
        <v>0</v>
      </c>
      <c r="AG295" s="2"/>
      <c r="AH295" s="2"/>
      <c r="AI295" s="2"/>
      <c r="AJ295" s="2"/>
      <c r="AK295" s="2"/>
      <c r="AL295" s="2"/>
    </row>
    <row r="296" spans="14:38" ht="15.75" customHeight="1" x14ac:dyDescent="0.25">
      <c r="N296" s="1">
        <v>2263</v>
      </c>
      <c r="O296" s="1">
        <v>2</v>
      </c>
      <c r="P296" s="1">
        <v>2</v>
      </c>
      <c r="Q296" s="1">
        <v>2</v>
      </c>
      <c r="R296" s="1">
        <v>0</v>
      </c>
      <c r="AG296" s="2"/>
      <c r="AH296" s="2"/>
      <c r="AI296" s="2"/>
      <c r="AJ296" s="2"/>
      <c r="AK296" s="2"/>
      <c r="AL296" s="2"/>
    </row>
    <row r="297" spans="14:38" ht="15.75" customHeight="1" x14ac:dyDescent="0.25">
      <c r="N297" s="1">
        <v>2264</v>
      </c>
      <c r="O297" s="1">
        <v>2</v>
      </c>
      <c r="P297" s="1">
        <v>2</v>
      </c>
      <c r="Q297" s="1">
        <v>2</v>
      </c>
      <c r="R297" s="1">
        <v>0</v>
      </c>
      <c r="AG297" s="2"/>
      <c r="AH297" s="2"/>
      <c r="AI297" s="2"/>
      <c r="AJ297" s="2"/>
      <c r="AK297" s="2"/>
      <c r="AL297" s="2"/>
    </row>
    <row r="298" spans="14:38" ht="15.75" customHeight="1" x14ac:dyDescent="0.25">
      <c r="N298" s="1">
        <v>2265</v>
      </c>
      <c r="O298" s="1">
        <v>2</v>
      </c>
      <c r="P298" s="1">
        <v>2</v>
      </c>
      <c r="Q298" s="1">
        <v>2</v>
      </c>
      <c r="R298" s="1">
        <v>0</v>
      </c>
      <c r="AG298" s="2"/>
      <c r="AH298" s="2"/>
      <c r="AI298" s="2"/>
      <c r="AJ298" s="2"/>
      <c r="AK298" s="2"/>
      <c r="AL298" s="2"/>
    </row>
    <row r="299" spans="14:38" ht="15.75" customHeight="1" x14ac:dyDescent="0.25">
      <c r="N299" s="1">
        <v>2266</v>
      </c>
      <c r="O299" s="1">
        <v>2</v>
      </c>
      <c r="P299" s="1">
        <v>2</v>
      </c>
      <c r="Q299" s="1">
        <v>2</v>
      </c>
      <c r="R299" s="1">
        <v>0</v>
      </c>
      <c r="AG299" s="2"/>
      <c r="AH299" s="2"/>
      <c r="AI299" s="2"/>
      <c r="AJ299" s="2"/>
      <c r="AK299" s="2"/>
      <c r="AL299" s="2"/>
    </row>
    <row r="300" spans="14:38" ht="15.75" customHeight="1" x14ac:dyDescent="0.25">
      <c r="N300" s="1">
        <v>2267</v>
      </c>
      <c r="O300" s="1">
        <v>2</v>
      </c>
      <c r="P300" s="1">
        <v>2</v>
      </c>
      <c r="Q300" s="1">
        <v>2</v>
      </c>
      <c r="R300" s="1">
        <v>0</v>
      </c>
      <c r="AG300" s="2"/>
      <c r="AH300" s="2"/>
      <c r="AI300" s="2"/>
      <c r="AJ300" s="2"/>
      <c r="AK300" s="2"/>
      <c r="AL300" s="2"/>
    </row>
    <row r="301" spans="14:38" ht="15.75" customHeight="1" x14ac:dyDescent="0.25">
      <c r="N301" s="1">
        <v>2268</v>
      </c>
      <c r="O301" s="1">
        <v>2</v>
      </c>
      <c r="P301" s="1">
        <v>2</v>
      </c>
      <c r="Q301" s="1">
        <v>2</v>
      </c>
      <c r="R301" s="1">
        <v>0</v>
      </c>
      <c r="AG301" s="2"/>
      <c r="AH301" s="2"/>
      <c r="AI301" s="2"/>
      <c r="AJ301" s="2"/>
      <c r="AK301" s="2"/>
      <c r="AL301" s="2"/>
    </row>
    <row r="302" spans="14:38" ht="15.75" customHeight="1" x14ac:dyDescent="0.25">
      <c r="N302" s="1">
        <v>2269</v>
      </c>
      <c r="O302" s="1">
        <v>2</v>
      </c>
      <c r="P302" s="1">
        <v>2</v>
      </c>
      <c r="Q302" s="1">
        <v>2</v>
      </c>
      <c r="R302" s="1">
        <v>0</v>
      </c>
      <c r="AG302" s="2"/>
      <c r="AH302" s="2"/>
      <c r="AI302" s="2"/>
      <c r="AJ302" s="2"/>
      <c r="AK302" s="2"/>
      <c r="AL302" s="2"/>
    </row>
    <row r="303" spans="14:38" ht="15.75" customHeight="1" x14ac:dyDescent="0.25">
      <c r="N303" s="1">
        <v>2270</v>
      </c>
      <c r="O303" s="1">
        <v>2</v>
      </c>
      <c r="P303" s="1">
        <v>2</v>
      </c>
      <c r="Q303" s="1">
        <v>2</v>
      </c>
      <c r="R303" s="1">
        <v>0</v>
      </c>
      <c r="AG303" s="2"/>
      <c r="AH303" s="2"/>
      <c r="AI303" s="2"/>
      <c r="AJ303" s="2"/>
      <c r="AK303" s="2"/>
      <c r="AL303" s="2"/>
    </row>
    <row r="304" spans="14:38" ht="15.75" customHeight="1" x14ac:dyDescent="0.25">
      <c r="N304" s="1">
        <v>2271</v>
      </c>
      <c r="O304" s="1">
        <v>2</v>
      </c>
      <c r="P304" s="1">
        <v>2</v>
      </c>
      <c r="Q304" s="1">
        <v>2</v>
      </c>
      <c r="R304" s="1">
        <v>0</v>
      </c>
      <c r="AG304" s="2"/>
      <c r="AH304" s="2"/>
      <c r="AI304" s="2"/>
      <c r="AJ304" s="2"/>
      <c r="AK304" s="2"/>
      <c r="AL304" s="2"/>
    </row>
    <row r="305" spans="14:38" ht="15.75" customHeight="1" x14ac:dyDescent="0.25">
      <c r="N305" s="1">
        <v>2272</v>
      </c>
      <c r="O305" s="1">
        <v>2</v>
      </c>
      <c r="P305" s="1">
        <v>2</v>
      </c>
      <c r="Q305" s="1">
        <v>2</v>
      </c>
      <c r="R305" s="1">
        <v>0</v>
      </c>
      <c r="AG305" s="2"/>
      <c r="AH305" s="2"/>
      <c r="AI305" s="2"/>
      <c r="AJ305" s="2"/>
      <c r="AK305" s="2"/>
      <c r="AL305" s="2"/>
    </row>
    <row r="306" spans="14:38" ht="15.75" customHeight="1" x14ac:dyDescent="0.25">
      <c r="AG306" s="2"/>
      <c r="AH306" s="2"/>
      <c r="AI306" s="2"/>
      <c r="AJ306" s="2"/>
      <c r="AK306" s="2"/>
      <c r="AL306" s="2"/>
    </row>
    <row r="307" spans="14:38" ht="15.75" customHeight="1" x14ac:dyDescent="0.25">
      <c r="AG307" s="2"/>
      <c r="AH307" s="2"/>
      <c r="AI307" s="2"/>
      <c r="AJ307" s="2"/>
      <c r="AK307" s="2"/>
      <c r="AL307" s="2"/>
    </row>
    <row r="308" spans="14:38" ht="15.75" customHeight="1" x14ac:dyDescent="0.25">
      <c r="AG308" s="2"/>
      <c r="AH308" s="2"/>
      <c r="AI308" s="2"/>
      <c r="AJ308" s="2"/>
      <c r="AK308" s="2"/>
      <c r="AL308" s="2"/>
    </row>
    <row r="309" spans="14:38" ht="15.75" customHeight="1" x14ac:dyDescent="0.25">
      <c r="AG309" s="2"/>
      <c r="AH309" s="2"/>
      <c r="AI309" s="2"/>
      <c r="AJ309" s="2"/>
      <c r="AK309" s="2"/>
      <c r="AL309" s="2"/>
    </row>
    <row r="310" spans="14:38" ht="15.75" customHeight="1" x14ac:dyDescent="0.25">
      <c r="AG310" s="2"/>
      <c r="AH310" s="2"/>
      <c r="AI310" s="2"/>
      <c r="AJ310" s="2"/>
      <c r="AK310" s="2"/>
      <c r="AL310" s="2"/>
    </row>
    <row r="311" spans="14:38" ht="15.75" customHeight="1" x14ac:dyDescent="0.25">
      <c r="AG311" s="2"/>
      <c r="AH311" s="2"/>
      <c r="AI311" s="2"/>
      <c r="AJ311" s="2"/>
      <c r="AK311" s="2"/>
      <c r="AL311" s="2"/>
    </row>
    <row r="312" spans="14:38" ht="15.75" customHeight="1" x14ac:dyDescent="0.25">
      <c r="AG312" s="2"/>
      <c r="AH312" s="2"/>
      <c r="AI312" s="2"/>
      <c r="AJ312" s="2"/>
      <c r="AK312" s="2"/>
      <c r="AL312" s="2"/>
    </row>
    <row r="313" spans="14:38" ht="15.75" customHeight="1" x14ac:dyDescent="0.25">
      <c r="AG313" s="2"/>
      <c r="AH313" s="2"/>
      <c r="AI313" s="2"/>
      <c r="AJ313" s="2"/>
      <c r="AK313" s="2"/>
      <c r="AL313" s="2"/>
    </row>
    <row r="314" spans="14:38" ht="15.75" customHeight="1" x14ac:dyDescent="0.25">
      <c r="AG314" s="2"/>
      <c r="AH314" s="2"/>
      <c r="AI314" s="2"/>
      <c r="AJ314" s="2"/>
      <c r="AK314" s="2"/>
      <c r="AL314" s="2"/>
    </row>
    <row r="315" spans="14:38" ht="15.75" customHeight="1" x14ac:dyDescent="0.25">
      <c r="AG315" s="2"/>
      <c r="AH315" s="2"/>
      <c r="AI315" s="2"/>
      <c r="AJ315" s="2"/>
      <c r="AK315" s="2"/>
      <c r="AL315" s="2"/>
    </row>
    <row r="316" spans="14:38" ht="15.75" customHeight="1" x14ac:dyDescent="0.25">
      <c r="AG316" s="2"/>
      <c r="AH316" s="2"/>
      <c r="AI316" s="2"/>
      <c r="AJ316" s="2"/>
      <c r="AK316" s="2"/>
      <c r="AL316" s="2"/>
    </row>
    <row r="317" spans="14:38" ht="15.75" customHeight="1" x14ac:dyDescent="0.25">
      <c r="AG317" s="2"/>
      <c r="AH317" s="2"/>
      <c r="AI317" s="2"/>
      <c r="AJ317" s="2"/>
      <c r="AK317" s="2"/>
      <c r="AL317" s="2"/>
    </row>
    <row r="318" spans="14:38" ht="15.75" customHeight="1" x14ac:dyDescent="0.25">
      <c r="AG318" s="2"/>
      <c r="AH318" s="2"/>
      <c r="AI318" s="2"/>
      <c r="AJ318" s="2"/>
      <c r="AK318" s="2"/>
      <c r="AL318" s="2"/>
    </row>
    <row r="319" spans="14:38" ht="15.75" customHeight="1" x14ac:dyDescent="0.25">
      <c r="AG319" s="2"/>
      <c r="AH319" s="2"/>
      <c r="AI319" s="2"/>
      <c r="AJ319" s="2"/>
      <c r="AK319" s="2"/>
      <c r="AL319" s="2"/>
    </row>
    <row r="320" spans="14:38" ht="15.75" customHeight="1" x14ac:dyDescent="0.25">
      <c r="AG320" s="2"/>
      <c r="AH320" s="2"/>
      <c r="AI320" s="2"/>
      <c r="AJ320" s="2"/>
      <c r="AK320" s="2"/>
      <c r="AL320" s="2"/>
    </row>
    <row r="321" spans="33:38" ht="15.75" customHeight="1" x14ac:dyDescent="0.25">
      <c r="AG321" s="2"/>
      <c r="AH321" s="2"/>
      <c r="AI321" s="2"/>
      <c r="AJ321" s="2"/>
      <c r="AK321" s="2"/>
      <c r="AL321" s="2"/>
    </row>
    <row r="322" spans="33:38" ht="15.75" customHeight="1" x14ac:dyDescent="0.25">
      <c r="AG322" s="2"/>
      <c r="AH322" s="2"/>
      <c r="AI322" s="2"/>
      <c r="AJ322" s="2"/>
      <c r="AK322" s="2"/>
      <c r="AL322" s="2"/>
    </row>
    <row r="323" spans="33:38" ht="15.75" customHeight="1" x14ac:dyDescent="0.25">
      <c r="AG323" s="2"/>
      <c r="AH323" s="2"/>
      <c r="AI323" s="2"/>
      <c r="AJ323" s="2"/>
      <c r="AK323" s="2"/>
      <c r="AL323" s="2"/>
    </row>
    <row r="324" spans="33:38" ht="15.75" customHeight="1" x14ac:dyDescent="0.25">
      <c r="AG324" s="2"/>
      <c r="AH324" s="2"/>
      <c r="AI324" s="2"/>
      <c r="AJ324" s="2"/>
      <c r="AK324" s="2"/>
      <c r="AL324" s="2"/>
    </row>
    <row r="325" spans="33:38" ht="15.75" customHeight="1" x14ac:dyDescent="0.25">
      <c r="AG325" s="2"/>
      <c r="AH325" s="2"/>
      <c r="AI325" s="2"/>
      <c r="AJ325" s="2"/>
      <c r="AK325" s="2"/>
      <c r="AL325" s="2"/>
    </row>
    <row r="326" spans="33:38" ht="15.75" customHeight="1" x14ac:dyDescent="0.25">
      <c r="AG326" s="2"/>
      <c r="AH326" s="2"/>
      <c r="AI326" s="2"/>
      <c r="AJ326" s="2"/>
      <c r="AK326" s="2"/>
      <c r="AL326" s="2"/>
    </row>
    <row r="327" spans="33:38" ht="15.75" customHeight="1" x14ac:dyDescent="0.25">
      <c r="AG327" s="2"/>
      <c r="AH327" s="2"/>
      <c r="AI327" s="2"/>
      <c r="AJ327" s="2"/>
      <c r="AK327" s="2"/>
      <c r="AL327" s="2"/>
    </row>
    <row r="328" spans="33:38" ht="15.75" customHeight="1" x14ac:dyDescent="0.25">
      <c r="AG328" s="2"/>
      <c r="AH328" s="2"/>
      <c r="AI328" s="2"/>
      <c r="AJ328" s="2"/>
      <c r="AK328" s="2"/>
      <c r="AL328" s="2"/>
    </row>
    <row r="329" spans="33:38" ht="15.75" customHeight="1" x14ac:dyDescent="0.25">
      <c r="AG329" s="2"/>
      <c r="AH329" s="2"/>
      <c r="AI329" s="2"/>
      <c r="AJ329" s="2"/>
      <c r="AK329" s="2"/>
      <c r="AL329" s="2"/>
    </row>
    <row r="330" spans="33:38" ht="15.75" customHeight="1" x14ac:dyDescent="0.25">
      <c r="AG330" s="2"/>
      <c r="AH330" s="2"/>
      <c r="AI330" s="2"/>
      <c r="AJ330" s="2"/>
      <c r="AK330" s="2"/>
      <c r="AL330" s="2"/>
    </row>
    <row r="331" spans="33:38" ht="15.75" customHeight="1" x14ac:dyDescent="0.25">
      <c r="AG331" s="2"/>
      <c r="AH331" s="2"/>
      <c r="AI331" s="2"/>
      <c r="AJ331" s="2"/>
      <c r="AK331" s="2"/>
      <c r="AL331" s="2"/>
    </row>
    <row r="332" spans="33:38" ht="15.75" customHeight="1" x14ac:dyDescent="0.25">
      <c r="AG332" s="2"/>
      <c r="AH332" s="2"/>
      <c r="AI332" s="2"/>
      <c r="AJ332" s="2"/>
      <c r="AK332" s="2"/>
      <c r="AL332" s="2"/>
    </row>
    <row r="333" spans="33:38" ht="15.75" customHeight="1" x14ac:dyDescent="0.25">
      <c r="AG333" s="2"/>
      <c r="AH333" s="2"/>
      <c r="AI333" s="2"/>
      <c r="AJ333" s="2"/>
      <c r="AK333" s="2"/>
      <c r="AL333" s="2"/>
    </row>
    <row r="334" spans="33:38" ht="15.75" customHeight="1" x14ac:dyDescent="0.25">
      <c r="AG334" s="2"/>
      <c r="AH334" s="2"/>
      <c r="AI334" s="2"/>
      <c r="AJ334" s="2"/>
      <c r="AK334" s="2"/>
      <c r="AL334" s="2"/>
    </row>
    <row r="335" spans="33:38" ht="15.75" customHeight="1" x14ac:dyDescent="0.25">
      <c r="AG335" s="2"/>
      <c r="AH335" s="2"/>
      <c r="AI335" s="2"/>
      <c r="AJ335" s="2"/>
      <c r="AK335" s="2"/>
      <c r="AL335" s="2"/>
    </row>
    <row r="336" spans="33:38" ht="15.75" customHeight="1" x14ac:dyDescent="0.25">
      <c r="AG336" s="2"/>
      <c r="AH336" s="2"/>
      <c r="AI336" s="2"/>
      <c r="AJ336" s="2"/>
      <c r="AK336" s="2"/>
      <c r="AL336" s="2"/>
    </row>
    <row r="337" spans="33:38" ht="15.75" customHeight="1" x14ac:dyDescent="0.25">
      <c r="AG337" s="2"/>
      <c r="AH337" s="2"/>
      <c r="AI337" s="2"/>
      <c r="AJ337" s="2"/>
      <c r="AK337" s="2"/>
      <c r="AL337" s="2"/>
    </row>
    <row r="338" spans="33:38" ht="15.75" customHeight="1" x14ac:dyDescent="0.25">
      <c r="AG338" s="2"/>
      <c r="AH338" s="2"/>
      <c r="AI338" s="2"/>
      <c r="AJ338" s="2"/>
      <c r="AK338" s="2"/>
      <c r="AL338" s="2"/>
    </row>
    <row r="339" spans="33:38" ht="15.75" customHeight="1" x14ac:dyDescent="0.25">
      <c r="AG339" s="2"/>
      <c r="AH339" s="2"/>
      <c r="AI339" s="2"/>
      <c r="AJ339" s="2"/>
      <c r="AK339" s="2"/>
      <c r="AL339" s="2"/>
    </row>
    <row r="340" spans="33:38" ht="15.75" customHeight="1" x14ac:dyDescent="0.25">
      <c r="AG340" s="2"/>
      <c r="AH340" s="2"/>
      <c r="AI340" s="2"/>
      <c r="AJ340" s="2"/>
      <c r="AK340" s="2"/>
      <c r="AL340" s="2"/>
    </row>
    <row r="341" spans="33:38" ht="15.75" customHeight="1" x14ac:dyDescent="0.25">
      <c r="AG341" s="2"/>
      <c r="AH341" s="2"/>
      <c r="AI341" s="2"/>
      <c r="AJ341" s="2"/>
      <c r="AK341" s="2"/>
      <c r="AL341" s="2"/>
    </row>
    <row r="342" spans="33:38" ht="15.75" customHeight="1" x14ac:dyDescent="0.25">
      <c r="AG342" s="2"/>
      <c r="AH342" s="2"/>
      <c r="AI342" s="2"/>
      <c r="AJ342" s="2"/>
      <c r="AK342" s="2"/>
      <c r="AL342" s="2"/>
    </row>
    <row r="343" spans="33:38" ht="15.75" customHeight="1" x14ac:dyDescent="0.25">
      <c r="AG343" s="2"/>
      <c r="AH343" s="2"/>
      <c r="AI343" s="2"/>
      <c r="AJ343" s="2"/>
      <c r="AK343" s="2"/>
      <c r="AL343" s="2"/>
    </row>
    <row r="344" spans="33:38" ht="15.75" customHeight="1" x14ac:dyDescent="0.25">
      <c r="AG344" s="2"/>
      <c r="AH344" s="2"/>
      <c r="AI344" s="2"/>
      <c r="AJ344" s="2"/>
      <c r="AK344" s="2"/>
      <c r="AL344" s="2"/>
    </row>
    <row r="345" spans="33:38" ht="15.75" customHeight="1" x14ac:dyDescent="0.25">
      <c r="AG345" s="2"/>
      <c r="AH345" s="2"/>
      <c r="AI345" s="2"/>
      <c r="AJ345" s="2"/>
      <c r="AK345" s="2"/>
      <c r="AL345" s="2"/>
    </row>
    <row r="346" spans="33:38" ht="15.75" customHeight="1" x14ac:dyDescent="0.25">
      <c r="AG346" s="2"/>
      <c r="AH346" s="2"/>
      <c r="AI346" s="2"/>
      <c r="AJ346" s="2"/>
      <c r="AK346" s="2"/>
      <c r="AL346" s="2"/>
    </row>
    <row r="347" spans="33:38" ht="15.75" customHeight="1" x14ac:dyDescent="0.25">
      <c r="AG347" s="2"/>
      <c r="AH347" s="2"/>
      <c r="AI347" s="2"/>
      <c r="AJ347" s="2"/>
      <c r="AK347" s="2"/>
      <c r="AL347" s="2"/>
    </row>
    <row r="348" spans="33:38" ht="15.75" customHeight="1" x14ac:dyDescent="0.25">
      <c r="AG348" s="2"/>
      <c r="AH348" s="2"/>
      <c r="AI348" s="2"/>
      <c r="AJ348" s="2"/>
      <c r="AK348" s="2"/>
      <c r="AL348" s="2"/>
    </row>
    <row r="349" spans="33:38" ht="15.75" customHeight="1" x14ac:dyDescent="0.25">
      <c r="AG349" s="2"/>
      <c r="AH349" s="2"/>
      <c r="AI349" s="2"/>
      <c r="AJ349" s="2"/>
      <c r="AK349" s="2"/>
      <c r="AL349" s="2"/>
    </row>
    <row r="350" spans="33:38" ht="15.75" customHeight="1" x14ac:dyDescent="0.25">
      <c r="AG350" s="2"/>
      <c r="AH350" s="2"/>
      <c r="AI350" s="2"/>
      <c r="AJ350" s="2"/>
      <c r="AK350" s="2"/>
      <c r="AL350" s="2"/>
    </row>
    <row r="351" spans="33:38" ht="15.75" customHeight="1" x14ac:dyDescent="0.25">
      <c r="AG351" s="2"/>
      <c r="AH351" s="2"/>
      <c r="AI351" s="2"/>
      <c r="AJ351" s="2"/>
      <c r="AK351" s="2"/>
      <c r="AL351" s="2"/>
    </row>
    <row r="352" spans="33:38" ht="15.75" customHeight="1" x14ac:dyDescent="0.25">
      <c r="AG352" s="2"/>
      <c r="AH352" s="2"/>
      <c r="AI352" s="2"/>
      <c r="AJ352" s="2"/>
      <c r="AK352" s="2"/>
      <c r="AL352" s="2"/>
    </row>
    <row r="353" spans="33:38" ht="15.75" customHeight="1" x14ac:dyDescent="0.25">
      <c r="AG353" s="2"/>
      <c r="AH353" s="2"/>
      <c r="AI353" s="2"/>
      <c r="AJ353" s="2"/>
      <c r="AK353" s="2"/>
      <c r="AL353" s="2"/>
    </row>
    <row r="354" spans="33:38" ht="15.75" customHeight="1" x14ac:dyDescent="0.25">
      <c r="AG354" s="2"/>
      <c r="AH354" s="2"/>
      <c r="AI354" s="2"/>
      <c r="AJ354" s="2"/>
      <c r="AK354" s="2"/>
      <c r="AL354" s="2"/>
    </row>
    <row r="355" spans="33:38" ht="15.75" customHeight="1" x14ac:dyDescent="0.25">
      <c r="AG355" s="2"/>
      <c r="AH355" s="2"/>
      <c r="AI355" s="2"/>
      <c r="AJ355" s="2"/>
      <c r="AK355" s="2"/>
      <c r="AL355" s="2"/>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1000"/>
  <sheetViews>
    <sheetView workbookViewId="0"/>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9" t="s">
        <v>124</v>
      </c>
      <c r="B1" s="10"/>
      <c r="C1" s="10"/>
      <c r="D1" s="10"/>
      <c r="E1" s="10"/>
      <c r="F1" s="10"/>
      <c r="G1" s="10"/>
      <c r="H1" s="10"/>
      <c r="I1" s="10"/>
      <c r="J1" s="10"/>
      <c r="K1" s="10"/>
      <c r="L1" s="10"/>
      <c r="M1" s="10"/>
      <c r="N1" s="10"/>
      <c r="O1" s="10"/>
      <c r="P1" s="10"/>
      <c r="Q1" s="10"/>
      <c r="R1" s="10"/>
      <c r="S1" s="10"/>
      <c r="T1" s="10"/>
      <c r="U1" s="10"/>
    </row>
    <row r="2" spans="1:21" x14ac:dyDescent="0.25">
      <c r="A2" s="1" t="s">
        <v>125</v>
      </c>
      <c r="B2" s="1" t="s">
        <v>75</v>
      </c>
      <c r="C2" s="1" t="s">
        <v>126</v>
      </c>
      <c r="D2" s="1" t="s">
        <v>127</v>
      </c>
      <c r="E2" s="1" t="s">
        <v>128</v>
      </c>
      <c r="F2" s="1" t="s">
        <v>129</v>
      </c>
      <c r="G2" s="1" t="s">
        <v>130</v>
      </c>
      <c r="H2" s="1" t="s">
        <v>131</v>
      </c>
    </row>
    <row r="3" spans="1:21" x14ac:dyDescent="0.25">
      <c r="A3" s="1">
        <v>1</v>
      </c>
      <c r="B3" s="1">
        <v>0</v>
      </c>
      <c r="C3" s="1">
        <v>5</v>
      </c>
      <c r="D3" s="1">
        <v>0</v>
      </c>
      <c r="E3" s="2">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9" t="s">
        <v>132</v>
      </c>
      <c r="B1" s="10"/>
      <c r="C1" s="10"/>
      <c r="D1" s="10"/>
      <c r="E1" s="10"/>
      <c r="F1" s="10"/>
      <c r="G1" s="10"/>
      <c r="H1" s="10"/>
      <c r="I1" s="10"/>
      <c r="J1" s="10"/>
      <c r="K1" s="10"/>
      <c r="L1" s="10"/>
      <c r="M1" s="10"/>
      <c r="N1" s="10"/>
      <c r="O1" s="10"/>
      <c r="P1" s="10"/>
      <c r="Q1" s="10"/>
      <c r="R1" s="10"/>
      <c r="S1" s="10"/>
      <c r="T1" s="10"/>
      <c r="U1" s="10"/>
    </row>
    <row r="2" spans="1:21" x14ac:dyDescent="0.25">
      <c r="A2" s="1" t="s">
        <v>107</v>
      </c>
      <c r="B2" s="1" t="s">
        <v>48</v>
      </c>
      <c r="C2" s="1" t="s">
        <v>133</v>
      </c>
      <c r="D2" s="1" t="s">
        <v>42</v>
      </c>
      <c r="E2" s="1" t="s">
        <v>134</v>
      </c>
      <c r="F2" s="1" t="s">
        <v>135</v>
      </c>
      <c r="G2" s="1" t="s">
        <v>136</v>
      </c>
    </row>
    <row r="3" spans="1:21" x14ac:dyDescent="0.25">
      <c r="A3" s="1">
        <v>999</v>
      </c>
      <c r="B3" s="3" t="str">
        <f t="shared" ref="B3:B4" si="0">MID(F3,6,1)</f>
        <v>1</v>
      </c>
      <c r="C3" s="3" t="str">
        <f t="shared" ref="C3:C4" si="1">MID(F3,9,1)</f>
        <v>1</v>
      </c>
      <c r="D3" s="3">
        <v>1</v>
      </c>
      <c r="E3" s="3" t="str">
        <f>RIGHT(G3,1)</f>
        <v>1</v>
      </c>
      <c r="F3" s="1" t="s">
        <v>137</v>
      </c>
      <c r="G3" s="1">
        <v>1</v>
      </c>
    </row>
    <row r="4" spans="1:21" x14ac:dyDescent="0.25">
      <c r="A4" s="1">
        <v>999</v>
      </c>
      <c r="B4" s="3" t="str">
        <f t="shared" si="0"/>
        <v>2</v>
      </c>
      <c r="C4" s="3" t="str">
        <f t="shared" si="1"/>
        <v>1</v>
      </c>
      <c r="D4" s="3" t="str">
        <f>MID(F4,13,1)</f>
        <v>1</v>
      </c>
      <c r="E4" s="1">
        <v>1</v>
      </c>
      <c r="F4" s="1" t="s">
        <v>138</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1000"/>
  <sheetViews>
    <sheetView workbookViewId="0"/>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9" t="s">
        <v>139</v>
      </c>
      <c r="B1" s="10"/>
      <c r="C1" s="10"/>
      <c r="D1" s="10"/>
      <c r="E1" s="10"/>
      <c r="F1" s="10"/>
      <c r="G1" s="10"/>
      <c r="H1" s="10"/>
      <c r="I1" s="10"/>
      <c r="J1" s="10"/>
      <c r="K1" s="10"/>
      <c r="L1" s="10"/>
      <c r="M1" s="10"/>
      <c r="N1" s="10"/>
      <c r="O1" s="10"/>
      <c r="P1" s="10"/>
      <c r="Q1" s="10"/>
      <c r="R1" s="10"/>
      <c r="S1" s="10"/>
      <c r="T1" s="10"/>
      <c r="U1" s="10"/>
    </row>
    <row r="3" spans="1:41" x14ac:dyDescent="0.25">
      <c r="A3" s="1" t="s">
        <v>140</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141</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000"/>
  <sheetViews>
    <sheetView workbookViewId="0"/>
  </sheetViews>
  <sheetFormatPr defaultColWidth="14.42578125" defaultRowHeight="15" customHeight="1" x14ac:dyDescent="0.25"/>
  <cols>
    <col min="1" max="26" width="11.42578125" customWidth="1"/>
  </cols>
  <sheetData>
    <row r="1" spans="1:21" ht="22.5" customHeight="1" x14ac:dyDescent="0.25">
      <c r="A1" s="9" t="s">
        <v>142</v>
      </c>
      <c r="B1" s="10"/>
      <c r="C1" s="10"/>
      <c r="D1" s="10"/>
      <c r="E1" s="10"/>
      <c r="F1" s="10"/>
      <c r="G1" s="10"/>
      <c r="H1" s="10"/>
      <c r="I1" s="10"/>
      <c r="J1" s="10"/>
      <c r="K1" s="10"/>
      <c r="L1" s="10"/>
      <c r="M1" s="10"/>
      <c r="N1" s="10"/>
      <c r="O1" s="10"/>
      <c r="P1" s="10"/>
      <c r="Q1" s="10"/>
      <c r="R1" s="10"/>
      <c r="S1" s="10"/>
      <c r="T1" s="10"/>
      <c r="U1" s="10"/>
    </row>
    <row r="2" spans="1:21" x14ac:dyDescent="0.25">
      <c r="A2" s="1" t="s">
        <v>133</v>
      </c>
      <c r="B2" s="1" t="s">
        <v>107</v>
      </c>
      <c r="C2" s="1" t="s">
        <v>143</v>
      </c>
      <c r="D2" s="1" t="s">
        <v>144</v>
      </c>
      <c r="E2" s="1" t="s">
        <v>145</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000"/>
  <sheetViews>
    <sheetView workbookViewId="0"/>
  </sheetViews>
  <sheetFormatPr defaultColWidth="14.42578125" defaultRowHeight="15" customHeight="1" x14ac:dyDescent="0.25"/>
  <cols>
    <col min="1" max="1" width="15.5703125" customWidth="1"/>
    <col min="2" max="26" width="11.42578125" customWidth="1"/>
  </cols>
  <sheetData>
    <row r="1" spans="1:21" ht="26.25" customHeight="1" x14ac:dyDescent="0.25">
      <c r="A1" s="9" t="s">
        <v>146</v>
      </c>
      <c r="B1" s="10"/>
      <c r="C1" s="10"/>
      <c r="D1" s="10"/>
      <c r="E1" s="10"/>
      <c r="F1" s="10"/>
      <c r="G1" s="10"/>
      <c r="H1" s="10"/>
      <c r="I1" s="10"/>
      <c r="J1" s="10"/>
      <c r="K1" s="10"/>
      <c r="L1" s="10"/>
      <c r="M1" s="10"/>
      <c r="N1" s="10"/>
      <c r="O1" s="10"/>
      <c r="P1" s="10"/>
      <c r="Q1" s="10"/>
      <c r="R1" s="10"/>
      <c r="S1" s="10"/>
      <c r="T1" s="10"/>
      <c r="U1" s="10"/>
    </row>
    <row r="2" spans="1:21" x14ac:dyDescent="0.25">
      <c r="A2" s="1" t="s">
        <v>75</v>
      </c>
      <c r="B2" s="1" t="s">
        <v>126</v>
      </c>
      <c r="C2" s="1" t="s">
        <v>127</v>
      </c>
      <c r="D2" s="1" t="s">
        <v>128</v>
      </c>
      <c r="E2" s="1" t="s">
        <v>68</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Q1000"/>
  <sheetViews>
    <sheetView workbookViewId="0"/>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9" t="s">
        <v>147</v>
      </c>
      <c r="B1" s="10"/>
      <c r="C1" s="10"/>
      <c r="D1" s="10"/>
      <c r="E1" s="10"/>
      <c r="F1" s="10"/>
      <c r="G1" s="10"/>
      <c r="H1" s="10"/>
      <c r="I1" s="10"/>
      <c r="J1" s="10"/>
      <c r="K1" s="10"/>
      <c r="L1" s="10"/>
      <c r="M1" s="10"/>
      <c r="N1" s="10"/>
      <c r="O1" s="10"/>
      <c r="P1" s="10"/>
      <c r="Q1" s="10"/>
      <c r="R1" s="10"/>
      <c r="S1" s="10"/>
      <c r="T1" s="10"/>
      <c r="U1" s="10"/>
      <c r="V1" s="4" t="e">
        <f>1+(MAX(area!C3:C28)-1)+MAX(#REF!)*(dynamics!B9+3)</f>
        <v>#REF!</v>
      </c>
      <c r="W1" s="5">
        <f>COUNT(A3:A35)</f>
        <v>5</v>
      </c>
      <c r="X1" s="1" t="s">
        <v>148</v>
      </c>
    </row>
    <row r="2" spans="1:43" x14ac:dyDescent="0.25">
      <c r="A2" s="1" t="s">
        <v>149</v>
      </c>
      <c r="B2" s="1" t="s">
        <v>75</v>
      </c>
      <c r="C2" s="1" t="s">
        <v>126</v>
      </c>
      <c r="D2" s="1" t="s">
        <v>127</v>
      </c>
      <c r="E2" s="1" t="s">
        <v>128</v>
      </c>
      <c r="F2" s="1" t="s">
        <v>68</v>
      </c>
      <c r="H2" s="1" t="s">
        <v>150</v>
      </c>
      <c r="I2" s="1" t="s">
        <v>151</v>
      </c>
      <c r="J2" s="1" t="s">
        <v>152</v>
      </c>
      <c r="K2" s="1" t="s">
        <v>153</v>
      </c>
      <c r="L2" s="1" t="s">
        <v>154</v>
      </c>
      <c r="M2" s="1" t="s">
        <v>155</v>
      </c>
      <c r="N2" s="1" t="s">
        <v>156</v>
      </c>
      <c r="O2" s="1" t="s">
        <v>157</v>
      </c>
      <c r="P2" s="1" t="s">
        <v>158</v>
      </c>
      <c r="Q2" s="1" t="s">
        <v>159</v>
      </c>
      <c r="R2" s="1" t="s">
        <v>160</v>
      </c>
      <c r="S2" s="1" t="s">
        <v>161</v>
      </c>
      <c r="T2" s="1" t="s">
        <v>162</v>
      </c>
      <c r="U2" s="1" t="s">
        <v>163</v>
      </c>
      <c r="V2" s="1" t="s">
        <v>164</v>
      </c>
      <c r="W2" s="1" t="s">
        <v>165</v>
      </c>
      <c r="X2" s="1" t="s">
        <v>166</v>
      </c>
      <c r="Y2" s="1" t="s">
        <v>167</v>
      </c>
      <c r="Z2" s="1" t="s">
        <v>168</v>
      </c>
      <c r="AA2" s="1" t="s">
        <v>169</v>
      </c>
      <c r="AB2" s="1" t="s">
        <v>170</v>
      </c>
      <c r="AC2" s="1" t="s">
        <v>171</v>
      </c>
      <c r="AD2" s="1" t="s">
        <v>172</v>
      </c>
      <c r="AE2" s="1" t="s">
        <v>173</v>
      </c>
      <c r="AF2" s="1" t="s">
        <v>174</v>
      </c>
      <c r="AG2" s="1" t="s">
        <v>175</v>
      </c>
      <c r="AH2" s="1" t="s">
        <v>176</v>
      </c>
      <c r="AI2" s="1" t="s">
        <v>177</v>
      </c>
      <c r="AJ2" s="1" t="s">
        <v>178</v>
      </c>
      <c r="AK2" s="1" t="s">
        <v>179</v>
      </c>
      <c r="AL2" s="1" t="s">
        <v>180</v>
      </c>
      <c r="AM2" s="1" t="s">
        <v>181</v>
      </c>
      <c r="AN2" s="1" t="s">
        <v>182</v>
      </c>
      <c r="AO2" s="1" t="s">
        <v>183</v>
      </c>
      <c r="AP2" s="1" t="s">
        <v>184</v>
      </c>
      <c r="AQ2" s="1" t="s">
        <v>185</v>
      </c>
    </row>
    <row r="3" spans="1:43" x14ac:dyDescent="0.25">
      <c r="A3" s="1">
        <v>1</v>
      </c>
      <c r="B3" s="1">
        <v>-1</v>
      </c>
      <c r="C3" s="1">
        <v>1</v>
      </c>
      <c r="D3" s="1">
        <v>0</v>
      </c>
      <c r="E3" s="1">
        <v>-2</v>
      </c>
      <c r="F3" s="1" t="s">
        <v>186</v>
      </c>
    </row>
    <row r="4" spans="1:43" x14ac:dyDescent="0.25">
      <c r="A4" s="1">
        <v>1</v>
      </c>
      <c r="B4" s="1">
        <v>30</v>
      </c>
      <c r="C4" s="1">
        <v>70</v>
      </c>
      <c r="D4" s="1">
        <v>60</v>
      </c>
      <c r="E4" s="1">
        <v>3</v>
      </c>
      <c r="F4" s="1" t="s">
        <v>187</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6">
        <v>6.7980097010256202E-5</v>
      </c>
      <c r="AA4" s="6">
        <v>1.3128230712311499E-5</v>
      </c>
      <c r="AB4" s="6">
        <v>2.1644174259538599E-6</v>
      </c>
      <c r="AC4" s="6">
        <v>3.0462500133499001E-7</v>
      </c>
      <c r="AD4" s="6">
        <v>3.6598072794546998E-8</v>
      </c>
      <c r="AE4" s="6">
        <v>3.7531577845584302E-9</v>
      </c>
      <c r="AF4" s="6">
        <v>3.2851754649953999E-10</v>
      </c>
      <c r="AG4" s="6">
        <v>2.4542701204666199E-11</v>
      </c>
      <c r="AH4" s="6">
        <v>1.5647483309067001E-12</v>
      </c>
      <c r="AI4" s="6">
        <v>8.5154105988749494E-14</v>
      </c>
      <c r="AJ4" s="6">
        <v>3.9968028886505604E-15</v>
      </c>
      <c r="AK4" s="6">
        <v>1.11022302462516E-16</v>
      </c>
      <c r="AL4" s="1">
        <v>0</v>
      </c>
      <c r="AM4" s="1">
        <v>0</v>
      </c>
      <c r="AN4" s="1">
        <v>0</v>
      </c>
      <c r="AO4" s="1">
        <v>0</v>
      </c>
      <c r="AP4" s="1">
        <v>0</v>
      </c>
      <c r="AQ4" s="1">
        <v>0</v>
      </c>
    </row>
    <row r="5" spans="1:43" x14ac:dyDescent="0.25">
      <c r="A5" s="1">
        <v>1</v>
      </c>
      <c r="B5" s="1">
        <v>0.5</v>
      </c>
      <c r="C5" s="1">
        <v>10</v>
      </c>
      <c r="D5" s="1">
        <v>0.50800000000000001</v>
      </c>
      <c r="E5" s="1">
        <v>3</v>
      </c>
      <c r="F5" s="1" t="s">
        <v>188</v>
      </c>
    </row>
    <row r="6" spans="1:43" x14ac:dyDescent="0.25">
      <c r="A6" s="1">
        <v>1</v>
      </c>
      <c r="B6" s="1">
        <v>30</v>
      </c>
      <c r="C6" s="1">
        <v>70</v>
      </c>
      <c r="D6" s="1">
        <v>60</v>
      </c>
      <c r="E6" s="1">
        <v>3</v>
      </c>
      <c r="F6" s="1" t="s">
        <v>189</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6">
        <v>6.7980097010256202E-5</v>
      </c>
      <c r="AA6" s="6">
        <v>1.3128230712311499E-5</v>
      </c>
      <c r="AB6" s="6">
        <v>2.1644174259538599E-6</v>
      </c>
      <c r="AC6" s="6">
        <v>3.0462500133499001E-7</v>
      </c>
      <c r="AD6" s="6">
        <v>3.6598072794546998E-8</v>
      </c>
      <c r="AE6" s="6">
        <v>3.7531577845584302E-9</v>
      </c>
      <c r="AF6" s="6">
        <v>3.2851754649953999E-10</v>
      </c>
      <c r="AG6" s="6">
        <v>2.4542701204666199E-11</v>
      </c>
      <c r="AH6" s="6">
        <v>1.5647483309067001E-12</v>
      </c>
      <c r="AI6" s="6">
        <v>8.5154105988749494E-14</v>
      </c>
      <c r="AJ6" s="6">
        <v>3.9968028886505604E-15</v>
      </c>
      <c r="AK6" s="6">
        <v>1.11022302462516E-16</v>
      </c>
      <c r="AL6" s="1">
        <v>0</v>
      </c>
      <c r="AM6" s="1">
        <v>0</v>
      </c>
      <c r="AN6" s="1">
        <v>0</v>
      </c>
      <c r="AO6" s="1">
        <v>0</v>
      </c>
      <c r="AP6" s="1">
        <v>0</v>
      </c>
      <c r="AQ6" s="1">
        <v>0</v>
      </c>
    </row>
    <row r="7" spans="1:43" x14ac:dyDescent="0.25">
      <c r="A7" s="1">
        <v>1</v>
      </c>
      <c r="B7" s="1">
        <v>0.5</v>
      </c>
      <c r="C7" s="1">
        <v>10</v>
      </c>
      <c r="D7" s="1">
        <v>0.50800000000000001</v>
      </c>
      <c r="E7" s="1">
        <v>3</v>
      </c>
      <c r="F7" s="1" t="s">
        <v>190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1000"/>
  <sheetViews>
    <sheetView workbookViewId="0"/>
  </sheetViews>
  <sheetFormatPr defaultColWidth="14.42578125" defaultRowHeight="15" customHeight="1" x14ac:dyDescent="0.25"/>
  <cols>
    <col min="1" max="26" width="11.42578125" customWidth="1"/>
  </cols>
  <sheetData>
    <row r="1" spans="1:19" ht="33.75" customHeight="1" x14ac:dyDescent="0.25">
      <c r="A1" s="9" t="s">
        <v>191</v>
      </c>
      <c r="B1" s="10"/>
      <c r="C1" s="10"/>
      <c r="D1" s="10"/>
      <c r="E1" s="10"/>
      <c r="F1" s="10"/>
      <c r="G1" s="10"/>
      <c r="H1" s="10"/>
      <c r="I1" s="10"/>
      <c r="J1" s="10"/>
      <c r="K1" s="10"/>
      <c r="L1" s="10"/>
      <c r="M1" s="10"/>
      <c r="N1" s="10"/>
      <c r="O1" s="10"/>
      <c r="P1" s="10"/>
      <c r="Q1" s="10"/>
      <c r="R1" s="10"/>
      <c r="S1" s="10"/>
    </row>
    <row r="2" spans="1:19" x14ac:dyDescent="0.25">
      <c r="A2" s="1" t="s">
        <v>192</v>
      </c>
      <c r="B2" s="1" t="s">
        <v>193</v>
      </c>
      <c r="C2" s="1" t="s">
        <v>194</v>
      </c>
      <c r="D2" s="1" t="s">
        <v>195</v>
      </c>
      <c r="E2" s="1" t="s">
        <v>42</v>
      </c>
      <c r="F2" s="1" t="s">
        <v>125</v>
      </c>
      <c r="G2" s="1" t="s">
        <v>75</v>
      </c>
      <c r="H2" s="1" t="s">
        <v>126</v>
      </c>
      <c r="I2" s="1" t="s">
        <v>127</v>
      </c>
      <c r="J2" s="1" t="s">
        <v>128</v>
      </c>
      <c r="K2" s="1" t="s">
        <v>129</v>
      </c>
      <c r="L2" s="1" t="s">
        <v>130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000"/>
  <sheetViews>
    <sheetView workbookViewId="0"/>
  </sheetViews>
  <sheetFormatPr defaultColWidth="14.42578125" defaultRowHeight="15" customHeight="1" x14ac:dyDescent="0.25"/>
  <cols>
    <col min="1" max="26" width="11.42578125" customWidth="1"/>
  </cols>
  <sheetData>
    <row r="1" spans="1:21" x14ac:dyDescent="0.25">
      <c r="A1" s="9" t="s">
        <v>196</v>
      </c>
      <c r="B1" s="10"/>
      <c r="C1" s="10"/>
      <c r="D1" s="10"/>
      <c r="E1" s="10"/>
      <c r="F1" s="10"/>
      <c r="G1" s="10"/>
      <c r="H1" s="10"/>
      <c r="I1" s="10"/>
      <c r="J1" s="10"/>
      <c r="K1" s="10"/>
      <c r="L1" s="10"/>
      <c r="M1" s="10"/>
      <c r="N1" s="10"/>
      <c r="O1" s="10"/>
      <c r="P1" s="10"/>
      <c r="Q1" s="10"/>
      <c r="R1" s="10"/>
      <c r="S1" s="10"/>
      <c r="T1" s="10"/>
      <c r="U1" s="10"/>
    </row>
    <row r="2" spans="1:21" x14ac:dyDescent="0.25">
      <c r="A2" s="1" t="s">
        <v>197</v>
      </c>
      <c r="B2" s="1" t="s">
        <v>193</v>
      </c>
      <c r="C2" s="1" t="s">
        <v>198</v>
      </c>
      <c r="D2" s="1" t="s">
        <v>199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U1000"/>
  <sheetViews>
    <sheetView tabSelected="1" workbookViewId="0">
      <selection sqref="A1:U1"/>
    </sheetView>
  </sheetViews>
  <sheetFormatPr defaultColWidth="14.42578125" defaultRowHeight="15" customHeight="1" x14ac:dyDescent="0.25"/>
  <cols>
    <col min="1" max="26" width="11.42578125" customWidth="1"/>
  </cols>
  <sheetData>
    <row r="1" spans="1:21" ht="15" customHeight="1" x14ac:dyDescent="0.25">
      <c r="A1" s="9" t="s">
        <v>326</v>
      </c>
      <c r="B1" s="10"/>
      <c r="C1" s="10"/>
      <c r="D1" s="10"/>
      <c r="E1" s="10"/>
      <c r="F1" s="10"/>
      <c r="G1" s="10"/>
      <c r="H1" s="10"/>
      <c r="I1" s="10"/>
      <c r="J1" s="10"/>
      <c r="K1" s="10"/>
      <c r="L1" s="10"/>
      <c r="M1" s="10"/>
      <c r="N1" s="10"/>
      <c r="O1" s="10"/>
      <c r="P1" s="10"/>
      <c r="Q1" s="10"/>
      <c r="R1" s="10"/>
      <c r="S1" s="10"/>
      <c r="T1" s="10"/>
      <c r="U1" s="10"/>
    </row>
    <row r="2" spans="1:21" x14ac:dyDescent="0.25">
      <c r="A2" s="1" t="s">
        <v>200</v>
      </c>
      <c r="B2" s="1" t="s">
        <v>133</v>
      </c>
      <c r="C2" s="1" t="s">
        <v>201</v>
      </c>
      <c r="D2" s="1" t="s">
        <v>202</v>
      </c>
      <c r="E2" s="1" t="s">
        <v>203</v>
      </c>
    </row>
    <row r="3" spans="1:21" x14ac:dyDescent="0.25">
      <c r="A3" s="1" t="s">
        <v>204</v>
      </c>
      <c r="B3" s="1">
        <v>1</v>
      </c>
      <c r="C3" s="1">
        <v>74.1220185816358</v>
      </c>
      <c r="D3" s="1">
        <v>-3.9419668022475798</v>
      </c>
      <c r="E3" s="1">
        <v>1</v>
      </c>
    </row>
    <row r="4" spans="1:21" x14ac:dyDescent="0.25">
      <c r="A4" s="1" t="s">
        <v>205</v>
      </c>
      <c r="B4" s="1">
        <v>1</v>
      </c>
      <c r="C4" s="1">
        <v>90.4</v>
      </c>
      <c r="D4" s="1">
        <v>-3.5320999999999998</v>
      </c>
    </row>
    <row r="5" spans="1:21" x14ac:dyDescent="0.25">
      <c r="A5" s="1" t="s">
        <v>206</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325</v>
      </c>
      <c r="B1" s="10"/>
      <c r="C1" s="10"/>
      <c r="D1" s="10"/>
      <c r="E1" s="10"/>
      <c r="F1" s="10"/>
      <c r="G1" s="10"/>
      <c r="H1" s="10"/>
      <c r="I1" s="10"/>
      <c r="J1" s="10"/>
      <c r="K1" s="10"/>
      <c r="L1" s="10"/>
      <c r="M1" s="10"/>
      <c r="N1" s="10"/>
      <c r="O1" s="10"/>
      <c r="P1" s="10"/>
      <c r="Q1" s="10"/>
      <c r="R1" s="10"/>
      <c r="S1" s="10"/>
      <c r="T1" s="10"/>
      <c r="U1" s="10"/>
    </row>
    <row r="2" spans="1:21" x14ac:dyDescent="0.25">
      <c r="A2" s="1" t="s">
        <v>48</v>
      </c>
      <c r="B2" s="1" t="s">
        <v>201</v>
      </c>
      <c r="C2" s="1" t="s">
        <v>202</v>
      </c>
    </row>
    <row r="3" spans="1:21" x14ac:dyDescent="0.25">
      <c r="A3" s="1" t="s">
        <v>207</v>
      </c>
      <c r="B3" s="6">
        <v>1.61E-6</v>
      </c>
      <c r="C3" s="1">
        <v>2.8681999999999999</v>
      </c>
    </row>
    <row r="4" spans="1:21" x14ac:dyDescent="0.25">
      <c r="A4" s="1" t="s">
        <v>208</v>
      </c>
      <c r="B4" s="6">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U1000"/>
  <sheetViews>
    <sheetView workbookViewId="0"/>
  </sheetViews>
  <sheetFormatPr defaultColWidth="14.42578125" defaultRowHeight="15" customHeight="1" x14ac:dyDescent="0.25"/>
  <cols>
    <col min="1" max="26" width="11.42578125" customWidth="1"/>
  </cols>
  <sheetData>
    <row r="1" spans="1:21" ht="21.75" customHeight="1" x14ac:dyDescent="0.25">
      <c r="A1" s="9" t="s">
        <v>209</v>
      </c>
      <c r="B1" s="10"/>
      <c r="C1" s="10"/>
      <c r="D1" s="10"/>
      <c r="E1" s="10"/>
      <c r="F1" s="10"/>
      <c r="G1" s="10"/>
      <c r="H1" s="10"/>
      <c r="I1" s="10"/>
      <c r="J1" s="10"/>
      <c r="K1" s="10"/>
      <c r="L1" s="10"/>
      <c r="M1" s="10"/>
      <c r="N1" s="10"/>
      <c r="O1" s="10"/>
      <c r="P1" s="10"/>
      <c r="Q1" s="10"/>
      <c r="R1" s="10"/>
      <c r="S1" s="10"/>
      <c r="T1" s="10"/>
      <c r="U1" s="10"/>
    </row>
    <row r="2" spans="1:21" x14ac:dyDescent="0.25">
      <c r="A2" s="1" t="s">
        <v>210</v>
      </c>
      <c r="B2" s="1" t="s">
        <v>211</v>
      </c>
      <c r="C2" s="1" t="s">
        <v>47</v>
      </c>
      <c r="D2" s="1" t="s">
        <v>212</v>
      </c>
    </row>
    <row r="3" spans="1:21" x14ac:dyDescent="0.25">
      <c r="A3" s="1">
        <v>1960</v>
      </c>
      <c r="B3" s="1">
        <v>1</v>
      </c>
      <c r="C3" s="1">
        <v>1</v>
      </c>
      <c r="D3" s="1">
        <v>7000000</v>
      </c>
    </row>
    <row r="4" spans="1:21" x14ac:dyDescent="0.25">
      <c r="A4" s="1">
        <v>1961</v>
      </c>
      <c r="B4" s="1">
        <v>1</v>
      </c>
      <c r="C4" s="1">
        <v>1</v>
      </c>
      <c r="D4" s="1">
        <f t="shared" ref="D4:D6" ca="1" si="0">D3+RANDBETWEEN(-1000, 200000)</f>
        <v>7136782</v>
      </c>
    </row>
    <row r="5" spans="1:21" x14ac:dyDescent="0.25">
      <c r="A5" s="1">
        <v>1962</v>
      </c>
      <c r="B5" s="1">
        <v>1</v>
      </c>
      <c r="C5" s="1">
        <v>1</v>
      </c>
      <c r="D5" s="1">
        <f t="shared" ca="1" si="0"/>
        <v>7289612</v>
      </c>
    </row>
    <row r="6" spans="1:21" x14ac:dyDescent="0.25">
      <c r="A6" s="1">
        <v>1963</v>
      </c>
      <c r="B6" s="1">
        <v>1</v>
      </c>
      <c r="C6" s="1">
        <v>1</v>
      </c>
      <c r="D6" s="1">
        <f t="shared" ca="1" si="0"/>
        <v>7330302</v>
      </c>
    </row>
    <row r="7" spans="1:21" x14ac:dyDescent="0.25">
      <c r="A7" s="1">
        <v>1964</v>
      </c>
      <c r="B7" s="1">
        <v>1</v>
      </c>
      <c r="C7" s="1">
        <v>1</v>
      </c>
      <c r="D7" s="1">
        <f ca="1">D6+RANDBETWEEN(-1000, 200000)+50000</f>
        <v>7380696</v>
      </c>
    </row>
    <row r="8" spans="1:21" x14ac:dyDescent="0.25">
      <c r="A8" s="1">
        <v>1965</v>
      </c>
      <c r="B8" s="1">
        <v>1</v>
      </c>
      <c r="C8" s="1">
        <v>1</v>
      </c>
      <c r="D8" s="1">
        <f ca="1">D7+RANDBETWEEN(-1000, 200000)+500000</f>
        <v>7950528</v>
      </c>
    </row>
    <row r="9" spans="1:21" x14ac:dyDescent="0.25">
      <c r="A9" s="1">
        <v>1966</v>
      </c>
      <c r="B9" s="1">
        <v>1</v>
      </c>
      <c r="C9" s="1">
        <v>1</v>
      </c>
      <c r="D9" s="1">
        <f t="shared" ref="D9:D15" ca="1" si="1">D8+RANDBETWEEN(-1000, 200000)</f>
        <v>8094287</v>
      </c>
    </row>
    <row r="10" spans="1:21" x14ac:dyDescent="0.25">
      <c r="A10" s="1">
        <v>1967</v>
      </c>
      <c r="B10" s="1">
        <v>1</v>
      </c>
      <c r="C10" s="1">
        <v>1</v>
      </c>
      <c r="D10" s="1">
        <f t="shared" ca="1" si="1"/>
        <v>8172999</v>
      </c>
    </row>
    <row r="11" spans="1:21" x14ac:dyDescent="0.25">
      <c r="A11" s="1">
        <v>1968</v>
      </c>
      <c r="B11" s="1">
        <v>1</v>
      </c>
      <c r="C11" s="1">
        <v>1</v>
      </c>
      <c r="D11" s="1">
        <f t="shared" ca="1" si="1"/>
        <v>8187509</v>
      </c>
    </row>
    <row r="12" spans="1:21" x14ac:dyDescent="0.25">
      <c r="A12" s="1">
        <v>1969</v>
      </c>
      <c r="B12" s="1">
        <v>1</v>
      </c>
      <c r="C12" s="1">
        <v>1</v>
      </c>
      <c r="D12" s="1">
        <f t="shared" ca="1" si="1"/>
        <v>8275843</v>
      </c>
    </row>
    <row r="13" spans="1:21" x14ac:dyDescent="0.25">
      <c r="A13" s="1">
        <v>1970</v>
      </c>
      <c r="B13" s="1">
        <v>1</v>
      </c>
      <c r="C13" s="1">
        <v>1</v>
      </c>
      <c r="D13" s="1">
        <f t="shared" ca="1" si="1"/>
        <v>8344028</v>
      </c>
    </row>
    <row r="14" spans="1:21" x14ac:dyDescent="0.25">
      <c r="A14" s="1">
        <v>1971</v>
      </c>
      <c r="B14" s="1">
        <v>1</v>
      </c>
      <c r="C14" s="1">
        <v>1</v>
      </c>
      <c r="D14" s="1">
        <f t="shared" ca="1" si="1"/>
        <v>8480717</v>
      </c>
    </row>
    <row r="15" spans="1:21" x14ac:dyDescent="0.25">
      <c r="A15" s="1">
        <v>1972</v>
      </c>
      <c r="B15" s="1">
        <v>1</v>
      </c>
      <c r="C15" s="1">
        <v>1</v>
      </c>
      <c r="D15" s="1">
        <f t="shared" ca="1" si="1"/>
        <v>8563051</v>
      </c>
    </row>
    <row r="16" spans="1:21" x14ac:dyDescent="0.25">
      <c r="A16" s="1">
        <v>1973</v>
      </c>
      <c r="B16" s="1">
        <v>1</v>
      </c>
      <c r="C16" s="1">
        <v>1</v>
      </c>
      <c r="D16" s="1">
        <f ca="1">D15+RANDBETWEEN(-1000, 200000)+1000000</f>
        <v>9683740</v>
      </c>
    </row>
    <row r="17" spans="1:4" x14ac:dyDescent="0.25">
      <c r="A17" s="1">
        <v>1974</v>
      </c>
      <c r="B17" s="1">
        <v>1</v>
      </c>
      <c r="C17" s="1">
        <v>1</v>
      </c>
      <c r="D17" s="1">
        <f ca="1">D16+RANDBETWEEN(-1000, 200000)+250000</f>
        <v>10105925</v>
      </c>
    </row>
    <row r="18" spans="1:4" x14ac:dyDescent="0.25">
      <c r="A18" s="1">
        <v>1975</v>
      </c>
      <c r="B18" s="1">
        <v>1</v>
      </c>
      <c r="C18" s="1">
        <v>1</v>
      </c>
      <c r="D18" s="1">
        <f ca="1">D17+RANDBETWEEN(-1000, 200000)</f>
        <v>10239973</v>
      </c>
    </row>
    <row r="19" spans="1:4" x14ac:dyDescent="0.25">
      <c r="A19" s="1">
        <v>1976</v>
      </c>
      <c r="B19" s="1">
        <v>1</v>
      </c>
      <c r="C19" s="1">
        <v>1</v>
      </c>
      <c r="D19" s="1">
        <f t="shared" ref="D19:D21" ca="1" si="2">D18+RANDBETWEEN(-100000, 200000)</f>
        <v>10287987</v>
      </c>
    </row>
    <row r="20" spans="1:4" x14ac:dyDescent="0.25">
      <c r="A20" s="1">
        <v>1977</v>
      </c>
      <c r="B20" s="1">
        <v>1</v>
      </c>
      <c r="C20" s="1">
        <v>1</v>
      </c>
      <c r="D20" s="1">
        <f t="shared" ca="1" si="2"/>
        <v>10418711</v>
      </c>
    </row>
    <row r="21" spans="1:4" ht="15.75" customHeight="1" x14ac:dyDescent="0.25">
      <c r="A21" s="1">
        <v>1978</v>
      </c>
      <c r="B21" s="1">
        <v>1</v>
      </c>
      <c r="C21" s="1">
        <v>1</v>
      </c>
      <c r="D21" s="1">
        <f t="shared" ca="1" si="2"/>
        <v>10503452</v>
      </c>
    </row>
    <row r="22" spans="1:4" ht="15.75" customHeight="1" x14ac:dyDescent="0.25">
      <c r="A22" s="1">
        <v>1979</v>
      </c>
      <c r="B22" s="1">
        <v>1</v>
      </c>
      <c r="C22" s="1">
        <v>1</v>
      </c>
      <c r="D22" s="1">
        <f ca="1">D21+RANDBETWEEN(-100000, 200000)-1000000</f>
        <v>9557431</v>
      </c>
    </row>
    <row r="23" spans="1:4" ht="15.75" customHeight="1" x14ac:dyDescent="0.25">
      <c r="A23" s="1">
        <v>1980</v>
      </c>
      <c r="B23" s="1">
        <v>1</v>
      </c>
      <c r="C23" s="1">
        <v>1</v>
      </c>
      <c r="D23" s="1">
        <f t="shared" ref="D23:D28" ca="1" si="3">D22+RANDBETWEEN(-100000, 200000)</f>
        <v>9665989</v>
      </c>
    </row>
    <row r="24" spans="1:4" ht="15.75" customHeight="1" x14ac:dyDescent="0.25">
      <c r="A24" s="1">
        <v>1981</v>
      </c>
      <c r="B24" s="1">
        <v>1</v>
      </c>
      <c r="C24" s="1">
        <v>1</v>
      </c>
      <c r="D24" s="1">
        <f t="shared" ca="1" si="3"/>
        <v>9747537</v>
      </c>
    </row>
    <row r="25" spans="1:4" ht="15.75" customHeight="1" x14ac:dyDescent="0.25">
      <c r="A25" s="1">
        <v>1982</v>
      </c>
      <c r="B25" s="1">
        <v>1</v>
      </c>
      <c r="C25" s="1">
        <v>1</v>
      </c>
      <c r="D25" s="1">
        <f t="shared" ca="1" si="3"/>
        <v>9945761</v>
      </c>
    </row>
    <row r="26" spans="1:4" ht="15.75" customHeight="1" x14ac:dyDescent="0.25">
      <c r="A26" s="1">
        <v>1983</v>
      </c>
      <c r="B26" s="1">
        <v>1</v>
      </c>
      <c r="C26" s="1">
        <v>1</v>
      </c>
      <c r="D26" s="1">
        <f t="shared" ca="1" si="3"/>
        <v>9893371</v>
      </c>
    </row>
    <row r="27" spans="1:4" ht="15.75" customHeight="1" x14ac:dyDescent="0.25">
      <c r="A27" s="1">
        <v>1984</v>
      </c>
      <c r="B27" s="1">
        <v>1</v>
      </c>
      <c r="C27" s="1">
        <v>1</v>
      </c>
      <c r="D27" s="1">
        <f t="shared" ca="1" si="3"/>
        <v>10080368</v>
      </c>
    </row>
    <row r="28" spans="1:4" ht="15.75" customHeight="1" x14ac:dyDescent="0.25">
      <c r="A28" s="1">
        <v>1985</v>
      </c>
      <c r="B28" s="1">
        <v>1</v>
      </c>
      <c r="C28" s="1">
        <v>1</v>
      </c>
      <c r="D28" s="1">
        <f t="shared" ca="1" si="3"/>
        <v>9999663</v>
      </c>
    </row>
    <row r="29" spans="1:4" ht="15.75" customHeight="1" x14ac:dyDescent="0.25">
      <c r="A29" s="1">
        <v>1986</v>
      </c>
      <c r="B29" s="1">
        <v>1</v>
      </c>
      <c r="C29" s="1">
        <v>1</v>
      </c>
      <c r="D29" s="1">
        <f ca="1">D28+RANDBETWEEN(-100000, 200000)+3000000</f>
        <v>12954454</v>
      </c>
    </row>
    <row r="30" spans="1:4" ht="15.75" customHeight="1" x14ac:dyDescent="0.25">
      <c r="A30" s="1">
        <v>1987</v>
      </c>
      <c r="B30" s="1">
        <v>1</v>
      </c>
      <c r="C30" s="1">
        <v>1</v>
      </c>
      <c r="D30" s="1">
        <f t="shared" ref="D30:D41" ca="1" si="4">D29+RANDBETWEEN(-100000, 200000)</f>
        <v>12867434</v>
      </c>
    </row>
    <row r="31" spans="1:4" ht="15.75" customHeight="1" x14ac:dyDescent="0.25">
      <c r="A31" s="1">
        <v>1988</v>
      </c>
      <c r="B31" s="1">
        <v>1</v>
      </c>
      <c r="C31" s="1">
        <v>1</v>
      </c>
      <c r="D31" s="1">
        <f t="shared" ca="1" si="4"/>
        <v>12776314</v>
      </c>
    </row>
    <row r="32" spans="1:4" ht="15.75" customHeight="1" x14ac:dyDescent="0.25">
      <c r="A32" s="1">
        <v>1989</v>
      </c>
      <c r="B32" s="1">
        <v>1</v>
      </c>
      <c r="C32" s="1">
        <v>1</v>
      </c>
      <c r="D32" s="1">
        <f t="shared" ca="1" si="4"/>
        <v>12934885</v>
      </c>
    </row>
    <row r="33" spans="1:4" ht="15.75" customHeight="1" x14ac:dyDescent="0.25">
      <c r="A33" s="1">
        <v>1990</v>
      </c>
      <c r="B33" s="1">
        <v>1</v>
      </c>
      <c r="C33" s="1">
        <v>1</v>
      </c>
      <c r="D33" s="1">
        <f t="shared" ca="1" si="4"/>
        <v>12946393</v>
      </c>
    </row>
    <row r="34" spans="1:4" ht="15.75" customHeight="1" x14ac:dyDescent="0.25">
      <c r="A34" s="1">
        <v>1991</v>
      </c>
      <c r="B34" s="1">
        <v>1</v>
      </c>
      <c r="C34" s="1">
        <v>1</v>
      </c>
      <c r="D34" s="1">
        <f t="shared" ca="1" si="4"/>
        <v>13076426</v>
      </c>
    </row>
    <row r="35" spans="1:4" ht="15.75" customHeight="1" x14ac:dyDescent="0.25">
      <c r="A35" s="1">
        <v>1992</v>
      </c>
      <c r="B35" s="1">
        <v>1</v>
      </c>
      <c r="C35" s="1">
        <v>1</v>
      </c>
      <c r="D35" s="1">
        <f t="shared" ca="1" si="4"/>
        <v>13213102</v>
      </c>
    </row>
    <row r="36" spans="1:4" ht="15.75" customHeight="1" x14ac:dyDescent="0.25">
      <c r="A36" s="1">
        <v>1993</v>
      </c>
      <c r="B36" s="1">
        <v>1</v>
      </c>
      <c r="C36" s="1">
        <v>1</v>
      </c>
      <c r="D36" s="1">
        <f t="shared" ca="1" si="4"/>
        <v>13212542</v>
      </c>
    </row>
    <row r="37" spans="1:4" ht="15.75" customHeight="1" x14ac:dyDescent="0.25">
      <c r="A37" s="1">
        <v>1994</v>
      </c>
      <c r="B37" s="1">
        <v>1</v>
      </c>
      <c r="C37" s="1">
        <v>1</v>
      </c>
      <c r="D37" s="1">
        <f t="shared" ca="1" si="4"/>
        <v>13189299</v>
      </c>
    </row>
    <row r="38" spans="1:4" ht="15.75" customHeight="1" x14ac:dyDescent="0.25">
      <c r="A38" s="1">
        <v>1995</v>
      </c>
      <c r="B38" s="1">
        <v>1</v>
      </c>
      <c r="C38" s="1">
        <v>1</v>
      </c>
      <c r="D38" s="1">
        <f t="shared" ca="1" si="4"/>
        <v>13213740</v>
      </c>
    </row>
    <row r="39" spans="1:4" ht="15.75" customHeight="1" x14ac:dyDescent="0.25">
      <c r="A39" s="1">
        <v>1996</v>
      </c>
      <c r="B39" s="1">
        <v>1</v>
      </c>
      <c r="C39" s="1">
        <v>1</v>
      </c>
      <c r="D39" s="1">
        <f t="shared" ca="1" si="4"/>
        <v>13366456</v>
      </c>
    </row>
    <row r="40" spans="1:4" ht="15.75" customHeight="1" x14ac:dyDescent="0.25">
      <c r="A40" s="1">
        <v>1997</v>
      </c>
      <c r="B40" s="1">
        <v>1</v>
      </c>
      <c r="C40" s="1">
        <v>1</v>
      </c>
      <c r="D40" s="1">
        <f t="shared" ca="1" si="4"/>
        <v>13271518</v>
      </c>
    </row>
    <row r="41" spans="1:4" ht="15.75" customHeight="1" x14ac:dyDescent="0.25">
      <c r="A41" s="1">
        <v>1998</v>
      </c>
      <c r="B41" s="1">
        <v>1</v>
      </c>
      <c r="C41" s="1">
        <v>1</v>
      </c>
      <c r="D41" s="1">
        <f t="shared" ca="1" si="4"/>
        <v>13232900</v>
      </c>
    </row>
    <row r="42" spans="1:4" ht="15.75" customHeight="1" x14ac:dyDescent="0.25">
      <c r="A42" s="1">
        <v>1999</v>
      </c>
      <c r="B42" s="1">
        <v>1</v>
      </c>
      <c r="C42" s="1">
        <v>1</v>
      </c>
      <c r="D42" s="7">
        <f ca="1">D41+RANDBETWEEN(-100000, 5000)</f>
        <v>13204889</v>
      </c>
    </row>
    <row r="43" spans="1:4" ht="15.75" customHeight="1" x14ac:dyDescent="0.25">
      <c r="A43" s="1">
        <v>2000</v>
      </c>
      <c r="B43" s="1">
        <v>1</v>
      </c>
      <c r="C43" s="1">
        <v>1</v>
      </c>
      <c r="D43" s="7">
        <f ca="1">D42+RANDBETWEEN(-200000, 10000)</f>
        <v>13193393</v>
      </c>
    </row>
    <row r="44" spans="1:4" ht="15.75" customHeight="1" x14ac:dyDescent="0.25">
      <c r="A44" s="1">
        <v>2001</v>
      </c>
      <c r="B44" s="1">
        <v>1</v>
      </c>
      <c r="C44" s="1">
        <v>1</v>
      </c>
      <c r="D44" s="7">
        <f t="shared" ref="D44:D47" ca="1" si="5">D43+RANDBETWEEN(-500000, 1000)</f>
        <v>12842020</v>
      </c>
    </row>
    <row r="45" spans="1:4" ht="15.75" customHeight="1" x14ac:dyDescent="0.25">
      <c r="A45" s="1">
        <v>2002</v>
      </c>
      <c r="B45" s="1">
        <v>1</v>
      </c>
      <c r="C45" s="1">
        <v>1</v>
      </c>
      <c r="D45" s="7">
        <f t="shared" ca="1" si="5"/>
        <v>12385288</v>
      </c>
    </row>
    <row r="46" spans="1:4" ht="15.75" customHeight="1" x14ac:dyDescent="0.25">
      <c r="A46" s="1">
        <v>2003</v>
      </c>
      <c r="B46" s="1">
        <v>1</v>
      </c>
      <c r="C46" s="1">
        <v>1</v>
      </c>
      <c r="D46" s="7">
        <f t="shared" ca="1" si="5"/>
        <v>11921489</v>
      </c>
    </row>
    <row r="47" spans="1:4" ht="15.75" customHeight="1" x14ac:dyDescent="0.25">
      <c r="A47" s="1">
        <v>2004</v>
      </c>
      <c r="B47" s="1">
        <v>1</v>
      </c>
      <c r="C47" s="1">
        <v>1</v>
      </c>
      <c r="D47" s="7">
        <f t="shared" ca="1" si="5"/>
        <v>11606434</v>
      </c>
    </row>
    <row r="48" spans="1:4" ht="15.75" customHeight="1" x14ac:dyDescent="0.25">
      <c r="A48" s="1">
        <v>2005</v>
      </c>
      <c r="B48" s="1">
        <v>1</v>
      </c>
      <c r="C48" s="1">
        <v>1</v>
      </c>
      <c r="D48" s="1">
        <f ca="1">D47+RANDBETWEEN(-100000, 200000)-1500000</f>
        <v>10052474</v>
      </c>
    </row>
    <row r="49" spans="1:4" ht="15.75" customHeight="1" x14ac:dyDescent="0.25">
      <c r="A49" s="1">
        <v>2006</v>
      </c>
      <c r="B49" s="1">
        <v>1</v>
      </c>
      <c r="C49" s="1">
        <v>1</v>
      </c>
      <c r="D49" s="1">
        <f ca="1">D48+RANDBETWEEN(-100000, 200000)-3000000</f>
        <v>7071814</v>
      </c>
    </row>
    <row r="50" spans="1:4" ht="15.75" customHeight="1" x14ac:dyDescent="0.25">
      <c r="A50" s="1">
        <v>2007</v>
      </c>
      <c r="B50" s="1">
        <v>1</v>
      </c>
      <c r="C50" s="1">
        <v>1</v>
      </c>
      <c r="D50" s="1">
        <f ca="1">D49+RANDBETWEEN(-100000, 200000)-1000000</f>
        <v>6246718</v>
      </c>
    </row>
    <row r="51" spans="1:4" ht="15.75" customHeight="1" x14ac:dyDescent="0.25">
      <c r="A51" s="1">
        <v>2008</v>
      </c>
      <c r="B51" s="1">
        <v>1</v>
      </c>
      <c r="C51" s="1">
        <v>1</v>
      </c>
      <c r="D51" s="1">
        <f t="shared" ref="D51:D67" ca="1" si="6">D50+RANDBETWEEN(-100000, 10000)</f>
        <v>6250492</v>
      </c>
    </row>
    <row r="52" spans="1:4" ht="15.75" customHeight="1" x14ac:dyDescent="0.25">
      <c r="A52" s="1">
        <v>2009</v>
      </c>
      <c r="B52" s="1">
        <v>1</v>
      </c>
      <c r="C52" s="1">
        <v>1</v>
      </c>
      <c r="D52" s="1">
        <f t="shared" ca="1" si="6"/>
        <v>6174024</v>
      </c>
    </row>
    <row r="53" spans="1:4" ht="15.75" customHeight="1" x14ac:dyDescent="0.25">
      <c r="A53" s="1">
        <v>2010</v>
      </c>
      <c r="B53" s="1">
        <v>1</v>
      </c>
      <c r="C53" s="1">
        <v>1</v>
      </c>
      <c r="D53" s="1">
        <f t="shared" ca="1" si="6"/>
        <v>6096345</v>
      </c>
    </row>
    <row r="54" spans="1:4" ht="15.75" customHeight="1" x14ac:dyDescent="0.25">
      <c r="A54" s="1">
        <v>2011</v>
      </c>
      <c r="B54" s="1">
        <v>1</v>
      </c>
      <c r="C54" s="1">
        <v>1</v>
      </c>
      <c r="D54" s="1">
        <f t="shared" ca="1" si="6"/>
        <v>6095790</v>
      </c>
    </row>
    <row r="55" spans="1:4" ht="15.75" customHeight="1" x14ac:dyDescent="0.25">
      <c r="A55" s="1">
        <v>2012</v>
      </c>
      <c r="B55" s="1">
        <v>1</v>
      </c>
      <c r="C55" s="1">
        <v>1</v>
      </c>
      <c r="D55" s="1">
        <f t="shared" ca="1" si="6"/>
        <v>6029783</v>
      </c>
    </row>
    <row r="56" spans="1:4" ht="15.75" customHeight="1" x14ac:dyDescent="0.25">
      <c r="A56" s="1">
        <v>2013</v>
      </c>
      <c r="B56" s="1">
        <v>1</v>
      </c>
      <c r="C56" s="1">
        <v>1</v>
      </c>
      <c r="D56" s="1">
        <f t="shared" ca="1" si="6"/>
        <v>5936115</v>
      </c>
    </row>
    <row r="57" spans="1:4" ht="15.75" customHeight="1" x14ac:dyDescent="0.25">
      <c r="A57" s="1">
        <v>2014</v>
      </c>
      <c r="B57" s="1">
        <v>1</v>
      </c>
      <c r="C57" s="1">
        <v>1</v>
      </c>
      <c r="D57" s="1">
        <f t="shared" ca="1" si="6"/>
        <v>5897885</v>
      </c>
    </row>
    <row r="58" spans="1:4" ht="15.75" customHeight="1" x14ac:dyDescent="0.25">
      <c r="A58" s="1">
        <v>2015</v>
      </c>
      <c r="B58" s="1">
        <v>1</v>
      </c>
      <c r="C58" s="1">
        <v>1</v>
      </c>
      <c r="D58" s="1">
        <f t="shared" ca="1" si="6"/>
        <v>5881520</v>
      </c>
    </row>
    <row r="59" spans="1:4" ht="15.75" customHeight="1" x14ac:dyDescent="0.25">
      <c r="A59" s="1">
        <v>2016</v>
      </c>
      <c r="B59" s="1">
        <v>1</v>
      </c>
      <c r="C59" s="1">
        <v>1</v>
      </c>
      <c r="D59" s="1">
        <f t="shared" ca="1" si="6"/>
        <v>5886579</v>
      </c>
    </row>
    <row r="60" spans="1:4" ht="15.75" customHeight="1" x14ac:dyDescent="0.25">
      <c r="A60" s="1">
        <v>2017</v>
      </c>
      <c r="B60" s="1">
        <v>1</v>
      </c>
      <c r="C60" s="1">
        <v>1</v>
      </c>
      <c r="D60" s="1">
        <f t="shared" ca="1" si="6"/>
        <v>5884369</v>
      </c>
    </row>
    <row r="61" spans="1:4" ht="15.75" customHeight="1" x14ac:dyDescent="0.25">
      <c r="A61" s="1">
        <v>2018</v>
      </c>
      <c r="B61" s="1">
        <v>1</v>
      </c>
      <c r="C61" s="1">
        <v>1</v>
      </c>
      <c r="D61" s="1">
        <f t="shared" ca="1" si="6"/>
        <v>5839096</v>
      </c>
    </row>
    <row r="62" spans="1:4" ht="15.75" customHeight="1" x14ac:dyDescent="0.25">
      <c r="A62" s="1">
        <v>2019</v>
      </c>
      <c r="B62" s="1">
        <v>1</v>
      </c>
      <c r="C62" s="1">
        <v>1</v>
      </c>
      <c r="D62" s="1">
        <f t="shared" ca="1" si="6"/>
        <v>5843289</v>
      </c>
    </row>
    <row r="63" spans="1:4" ht="15.75" customHeight="1" x14ac:dyDescent="0.25">
      <c r="A63" s="1">
        <v>2020</v>
      </c>
      <c r="B63" s="1">
        <v>1</v>
      </c>
      <c r="C63" s="1">
        <v>1</v>
      </c>
      <c r="D63" s="1">
        <f t="shared" ca="1" si="6"/>
        <v>5756575</v>
      </c>
    </row>
    <row r="64" spans="1:4" ht="15.75" customHeight="1" x14ac:dyDescent="0.25">
      <c r="A64" s="1">
        <v>2021</v>
      </c>
      <c r="B64" s="1">
        <v>1</v>
      </c>
      <c r="C64" s="1">
        <v>1</v>
      </c>
      <c r="D64" s="1">
        <f t="shared" ca="1" si="6"/>
        <v>5694930</v>
      </c>
    </row>
    <row r="65" spans="1:4" ht="15.75" customHeight="1" x14ac:dyDescent="0.25">
      <c r="A65" s="1">
        <v>2022</v>
      </c>
      <c r="B65" s="1">
        <v>1</v>
      </c>
      <c r="C65" s="1">
        <v>1</v>
      </c>
      <c r="D65" s="1">
        <f t="shared" ca="1" si="6"/>
        <v>5680663</v>
      </c>
    </row>
    <row r="66" spans="1:4" ht="15.75" customHeight="1" x14ac:dyDescent="0.25">
      <c r="A66" s="1">
        <v>2023</v>
      </c>
      <c r="B66" s="1">
        <v>1</v>
      </c>
      <c r="C66" s="1">
        <v>1</v>
      </c>
      <c r="D66" s="1">
        <f t="shared" ca="1" si="6"/>
        <v>5653366</v>
      </c>
    </row>
    <row r="67" spans="1:4" ht="15.75" customHeight="1" x14ac:dyDescent="0.25">
      <c r="A67" s="1">
        <v>2024</v>
      </c>
      <c r="B67" s="1">
        <v>1</v>
      </c>
      <c r="C67" s="1">
        <v>1</v>
      </c>
      <c r="D67" s="1">
        <f t="shared" ca="1" si="6"/>
        <v>5586474</v>
      </c>
    </row>
    <row r="68" spans="1:4" ht="15.75" customHeight="1" x14ac:dyDescent="0.25">
      <c r="A68" s="1">
        <v>1980</v>
      </c>
      <c r="B68" s="1">
        <v>1</v>
      </c>
      <c r="C68" s="1">
        <v>3</v>
      </c>
      <c r="D68" s="1">
        <f ca="1">200000+RANDBETWEEN(-1000, 30000)</f>
        <v>209735</v>
      </c>
    </row>
    <row r="69" spans="1:4" ht="15.75" customHeight="1" x14ac:dyDescent="0.25">
      <c r="A69" s="1">
        <v>1981</v>
      </c>
      <c r="B69" s="1">
        <v>1</v>
      </c>
      <c r="C69" s="1">
        <v>3</v>
      </c>
      <c r="D69" s="7">
        <f t="shared" ref="D69:D80" ca="1" si="7">D68+RANDBETWEEN(-1000, 30000)</f>
        <v>221552</v>
      </c>
    </row>
    <row r="70" spans="1:4" ht="15.75" customHeight="1" x14ac:dyDescent="0.25">
      <c r="A70" s="1">
        <v>1982</v>
      </c>
      <c r="B70" s="1">
        <v>1</v>
      </c>
      <c r="C70" s="1">
        <v>3</v>
      </c>
      <c r="D70" s="7">
        <f t="shared" ca="1" si="7"/>
        <v>230869</v>
      </c>
    </row>
    <row r="71" spans="1:4" ht="15.75" customHeight="1" x14ac:dyDescent="0.25">
      <c r="A71" s="1">
        <v>1983</v>
      </c>
      <c r="B71" s="1">
        <v>1</v>
      </c>
      <c r="C71" s="1">
        <v>3</v>
      </c>
      <c r="D71" s="7">
        <f t="shared" ca="1" si="7"/>
        <v>255191</v>
      </c>
    </row>
    <row r="72" spans="1:4" ht="15.75" customHeight="1" x14ac:dyDescent="0.25">
      <c r="A72" s="1">
        <v>1984</v>
      </c>
      <c r="B72" s="1">
        <v>1</v>
      </c>
      <c r="C72" s="1">
        <v>3</v>
      </c>
      <c r="D72" s="7">
        <f t="shared" ca="1" si="7"/>
        <v>280701</v>
      </c>
    </row>
    <row r="73" spans="1:4" ht="15.75" customHeight="1" x14ac:dyDescent="0.25">
      <c r="A73" s="1">
        <v>1985</v>
      </c>
      <c r="B73" s="1">
        <v>1</v>
      </c>
      <c r="C73" s="1">
        <v>3</v>
      </c>
      <c r="D73" s="7">
        <f t="shared" ca="1" si="7"/>
        <v>280820</v>
      </c>
    </row>
    <row r="74" spans="1:4" ht="15.75" customHeight="1" x14ac:dyDescent="0.25">
      <c r="A74" s="1">
        <v>1986</v>
      </c>
      <c r="B74" s="1">
        <v>1</v>
      </c>
      <c r="C74" s="1">
        <v>3</v>
      </c>
      <c r="D74" s="7">
        <f t="shared" ca="1" si="7"/>
        <v>300082</v>
      </c>
    </row>
    <row r="75" spans="1:4" ht="15.75" customHeight="1" x14ac:dyDescent="0.25">
      <c r="A75" s="1">
        <v>1987</v>
      </c>
      <c r="B75" s="1">
        <v>1</v>
      </c>
      <c r="C75" s="1">
        <v>3</v>
      </c>
      <c r="D75" s="7">
        <f t="shared" ca="1" si="7"/>
        <v>327336</v>
      </c>
    </row>
    <row r="76" spans="1:4" ht="15.75" customHeight="1" x14ac:dyDescent="0.25">
      <c r="A76" s="1">
        <v>1988</v>
      </c>
      <c r="B76" s="1">
        <v>1</v>
      </c>
      <c r="C76" s="1">
        <v>3</v>
      </c>
      <c r="D76" s="7">
        <f t="shared" ca="1" si="7"/>
        <v>334319</v>
      </c>
    </row>
    <row r="77" spans="1:4" ht="15.75" customHeight="1" x14ac:dyDescent="0.25">
      <c r="A77" s="1">
        <v>1989</v>
      </c>
      <c r="B77" s="1">
        <v>1</v>
      </c>
      <c r="C77" s="1">
        <v>3</v>
      </c>
      <c r="D77" s="7">
        <f t="shared" ca="1" si="7"/>
        <v>346954</v>
      </c>
    </row>
    <row r="78" spans="1:4" ht="15.75" customHeight="1" x14ac:dyDescent="0.25">
      <c r="A78" s="1">
        <v>1990</v>
      </c>
      <c r="B78" s="1">
        <v>1</v>
      </c>
      <c r="C78" s="1">
        <v>3</v>
      </c>
      <c r="D78" s="7">
        <f t="shared" ca="1" si="7"/>
        <v>370711</v>
      </c>
    </row>
    <row r="79" spans="1:4" ht="15.75" customHeight="1" x14ac:dyDescent="0.25">
      <c r="A79" s="1">
        <v>1991</v>
      </c>
      <c r="B79" s="1">
        <v>1</v>
      </c>
      <c r="C79" s="1">
        <v>3</v>
      </c>
      <c r="D79" s="7">
        <f t="shared" ca="1" si="7"/>
        <v>392661</v>
      </c>
    </row>
    <row r="80" spans="1:4" ht="15.75" customHeight="1" x14ac:dyDescent="0.25">
      <c r="A80" s="1">
        <v>1992</v>
      </c>
      <c r="B80" s="1">
        <v>1</v>
      </c>
      <c r="C80" s="1">
        <v>3</v>
      </c>
      <c r="D80" s="7">
        <f t="shared" ca="1" si="7"/>
        <v>410426</v>
      </c>
    </row>
    <row r="81" spans="1:4" ht="15.75" customHeight="1" x14ac:dyDescent="0.25">
      <c r="A81" s="1">
        <v>1993</v>
      </c>
      <c r="B81" s="1">
        <v>1</v>
      </c>
      <c r="C81" s="1">
        <v>3</v>
      </c>
      <c r="D81" s="4">
        <f t="shared" ref="D81:D90" ca="1" si="8">D80+RANDBETWEEN(-1000, 10000)</f>
        <v>418942</v>
      </c>
    </row>
    <row r="82" spans="1:4" ht="15.75" customHeight="1" x14ac:dyDescent="0.25">
      <c r="A82" s="1">
        <v>1994</v>
      </c>
      <c r="B82" s="1">
        <v>1</v>
      </c>
      <c r="C82" s="1">
        <v>3</v>
      </c>
      <c r="D82" s="4">
        <f t="shared" ca="1" si="8"/>
        <v>425747</v>
      </c>
    </row>
    <row r="83" spans="1:4" ht="15.75" customHeight="1" x14ac:dyDescent="0.25">
      <c r="A83" s="1">
        <v>1995</v>
      </c>
      <c r="B83" s="1">
        <v>1</v>
      </c>
      <c r="C83" s="1">
        <v>3</v>
      </c>
      <c r="D83" s="4">
        <f t="shared" ca="1" si="8"/>
        <v>431669</v>
      </c>
    </row>
    <row r="84" spans="1:4" ht="15.75" customHeight="1" x14ac:dyDescent="0.25">
      <c r="A84" s="1">
        <v>1996</v>
      </c>
      <c r="B84" s="1">
        <v>1</v>
      </c>
      <c r="C84" s="1">
        <v>3</v>
      </c>
      <c r="D84" s="4">
        <f t="shared" ca="1" si="8"/>
        <v>440046</v>
      </c>
    </row>
    <row r="85" spans="1:4" ht="15.75" customHeight="1" x14ac:dyDescent="0.25">
      <c r="A85" s="1">
        <v>1997</v>
      </c>
      <c r="B85" s="1">
        <v>1</v>
      </c>
      <c r="C85" s="1">
        <v>3</v>
      </c>
      <c r="D85" s="4">
        <f t="shared" ca="1" si="8"/>
        <v>442042</v>
      </c>
    </row>
    <row r="86" spans="1:4" ht="15.75" customHeight="1" x14ac:dyDescent="0.25">
      <c r="A86" s="1">
        <v>1998</v>
      </c>
      <c r="B86" s="1">
        <v>1</v>
      </c>
      <c r="C86" s="1">
        <v>3</v>
      </c>
      <c r="D86" s="4">
        <f t="shared" ca="1" si="8"/>
        <v>442128</v>
      </c>
    </row>
    <row r="87" spans="1:4" ht="15.75" customHeight="1" x14ac:dyDescent="0.25">
      <c r="A87" s="1">
        <v>1999</v>
      </c>
      <c r="B87" s="1">
        <v>1</v>
      </c>
      <c r="C87" s="1">
        <v>3</v>
      </c>
      <c r="D87" s="4">
        <f t="shared" ca="1" si="8"/>
        <v>447668</v>
      </c>
    </row>
    <row r="88" spans="1:4" ht="15.75" customHeight="1" x14ac:dyDescent="0.25">
      <c r="A88" s="1">
        <v>2000</v>
      </c>
      <c r="B88" s="1">
        <v>1</v>
      </c>
      <c r="C88" s="1">
        <v>3</v>
      </c>
      <c r="D88" s="4">
        <f t="shared" ca="1" si="8"/>
        <v>456558</v>
      </c>
    </row>
    <row r="89" spans="1:4" ht="15.75" customHeight="1" x14ac:dyDescent="0.25">
      <c r="A89" s="1">
        <v>2001</v>
      </c>
      <c r="B89" s="1">
        <v>1</v>
      </c>
      <c r="C89" s="1">
        <v>3</v>
      </c>
      <c r="D89" s="4">
        <f t="shared" ca="1" si="8"/>
        <v>465581</v>
      </c>
    </row>
    <row r="90" spans="1:4" ht="15.75" customHeight="1" x14ac:dyDescent="0.25">
      <c r="A90" s="1">
        <v>2002</v>
      </c>
      <c r="B90" s="1">
        <v>1</v>
      </c>
      <c r="C90" s="1">
        <v>3</v>
      </c>
      <c r="D90" s="4">
        <f t="shared" ca="1" si="8"/>
        <v>474245</v>
      </c>
    </row>
    <row r="91" spans="1:4" ht="15.75" customHeight="1" x14ac:dyDescent="0.25">
      <c r="A91" s="1">
        <v>2003</v>
      </c>
      <c r="B91" s="1">
        <v>1</v>
      </c>
      <c r="C91" s="1">
        <v>3</v>
      </c>
      <c r="D91" s="7">
        <f t="shared" ref="D91:D112" ca="1" si="9">D90+RANDBETWEEN(-5000, 1000)</f>
        <v>474578</v>
      </c>
    </row>
    <row r="92" spans="1:4" ht="15.75" customHeight="1" x14ac:dyDescent="0.25">
      <c r="A92" s="1">
        <v>2004</v>
      </c>
      <c r="B92" s="1">
        <v>1</v>
      </c>
      <c r="C92" s="1">
        <v>3</v>
      </c>
      <c r="D92" s="7">
        <f t="shared" ca="1" si="9"/>
        <v>475100</v>
      </c>
    </row>
    <row r="93" spans="1:4" ht="15.75" customHeight="1" x14ac:dyDescent="0.25">
      <c r="A93" s="1">
        <v>2005</v>
      </c>
      <c r="B93" s="1">
        <v>1</v>
      </c>
      <c r="C93" s="1">
        <v>3</v>
      </c>
      <c r="D93" s="7">
        <f t="shared" ca="1" si="9"/>
        <v>473277</v>
      </c>
    </row>
    <row r="94" spans="1:4" ht="15.75" customHeight="1" x14ac:dyDescent="0.25">
      <c r="A94" s="1">
        <v>2006</v>
      </c>
      <c r="B94" s="1">
        <v>1</v>
      </c>
      <c r="C94" s="1">
        <v>3</v>
      </c>
      <c r="D94" s="7">
        <f t="shared" ca="1" si="9"/>
        <v>473223</v>
      </c>
    </row>
    <row r="95" spans="1:4" ht="15.75" customHeight="1" x14ac:dyDescent="0.25">
      <c r="A95" s="1">
        <v>2007</v>
      </c>
      <c r="B95" s="1">
        <v>1</v>
      </c>
      <c r="C95" s="1">
        <v>3</v>
      </c>
      <c r="D95" s="7">
        <f t="shared" ca="1" si="9"/>
        <v>473344</v>
      </c>
    </row>
    <row r="96" spans="1:4" ht="15.75" customHeight="1" x14ac:dyDescent="0.25">
      <c r="A96" s="1">
        <v>2008</v>
      </c>
      <c r="B96" s="1">
        <v>1</v>
      </c>
      <c r="C96" s="1">
        <v>3</v>
      </c>
      <c r="D96" s="7">
        <f t="shared" ca="1" si="9"/>
        <v>473928</v>
      </c>
    </row>
    <row r="97" spans="1:4" ht="15.75" customHeight="1" x14ac:dyDescent="0.25">
      <c r="A97" s="1">
        <v>2009</v>
      </c>
      <c r="B97" s="1">
        <v>1</v>
      </c>
      <c r="C97" s="1">
        <v>3</v>
      </c>
      <c r="D97" s="7">
        <f t="shared" ca="1" si="9"/>
        <v>472043</v>
      </c>
    </row>
    <row r="98" spans="1:4" ht="15.75" customHeight="1" x14ac:dyDescent="0.25">
      <c r="A98" s="1">
        <v>2010</v>
      </c>
      <c r="B98" s="1">
        <v>1</v>
      </c>
      <c r="C98" s="1">
        <v>3</v>
      </c>
      <c r="D98" s="7">
        <f t="shared" ca="1" si="9"/>
        <v>468260</v>
      </c>
    </row>
    <row r="99" spans="1:4" ht="15.75" customHeight="1" x14ac:dyDescent="0.25">
      <c r="A99" s="1">
        <v>2011</v>
      </c>
      <c r="B99" s="1">
        <v>1</v>
      </c>
      <c r="C99" s="1">
        <v>3</v>
      </c>
      <c r="D99" s="7">
        <f t="shared" ca="1" si="9"/>
        <v>464559</v>
      </c>
    </row>
    <row r="100" spans="1:4" ht="15.75" customHeight="1" x14ac:dyDescent="0.25">
      <c r="A100" s="1">
        <v>2012</v>
      </c>
      <c r="B100" s="1">
        <v>1</v>
      </c>
      <c r="C100" s="1">
        <v>3</v>
      </c>
      <c r="D100" s="7">
        <f t="shared" ca="1" si="9"/>
        <v>464660</v>
      </c>
    </row>
    <row r="101" spans="1:4" ht="15.75" customHeight="1" x14ac:dyDescent="0.25">
      <c r="A101" s="1">
        <v>2013</v>
      </c>
      <c r="B101" s="1">
        <v>1</v>
      </c>
      <c r="C101" s="1">
        <v>3</v>
      </c>
      <c r="D101" s="7">
        <f t="shared" ca="1" si="9"/>
        <v>464367</v>
      </c>
    </row>
    <row r="102" spans="1:4" ht="15.75" customHeight="1" x14ac:dyDescent="0.25">
      <c r="A102" s="1">
        <v>2014</v>
      </c>
      <c r="B102" s="1">
        <v>1</v>
      </c>
      <c r="C102" s="1">
        <v>3</v>
      </c>
      <c r="D102" s="7">
        <f t="shared" ca="1" si="9"/>
        <v>459577</v>
      </c>
    </row>
    <row r="103" spans="1:4" ht="15.75" customHeight="1" x14ac:dyDescent="0.25">
      <c r="A103" s="1">
        <v>2015</v>
      </c>
      <c r="B103" s="1">
        <v>1</v>
      </c>
      <c r="C103" s="1">
        <v>3</v>
      </c>
      <c r="D103" s="7">
        <f t="shared" ca="1" si="9"/>
        <v>456589</v>
      </c>
    </row>
    <row r="104" spans="1:4" ht="15.75" customHeight="1" x14ac:dyDescent="0.25">
      <c r="A104" s="1">
        <v>2016</v>
      </c>
      <c r="B104" s="1">
        <v>1</v>
      </c>
      <c r="C104" s="1">
        <v>3</v>
      </c>
      <c r="D104" s="7">
        <f t="shared" ca="1" si="9"/>
        <v>452215</v>
      </c>
    </row>
    <row r="105" spans="1:4" ht="15.75" customHeight="1" x14ac:dyDescent="0.25">
      <c r="A105" s="1">
        <v>2017</v>
      </c>
      <c r="B105" s="1">
        <v>1</v>
      </c>
      <c r="C105" s="1">
        <v>3</v>
      </c>
      <c r="D105" s="7">
        <f t="shared" ca="1" si="9"/>
        <v>448552</v>
      </c>
    </row>
    <row r="106" spans="1:4" ht="15.75" customHeight="1" x14ac:dyDescent="0.25">
      <c r="A106" s="1">
        <v>2018</v>
      </c>
      <c r="B106" s="1">
        <v>1</v>
      </c>
      <c r="C106" s="1">
        <v>3</v>
      </c>
      <c r="D106" s="7">
        <f t="shared" ca="1" si="9"/>
        <v>447073</v>
      </c>
    </row>
    <row r="107" spans="1:4" ht="15.75" customHeight="1" x14ac:dyDescent="0.25">
      <c r="A107" s="1">
        <v>2019</v>
      </c>
      <c r="B107" s="1">
        <v>1</v>
      </c>
      <c r="C107" s="1">
        <v>3</v>
      </c>
      <c r="D107" s="7">
        <f t="shared" ca="1" si="9"/>
        <v>444683</v>
      </c>
    </row>
    <row r="108" spans="1:4" ht="15.75" customHeight="1" x14ac:dyDescent="0.25">
      <c r="A108" s="1">
        <v>2020</v>
      </c>
      <c r="B108" s="1">
        <v>1</v>
      </c>
      <c r="C108" s="1">
        <v>3</v>
      </c>
      <c r="D108" s="7">
        <f t="shared" ca="1" si="9"/>
        <v>440918</v>
      </c>
    </row>
    <row r="109" spans="1:4" ht="15.75" customHeight="1" x14ac:dyDescent="0.25">
      <c r="A109" s="1">
        <v>2021</v>
      </c>
      <c r="B109" s="1">
        <v>1</v>
      </c>
      <c r="C109" s="1">
        <v>3</v>
      </c>
      <c r="D109" s="7">
        <f t="shared" ca="1" si="9"/>
        <v>437278</v>
      </c>
    </row>
    <row r="110" spans="1:4" ht="15.75" customHeight="1" x14ac:dyDescent="0.25">
      <c r="A110" s="1">
        <v>2022</v>
      </c>
      <c r="B110" s="1">
        <v>1</v>
      </c>
      <c r="C110" s="1">
        <v>3</v>
      </c>
      <c r="D110" s="7">
        <f t="shared" ca="1" si="9"/>
        <v>436196</v>
      </c>
    </row>
    <row r="111" spans="1:4" ht="15.75" customHeight="1" x14ac:dyDescent="0.25">
      <c r="A111" s="1">
        <v>2023</v>
      </c>
      <c r="B111" s="1">
        <v>1</v>
      </c>
      <c r="C111" s="1">
        <v>3</v>
      </c>
      <c r="D111" s="7">
        <f t="shared" ca="1" si="9"/>
        <v>431791</v>
      </c>
    </row>
    <row r="112" spans="1:4" ht="15.75" customHeight="1" x14ac:dyDescent="0.25">
      <c r="A112" s="1">
        <v>2024</v>
      </c>
      <c r="B112" s="1">
        <v>1</v>
      </c>
      <c r="C112" s="1">
        <v>3</v>
      </c>
      <c r="D112" s="7">
        <f t="shared" ca="1" si="9"/>
        <v>432043</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14.5703125" customWidth="1"/>
    <col min="2" max="26" width="11.42578125" customWidth="1"/>
  </cols>
  <sheetData>
    <row r="1" spans="1:21" x14ac:dyDescent="0.25">
      <c r="A1" s="9" t="s">
        <v>213</v>
      </c>
      <c r="B1" s="10"/>
      <c r="C1" s="10"/>
      <c r="D1" s="10"/>
      <c r="E1" s="10"/>
      <c r="F1" s="10"/>
      <c r="G1" s="10"/>
      <c r="H1" s="10"/>
      <c r="I1" s="10"/>
      <c r="J1" s="10"/>
      <c r="K1" s="10"/>
      <c r="L1" s="10"/>
      <c r="M1" s="10"/>
      <c r="N1" s="10"/>
      <c r="O1" s="10"/>
      <c r="P1" s="10"/>
      <c r="Q1" s="10"/>
      <c r="R1" s="10"/>
      <c r="S1" s="10"/>
      <c r="T1" s="10"/>
      <c r="U1" s="10"/>
    </row>
    <row r="2" spans="1:21" x14ac:dyDescent="0.25">
      <c r="A2" s="1" t="s">
        <v>214</v>
      </c>
      <c r="B2" s="1" t="s">
        <v>215</v>
      </c>
      <c r="C2" s="1" t="s">
        <v>197</v>
      </c>
      <c r="D2" s="1" t="s">
        <v>216</v>
      </c>
      <c r="E2" s="1" t="s">
        <v>217</v>
      </c>
      <c r="F2" s="1" t="s">
        <v>218</v>
      </c>
      <c r="G2" s="1" t="s">
        <v>219</v>
      </c>
    </row>
    <row r="3" spans="1:21" x14ac:dyDescent="0.25">
      <c r="A3" s="1">
        <v>0</v>
      </c>
      <c r="B3" s="1">
        <v>1</v>
      </c>
      <c r="C3" s="1">
        <v>0</v>
      </c>
      <c r="D3" s="1">
        <v>1960</v>
      </c>
      <c r="E3" s="1">
        <v>1</v>
      </c>
      <c r="F3" s="1">
        <v>0.42715553489211999</v>
      </c>
      <c r="G3" s="1">
        <v>0.13781544979354199</v>
      </c>
    </row>
    <row r="4" spans="1:21" x14ac:dyDescent="0.25">
      <c r="A4" s="1">
        <v>0</v>
      </c>
      <c r="B4" s="1">
        <v>1</v>
      </c>
      <c r="C4" s="1">
        <v>0</v>
      </c>
      <c r="D4" s="1">
        <v>1961</v>
      </c>
      <c r="E4" s="1">
        <v>1</v>
      </c>
      <c r="F4" s="1">
        <v>0.60846668656264302</v>
      </c>
      <c r="G4" s="1">
        <v>0.13519110136513901</v>
      </c>
    </row>
    <row r="5" spans="1:21" x14ac:dyDescent="0.25">
      <c r="A5" s="1">
        <v>0</v>
      </c>
      <c r="B5" s="1">
        <v>1</v>
      </c>
      <c r="C5" s="1">
        <v>0</v>
      </c>
      <c r="D5" s="1">
        <v>1962</v>
      </c>
      <c r="E5" s="1">
        <v>1</v>
      </c>
      <c r="F5" s="1">
        <v>0.27151724249213599</v>
      </c>
      <c r="G5" s="1">
        <v>0.28829155393706701</v>
      </c>
    </row>
    <row r="6" spans="1:21" x14ac:dyDescent="0.25">
      <c r="A6" s="1">
        <v>0</v>
      </c>
      <c r="B6" s="1">
        <v>1</v>
      </c>
      <c r="C6" s="1">
        <v>0</v>
      </c>
      <c r="D6" s="1">
        <v>1963</v>
      </c>
      <c r="E6" s="1">
        <v>1</v>
      </c>
      <c r="F6" s="1">
        <v>0.30894434208472199</v>
      </c>
      <c r="G6" s="1">
        <v>0.19956389441769801</v>
      </c>
    </row>
    <row r="7" spans="1:21" x14ac:dyDescent="0.25">
      <c r="A7" s="1">
        <v>0</v>
      </c>
      <c r="B7" s="1">
        <v>1</v>
      </c>
      <c r="C7" s="1">
        <v>0</v>
      </c>
      <c r="D7" s="1">
        <v>1964</v>
      </c>
      <c r="E7" s="1">
        <v>1</v>
      </c>
      <c r="F7" s="1">
        <v>0.42208881111156599</v>
      </c>
      <c r="G7" s="1">
        <v>0.121277764357951</v>
      </c>
    </row>
    <row r="8" spans="1:21" x14ac:dyDescent="0.25">
      <c r="A8" s="1">
        <v>0</v>
      </c>
      <c r="B8" s="1">
        <v>1</v>
      </c>
      <c r="C8" s="1">
        <v>0</v>
      </c>
      <c r="D8" s="1">
        <v>1965</v>
      </c>
      <c r="E8" s="1">
        <v>1</v>
      </c>
      <c r="F8" s="1">
        <v>0.25209887455632402</v>
      </c>
      <c r="G8" s="1">
        <v>0.156202254295742</v>
      </c>
    </row>
    <row r="9" spans="1:21" x14ac:dyDescent="0.25">
      <c r="A9" s="1">
        <v>0</v>
      </c>
      <c r="B9" s="1">
        <v>1</v>
      </c>
      <c r="C9" s="1">
        <v>0</v>
      </c>
      <c r="D9" s="1">
        <v>1966</v>
      </c>
      <c r="E9" s="1">
        <v>1</v>
      </c>
      <c r="F9" s="1">
        <v>0.25893957861136402</v>
      </c>
      <c r="G9" s="1">
        <v>0.13966010035649301</v>
      </c>
    </row>
    <row r="10" spans="1:21" x14ac:dyDescent="0.25">
      <c r="A10" s="1">
        <v>0</v>
      </c>
      <c r="B10" s="1">
        <v>1</v>
      </c>
      <c r="C10" s="1">
        <v>0</v>
      </c>
      <c r="D10" s="1">
        <v>1967</v>
      </c>
      <c r="E10" s="1">
        <v>1</v>
      </c>
      <c r="F10" s="1">
        <v>0.190567660370771</v>
      </c>
      <c r="G10" s="1">
        <v>0.19916068930574601</v>
      </c>
    </row>
    <row r="11" spans="1:21" x14ac:dyDescent="0.25">
      <c r="A11" s="1">
        <v>0</v>
      </c>
      <c r="B11" s="1">
        <v>1</v>
      </c>
      <c r="C11" s="1">
        <v>0</v>
      </c>
      <c r="D11" s="1">
        <v>1968</v>
      </c>
      <c r="E11" s="1">
        <v>1</v>
      </c>
      <c r="F11" s="1">
        <v>3.4070374153251398E-2</v>
      </c>
      <c r="G11" s="1">
        <v>0.678265370202627</v>
      </c>
    </row>
    <row r="12" spans="1:21" x14ac:dyDescent="0.25">
      <c r="A12" s="1">
        <v>0</v>
      </c>
      <c r="B12" s="1">
        <v>1</v>
      </c>
      <c r="C12" s="1">
        <v>0</v>
      </c>
      <c r="D12" s="1">
        <v>1969</v>
      </c>
      <c r="E12" s="1">
        <v>1</v>
      </c>
      <c r="F12" s="1">
        <v>0.311513938315297</v>
      </c>
      <c r="G12" s="1">
        <v>0.105445402388682</v>
      </c>
    </row>
    <row r="13" spans="1:21" x14ac:dyDescent="0.25">
      <c r="A13" s="1">
        <v>0</v>
      </c>
      <c r="B13" s="1">
        <v>1</v>
      </c>
      <c r="C13" s="1">
        <v>0</v>
      </c>
      <c r="D13" s="1">
        <v>1970</v>
      </c>
      <c r="E13" s="1">
        <v>1</v>
      </c>
      <c r="F13" s="1">
        <v>1.6309238399999999</v>
      </c>
      <c r="G13" s="1">
        <v>0.105282913678278</v>
      </c>
    </row>
    <row r="14" spans="1:21" x14ac:dyDescent="0.25">
      <c r="A14" s="1">
        <v>0</v>
      </c>
      <c r="B14" s="1">
        <v>1</v>
      </c>
      <c r="C14" s="1">
        <v>0</v>
      </c>
      <c r="D14" s="1">
        <v>1971</v>
      </c>
      <c r="E14" s="1">
        <v>1</v>
      </c>
      <c r="F14" s="1">
        <v>1.4897862599999998</v>
      </c>
      <c r="G14" s="1">
        <v>0.13898731496998901</v>
      </c>
    </row>
    <row r="15" spans="1:21" x14ac:dyDescent="0.25">
      <c r="A15" s="1">
        <v>0</v>
      </c>
      <c r="B15" s="1">
        <v>1</v>
      </c>
      <c r="C15" s="1">
        <v>0</v>
      </c>
      <c r="D15" s="1">
        <v>1972</v>
      </c>
      <c r="E15" s="1">
        <v>1</v>
      </c>
      <c r="F15" s="1">
        <v>1.0394508599999996</v>
      </c>
      <c r="G15" s="1">
        <v>0.28145656391721702</v>
      </c>
    </row>
    <row r="16" spans="1:21" x14ac:dyDescent="0.25">
      <c r="A16" s="1">
        <v>0</v>
      </c>
      <c r="B16" s="1">
        <v>1</v>
      </c>
      <c r="C16" s="1">
        <v>0</v>
      </c>
      <c r="D16" s="1">
        <v>1973</v>
      </c>
      <c r="E16" s="1">
        <v>1</v>
      </c>
      <c r="F16" s="1">
        <v>1.3988766399999997</v>
      </c>
      <c r="G16" s="1">
        <v>0.34327038609194999</v>
      </c>
    </row>
    <row r="17" spans="1:7" x14ac:dyDescent="0.25">
      <c r="A17" s="1">
        <v>0</v>
      </c>
      <c r="B17" s="1">
        <v>1</v>
      </c>
      <c r="C17" s="1">
        <v>0</v>
      </c>
      <c r="D17" s="1">
        <v>1974</v>
      </c>
      <c r="E17" s="1">
        <v>1</v>
      </c>
      <c r="F17" s="1">
        <v>1.7895168899999998</v>
      </c>
      <c r="G17" s="1">
        <v>5.73714976830954E-2</v>
      </c>
    </row>
    <row r="18" spans="1:7" x14ac:dyDescent="0.25">
      <c r="A18" s="1">
        <v>0</v>
      </c>
      <c r="B18" s="1">
        <v>1</v>
      </c>
      <c r="C18" s="1">
        <v>0</v>
      </c>
      <c r="D18" s="1">
        <v>1975</v>
      </c>
      <c r="E18" s="1">
        <v>1</v>
      </c>
      <c r="F18" s="1">
        <v>1.9392752699999998</v>
      </c>
      <c r="G18" s="1">
        <v>6.3059031628240197E-2</v>
      </c>
    </row>
    <row r="19" spans="1:7" x14ac:dyDescent="0.25">
      <c r="A19" s="1">
        <v>0</v>
      </c>
      <c r="B19" s="1">
        <v>1</v>
      </c>
      <c r="C19" s="1">
        <v>0</v>
      </c>
      <c r="D19" s="1">
        <v>1976</v>
      </c>
      <c r="E19" s="1">
        <v>1</v>
      </c>
      <c r="F19" s="1">
        <v>1.7035243499999999</v>
      </c>
      <c r="G19" s="1">
        <v>4.98105833524463E-2</v>
      </c>
    </row>
    <row r="20" spans="1:7" x14ac:dyDescent="0.25">
      <c r="A20" s="1">
        <v>0</v>
      </c>
      <c r="B20" s="1">
        <v>1</v>
      </c>
      <c r="C20" s="1">
        <v>0</v>
      </c>
      <c r="D20" s="1">
        <v>1977</v>
      </c>
      <c r="E20" s="1">
        <v>1</v>
      </c>
      <c r="F20" s="1">
        <v>1.43163153</v>
      </c>
      <c r="G20" s="1">
        <v>3.9461338436437801E-2</v>
      </c>
    </row>
    <row r="21" spans="1:7" ht="15.75" customHeight="1" x14ac:dyDescent="0.25">
      <c r="A21" s="1">
        <v>0</v>
      </c>
      <c r="B21" s="1">
        <v>1</v>
      </c>
      <c r="C21" s="1">
        <v>0</v>
      </c>
      <c r="D21" s="1">
        <v>1978</v>
      </c>
      <c r="E21" s="1">
        <v>1</v>
      </c>
      <c r="F21" s="1">
        <v>1.1938930200000002</v>
      </c>
      <c r="G21" s="1">
        <v>3.9034571785991901E-2</v>
      </c>
    </row>
    <row r="22" spans="1:7" ht="15.75" customHeight="1" x14ac:dyDescent="0.25">
      <c r="A22" s="1">
        <v>0</v>
      </c>
      <c r="B22" s="1">
        <v>1</v>
      </c>
      <c r="C22" s="1">
        <v>0</v>
      </c>
      <c r="D22" s="1">
        <v>1979</v>
      </c>
      <c r="E22" s="1">
        <v>1</v>
      </c>
      <c r="F22" s="1">
        <v>1.20540728</v>
      </c>
      <c r="G22" s="1">
        <v>3.6976973168407298E-2</v>
      </c>
    </row>
    <row r="23" spans="1:7" ht="15.75" customHeight="1" x14ac:dyDescent="0.25">
      <c r="A23" s="1">
        <v>0</v>
      </c>
      <c r="B23" s="1">
        <v>1</v>
      </c>
      <c r="C23" s="1">
        <v>0</v>
      </c>
      <c r="D23" s="1">
        <v>1980</v>
      </c>
      <c r="E23" s="1">
        <v>1</v>
      </c>
      <c r="F23" s="1">
        <v>1.2575484000000001</v>
      </c>
      <c r="G23" s="1">
        <v>3.62608536937747E-2</v>
      </c>
    </row>
    <row r="24" spans="1:7" ht="15.75" customHeight="1" x14ac:dyDescent="0.25">
      <c r="A24" s="1">
        <v>0</v>
      </c>
      <c r="B24" s="1">
        <v>1</v>
      </c>
      <c r="C24" s="1">
        <v>0</v>
      </c>
      <c r="D24" s="1">
        <v>1981</v>
      </c>
      <c r="E24" s="1">
        <v>1</v>
      </c>
      <c r="F24" s="1">
        <v>0.99791734000000021</v>
      </c>
      <c r="G24" s="1">
        <v>3.6455751062585001E-2</v>
      </c>
    </row>
    <row r="25" spans="1:7" ht="15.75" customHeight="1" x14ac:dyDescent="0.25">
      <c r="A25" s="1">
        <v>0</v>
      </c>
      <c r="B25" s="1">
        <v>1</v>
      </c>
      <c r="C25" s="1">
        <v>0</v>
      </c>
      <c r="D25" s="1">
        <v>1982</v>
      </c>
      <c r="E25" s="1">
        <v>1</v>
      </c>
      <c r="F25" s="1">
        <v>0.65160909000000011</v>
      </c>
      <c r="G25" s="1">
        <v>3.8212015336421101E-2</v>
      </c>
    </row>
    <row r="26" spans="1:7" ht="15.75" customHeight="1" x14ac:dyDescent="0.25">
      <c r="A26" s="1">
        <v>0</v>
      </c>
      <c r="B26" s="1">
        <v>1</v>
      </c>
      <c r="C26" s="1">
        <v>0</v>
      </c>
      <c r="D26" s="1">
        <v>1983</v>
      </c>
      <c r="E26" s="1">
        <v>1</v>
      </c>
      <c r="F26" s="1">
        <v>0.76561920000000017</v>
      </c>
      <c r="G26" s="1">
        <v>3.6664491079729397E-2</v>
      </c>
    </row>
    <row r="27" spans="1:7" ht="15.75" customHeight="1" x14ac:dyDescent="0.25">
      <c r="A27" s="1">
        <v>0</v>
      </c>
      <c r="B27" s="1">
        <v>1</v>
      </c>
      <c r="C27" s="1">
        <v>0</v>
      </c>
      <c r="D27" s="1">
        <v>1984</v>
      </c>
      <c r="E27" s="1">
        <v>1</v>
      </c>
      <c r="F27" s="1">
        <v>0.89206080000000021</v>
      </c>
      <c r="G27" s="1">
        <v>3.52570136358141E-2</v>
      </c>
    </row>
    <row r="28" spans="1:7" ht="15.75" customHeight="1" x14ac:dyDescent="0.25">
      <c r="A28" s="1">
        <v>0</v>
      </c>
      <c r="B28" s="1">
        <v>1</v>
      </c>
      <c r="C28" s="1">
        <v>0</v>
      </c>
      <c r="D28" s="1">
        <v>1985</v>
      </c>
      <c r="E28" s="1">
        <v>1</v>
      </c>
      <c r="F28" s="1">
        <v>0.61523578000000012</v>
      </c>
      <c r="G28" s="1">
        <v>3.6754413042365097E-2</v>
      </c>
    </row>
    <row r="29" spans="1:7" ht="15.75" customHeight="1" x14ac:dyDescent="0.25">
      <c r="A29" s="1">
        <v>0</v>
      </c>
      <c r="B29" s="1">
        <v>1</v>
      </c>
      <c r="C29" s="1">
        <v>0</v>
      </c>
      <c r="D29" s="1">
        <v>1986</v>
      </c>
      <c r="E29" s="1">
        <v>1</v>
      </c>
      <c r="F29" s="1">
        <v>0.42026160000000012</v>
      </c>
      <c r="G29" s="1">
        <v>3.5867045574679499E-2</v>
      </c>
    </row>
    <row r="30" spans="1:7" ht="15.75" customHeight="1" x14ac:dyDescent="0.25">
      <c r="A30" s="1">
        <v>0</v>
      </c>
      <c r="B30" s="1">
        <v>1</v>
      </c>
      <c r="C30" s="1">
        <v>0</v>
      </c>
      <c r="D30" s="1">
        <v>1987</v>
      </c>
      <c r="E30" s="1">
        <v>1</v>
      </c>
      <c r="F30" s="1">
        <v>0.5028357</v>
      </c>
      <c r="G30" s="1">
        <v>3.68834621281032E-2</v>
      </c>
    </row>
    <row r="31" spans="1:7" ht="15.75" customHeight="1" x14ac:dyDescent="0.25">
      <c r="A31" s="1">
        <v>0</v>
      </c>
      <c r="B31" s="1">
        <v>1</v>
      </c>
      <c r="C31" s="1">
        <v>0</v>
      </c>
      <c r="D31" s="1">
        <v>1988</v>
      </c>
      <c r="E31" s="1">
        <v>1</v>
      </c>
      <c r="F31" s="1">
        <v>0.27189001000000007</v>
      </c>
      <c r="G31" s="1">
        <v>3.4814045365903899E-2</v>
      </c>
    </row>
    <row r="32" spans="1:7" ht="15.75" customHeight="1" x14ac:dyDescent="0.25">
      <c r="A32" s="1">
        <v>0</v>
      </c>
      <c r="B32" s="1">
        <v>1</v>
      </c>
      <c r="C32" s="1">
        <v>0</v>
      </c>
      <c r="D32" s="1">
        <v>1989</v>
      </c>
      <c r="E32" s="1">
        <v>1</v>
      </c>
      <c r="F32" s="1">
        <v>0.18319680000000005</v>
      </c>
      <c r="G32" s="1">
        <v>6.4158715969505301E-2</v>
      </c>
    </row>
    <row r="33" spans="1:7" ht="15.75" customHeight="1" x14ac:dyDescent="0.25">
      <c r="A33" s="1">
        <v>0</v>
      </c>
      <c r="B33" s="1">
        <v>1</v>
      </c>
      <c r="C33" s="1">
        <v>0</v>
      </c>
      <c r="D33" s="1">
        <v>1990</v>
      </c>
      <c r="E33" s="1">
        <v>1</v>
      </c>
      <c r="F33" s="1">
        <v>0.42192593000000006</v>
      </c>
      <c r="G33" s="1">
        <v>6.0715890152875797E-2</v>
      </c>
    </row>
    <row r="34" spans="1:7" ht="15.75" customHeight="1" x14ac:dyDescent="0.25">
      <c r="A34" s="1">
        <v>0</v>
      </c>
      <c r="B34" s="1">
        <v>1</v>
      </c>
      <c r="C34" s="1">
        <v>0</v>
      </c>
      <c r="D34" s="1">
        <v>1991</v>
      </c>
      <c r="E34" s="1">
        <v>1</v>
      </c>
      <c r="F34" s="1">
        <v>0.49748436000000007</v>
      </c>
      <c r="G34" s="1">
        <v>7.9180828054307401E-2</v>
      </c>
    </row>
    <row r="35" spans="1:7" ht="15.75" customHeight="1" x14ac:dyDescent="0.25">
      <c r="A35" s="1">
        <v>0</v>
      </c>
      <c r="B35" s="1">
        <v>1</v>
      </c>
      <c r="C35" s="1">
        <v>0</v>
      </c>
      <c r="D35" s="1">
        <v>1992</v>
      </c>
      <c r="E35" s="1">
        <v>1</v>
      </c>
      <c r="F35" s="1">
        <v>0.61414336000000003</v>
      </c>
      <c r="G35" s="1">
        <v>6.9196408335781306E-2</v>
      </c>
    </row>
    <row r="36" spans="1:7" ht="15.75" customHeight="1" x14ac:dyDescent="0.25">
      <c r="A36" s="1">
        <v>0</v>
      </c>
      <c r="B36" s="1">
        <v>1</v>
      </c>
      <c r="C36" s="1">
        <v>0</v>
      </c>
      <c r="D36" s="1">
        <v>1993</v>
      </c>
      <c r="E36" s="1">
        <v>1</v>
      </c>
      <c r="F36" s="1">
        <v>0.56436158000000003</v>
      </c>
      <c r="G36" s="1">
        <v>6.6871695365603306E-2</v>
      </c>
    </row>
    <row r="37" spans="1:7" ht="15.75" customHeight="1" x14ac:dyDescent="0.25">
      <c r="A37" s="1">
        <v>0</v>
      </c>
      <c r="B37" s="1">
        <v>1</v>
      </c>
      <c r="C37" s="1">
        <v>0</v>
      </c>
      <c r="D37" s="1">
        <v>1994</v>
      </c>
      <c r="E37" s="1">
        <v>1</v>
      </c>
      <c r="F37" s="1">
        <v>0.29769142000000004</v>
      </c>
      <c r="G37" s="1">
        <v>6.0484186873481303E-2</v>
      </c>
    </row>
    <row r="38" spans="1:7" ht="15.75" customHeight="1" x14ac:dyDescent="0.25">
      <c r="A38" s="1">
        <v>0</v>
      </c>
      <c r="B38" s="1">
        <v>1</v>
      </c>
      <c r="C38" s="1">
        <v>0</v>
      </c>
      <c r="D38" s="1">
        <v>1995</v>
      </c>
      <c r="E38" s="1">
        <v>1</v>
      </c>
      <c r="F38" s="1">
        <v>0.31855290000000003</v>
      </c>
      <c r="G38" s="1">
        <v>6.4066071664348898E-2</v>
      </c>
    </row>
    <row r="39" spans="1:7" ht="15.75" customHeight="1" x14ac:dyDescent="0.25">
      <c r="A39" s="1">
        <v>0</v>
      </c>
      <c r="B39" s="1">
        <v>1</v>
      </c>
      <c r="C39" s="1">
        <v>0</v>
      </c>
      <c r="D39" s="1">
        <v>1996</v>
      </c>
      <c r="E39" s="1">
        <v>1</v>
      </c>
      <c r="F39" s="1">
        <v>0.17624439</v>
      </c>
      <c r="G39" s="1">
        <v>5.5072101775418901E-2</v>
      </c>
    </row>
    <row r="40" spans="1:7" ht="15.75" customHeight="1" x14ac:dyDescent="0.25">
      <c r="A40" s="1">
        <v>0</v>
      </c>
      <c r="B40" s="1">
        <v>1</v>
      </c>
      <c r="C40" s="1">
        <v>0</v>
      </c>
      <c r="D40" s="1">
        <v>1997</v>
      </c>
      <c r="E40" s="1">
        <v>1</v>
      </c>
      <c r="F40" s="1">
        <v>0.26826761999999998</v>
      </c>
      <c r="G40" s="1">
        <v>7.5441305939775799E-2</v>
      </c>
    </row>
    <row r="41" spans="1:7" ht="15.75" customHeight="1" x14ac:dyDescent="0.25">
      <c r="A41" s="1">
        <v>0</v>
      </c>
      <c r="B41" s="1">
        <v>1</v>
      </c>
      <c r="C41" s="1">
        <v>0</v>
      </c>
      <c r="D41" s="1">
        <v>1998</v>
      </c>
      <c r="E41" s="1">
        <v>1</v>
      </c>
      <c r="F41" s="1">
        <v>0.26521261799999996</v>
      </c>
      <c r="G41" s="1">
        <v>8.4727445773459198E-2</v>
      </c>
    </row>
    <row r="42" spans="1:7" ht="15.75" customHeight="1" x14ac:dyDescent="0.25">
      <c r="A42" s="1">
        <v>0</v>
      </c>
      <c r="B42" s="1">
        <v>1</v>
      </c>
      <c r="C42" s="1">
        <v>0</v>
      </c>
      <c r="D42" s="1">
        <v>1999</v>
      </c>
      <c r="E42" s="1">
        <v>1</v>
      </c>
      <c r="F42" s="1">
        <v>0.36258623400000001</v>
      </c>
      <c r="G42" s="1">
        <v>5.1622558464541002E-2</v>
      </c>
    </row>
    <row r="43" spans="1:7" ht="15.75" customHeight="1" x14ac:dyDescent="0.25">
      <c r="A43" s="1">
        <v>0</v>
      </c>
      <c r="B43" s="1">
        <v>1</v>
      </c>
      <c r="C43" s="1">
        <v>0</v>
      </c>
      <c r="D43" s="1">
        <v>2000</v>
      </c>
      <c r="E43" s="1">
        <v>1</v>
      </c>
      <c r="F43" s="1">
        <v>0.36758817199999999</v>
      </c>
      <c r="G43" s="1">
        <v>6.0917450393643803E-2</v>
      </c>
    </row>
    <row r="44" spans="1:7" ht="15.75" customHeight="1" x14ac:dyDescent="0.25">
      <c r="A44" s="1">
        <v>0</v>
      </c>
      <c r="B44" s="1">
        <v>1</v>
      </c>
      <c r="C44" s="1">
        <v>0</v>
      </c>
      <c r="D44" s="1">
        <v>2001</v>
      </c>
      <c r="E44" s="1">
        <v>1</v>
      </c>
      <c r="F44" s="1">
        <v>0.34205024699999997</v>
      </c>
      <c r="G44" s="1">
        <v>4.9260698216010999E-2</v>
      </c>
    </row>
    <row r="45" spans="1:7" ht="15.75" customHeight="1" x14ac:dyDescent="0.25">
      <c r="A45" s="1">
        <v>0</v>
      </c>
      <c r="B45" s="1">
        <v>1</v>
      </c>
      <c r="C45" s="1">
        <v>0</v>
      </c>
      <c r="D45" s="1">
        <v>2002</v>
      </c>
      <c r="E45" s="1">
        <v>1</v>
      </c>
      <c r="F45" s="1">
        <v>0.32442571799999997</v>
      </c>
      <c r="G45" s="1">
        <v>4.6924571013520003E-2</v>
      </c>
    </row>
    <row r="46" spans="1:7" ht="15.75" customHeight="1" x14ac:dyDescent="0.25">
      <c r="A46" s="1">
        <v>0</v>
      </c>
      <c r="B46" s="1">
        <v>1</v>
      </c>
      <c r="C46" s="1">
        <v>0</v>
      </c>
      <c r="D46" s="1">
        <v>2003</v>
      </c>
      <c r="E46" s="1">
        <v>1</v>
      </c>
      <c r="F46" s="1">
        <v>0.31905019000000001</v>
      </c>
      <c r="G46" s="1">
        <v>4.8371763112814298E-2</v>
      </c>
    </row>
    <row r="47" spans="1:7" ht="15.75" customHeight="1" x14ac:dyDescent="0.25">
      <c r="A47" s="1">
        <v>0</v>
      </c>
      <c r="B47" s="1">
        <v>1</v>
      </c>
      <c r="C47" s="1">
        <v>0</v>
      </c>
      <c r="D47" s="1">
        <v>2004</v>
      </c>
      <c r="E47" s="1">
        <v>1</v>
      </c>
      <c r="F47" s="1">
        <v>0.338501889</v>
      </c>
      <c r="G47" s="1">
        <v>5.7052116920408097E-2</v>
      </c>
    </row>
    <row r="48" spans="1:7" ht="15.75" customHeight="1" x14ac:dyDescent="0.25">
      <c r="A48" s="1">
        <v>0</v>
      </c>
      <c r="B48" s="1">
        <v>1</v>
      </c>
      <c r="C48" s="1">
        <v>0</v>
      </c>
      <c r="D48" s="1">
        <v>2005</v>
      </c>
      <c r="E48" s="1">
        <v>1</v>
      </c>
      <c r="F48" s="1">
        <v>0.27548532999999997</v>
      </c>
      <c r="G48" s="1">
        <v>4.78655433057407E-2</v>
      </c>
    </row>
    <row r="49" spans="1:7" ht="15.75" customHeight="1" x14ac:dyDescent="0.25">
      <c r="A49" s="1">
        <v>0</v>
      </c>
      <c r="B49" s="1">
        <v>1</v>
      </c>
      <c r="C49" s="1">
        <v>0</v>
      </c>
      <c r="D49" s="1">
        <v>2006</v>
      </c>
      <c r="E49" s="1">
        <v>1</v>
      </c>
      <c r="F49" s="1">
        <v>0.32198900999999996</v>
      </c>
      <c r="G49" s="1">
        <v>4.2053375280584997E-2</v>
      </c>
    </row>
    <row r="50" spans="1:7" ht="15.75" customHeight="1" x14ac:dyDescent="0.25">
      <c r="A50" s="1">
        <v>0</v>
      </c>
      <c r="B50" s="1">
        <v>1</v>
      </c>
      <c r="C50" s="1">
        <v>0</v>
      </c>
      <c r="D50" s="1">
        <v>2007</v>
      </c>
      <c r="E50" s="1">
        <v>1</v>
      </c>
      <c r="F50" s="1">
        <v>0.30394582399999998</v>
      </c>
      <c r="G50" s="1">
        <v>4.2968231878700802E-2</v>
      </c>
    </row>
    <row r="51" spans="1:7" ht="15.75" customHeight="1" x14ac:dyDescent="0.25">
      <c r="A51" s="1">
        <v>0</v>
      </c>
      <c r="B51" s="1">
        <v>1</v>
      </c>
      <c r="C51" s="1">
        <v>0</v>
      </c>
      <c r="D51" s="1">
        <v>2008</v>
      </c>
      <c r="E51" s="1">
        <v>1</v>
      </c>
      <c r="F51" s="1">
        <v>0.36662111199999992</v>
      </c>
      <c r="G51" s="1">
        <v>5.3626373924765401E-2</v>
      </c>
    </row>
    <row r="52" spans="1:7" ht="15.75" customHeight="1" x14ac:dyDescent="0.25">
      <c r="A52" s="1">
        <v>0</v>
      </c>
      <c r="B52" s="1">
        <v>1</v>
      </c>
      <c r="C52" s="1">
        <v>0</v>
      </c>
      <c r="D52" s="1">
        <v>2009</v>
      </c>
      <c r="E52" s="1">
        <v>1</v>
      </c>
      <c r="F52" s="1">
        <v>0.40565912699999995</v>
      </c>
      <c r="G52" s="1">
        <v>6.6333048785106194E-2</v>
      </c>
    </row>
    <row r="53" spans="1:7" ht="15.75" customHeight="1" x14ac:dyDescent="0.25">
      <c r="A53" s="1">
        <v>0</v>
      </c>
      <c r="B53" s="1">
        <v>1</v>
      </c>
      <c r="C53" s="1">
        <v>0</v>
      </c>
      <c r="D53" s="1">
        <v>2010</v>
      </c>
      <c r="E53" s="1">
        <v>1</v>
      </c>
      <c r="F53" s="1">
        <v>0.46945982499999994</v>
      </c>
      <c r="G53" s="1">
        <v>6.5099337549702901E-2</v>
      </c>
    </row>
    <row r="54" spans="1:7" ht="15.75" customHeight="1" x14ac:dyDescent="0.25">
      <c r="A54" s="1">
        <v>0</v>
      </c>
      <c r="B54" s="1">
        <v>1</v>
      </c>
      <c r="C54" s="1">
        <v>0</v>
      </c>
      <c r="D54" s="1">
        <v>2011</v>
      </c>
      <c r="E54" s="1">
        <v>1</v>
      </c>
      <c r="F54" s="1">
        <v>0.54181425699999997</v>
      </c>
      <c r="G54" s="1">
        <v>5.02528798174968E-2</v>
      </c>
    </row>
    <row r="55" spans="1:7" ht="15.75" customHeight="1" x14ac:dyDescent="0.25">
      <c r="A55" s="1">
        <v>0</v>
      </c>
      <c r="B55" s="1">
        <v>1</v>
      </c>
      <c r="C55" s="1">
        <v>0</v>
      </c>
      <c r="D55" s="1">
        <v>2012</v>
      </c>
      <c r="E55" s="1">
        <v>1</v>
      </c>
      <c r="F55" s="1">
        <v>0.57318294899999989</v>
      </c>
      <c r="G55" s="1">
        <v>4.34837041416491E-2</v>
      </c>
    </row>
    <row r="56" spans="1:7" ht="15.75" customHeight="1" x14ac:dyDescent="0.25">
      <c r="A56" s="1">
        <v>0</v>
      </c>
      <c r="B56" s="1">
        <v>1</v>
      </c>
      <c r="C56" s="1">
        <v>0</v>
      </c>
      <c r="D56" s="1">
        <v>2013</v>
      </c>
      <c r="E56" s="1">
        <v>1</v>
      </c>
      <c r="F56" s="1">
        <v>0.56916885599999989</v>
      </c>
      <c r="G56" s="1">
        <v>5.3015148030903098E-2</v>
      </c>
    </row>
    <row r="57" spans="1:7" ht="15.75" customHeight="1" x14ac:dyDescent="0.25">
      <c r="A57" s="1">
        <v>0</v>
      </c>
      <c r="B57" s="1">
        <v>1</v>
      </c>
      <c r="C57" s="1">
        <v>0</v>
      </c>
      <c r="D57" s="1">
        <v>2014</v>
      </c>
      <c r="E57" s="1">
        <v>1</v>
      </c>
      <c r="F57" s="1">
        <v>0.56412328499999986</v>
      </c>
      <c r="G57" s="1">
        <v>4.9253294793636097E-2</v>
      </c>
    </row>
    <row r="58" spans="1:7" ht="15.75" customHeight="1" x14ac:dyDescent="0.25">
      <c r="A58" s="1">
        <v>0</v>
      </c>
      <c r="B58" s="1">
        <v>1</v>
      </c>
      <c r="C58" s="1">
        <v>0</v>
      </c>
      <c r="D58" s="1">
        <v>2015</v>
      </c>
      <c r="E58" s="1">
        <v>1</v>
      </c>
      <c r="F58" s="1">
        <v>0.75433072099999976</v>
      </c>
      <c r="G58" s="1">
        <v>5.7289868369422903E-2</v>
      </c>
    </row>
    <row r="59" spans="1:7" ht="15.75" customHeight="1" x14ac:dyDescent="0.25">
      <c r="A59" s="1">
        <v>0</v>
      </c>
      <c r="B59" s="1">
        <v>1</v>
      </c>
      <c r="C59" s="1">
        <v>0</v>
      </c>
      <c r="D59" s="1">
        <v>2016</v>
      </c>
      <c r="E59" s="1">
        <v>1</v>
      </c>
      <c r="F59" s="1">
        <v>0.84750463199999992</v>
      </c>
      <c r="G59" s="1">
        <v>4.8617566921277798E-2</v>
      </c>
    </row>
    <row r="60" spans="1:7" ht="15.75" customHeight="1" x14ac:dyDescent="0.25">
      <c r="A60" s="1">
        <v>0</v>
      </c>
      <c r="B60" s="1">
        <v>1</v>
      </c>
      <c r="C60" s="1">
        <v>0</v>
      </c>
      <c r="D60" s="1">
        <v>2017</v>
      </c>
      <c r="E60" s="1">
        <v>1</v>
      </c>
      <c r="F60" s="1">
        <v>0.88810639999999974</v>
      </c>
      <c r="G60" s="1">
        <v>4.9164111142390401E-2</v>
      </c>
    </row>
    <row r="61" spans="1:7" ht="15.75" customHeight="1" x14ac:dyDescent="0.25">
      <c r="A61" s="1">
        <v>0</v>
      </c>
      <c r="B61" s="1">
        <v>1</v>
      </c>
      <c r="C61" s="1">
        <v>0</v>
      </c>
      <c r="D61" s="1">
        <v>2018</v>
      </c>
      <c r="E61" s="1">
        <v>1</v>
      </c>
      <c r="F61" s="1">
        <v>0.96063149999999975</v>
      </c>
      <c r="G61" s="1">
        <v>4.9327279438456002E-2</v>
      </c>
    </row>
    <row r="62" spans="1:7" ht="15.75" customHeight="1" x14ac:dyDescent="0.25">
      <c r="A62" s="1">
        <v>0</v>
      </c>
      <c r="B62" s="1">
        <v>1</v>
      </c>
      <c r="C62" s="1">
        <v>0</v>
      </c>
      <c r="D62" s="1">
        <v>2019</v>
      </c>
      <c r="E62" s="1">
        <v>1</v>
      </c>
      <c r="F62" s="1">
        <v>1.0720371999999998</v>
      </c>
      <c r="G62" s="1">
        <v>4.8180261015612097E-2</v>
      </c>
    </row>
    <row r="63" spans="1:7" ht="15.75" customHeight="1" x14ac:dyDescent="0.25">
      <c r="A63" s="1">
        <v>0</v>
      </c>
      <c r="B63" s="1">
        <v>1</v>
      </c>
      <c r="C63" s="1">
        <v>0</v>
      </c>
      <c r="D63" s="1">
        <v>2020</v>
      </c>
      <c r="E63" s="1">
        <v>1</v>
      </c>
      <c r="F63" s="1">
        <v>1.1498861999999999</v>
      </c>
      <c r="G63" s="1">
        <v>4.3893600594459702E-2</v>
      </c>
    </row>
    <row r="64" spans="1:7" ht="15.75" customHeight="1" x14ac:dyDescent="0.25">
      <c r="A64" s="1">
        <v>0</v>
      </c>
      <c r="B64" s="1">
        <v>1</v>
      </c>
      <c r="C64" s="1">
        <v>0</v>
      </c>
      <c r="D64" s="1">
        <v>2021</v>
      </c>
      <c r="E64" s="1">
        <v>1</v>
      </c>
      <c r="F64" s="1">
        <v>1.2459490999999998</v>
      </c>
      <c r="G64" s="1">
        <v>4.5585716128643497E-2</v>
      </c>
    </row>
    <row r="65" spans="1:7" ht="15.75" customHeight="1" x14ac:dyDescent="0.25">
      <c r="A65" s="1">
        <v>0</v>
      </c>
      <c r="B65" s="1">
        <v>1</v>
      </c>
      <c r="C65" s="1">
        <v>0</v>
      </c>
      <c r="D65" s="1">
        <v>2022</v>
      </c>
      <c r="E65" s="1">
        <v>1</v>
      </c>
      <c r="F65" s="1">
        <v>1.2434739199999998</v>
      </c>
      <c r="G65" s="1">
        <v>4.9120455316691403E-2</v>
      </c>
    </row>
    <row r="66" spans="1:7" ht="15.75" customHeight="1" x14ac:dyDescent="0.25">
      <c r="A66" s="1">
        <v>0</v>
      </c>
      <c r="B66" s="1">
        <v>1</v>
      </c>
      <c r="C66" s="1">
        <v>0</v>
      </c>
      <c r="D66" s="1">
        <v>2023</v>
      </c>
      <c r="E66" s="1">
        <v>1</v>
      </c>
      <c r="F66" s="1">
        <v>1.5280919999999996</v>
      </c>
      <c r="G66" s="1">
        <v>4.1317511140728798E-2</v>
      </c>
    </row>
    <row r="67" spans="1:7" ht="15.75" customHeight="1" x14ac:dyDescent="0.25">
      <c r="A67" s="1">
        <v>0</v>
      </c>
      <c r="B67" s="1">
        <v>1</v>
      </c>
      <c r="C67" s="1">
        <v>0</v>
      </c>
      <c r="D67" s="1">
        <v>2024</v>
      </c>
      <c r="E67" s="1">
        <v>1</v>
      </c>
      <c r="F67" s="1">
        <v>1.5148764599999998</v>
      </c>
      <c r="G67" s="1">
        <v>6.9224520471187698E-2</v>
      </c>
    </row>
    <row r="68" spans="1:7" ht="15.75" customHeight="1" x14ac:dyDescent="0.25">
      <c r="A68" s="1">
        <v>1</v>
      </c>
      <c r="B68" s="1">
        <v>4</v>
      </c>
      <c r="C68" s="1">
        <v>1</v>
      </c>
      <c r="D68" s="1">
        <v>1990</v>
      </c>
      <c r="E68" s="1">
        <v>1</v>
      </c>
      <c r="F68" s="1">
        <v>2.5863526599999993</v>
      </c>
      <c r="G68" s="1">
        <v>5.0971638524937503E-2</v>
      </c>
    </row>
    <row r="69" spans="1:7" ht="15.75" customHeight="1" x14ac:dyDescent="0.25">
      <c r="A69" s="1">
        <v>1</v>
      </c>
      <c r="B69" s="1">
        <v>4</v>
      </c>
      <c r="C69" s="1">
        <v>1</v>
      </c>
      <c r="D69" s="1">
        <v>1991</v>
      </c>
      <c r="E69" s="1">
        <v>1</v>
      </c>
      <c r="F69" s="1">
        <v>2.3300990999999991</v>
      </c>
      <c r="G69" s="1">
        <v>4.6829142321856899E-2</v>
      </c>
    </row>
    <row r="70" spans="1:7" ht="15.75" customHeight="1" x14ac:dyDescent="0.25">
      <c r="A70" s="1">
        <v>1</v>
      </c>
      <c r="B70" s="1">
        <v>4</v>
      </c>
      <c r="C70" s="1">
        <v>1</v>
      </c>
      <c r="D70" s="1">
        <v>1992</v>
      </c>
      <c r="E70" s="1">
        <v>1</v>
      </c>
      <c r="F70" s="1">
        <v>2.6755684999999994</v>
      </c>
      <c r="G70" s="1">
        <v>4.4083765675703199E-2</v>
      </c>
    </row>
    <row r="71" spans="1:7" ht="15.75" customHeight="1" x14ac:dyDescent="0.25">
      <c r="A71" s="1">
        <v>1</v>
      </c>
      <c r="B71" s="1">
        <v>4</v>
      </c>
      <c r="C71" s="1">
        <v>1</v>
      </c>
      <c r="D71" s="1">
        <v>1993</v>
      </c>
      <c r="E71" s="1">
        <v>1</v>
      </c>
      <c r="F71" s="1">
        <v>2.6851065199999993</v>
      </c>
      <c r="G71" s="1">
        <v>6.3682003957994698E-2</v>
      </c>
    </row>
    <row r="72" spans="1:7" ht="15.75" customHeight="1" x14ac:dyDescent="0.25">
      <c r="A72" s="1">
        <v>1</v>
      </c>
      <c r="B72" s="1">
        <v>4</v>
      </c>
      <c r="C72" s="1">
        <v>1</v>
      </c>
      <c r="D72" s="1">
        <v>1994</v>
      </c>
      <c r="E72" s="1">
        <v>1</v>
      </c>
      <c r="F72" s="1">
        <v>2.7079841699999991</v>
      </c>
      <c r="G72" s="1">
        <v>5.31361912984748E-2</v>
      </c>
    </row>
    <row r="73" spans="1:7" ht="15.75" customHeight="1" x14ac:dyDescent="0.25">
      <c r="A73" s="1">
        <v>1</v>
      </c>
      <c r="B73" s="1">
        <v>4</v>
      </c>
      <c r="C73" s="1">
        <v>1</v>
      </c>
      <c r="D73" s="1">
        <v>1995</v>
      </c>
      <c r="E73" s="1">
        <v>1</v>
      </c>
      <c r="F73" s="1">
        <v>2.4858087499999995</v>
      </c>
      <c r="G73" s="1">
        <v>5.22677056527611E-2</v>
      </c>
    </row>
    <row r="74" spans="1:7" ht="15.75" customHeight="1" x14ac:dyDescent="0.25">
      <c r="A74" s="1">
        <v>1</v>
      </c>
      <c r="B74" s="1">
        <v>4</v>
      </c>
      <c r="C74" s="1">
        <v>1</v>
      </c>
      <c r="D74" s="1">
        <v>1996</v>
      </c>
      <c r="E74" s="1">
        <v>1</v>
      </c>
      <c r="F74" s="1">
        <v>2.0940124199999994</v>
      </c>
      <c r="G74" s="1">
        <v>5.6694334369782398E-2</v>
      </c>
    </row>
    <row r="75" spans="1:7" ht="15.75" customHeight="1" x14ac:dyDescent="0.25">
      <c r="A75" s="1">
        <v>1</v>
      </c>
      <c r="B75" s="1">
        <v>4</v>
      </c>
      <c r="C75" s="1">
        <v>1</v>
      </c>
      <c r="D75" s="1">
        <v>1997</v>
      </c>
      <c r="E75" s="1">
        <v>1</v>
      </c>
      <c r="F75" s="1">
        <v>2.1012087499999996</v>
      </c>
      <c r="G75" s="1">
        <v>5.4604729849884903E-2</v>
      </c>
    </row>
    <row r="76" spans="1:7" ht="15.75" customHeight="1" x14ac:dyDescent="0.25">
      <c r="A76" s="1">
        <v>1</v>
      </c>
      <c r="B76" s="1">
        <v>4</v>
      </c>
      <c r="C76" s="1">
        <v>1</v>
      </c>
      <c r="D76" s="1">
        <v>1998</v>
      </c>
      <c r="E76" s="1">
        <v>1</v>
      </c>
      <c r="F76" s="1">
        <v>1.6579371599999997</v>
      </c>
      <c r="G76" s="1">
        <v>4.0733603121883899E-2</v>
      </c>
    </row>
    <row r="77" spans="1:7" ht="15.75" customHeight="1" x14ac:dyDescent="0.25">
      <c r="A77" s="1">
        <v>1</v>
      </c>
      <c r="B77" s="1">
        <v>4</v>
      </c>
      <c r="C77" s="1">
        <v>1</v>
      </c>
      <c r="D77" s="1">
        <v>1999</v>
      </c>
      <c r="E77" s="1">
        <v>1</v>
      </c>
      <c r="F77" s="1">
        <v>1.4042379999999999</v>
      </c>
      <c r="G77" s="1">
        <v>4.9091855107932798E-2</v>
      </c>
    </row>
    <row r="78" spans="1:7" ht="15.75" customHeight="1" x14ac:dyDescent="0.25">
      <c r="A78" s="1">
        <v>1</v>
      </c>
      <c r="B78" s="1">
        <v>4</v>
      </c>
      <c r="C78" s="1">
        <v>1</v>
      </c>
      <c r="D78" s="1">
        <v>2000</v>
      </c>
      <c r="E78" s="1">
        <v>1</v>
      </c>
      <c r="F78" s="1">
        <v>1.3406130399999998</v>
      </c>
      <c r="G78" s="1">
        <v>5.5388206762239399E-2</v>
      </c>
    </row>
    <row r="79" spans="1:7" ht="15.75" customHeight="1" x14ac:dyDescent="0.25">
      <c r="A79" s="1">
        <v>1</v>
      </c>
      <c r="B79" s="1">
        <v>4</v>
      </c>
      <c r="C79" s="1">
        <v>1</v>
      </c>
      <c r="D79" s="1">
        <v>2001</v>
      </c>
      <c r="E79" s="1">
        <v>1</v>
      </c>
      <c r="F79" s="1">
        <v>1.1445126999999997</v>
      </c>
      <c r="G79" s="1">
        <v>4.3311339701524197E-2</v>
      </c>
    </row>
    <row r="80" spans="1:7" ht="15.75" customHeight="1" x14ac:dyDescent="0.25">
      <c r="A80" s="1">
        <v>1</v>
      </c>
      <c r="B80" s="1">
        <v>4</v>
      </c>
      <c r="C80" s="1">
        <v>1</v>
      </c>
      <c r="D80" s="1">
        <v>2002</v>
      </c>
      <c r="E80" s="1">
        <v>1</v>
      </c>
      <c r="F80" s="1">
        <v>0.92397711999999976</v>
      </c>
      <c r="G80" s="1">
        <v>4.6915258875187701E-2</v>
      </c>
    </row>
    <row r="81" spans="1:7" ht="15.75" customHeight="1" x14ac:dyDescent="0.25">
      <c r="A81" s="1">
        <v>1</v>
      </c>
      <c r="B81" s="1">
        <v>4</v>
      </c>
      <c r="C81" s="1">
        <v>1</v>
      </c>
      <c r="D81" s="1">
        <v>2003</v>
      </c>
      <c r="E81" s="1">
        <v>1</v>
      </c>
      <c r="F81" s="1">
        <v>0.88672483899999976</v>
      </c>
      <c r="G81" s="1">
        <v>4.5053002060648703E-2</v>
      </c>
    </row>
    <row r="82" spans="1:7" ht="15.75" customHeight="1" x14ac:dyDescent="0.25">
      <c r="A82" s="1">
        <v>1</v>
      </c>
      <c r="B82" s="1">
        <v>4</v>
      </c>
      <c r="C82" s="1">
        <v>1</v>
      </c>
      <c r="D82" s="1">
        <v>2004</v>
      </c>
      <c r="E82" s="1">
        <v>1</v>
      </c>
      <c r="F82" s="1">
        <v>0.75802395199999972</v>
      </c>
      <c r="G82" s="1">
        <v>4.7432817149281999E-2</v>
      </c>
    </row>
    <row r="83" spans="1:7" ht="15.75" customHeight="1" x14ac:dyDescent="0.25">
      <c r="A83" s="1">
        <v>1</v>
      </c>
      <c r="B83" s="1">
        <v>4</v>
      </c>
      <c r="C83" s="1">
        <v>1</v>
      </c>
      <c r="D83" s="1">
        <v>2005</v>
      </c>
      <c r="E83" s="1">
        <v>1</v>
      </c>
      <c r="F83" s="1">
        <v>0.73813467199999983</v>
      </c>
      <c r="G83" s="1">
        <v>4.4639568469101797E-2</v>
      </c>
    </row>
    <row r="84" spans="1:7" ht="15.75" customHeight="1" x14ac:dyDescent="0.25">
      <c r="A84" s="1">
        <v>1</v>
      </c>
      <c r="B84" s="1">
        <v>4</v>
      </c>
      <c r="C84" s="1">
        <v>1</v>
      </c>
      <c r="D84" s="1">
        <v>2006</v>
      </c>
      <c r="E84" s="1">
        <v>1</v>
      </c>
      <c r="F84" s="1">
        <v>0.75161665899999985</v>
      </c>
      <c r="G84" s="1">
        <v>4.7245679927303302E-2</v>
      </c>
    </row>
    <row r="85" spans="1:7" ht="15.75" customHeight="1" x14ac:dyDescent="0.25">
      <c r="A85" s="1">
        <v>1</v>
      </c>
      <c r="B85" s="1">
        <v>4</v>
      </c>
      <c r="C85" s="1">
        <v>1</v>
      </c>
      <c r="D85" s="1">
        <v>2007</v>
      </c>
      <c r="E85" s="1">
        <v>1</v>
      </c>
      <c r="F85" s="1">
        <v>0.84788422999999979</v>
      </c>
      <c r="G85" s="1">
        <v>4.2255989659841398E-2</v>
      </c>
    </row>
    <row r="86" spans="1:7" ht="15.75" customHeight="1" x14ac:dyDescent="0.25">
      <c r="A86" s="1">
        <v>1</v>
      </c>
      <c r="B86" s="1">
        <v>4</v>
      </c>
      <c r="C86" s="1">
        <v>1</v>
      </c>
      <c r="D86" s="1">
        <v>2008</v>
      </c>
      <c r="E86" s="1">
        <v>1</v>
      </c>
      <c r="F86" s="1">
        <v>0.7757302399999999</v>
      </c>
      <c r="G86" s="1">
        <v>4.2222684590433199E-2</v>
      </c>
    </row>
    <row r="87" spans="1:7" ht="15.75" customHeight="1" x14ac:dyDescent="0.25">
      <c r="A87" s="1">
        <v>1</v>
      </c>
      <c r="B87" s="1">
        <v>4</v>
      </c>
      <c r="C87" s="1">
        <v>1</v>
      </c>
      <c r="D87" s="1">
        <v>2009</v>
      </c>
      <c r="E87" s="1">
        <v>1</v>
      </c>
      <c r="F87" s="1">
        <v>0.98482013999999996</v>
      </c>
      <c r="G87" s="1">
        <v>4.2423092981228698E-2</v>
      </c>
    </row>
    <row r="88" spans="1:7" ht="15.75" customHeight="1" x14ac:dyDescent="0.25">
      <c r="A88" s="1">
        <v>1</v>
      </c>
      <c r="B88" s="1">
        <v>4</v>
      </c>
      <c r="C88" s="1">
        <v>1</v>
      </c>
      <c r="D88" s="1">
        <v>2010</v>
      </c>
      <c r="E88" s="1">
        <v>1</v>
      </c>
      <c r="F88" s="1">
        <v>1.0471994799999997</v>
      </c>
      <c r="G88" s="1">
        <v>4.6342646171541997E-2</v>
      </c>
    </row>
    <row r="89" spans="1:7" ht="15.75" customHeight="1" x14ac:dyDescent="0.25">
      <c r="A89" s="1">
        <v>1</v>
      </c>
      <c r="B89" s="1">
        <v>4</v>
      </c>
      <c r="C89" s="1">
        <v>1</v>
      </c>
      <c r="D89" s="1">
        <v>2011</v>
      </c>
      <c r="E89" s="1">
        <v>1</v>
      </c>
      <c r="F89" s="1">
        <v>1.3315243199999998</v>
      </c>
      <c r="G89" s="1">
        <v>4.0082639295461603E-2</v>
      </c>
    </row>
    <row r="90" spans="1:7" ht="15.75" customHeight="1" x14ac:dyDescent="0.25">
      <c r="A90" s="1">
        <v>1</v>
      </c>
      <c r="B90" s="1">
        <v>4</v>
      </c>
      <c r="C90" s="1">
        <v>1</v>
      </c>
      <c r="D90" s="1">
        <v>2012</v>
      </c>
      <c r="E90" s="1">
        <v>1</v>
      </c>
      <c r="F90" s="1">
        <v>1.3205639999999996</v>
      </c>
      <c r="G90" s="1">
        <v>4.1864735261983102E-2</v>
      </c>
    </row>
    <row r="91" spans="1:7" ht="15.75" customHeight="1" x14ac:dyDescent="0.25">
      <c r="A91" s="1">
        <v>1</v>
      </c>
      <c r="B91" s="1">
        <v>4</v>
      </c>
      <c r="C91" s="1">
        <v>1</v>
      </c>
      <c r="D91" s="1">
        <v>2013</v>
      </c>
      <c r="E91" s="1">
        <v>1</v>
      </c>
      <c r="F91" s="1">
        <v>1.2856758299999997</v>
      </c>
      <c r="G91" s="1">
        <v>0.169714126691766</v>
      </c>
    </row>
    <row r="92" spans="1:7" ht="15.75" customHeight="1" x14ac:dyDescent="0.25">
      <c r="A92" s="1">
        <v>1</v>
      </c>
      <c r="B92" s="1">
        <v>4</v>
      </c>
      <c r="C92" s="1">
        <v>1</v>
      </c>
      <c r="D92" s="1">
        <v>2014</v>
      </c>
      <c r="E92" s="1">
        <v>1</v>
      </c>
      <c r="F92" s="1">
        <v>1.4468479999999997</v>
      </c>
      <c r="G92" s="1">
        <v>9.5369720457646606E-2</v>
      </c>
    </row>
    <row r="93" spans="1:7" ht="15.75" customHeight="1" x14ac:dyDescent="0.25">
      <c r="A93" s="1">
        <v>1</v>
      </c>
      <c r="B93" s="1">
        <v>4</v>
      </c>
      <c r="C93" s="1">
        <v>1</v>
      </c>
      <c r="D93" s="1">
        <v>2015</v>
      </c>
      <c r="E93" s="1">
        <v>1</v>
      </c>
      <c r="F93" s="1">
        <v>1.7736409899999996</v>
      </c>
      <c r="G93" s="1">
        <v>7.7095179739025299E-2</v>
      </c>
    </row>
    <row r="94" spans="1:7" ht="15.75" customHeight="1" x14ac:dyDescent="0.25">
      <c r="A94" s="1">
        <v>1</v>
      </c>
      <c r="B94" s="1">
        <v>4</v>
      </c>
      <c r="C94" s="1">
        <v>1</v>
      </c>
      <c r="D94" s="1">
        <v>2016</v>
      </c>
      <c r="E94" s="1">
        <v>1</v>
      </c>
      <c r="F94" s="1">
        <v>1.7601738999999996</v>
      </c>
      <c r="G94" s="1">
        <v>8.0418506929916603E-2</v>
      </c>
    </row>
    <row r="95" spans="1:7" ht="15.75" customHeight="1" x14ac:dyDescent="0.25">
      <c r="A95" s="1">
        <v>1</v>
      </c>
      <c r="B95" s="1">
        <v>4</v>
      </c>
      <c r="C95" s="1">
        <v>1</v>
      </c>
      <c r="D95" s="1">
        <v>2017</v>
      </c>
      <c r="E95" s="1">
        <v>1</v>
      </c>
      <c r="F95" s="1">
        <v>1.7677804499999994</v>
      </c>
      <c r="G95" s="1">
        <v>7.0698853026702604E-2</v>
      </c>
    </row>
    <row r="96" spans="1:7" ht="15.75" customHeight="1" x14ac:dyDescent="0.25">
      <c r="A96" s="1">
        <v>1</v>
      </c>
      <c r="B96" s="1">
        <v>4</v>
      </c>
      <c r="C96" s="1">
        <v>1</v>
      </c>
      <c r="D96" s="1">
        <v>2018</v>
      </c>
      <c r="E96" s="1">
        <v>1</v>
      </c>
      <c r="F96" s="1">
        <v>2.0124595399999996</v>
      </c>
      <c r="G96" s="1">
        <v>7.5854203075401E-2</v>
      </c>
    </row>
    <row r="97" spans="1:7" ht="15.75" customHeight="1" x14ac:dyDescent="0.25">
      <c r="A97" s="1">
        <v>1</v>
      </c>
      <c r="B97" s="1">
        <v>4</v>
      </c>
      <c r="C97" s="1">
        <v>1</v>
      </c>
      <c r="D97" s="1">
        <v>2019</v>
      </c>
      <c r="E97" s="1">
        <v>1</v>
      </c>
      <c r="F97" s="1">
        <v>2.1217606199999999</v>
      </c>
      <c r="G97" s="1">
        <v>5.2223248197017798E-2</v>
      </c>
    </row>
    <row r="98" spans="1:7" ht="15.75" customHeight="1" x14ac:dyDescent="0.25">
      <c r="A98" s="1">
        <v>1</v>
      </c>
      <c r="B98" s="1">
        <v>4</v>
      </c>
      <c r="C98" s="1">
        <v>1</v>
      </c>
      <c r="D98" s="1">
        <v>2020</v>
      </c>
      <c r="E98" s="1">
        <v>1</v>
      </c>
      <c r="F98" s="1">
        <v>1.9058071999999999</v>
      </c>
      <c r="G98" s="1">
        <v>5.4505824282937702E-2</v>
      </c>
    </row>
    <row r="99" spans="1:7" ht="15.75" customHeight="1" x14ac:dyDescent="0.25">
      <c r="A99" s="1">
        <v>1</v>
      </c>
      <c r="B99" s="1">
        <v>4</v>
      </c>
      <c r="C99" s="1">
        <v>1</v>
      </c>
      <c r="D99" s="1">
        <v>2021</v>
      </c>
      <c r="E99" s="1">
        <v>1</v>
      </c>
      <c r="F99" s="1">
        <v>1.9310996199999999</v>
      </c>
      <c r="G99" s="1">
        <v>5.5284015061312801E-2</v>
      </c>
    </row>
    <row r="100" spans="1:7" ht="15.75" customHeight="1" x14ac:dyDescent="0.25">
      <c r="A100" s="1">
        <v>1</v>
      </c>
      <c r="B100" s="1">
        <v>4</v>
      </c>
      <c r="C100" s="1">
        <v>1</v>
      </c>
      <c r="D100" s="1">
        <v>2022</v>
      </c>
      <c r="E100" s="1">
        <v>1</v>
      </c>
      <c r="F100" s="1">
        <v>2.2771546599999999</v>
      </c>
      <c r="G100" s="1">
        <v>6.05934627000266E-2</v>
      </c>
    </row>
    <row r="101" spans="1:7" ht="15.75" customHeight="1" x14ac:dyDescent="0.25">
      <c r="A101" s="1">
        <v>1</v>
      </c>
      <c r="B101" s="1">
        <v>4</v>
      </c>
      <c r="C101" s="1">
        <v>1</v>
      </c>
      <c r="D101" s="1">
        <v>2023</v>
      </c>
      <c r="E101" s="1">
        <v>1</v>
      </c>
      <c r="F101" s="1">
        <v>2.6221630500000002</v>
      </c>
      <c r="G101" s="1">
        <v>8.1460254759040507E-2</v>
      </c>
    </row>
    <row r="102" spans="1:7" ht="15.75" customHeight="1" x14ac:dyDescent="0.25">
      <c r="A102" s="1">
        <v>1</v>
      </c>
      <c r="B102" s="1">
        <v>4</v>
      </c>
      <c r="C102" s="1">
        <v>1</v>
      </c>
      <c r="D102" s="1">
        <v>2024</v>
      </c>
      <c r="E102" s="1">
        <v>1</v>
      </c>
      <c r="F102" s="1">
        <v>3.0085890000000002</v>
      </c>
      <c r="G102" s="1">
        <v>4.6739904035066102E-2</v>
      </c>
    </row>
    <row r="103" spans="1:7" ht="15.75" customHeight="1" x14ac:dyDescent="0.25">
      <c r="A103" s="1">
        <v>2</v>
      </c>
      <c r="B103" s="1">
        <v>4</v>
      </c>
      <c r="C103" s="1">
        <v>2</v>
      </c>
      <c r="D103" s="1">
        <v>1990</v>
      </c>
      <c r="E103" s="1">
        <v>1</v>
      </c>
      <c r="F103" s="1">
        <v>3.7906586399999997</v>
      </c>
      <c r="G103" s="1">
        <v>4.6918473162275001E-2</v>
      </c>
    </row>
    <row r="104" spans="1:7" ht="15.75" customHeight="1" x14ac:dyDescent="0.25">
      <c r="A104" s="1">
        <v>2</v>
      </c>
      <c r="B104" s="1">
        <v>4</v>
      </c>
      <c r="C104" s="1">
        <v>2</v>
      </c>
      <c r="D104" s="1">
        <v>1991</v>
      </c>
      <c r="E104" s="1">
        <v>1</v>
      </c>
      <c r="F104" s="1">
        <v>3.9221775000000001</v>
      </c>
      <c r="G104" s="1">
        <v>5.6406866090329799E-2</v>
      </c>
    </row>
    <row r="105" spans="1:7" ht="15.75" customHeight="1" x14ac:dyDescent="0.25">
      <c r="A105" s="1">
        <v>2</v>
      </c>
      <c r="B105" s="1">
        <v>4</v>
      </c>
      <c r="C105" s="1">
        <v>2</v>
      </c>
      <c r="D105" s="1">
        <v>1992</v>
      </c>
      <c r="E105" s="1">
        <v>1</v>
      </c>
      <c r="F105" s="1">
        <v>3.7947658000000004</v>
      </c>
      <c r="G105" s="1">
        <v>4.2486780173753499E-2</v>
      </c>
    </row>
    <row r="106" spans="1:7" ht="15.75" customHeight="1" x14ac:dyDescent="0.25">
      <c r="A106" s="1">
        <v>2</v>
      </c>
      <c r="B106" s="1">
        <v>4</v>
      </c>
      <c r="C106" s="1">
        <v>2</v>
      </c>
      <c r="D106" s="1">
        <v>1993</v>
      </c>
      <c r="E106" s="1">
        <v>1</v>
      </c>
      <c r="F106" s="1">
        <v>3.4020499499999999</v>
      </c>
      <c r="G106" s="1">
        <v>5.2002786071755999E-2</v>
      </c>
    </row>
    <row r="107" spans="1:7" ht="15.75" customHeight="1" x14ac:dyDescent="0.25">
      <c r="A107" s="1">
        <v>2</v>
      </c>
      <c r="B107" s="1">
        <v>4</v>
      </c>
      <c r="C107" s="1">
        <v>2</v>
      </c>
      <c r="D107" s="1">
        <v>1994</v>
      </c>
      <c r="E107" s="1">
        <v>1</v>
      </c>
      <c r="F107" s="1">
        <v>2.9149517400000007</v>
      </c>
      <c r="G107" s="1">
        <v>4.1096620155227997E-2</v>
      </c>
    </row>
    <row r="108" spans="1:7" ht="15.75" customHeight="1" x14ac:dyDescent="0.25">
      <c r="A108" s="1">
        <v>2</v>
      </c>
      <c r="B108" s="1">
        <v>4</v>
      </c>
      <c r="C108" s="1">
        <v>2</v>
      </c>
      <c r="D108" s="1">
        <v>1995</v>
      </c>
      <c r="E108" s="1">
        <v>1</v>
      </c>
      <c r="F108" s="1">
        <v>2.3460600100000004</v>
      </c>
      <c r="G108" s="1">
        <v>5.1766617952054103E-2</v>
      </c>
    </row>
    <row r="109" spans="1:7" ht="15.75" customHeight="1" x14ac:dyDescent="0.25">
      <c r="A109" s="1">
        <v>2</v>
      </c>
      <c r="B109" s="1">
        <v>4</v>
      </c>
      <c r="C109" s="1">
        <v>2</v>
      </c>
      <c r="D109" s="1">
        <v>1996</v>
      </c>
      <c r="E109" s="1">
        <v>1</v>
      </c>
      <c r="F109" s="1">
        <v>2.4243360400000005</v>
      </c>
      <c r="G109" s="1">
        <v>6.0430532114050597E-2</v>
      </c>
    </row>
    <row r="110" spans="1:7" ht="15.75" customHeight="1" x14ac:dyDescent="0.25">
      <c r="A110" s="1">
        <v>2</v>
      </c>
      <c r="B110" s="1">
        <v>4</v>
      </c>
      <c r="C110" s="1">
        <v>2</v>
      </c>
      <c r="D110" s="1">
        <v>1997</v>
      </c>
      <c r="E110" s="1">
        <v>1</v>
      </c>
      <c r="F110" s="1">
        <v>1.8894960000000003</v>
      </c>
      <c r="G110" s="1">
        <v>4.2209277886192997E-2</v>
      </c>
    </row>
    <row r="111" spans="1:7" ht="15.75" customHeight="1" x14ac:dyDescent="0.25">
      <c r="A111" s="1">
        <v>2</v>
      </c>
      <c r="B111" s="1">
        <v>4</v>
      </c>
      <c r="C111" s="1">
        <v>2</v>
      </c>
      <c r="D111" s="1">
        <v>1998</v>
      </c>
      <c r="E111" s="1">
        <v>1</v>
      </c>
      <c r="F111" s="1">
        <v>1.7933954500000002</v>
      </c>
      <c r="G111" s="1">
        <v>4.7571195085031298E-2</v>
      </c>
    </row>
    <row r="112" spans="1:7" ht="15.75" customHeight="1" x14ac:dyDescent="0.25">
      <c r="A112" s="1">
        <v>2</v>
      </c>
      <c r="B112" s="1">
        <v>4</v>
      </c>
      <c r="C112" s="1">
        <v>2</v>
      </c>
      <c r="D112" s="1">
        <v>1999</v>
      </c>
      <c r="E112" s="1">
        <v>1</v>
      </c>
      <c r="F112" s="1">
        <v>1.7833081800000004</v>
      </c>
      <c r="G112" s="1">
        <v>5.0189103152307998E-2</v>
      </c>
    </row>
    <row r="113" spans="1:7" ht="15.75" customHeight="1" x14ac:dyDescent="0.25">
      <c r="A113" s="1">
        <v>2</v>
      </c>
      <c r="B113" s="1">
        <v>4</v>
      </c>
      <c r="C113" s="1">
        <v>2</v>
      </c>
      <c r="D113" s="1">
        <v>2000</v>
      </c>
      <c r="E113" s="1">
        <v>1</v>
      </c>
      <c r="F113" s="1">
        <v>1.7872095000000003</v>
      </c>
      <c r="G113" s="1">
        <v>5.2407393249629002E-2</v>
      </c>
    </row>
    <row r="114" spans="1:7" ht="15.75" customHeight="1" x14ac:dyDescent="0.25">
      <c r="A114" s="1">
        <v>2</v>
      </c>
      <c r="B114" s="1">
        <v>4</v>
      </c>
      <c r="C114" s="1">
        <v>2</v>
      </c>
      <c r="D114" s="1">
        <v>2001</v>
      </c>
      <c r="E114" s="1">
        <v>1</v>
      </c>
      <c r="F114" s="1">
        <v>1.6214037300000004</v>
      </c>
      <c r="G114" s="1">
        <v>6.0841184260585303E-2</v>
      </c>
    </row>
    <row r="115" spans="1:7" ht="15.75" customHeight="1" x14ac:dyDescent="0.25">
      <c r="A115" s="1">
        <v>2</v>
      </c>
      <c r="B115" s="1">
        <v>4</v>
      </c>
      <c r="C115" s="1">
        <v>2</v>
      </c>
      <c r="D115" s="1">
        <v>2002</v>
      </c>
      <c r="E115" s="1">
        <v>1</v>
      </c>
      <c r="F115" s="1">
        <v>1.4882458830000003</v>
      </c>
      <c r="G115" s="1">
        <v>5.4903516297552399E-2</v>
      </c>
    </row>
    <row r="116" spans="1:7" ht="15.75" customHeight="1" x14ac:dyDescent="0.25">
      <c r="A116" s="1">
        <v>2</v>
      </c>
      <c r="B116" s="1">
        <v>4</v>
      </c>
      <c r="C116" s="1">
        <v>2</v>
      </c>
      <c r="D116" s="1">
        <v>2003</v>
      </c>
      <c r="E116" s="1">
        <v>1</v>
      </c>
      <c r="F116" s="1">
        <v>1.2844075920000002</v>
      </c>
      <c r="G116" s="1">
        <v>4.9594687936842297E-2</v>
      </c>
    </row>
    <row r="117" spans="1:7" ht="15.75" customHeight="1" x14ac:dyDescent="0.25">
      <c r="A117" s="1">
        <v>2</v>
      </c>
      <c r="B117" s="1">
        <v>4</v>
      </c>
      <c r="C117" s="1">
        <v>2</v>
      </c>
      <c r="D117" s="1">
        <v>2004</v>
      </c>
      <c r="E117" s="1">
        <v>1</v>
      </c>
      <c r="F117" s="1">
        <v>1.1338968610000002</v>
      </c>
      <c r="G117" s="1">
        <v>8.8068215678685197E-2</v>
      </c>
    </row>
    <row r="118" spans="1:7" ht="15.75" customHeight="1" x14ac:dyDescent="0.25">
      <c r="A118" s="1">
        <v>2</v>
      </c>
      <c r="B118" s="1">
        <v>4</v>
      </c>
      <c r="C118" s="1">
        <v>2</v>
      </c>
      <c r="D118" s="1">
        <v>2005</v>
      </c>
      <c r="E118" s="1">
        <v>1</v>
      </c>
      <c r="F118" s="1">
        <v>1.1676218400000002</v>
      </c>
      <c r="G118" s="1">
        <v>5.02500079944561E-2</v>
      </c>
    </row>
    <row r="119" spans="1:7" ht="15.75" customHeight="1" x14ac:dyDescent="0.25">
      <c r="A119" s="1">
        <v>2</v>
      </c>
      <c r="B119" s="1">
        <v>4</v>
      </c>
      <c r="C119" s="1">
        <v>2</v>
      </c>
      <c r="D119" s="1">
        <v>2006</v>
      </c>
      <c r="E119" s="1">
        <v>1</v>
      </c>
      <c r="F119" s="1">
        <v>1.1161994220000002</v>
      </c>
      <c r="G119" s="1">
        <v>3.3711693691544101E-2</v>
      </c>
    </row>
    <row r="120" spans="1:7" ht="15.75" customHeight="1" x14ac:dyDescent="0.25">
      <c r="A120" s="1">
        <v>2</v>
      </c>
      <c r="B120" s="1">
        <v>4</v>
      </c>
      <c r="C120" s="1">
        <v>2</v>
      </c>
      <c r="D120" s="1">
        <v>2007</v>
      </c>
      <c r="E120" s="1">
        <v>1</v>
      </c>
      <c r="F120" s="1">
        <v>1.118457072</v>
      </c>
      <c r="G120" s="1">
        <v>6.6513019555693595E-2</v>
      </c>
    </row>
    <row r="121" spans="1:7" ht="15.75" customHeight="1" x14ac:dyDescent="0.25">
      <c r="A121" s="1">
        <v>2</v>
      </c>
      <c r="B121" s="1">
        <v>4</v>
      </c>
      <c r="C121" s="1">
        <v>2</v>
      </c>
      <c r="D121" s="1">
        <v>2008</v>
      </c>
      <c r="E121" s="1">
        <v>1</v>
      </c>
      <c r="F121" s="1">
        <v>1.2847554360000002</v>
      </c>
      <c r="G121" s="1">
        <v>6.9983363286163697E-2</v>
      </c>
    </row>
    <row r="122" spans="1:7" ht="15.75" customHeight="1" x14ac:dyDescent="0.25">
      <c r="A122" s="1">
        <v>2</v>
      </c>
      <c r="B122" s="1">
        <v>4</v>
      </c>
      <c r="C122" s="1">
        <v>2</v>
      </c>
      <c r="D122" s="1">
        <v>2009</v>
      </c>
      <c r="E122" s="1">
        <v>1</v>
      </c>
      <c r="F122" s="1">
        <v>1.4837388320000002</v>
      </c>
      <c r="G122" s="1">
        <v>7.9064498720030699E-2</v>
      </c>
    </row>
    <row r="123" spans="1:7" ht="15.75" customHeight="1" x14ac:dyDescent="0.25">
      <c r="A123" s="1">
        <v>2</v>
      </c>
      <c r="B123" s="1">
        <v>4</v>
      </c>
      <c r="C123" s="1">
        <v>2</v>
      </c>
      <c r="D123" s="1">
        <v>2010</v>
      </c>
      <c r="E123" s="1">
        <v>1</v>
      </c>
      <c r="F123" s="1">
        <v>1.6550883440000004</v>
      </c>
      <c r="G123" s="1">
        <v>6.20882147164298E-2</v>
      </c>
    </row>
    <row r="124" spans="1:7" ht="15.75" customHeight="1" x14ac:dyDescent="0.25">
      <c r="A124" s="1">
        <v>2</v>
      </c>
      <c r="B124" s="1">
        <v>4</v>
      </c>
      <c r="C124" s="1">
        <v>2</v>
      </c>
      <c r="D124" s="1">
        <v>2011</v>
      </c>
      <c r="E124" s="1">
        <v>1</v>
      </c>
      <c r="F124" s="1">
        <v>1.8617709670000004</v>
      </c>
      <c r="G124" s="1">
        <v>4.3842240720928898E-2</v>
      </c>
    </row>
    <row r="125" spans="1:7" ht="15.75" customHeight="1" x14ac:dyDescent="0.25">
      <c r="A125" s="1">
        <v>2</v>
      </c>
      <c r="B125" s="1">
        <v>4</v>
      </c>
      <c r="C125" s="1">
        <v>2</v>
      </c>
      <c r="D125" s="1">
        <v>2012</v>
      </c>
      <c r="E125" s="1">
        <v>1</v>
      </c>
      <c r="F125" s="1">
        <v>1.9069293000000003</v>
      </c>
      <c r="G125" s="1">
        <v>5.6313437705257902E-2</v>
      </c>
    </row>
    <row r="126" spans="1:7" ht="15.75" customHeight="1" x14ac:dyDescent="0.25">
      <c r="A126" s="1">
        <v>2</v>
      </c>
      <c r="B126" s="1">
        <v>4</v>
      </c>
      <c r="C126" s="1">
        <v>2</v>
      </c>
      <c r="D126" s="1">
        <v>2013</v>
      </c>
      <c r="E126" s="1">
        <v>1</v>
      </c>
      <c r="F126" s="1">
        <v>1.9969332000000004</v>
      </c>
      <c r="G126" s="1">
        <v>3.3339689687738101E-2</v>
      </c>
    </row>
    <row r="127" spans="1:7" ht="15.75" customHeight="1" x14ac:dyDescent="0.25">
      <c r="A127" s="1">
        <v>2</v>
      </c>
      <c r="B127" s="1">
        <v>4</v>
      </c>
      <c r="C127" s="1">
        <v>2</v>
      </c>
      <c r="D127" s="1">
        <v>2014</v>
      </c>
      <c r="E127" s="1">
        <v>1</v>
      </c>
      <c r="F127" s="1">
        <v>2.2313577000000002</v>
      </c>
      <c r="G127" s="1">
        <v>4.3303235598535002E-2</v>
      </c>
    </row>
    <row r="128" spans="1:7" ht="15.75" customHeight="1" x14ac:dyDescent="0.25">
      <c r="A128" s="1">
        <v>2</v>
      </c>
      <c r="B128" s="1">
        <v>4</v>
      </c>
      <c r="C128" s="1">
        <v>2</v>
      </c>
      <c r="D128" s="1">
        <v>2015</v>
      </c>
      <c r="E128" s="1">
        <v>1</v>
      </c>
      <c r="F128" s="1">
        <v>2.4453840000000002</v>
      </c>
      <c r="G128" s="1">
        <v>3.99607547695685E-2</v>
      </c>
    </row>
    <row r="129" spans="1:7" ht="15.75" customHeight="1" x14ac:dyDescent="0.25">
      <c r="A129" s="1">
        <v>2</v>
      </c>
      <c r="B129" s="1">
        <v>4</v>
      </c>
      <c r="C129" s="1">
        <v>2</v>
      </c>
      <c r="D129" s="1">
        <v>2016</v>
      </c>
      <c r="E129" s="1">
        <v>1</v>
      </c>
      <c r="F129" s="1">
        <v>2.8272267400000008</v>
      </c>
      <c r="G129" s="1">
        <v>3.5802622851338797E-2</v>
      </c>
    </row>
    <row r="130" spans="1:7" ht="15.75" customHeight="1" x14ac:dyDescent="0.25">
      <c r="A130" s="1">
        <v>2</v>
      </c>
      <c r="B130" s="1">
        <v>4</v>
      </c>
      <c r="C130" s="1">
        <v>2</v>
      </c>
      <c r="D130" s="1">
        <v>2017</v>
      </c>
      <c r="E130" s="1">
        <v>1</v>
      </c>
      <c r="F130" s="1">
        <v>3.0989074800000007</v>
      </c>
      <c r="G130" s="1">
        <v>3.6764674782380997E-2</v>
      </c>
    </row>
    <row r="131" spans="1:7" ht="15.75" customHeight="1" x14ac:dyDescent="0.25">
      <c r="A131" s="1">
        <v>2</v>
      </c>
      <c r="B131" s="1">
        <v>4</v>
      </c>
      <c r="C131" s="1">
        <v>2</v>
      </c>
      <c r="D131" s="1">
        <v>2018</v>
      </c>
      <c r="E131" s="1">
        <v>1</v>
      </c>
      <c r="F131" s="1">
        <v>3.3626257100000005</v>
      </c>
      <c r="G131" s="1">
        <v>5.4469226590281798E-2</v>
      </c>
    </row>
    <row r="132" spans="1:7" ht="15.75" customHeight="1" x14ac:dyDescent="0.25">
      <c r="A132" s="1">
        <v>2</v>
      </c>
      <c r="B132" s="1">
        <v>4</v>
      </c>
      <c r="C132" s="1">
        <v>2</v>
      </c>
      <c r="D132" s="1">
        <v>2019</v>
      </c>
      <c r="E132" s="1">
        <v>1</v>
      </c>
      <c r="F132" s="1">
        <v>3.5573012700000008</v>
      </c>
      <c r="G132" s="1">
        <v>3.3870024725059102E-2</v>
      </c>
    </row>
    <row r="133" spans="1:7" ht="15.75" customHeight="1" x14ac:dyDescent="0.25">
      <c r="A133" s="1">
        <v>2</v>
      </c>
      <c r="B133" s="1">
        <v>4</v>
      </c>
      <c r="C133" s="1">
        <v>2</v>
      </c>
      <c r="D133" s="1">
        <v>2020</v>
      </c>
      <c r="E133" s="1">
        <v>1</v>
      </c>
      <c r="F133" s="1">
        <v>3.5575076800000005</v>
      </c>
      <c r="G133" s="1">
        <v>6.2567892238757597E-2</v>
      </c>
    </row>
    <row r="134" spans="1:7" ht="15.75" customHeight="1" x14ac:dyDescent="0.25">
      <c r="A134" s="1">
        <v>2</v>
      </c>
      <c r="B134" s="1">
        <v>4</v>
      </c>
      <c r="C134" s="1">
        <v>2</v>
      </c>
      <c r="D134" s="1">
        <v>2021</v>
      </c>
      <c r="E134" s="1">
        <v>1</v>
      </c>
      <c r="F134" s="1">
        <v>3.7728528600000009</v>
      </c>
      <c r="G134" s="1">
        <v>5.99547434482108E-2</v>
      </c>
    </row>
    <row r="135" spans="1:7" ht="15.75" customHeight="1" x14ac:dyDescent="0.25">
      <c r="A135" s="1">
        <v>2</v>
      </c>
      <c r="B135" s="1">
        <v>4</v>
      </c>
      <c r="C135" s="1">
        <v>2</v>
      </c>
      <c r="D135" s="1">
        <v>2022</v>
      </c>
      <c r="E135" s="1">
        <v>1</v>
      </c>
      <c r="F135" s="1">
        <v>4.2755107200000015</v>
      </c>
      <c r="G135" s="1">
        <v>4.79301780461776E-2</v>
      </c>
    </row>
    <row r="136" spans="1:7" ht="15.75" customHeight="1" x14ac:dyDescent="0.25">
      <c r="A136" s="1">
        <v>2</v>
      </c>
      <c r="B136" s="1">
        <v>4</v>
      </c>
      <c r="C136" s="1">
        <v>2</v>
      </c>
      <c r="D136" s="1">
        <v>2023</v>
      </c>
      <c r="E136" s="1">
        <v>1</v>
      </c>
      <c r="F136" s="1">
        <v>4.5996721500000008</v>
      </c>
      <c r="G136" s="1">
        <v>8.6979491117995203E-2</v>
      </c>
    </row>
    <row r="137" spans="1:7" ht="15.75" customHeight="1" x14ac:dyDescent="0.25">
      <c r="A137" s="1">
        <v>2</v>
      </c>
      <c r="B137" s="1">
        <v>4</v>
      </c>
      <c r="C137" s="1">
        <v>2</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N1000"/>
  <sheetViews>
    <sheetView workbookViewId="0">
      <pane ySplit="2" topLeftCell="A3" activePane="bottomLeft" state="frozen"/>
      <selection pane="bottomLeft" activeCell="B4" sqref="B4"/>
    </sheetView>
  </sheetViews>
  <sheetFormatPr defaultColWidth="14.42578125" defaultRowHeight="15" customHeight="1" x14ac:dyDescent="0.25"/>
  <cols>
    <col min="1" max="66" width="11.42578125" customWidth="1"/>
  </cols>
  <sheetData>
    <row r="1" spans="1:66" ht="22.5" customHeight="1" x14ac:dyDescent="0.25">
      <c r="A1" s="9" t="s">
        <v>220</v>
      </c>
      <c r="B1" s="10"/>
      <c r="C1" s="10"/>
      <c r="D1" s="10"/>
      <c r="E1" s="10"/>
      <c r="F1" s="10"/>
      <c r="G1" s="10"/>
      <c r="H1" s="10"/>
      <c r="I1" s="10"/>
      <c r="J1" s="10"/>
      <c r="K1" s="10"/>
      <c r="L1" s="10"/>
      <c r="M1" s="10"/>
      <c r="N1" s="10"/>
      <c r="O1" s="10"/>
      <c r="P1" s="10"/>
      <c r="Q1" s="10"/>
      <c r="R1" s="10"/>
      <c r="S1" s="10"/>
      <c r="T1" s="10"/>
      <c r="U1" s="10"/>
    </row>
    <row r="2" spans="1:66" x14ac:dyDescent="0.25">
      <c r="A2" s="8" t="s">
        <v>215</v>
      </c>
      <c r="B2" s="2" t="s">
        <v>197</v>
      </c>
      <c r="C2" s="2" t="s">
        <v>192</v>
      </c>
      <c r="D2" s="2" t="s">
        <v>199</v>
      </c>
      <c r="E2" s="2" t="s">
        <v>221</v>
      </c>
      <c r="F2" s="2" t="s">
        <v>222</v>
      </c>
      <c r="G2" s="2" t="s">
        <v>223</v>
      </c>
      <c r="H2" s="2" t="s">
        <v>224</v>
      </c>
      <c r="I2" s="2" t="s">
        <v>225</v>
      </c>
      <c r="J2" s="2" t="s">
        <v>226</v>
      </c>
      <c r="K2" s="2" t="s">
        <v>227</v>
      </c>
      <c r="L2" s="2" t="s">
        <v>228</v>
      </c>
      <c r="M2" s="2" t="s">
        <v>229</v>
      </c>
      <c r="N2" s="2" t="s">
        <v>230</v>
      </c>
      <c r="O2" s="2" t="s">
        <v>231</v>
      </c>
      <c r="P2" s="2" t="s">
        <v>232</v>
      </c>
      <c r="Q2" s="2" t="s">
        <v>233</v>
      </c>
      <c r="R2" s="2" t="s">
        <v>234</v>
      </c>
      <c r="S2" s="2" t="s">
        <v>235</v>
      </c>
      <c r="T2" s="2" t="s">
        <v>236</v>
      </c>
      <c r="U2" s="2" t="s">
        <v>237</v>
      </c>
      <c r="V2" s="2" t="s">
        <v>238</v>
      </c>
      <c r="W2" s="2" t="s">
        <v>239</v>
      </c>
      <c r="X2" s="2" t="s">
        <v>240</v>
      </c>
      <c r="Y2" s="2" t="s">
        <v>241</v>
      </c>
      <c r="Z2" s="2" t="s">
        <v>242</v>
      </c>
      <c r="AA2" s="2" t="s">
        <v>243</v>
      </c>
      <c r="AB2" s="2" t="s">
        <v>244</v>
      </c>
      <c r="AC2" s="2" t="s">
        <v>245</v>
      </c>
      <c r="AD2" s="2" t="s">
        <v>246</v>
      </c>
      <c r="AE2" s="2" t="s">
        <v>247</v>
      </c>
      <c r="AF2" s="2" t="s">
        <v>248</v>
      </c>
      <c r="AG2" s="2" t="s">
        <v>249</v>
      </c>
      <c r="AH2" s="2" t="s">
        <v>250</v>
      </c>
      <c r="AI2" s="2" t="s">
        <v>251</v>
      </c>
      <c r="AJ2" s="2" t="s">
        <v>252</v>
      </c>
      <c r="AK2" s="2" t="s">
        <v>253</v>
      </c>
      <c r="AL2" s="2" t="s">
        <v>254</v>
      </c>
      <c r="AM2" s="2" t="s">
        <v>255</v>
      </c>
      <c r="AN2" s="2" t="s">
        <v>256</v>
      </c>
      <c r="AO2" s="2" t="s">
        <v>257</v>
      </c>
      <c r="AP2" s="2" t="s">
        <v>258</v>
      </c>
      <c r="AQ2" s="2" t="s">
        <v>259</v>
      </c>
      <c r="AR2" s="2" t="s">
        <v>260</v>
      </c>
      <c r="AS2" s="2" t="s">
        <v>261</v>
      </c>
      <c r="AT2" s="2" t="s">
        <v>262</v>
      </c>
      <c r="AU2" s="2"/>
      <c r="AV2" s="2"/>
      <c r="AW2" s="2"/>
      <c r="AX2" s="2"/>
      <c r="AY2" s="2"/>
      <c r="AZ2" s="2"/>
      <c r="BA2" s="2"/>
      <c r="BB2" s="2"/>
      <c r="BC2" s="2"/>
      <c r="BD2" s="2"/>
      <c r="BE2" s="2"/>
      <c r="BF2" s="2"/>
      <c r="BG2" s="2"/>
      <c r="BH2" s="2"/>
      <c r="BI2" s="2"/>
      <c r="BJ2" s="2"/>
      <c r="BK2" s="2"/>
      <c r="BL2" s="2"/>
      <c r="BM2" s="2"/>
      <c r="BN2" s="2"/>
    </row>
    <row r="3" spans="1:66" x14ac:dyDescent="0.25">
      <c r="A3" s="1">
        <v>2</v>
      </c>
      <c r="B3" s="1">
        <v>1</v>
      </c>
      <c r="C3" s="1">
        <v>1980</v>
      </c>
      <c r="D3" s="1">
        <v>1</v>
      </c>
      <c r="E3" s="1">
        <v>4</v>
      </c>
      <c r="F3" s="1">
        <v>0</v>
      </c>
      <c r="G3" s="1">
        <v>0</v>
      </c>
      <c r="H3" s="1">
        <v>0</v>
      </c>
      <c r="I3" s="1">
        <v>0</v>
      </c>
      <c r="J3" s="6">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v>1</v>
      </c>
      <c r="C4" s="1">
        <v>1981</v>
      </c>
      <c r="D4" s="1">
        <v>1</v>
      </c>
      <c r="E4" s="1">
        <v>4</v>
      </c>
      <c r="F4" s="1">
        <v>0</v>
      </c>
      <c r="G4" s="1">
        <v>0</v>
      </c>
      <c r="H4" s="1">
        <v>0</v>
      </c>
      <c r="I4" s="1">
        <v>0</v>
      </c>
      <c r="J4" s="6">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v>1</v>
      </c>
      <c r="C5" s="1">
        <v>1984</v>
      </c>
      <c r="D5" s="1">
        <v>1</v>
      </c>
      <c r="E5" s="1">
        <v>6</v>
      </c>
      <c r="F5" s="1">
        <v>0</v>
      </c>
      <c r="G5" s="1">
        <v>0</v>
      </c>
      <c r="H5" s="1">
        <v>0</v>
      </c>
      <c r="I5" s="1">
        <v>0</v>
      </c>
      <c r="J5" s="6">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v>1</v>
      </c>
      <c r="C6" s="1">
        <v>1988</v>
      </c>
      <c r="D6" s="1">
        <v>1</v>
      </c>
      <c r="E6" s="1">
        <v>14</v>
      </c>
      <c r="F6" s="1">
        <v>0</v>
      </c>
      <c r="G6" s="1">
        <v>0</v>
      </c>
      <c r="H6" s="1">
        <v>0</v>
      </c>
      <c r="I6" s="1">
        <v>0</v>
      </c>
      <c r="J6" s="6">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v>1</v>
      </c>
      <c r="C7" s="1">
        <v>1990</v>
      </c>
      <c r="D7" s="1">
        <v>1</v>
      </c>
      <c r="E7" s="1">
        <v>6</v>
      </c>
      <c r="F7" s="1">
        <v>0</v>
      </c>
      <c r="G7" s="1">
        <v>0</v>
      </c>
      <c r="H7" s="1">
        <v>0</v>
      </c>
      <c r="I7" s="1">
        <v>0</v>
      </c>
      <c r="J7" s="6">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v>1</v>
      </c>
      <c r="C8" s="1">
        <v>1992</v>
      </c>
      <c r="D8" s="1">
        <v>1</v>
      </c>
      <c r="E8" s="1">
        <v>2</v>
      </c>
      <c r="F8" s="1">
        <v>0</v>
      </c>
      <c r="G8" s="1">
        <v>0</v>
      </c>
      <c r="H8" s="1">
        <v>0</v>
      </c>
      <c r="I8" s="1">
        <v>0</v>
      </c>
      <c r="J8" s="6">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v>1</v>
      </c>
      <c r="C9" s="1">
        <v>1993</v>
      </c>
      <c r="D9" s="1">
        <v>1</v>
      </c>
      <c r="E9" s="1">
        <v>2</v>
      </c>
      <c r="F9" s="1">
        <v>0</v>
      </c>
      <c r="G9" s="1">
        <v>0</v>
      </c>
      <c r="H9" s="1">
        <v>0</v>
      </c>
      <c r="I9" s="1">
        <v>0</v>
      </c>
      <c r="J9" s="6">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v>1</v>
      </c>
      <c r="C10" s="1">
        <v>1994</v>
      </c>
      <c r="D10" s="1">
        <v>1</v>
      </c>
      <c r="E10" s="1">
        <v>6</v>
      </c>
      <c r="F10" s="1">
        <v>0</v>
      </c>
      <c r="G10" s="1">
        <v>0</v>
      </c>
      <c r="H10" s="1">
        <v>0</v>
      </c>
      <c r="I10" s="1">
        <v>0</v>
      </c>
      <c r="J10" s="6">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v>1</v>
      </c>
      <c r="C11" s="1">
        <v>1995</v>
      </c>
      <c r="D11" s="1">
        <v>1</v>
      </c>
      <c r="E11" s="1">
        <v>4</v>
      </c>
      <c r="F11" s="1">
        <v>0</v>
      </c>
      <c r="G11" s="1">
        <v>0</v>
      </c>
      <c r="H11" s="1">
        <v>0</v>
      </c>
      <c r="I11" s="1">
        <v>0</v>
      </c>
      <c r="J11" s="6">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v>1</v>
      </c>
      <c r="C12" s="1">
        <v>1996</v>
      </c>
      <c r="D12" s="1">
        <v>1</v>
      </c>
      <c r="E12" s="1">
        <v>14</v>
      </c>
      <c r="F12" s="1">
        <v>0</v>
      </c>
      <c r="G12" s="1">
        <v>0</v>
      </c>
      <c r="H12" s="1">
        <v>0</v>
      </c>
      <c r="I12" s="1">
        <v>0</v>
      </c>
      <c r="J12" s="6">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v>1</v>
      </c>
      <c r="C13" s="1">
        <v>1997</v>
      </c>
      <c r="D13" s="1">
        <v>1</v>
      </c>
      <c r="E13" s="1">
        <v>5</v>
      </c>
      <c r="F13" s="1">
        <v>0</v>
      </c>
      <c r="G13" s="1">
        <v>0</v>
      </c>
      <c r="H13" s="1">
        <v>0</v>
      </c>
      <c r="I13" s="1">
        <v>0</v>
      </c>
      <c r="J13" s="6">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v>1</v>
      </c>
      <c r="C14" s="1">
        <v>1998</v>
      </c>
      <c r="D14" s="1">
        <v>1</v>
      </c>
      <c r="E14" s="1">
        <v>9</v>
      </c>
      <c r="F14" s="1">
        <v>0</v>
      </c>
      <c r="G14" s="1">
        <v>0</v>
      </c>
      <c r="H14" s="1">
        <v>0</v>
      </c>
      <c r="I14" s="1">
        <v>0</v>
      </c>
      <c r="J14" s="6">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v>1</v>
      </c>
      <c r="C15" s="1">
        <v>1999</v>
      </c>
      <c r="D15" s="1">
        <v>1</v>
      </c>
      <c r="E15" s="1">
        <v>6</v>
      </c>
      <c r="F15" s="1">
        <v>0</v>
      </c>
      <c r="G15" s="1">
        <v>0</v>
      </c>
      <c r="H15" s="1">
        <v>0</v>
      </c>
      <c r="I15" s="1">
        <v>0</v>
      </c>
      <c r="J15" s="6">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v>1</v>
      </c>
      <c r="C16" s="1">
        <v>2000</v>
      </c>
      <c r="D16" s="1">
        <v>1</v>
      </c>
      <c r="E16" s="1">
        <v>4</v>
      </c>
      <c r="F16" s="1">
        <v>0</v>
      </c>
      <c r="G16" s="1">
        <v>0</v>
      </c>
      <c r="H16" s="1">
        <v>0</v>
      </c>
      <c r="I16" s="1">
        <v>0</v>
      </c>
      <c r="J16" s="6">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v>1</v>
      </c>
      <c r="C17" s="1">
        <v>2001</v>
      </c>
      <c r="D17" s="1">
        <v>1</v>
      </c>
      <c r="E17" s="1">
        <v>6</v>
      </c>
      <c r="F17" s="1">
        <v>0</v>
      </c>
      <c r="G17" s="1">
        <v>0</v>
      </c>
      <c r="H17" s="1">
        <v>0</v>
      </c>
      <c r="I17" s="1">
        <v>0</v>
      </c>
      <c r="J17" s="6">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v>1</v>
      </c>
      <c r="C18" s="1">
        <v>2002</v>
      </c>
      <c r="D18" s="1">
        <v>1</v>
      </c>
      <c r="E18" s="1">
        <v>9</v>
      </c>
      <c r="F18" s="1">
        <v>0</v>
      </c>
      <c r="G18" s="1">
        <v>0</v>
      </c>
      <c r="H18" s="1">
        <v>0</v>
      </c>
      <c r="I18" s="1">
        <v>0</v>
      </c>
      <c r="J18" s="6">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v>1</v>
      </c>
      <c r="C19" s="1">
        <v>2003</v>
      </c>
      <c r="D19" s="1">
        <v>1</v>
      </c>
      <c r="E19" s="1">
        <v>10</v>
      </c>
      <c r="F19" s="1">
        <v>0</v>
      </c>
      <c r="G19" s="1">
        <v>0</v>
      </c>
      <c r="H19" s="1">
        <v>0</v>
      </c>
      <c r="I19" s="1">
        <v>0</v>
      </c>
      <c r="J19" s="6">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v>1</v>
      </c>
      <c r="C20" s="1">
        <v>2004</v>
      </c>
      <c r="D20" s="1">
        <v>1</v>
      </c>
      <c r="E20" s="1">
        <v>21</v>
      </c>
      <c r="F20" s="1">
        <v>0</v>
      </c>
      <c r="G20" s="1">
        <v>0</v>
      </c>
      <c r="H20" s="1">
        <v>0</v>
      </c>
      <c r="I20" s="1">
        <v>0</v>
      </c>
      <c r="J20" s="6">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v>1</v>
      </c>
      <c r="C21" s="1">
        <v>2005</v>
      </c>
      <c r="D21" s="1">
        <v>1</v>
      </c>
      <c r="E21" s="1">
        <v>14</v>
      </c>
      <c r="F21" s="1">
        <v>0</v>
      </c>
      <c r="G21" s="1">
        <v>0</v>
      </c>
      <c r="H21" s="1">
        <v>0</v>
      </c>
      <c r="I21" s="1">
        <v>0</v>
      </c>
      <c r="J21" s="6">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v>1</v>
      </c>
      <c r="C22" s="1">
        <v>2006</v>
      </c>
      <c r="D22" s="1">
        <v>1</v>
      </c>
      <c r="E22" s="1">
        <v>8</v>
      </c>
      <c r="F22" s="1">
        <v>0</v>
      </c>
      <c r="G22" s="1">
        <v>0</v>
      </c>
      <c r="H22" s="1">
        <v>0</v>
      </c>
      <c r="I22" s="1">
        <v>0</v>
      </c>
      <c r="J22" s="6">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6">
        <v>9.5675165096873003E-5</v>
      </c>
      <c r="AT22" s="1">
        <v>3.7147949904896998E-4</v>
      </c>
    </row>
    <row r="23" spans="1:46" ht="15.75" customHeight="1" x14ac:dyDescent="0.25">
      <c r="A23" s="1">
        <v>2</v>
      </c>
      <c r="B23" s="1">
        <v>1</v>
      </c>
      <c r="C23" s="1">
        <v>2007</v>
      </c>
      <c r="D23" s="1">
        <v>1</v>
      </c>
      <c r="E23" s="1">
        <v>18</v>
      </c>
      <c r="F23" s="1">
        <v>0</v>
      </c>
      <c r="G23" s="1">
        <v>0</v>
      </c>
      <c r="H23" s="1">
        <v>0</v>
      </c>
      <c r="I23" s="1">
        <v>0</v>
      </c>
      <c r="J23" s="6">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6">
        <v>6.5016908645718999E-5</v>
      </c>
      <c r="AO23" s="6">
        <v>7.7340374990332393E-5</v>
      </c>
      <c r="AP23" s="6">
        <v>5.8430228358080798E-5</v>
      </c>
      <c r="AQ23" s="6">
        <v>4.5894288455801703E-5</v>
      </c>
      <c r="AR23" s="6">
        <v>4.46194471098072E-5</v>
      </c>
      <c r="AS23" s="6">
        <v>3.6970399033840198E-5</v>
      </c>
      <c r="AT23" s="1">
        <v>1.17285403831493E-4</v>
      </c>
    </row>
    <row r="24" spans="1:46" ht="15.75" customHeight="1" x14ac:dyDescent="0.25">
      <c r="A24" s="1">
        <v>2</v>
      </c>
      <c r="B24" s="1">
        <v>1</v>
      </c>
      <c r="C24" s="1">
        <v>2008</v>
      </c>
      <c r="D24" s="1">
        <v>1</v>
      </c>
      <c r="E24" s="1">
        <v>16</v>
      </c>
      <c r="F24" s="1">
        <v>0</v>
      </c>
      <c r="G24" s="1">
        <v>0</v>
      </c>
      <c r="H24" s="1">
        <v>0</v>
      </c>
      <c r="I24" s="1">
        <v>0</v>
      </c>
      <c r="J24" s="6">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6">
        <v>9.8288197453570697E-5</v>
      </c>
      <c r="AQ24" s="6">
        <v>7.5107018808860595E-5</v>
      </c>
      <c r="AR24" s="6">
        <v>6.7225418069659194E-5</v>
      </c>
      <c r="AS24" s="6">
        <v>5.1462216591256401E-5</v>
      </c>
      <c r="AT24" s="1">
        <v>2.0028538349029499E-4</v>
      </c>
    </row>
    <row r="25" spans="1:46" ht="15.75" customHeight="1" x14ac:dyDescent="0.25">
      <c r="A25" s="1">
        <v>2</v>
      </c>
      <c r="B25" s="1">
        <v>1</v>
      </c>
      <c r="C25" s="1">
        <v>2009</v>
      </c>
      <c r="D25" s="1">
        <v>1</v>
      </c>
      <c r="E25" s="1">
        <v>24</v>
      </c>
      <c r="F25" s="1">
        <v>0</v>
      </c>
      <c r="G25" s="1">
        <v>0</v>
      </c>
      <c r="H25" s="1">
        <v>0</v>
      </c>
      <c r="I25" s="1">
        <v>0</v>
      </c>
      <c r="J25" s="6">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6">
        <v>7.5107695808554204E-5</v>
      </c>
      <c r="AO25" s="6">
        <v>5.6127778083960103E-5</v>
      </c>
      <c r="AP25" s="6">
        <v>5.1763411976165698E-5</v>
      </c>
      <c r="AQ25" s="6">
        <v>3.2479003592888301E-5</v>
      </c>
      <c r="AR25" s="6">
        <v>3.1261040958154997E-5</v>
      </c>
      <c r="AS25" s="6">
        <v>2.4663743353349501E-5</v>
      </c>
      <c r="AT25" s="6">
        <v>8.6475347066065098E-5</v>
      </c>
    </row>
    <row r="26" spans="1:46" ht="15.75" customHeight="1" x14ac:dyDescent="0.25">
      <c r="A26" s="1">
        <v>2</v>
      </c>
      <c r="B26" s="1">
        <v>1</v>
      </c>
      <c r="C26" s="1">
        <v>2010</v>
      </c>
      <c r="D26" s="1">
        <v>1</v>
      </c>
      <c r="E26" s="1">
        <v>28</v>
      </c>
      <c r="F26" s="1">
        <v>0</v>
      </c>
      <c r="G26" s="1">
        <v>0</v>
      </c>
      <c r="H26" s="1">
        <v>0</v>
      </c>
      <c r="I26" s="1">
        <v>0</v>
      </c>
      <c r="J26" s="6">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6">
        <v>5.9439177210830799E-5</v>
      </c>
      <c r="AO26" s="6">
        <v>4.5286992160633002E-5</v>
      </c>
      <c r="AP26" s="6">
        <v>3.5852202127167802E-5</v>
      </c>
      <c r="AQ26" s="6">
        <v>2.40587145853363E-5</v>
      </c>
      <c r="AR26" s="6">
        <v>2.9011979352905498E-5</v>
      </c>
      <c r="AS26" s="6">
        <v>1.5567403555217599E-5</v>
      </c>
      <c r="AT26" s="6">
        <v>8.7035938058716502E-5</v>
      </c>
    </row>
    <row r="27" spans="1:46" ht="15.75" customHeight="1" x14ac:dyDescent="0.25">
      <c r="A27" s="1">
        <v>2</v>
      </c>
      <c r="B27" s="1">
        <v>1</v>
      </c>
      <c r="C27" s="1">
        <v>2011</v>
      </c>
      <c r="D27" s="1">
        <v>1</v>
      </c>
      <c r="E27" s="1">
        <v>3</v>
      </c>
      <c r="F27" s="1">
        <v>0</v>
      </c>
      <c r="G27" s="1">
        <v>0</v>
      </c>
      <c r="H27" s="1">
        <v>0</v>
      </c>
      <c r="I27" s="1">
        <v>0</v>
      </c>
      <c r="J27" s="6">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6">
        <v>7.5519210611622197E-5</v>
      </c>
      <c r="AN27" s="6">
        <v>5.6089510794068898E-5</v>
      </c>
      <c r="AO27" s="6">
        <v>4.0325792074167198E-5</v>
      </c>
      <c r="AP27" s="6">
        <v>2.9419498308653801E-5</v>
      </c>
      <c r="AQ27" s="6">
        <v>2.9694446890977702E-5</v>
      </c>
      <c r="AR27" s="6">
        <v>2.0529494146848798E-5</v>
      </c>
      <c r="AS27" s="6">
        <v>2.2179185640792E-5</v>
      </c>
      <c r="AT27" s="6">
        <v>7.6985603050682804E-5</v>
      </c>
    </row>
    <row r="28" spans="1:46" ht="15.75" customHeight="1" x14ac:dyDescent="0.25">
      <c r="A28" s="1">
        <v>2</v>
      </c>
      <c r="B28" s="1">
        <v>1</v>
      </c>
      <c r="C28" s="1">
        <v>2012</v>
      </c>
      <c r="D28" s="1">
        <v>1</v>
      </c>
      <c r="E28" s="1">
        <v>9</v>
      </c>
      <c r="F28" s="1">
        <v>0</v>
      </c>
      <c r="G28" s="1">
        <v>0</v>
      </c>
      <c r="H28" s="1">
        <v>0</v>
      </c>
      <c r="I28" s="1">
        <v>0</v>
      </c>
      <c r="J28" s="6">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6">
        <v>9.2655935106388305E-5</v>
      </c>
      <c r="AL28" s="6">
        <v>6.40817691778876E-5</v>
      </c>
      <c r="AM28" s="6">
        <v>3.8238957345493599E-5</v>
      </c>
      <c r="AN28" s="6">
        <v>3.2566144992041302E-5</v>
      </c>
      <c r="AO28" s="6">
        <v>2.39518743812432E-5</v>
      </c>
      <c r="AP28" s="6">
        <v>1.9539686995224801E-5</v>
      </c>
      <c r="AQ28" s="6">
        <v>1.3026457996816499E-5</v>
      </c>
      <c r="AR28" s="6">
        <v>1.26062496743386E-5</v>
      </c>
      <c r="AS28" s="6">
        <v>5.77786443407184E-6</v>
      </c>
      <c r="AT28" s="6">
        <v>2.36367181393848E-5</v>
      </c>
    </row>
    <row r="29" spans="1:46" ht="15.75" customHeight="1" x14ac:dyDescent="0.25">
      <c r="A29" s="1">
        <v>2</v>
      </c>
      <c r="B29" s="1">
        <v>1</v>
      </c>
      <c r="C29" s="1">
        <v>2013</v>
      </c>
      <c r="D29" s="1">
        <v>1</v>
      </c>
      <c r="E29" s="1">
        <v>8</v>
      </c>
      <c r="F29" s="1">
        <v>0</v>
      </c>
      <c r="G29" s="1">
        <v>0</v>
      </c>
      <c r="H29" s="1">
        <v>0</v>
      </c>
      <c r="I29" s="1">
        <v>0</v>
      </c>
      <c r="J29" s="6">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6">
        <v>6.9626878938116002E-5</v>
      </c>
      <c r="AN29" s="6">
        <v>4.8393149900250899E-5</v>
      </c>
      <c r="AO29" s="6">
        <v>3.5554150947123099E-5</v>
      </c>
      <c r="AP29" s="6">
        <v>2.61718055582989E-5</v>
      </c>
      <c r="AQ29" s="6">
        <v>2.86408438185158E-5</v>
      </c>
      <c r="AR29" s="6">
        <v>1.33328066051712E-5</v>
      </c>
      <c r="AS29" s="6">
        <v>1.2345191301084401E-5</v>
      </c>
      <c r="AT29" s="6">
        <v>4.8393149900250899E-5</v>
      </c>
    </row>
    <row r="30" spans="1:46" ht="15.75" customHeight="1" x14ac:dyDescent="0.25">
      <c r="A30" s="1">
        <v>2</v>
      </c>
      <c r="B30" s="1">
        <v>1</v>
      </c>
      <c r="C30" s="1">
        <v>2014</v>
      </c>
      <c r="D30" s="1">
        <v>1</v>
      </c>
      <c r="E30" s="1">
        <v>16</v>
      </c>
      <c r="F30" s="1">
        <v>0</v>
      </c>
      <c r="G30" s="1">
        <v>0</v>
      </c>
      <c r="H30" s="1">
        <v>0</v>
      </c>
      <c r="I30" s="1">
        <v>0</v>
      </c>
      <c r="J30" s="6">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6">
        <v>7.1191999641336494E-5</v>
      </c>
      <c r="AM30" s="6">
        <v>4.6184683311626503E-5</v>
      </c>
      <c r="AN30" s="6">
        <v>4.01018225827782E-5</v>
      </c>
      <c r="AO30" s="6">
        <v>2.6696999865501199E-5</v>
      </c>
      <c r="AP30" s="6">
        <v>1.7572708772228598E-5</v>
      </c>
      <c r="AQ30" s="6">
        <v>1.8023291048439601E-5</v>
      </c>
      <c r="AR30" s="6">
        <v>8.8989999551670703E-6</v>
      </c>
      <c r="AS30" s="6">
        <v>8.6737088170615706E-6</v>
      </c>
      <c r="AT30" s="6">
        <v>3.06395947823474E-5</v>
      </c>
    </row>
    <row r="31" spans="1:46" ht="15.75" customHeight="1" x14ac:dyDescent="0.25">
      <c r="A31" s="1">
        <v>2</v>
      </c>
      <c r="B31" s="1">
        <v>1</v>
      </c>
      <c r="C31" s="1">
        <v>2015</v>
      </c>
      <c r="D31" s="1">
        <v>1</v>
      </c>
      <c r="E31" s="1">
        <v>15</v>
      </c>
      <c r="F31" s="1">
        <v>0</v>
      </c>
      <c r="G31" s="1">
        <v>0</v>
      </c>
      <c r="H31" s="1">
        <v>0</v>
      </c>
      <c r="I31" s="1">
        <v>0</v>
      </c>
      <c r="J31" s="6">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6">
        <v>7.3269519413010601E-5</v>
      </c>
      <c r="AK31" s="6">
        <v>3.4240330967517997E-5</v>
      </c>
      <c r="AL31" s="6">
        <v>1.8437101290202002E-5</v>
      </c>
      <c r="AM31" s="6">
        <v>1.07749293254427E-5</v>
      </c>
      <c r="AN31" s="6">
        <v>6.8241219061137303E-6</v>
      </c>
      <c r="AO31" s="6">
        <v>5.7466289735694604E-6</v>
      </c>
      <c r="AP31" s="6">
        <v>7.1832862169618198E-6</v>
      </c>
      <c r="AQ31" s="6">
        <v>2.5141501759366399E-6</v>
      </c>
      <c r="AR31" s="6">
        <v>2.0352644281391802E-6</v>
      </c>
      <c r="AS31" s="6">
        <v>2.0352644281391802E-6</v>
      </c>
      <c r="AT31" s="6">
        <v>5.0283003518732697E-6</v>
      </c>
    </row>
    <row r="32" spans="1:46" ht="15.75" customHeight="1" x14ac:dyDescent="0.25">
      <c r="A32" s="1">
        <v>2</v>
      </c>
      <c r="B32" s="1">
        <v>1</v>
      </c>
      <c r="C32" s="1">
        <v>2016</v>
      </c>
      <c r="D32" s="1">
        <v>1</v>
      </c>
      <c r="E32" s="1">
        <v>15</v>
      </c>
      <c r="F32" s="1">
        <v>0</v>
      </c>
      <c r="G32" s="1">
        <v>0</v>
      </c>
      <c r="H32" s="1">
        <v>0</v>
      </c>
      <c r="I32" s="1">
        <v>0</v>
      </c>
      <c r="J32" s="6">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6">
        <v>9.1228999430261194E-5</v>
      </c>
      <c r="AM32" s="6">
        <v>5.18090614048397E-5</v>
      </c>
      <c r="AN32" s="6">
        <v>4.0063528850326398E-5</v>
      </c>
      <c r="AO32" s="6">
        <v>2.6226326114872299E-5</v>
      </c>
      <c r="AP32" s="6">
        <v>2.5260939877515001E-5</v>
      </c>
      <c r="AQ32" s="6">
        <v>1.31131630574361E-5</v>
      </c>
      <c r="AR32" s="6">
        <v>1.31936119105492E-5</v>
      </c>
      <c r="AS32" s="6">
        <v>1.23891233794182E-5</v>
      </c>
      <c r="AT32" s="6">
        <v>3.5477944222879402E-5</v>
      </c>
    </row>
    <row r="33" spans="1:46" ht="15.75" customHeight="1" x14ac:dyDescent="0.25">
      <c r="A33" s="1">
        <v>2</v>
      </c>
      <c r="B33" s="1">
        <v>1</v>
      </c>
      <c r="C33" s="1">
        <v>2017</v>
      </c>
      <c r="D33" s="1">
        <v>1</v>
      </c>
      <c r="E33" s="1">
        <v>8</v>
      </c>
      <c r="F33" s="1">
        <v>0</v>
      </c>
      <c r="G33" s="1">
        <v>0</v>
      </c>
      <c r="H33" s="1">
        <v>0</v>
      </c>
      <c r="I33" s="1">
        <v>0</v>
      </c>
      <c r="J33" s="6">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6">
        <v>8.5744801477817203E-5</v>
      </c>
      <c r="AL33" s="6">
        <v>5.8949551015999302E-5</v>
      </c>
      <c r="AM33" s="6">
        <v>3.1736712235295998E-5</v>
      </c>
      <c r="AN33" s="6">
        <v>2.4220122495357501E-5</v>
      </c>
      <c r="AO33" s="6">
        <v>1.55899639050577E-5</v>
      </c>
      <c r="AP33" s="6">
        <v>8.0733741651191494E-6</v>
      </c>
      <c r="AQ33" s="6">
        <v>7.7949819525288294E-6</v>
      </c>
      <c r="AR33" s="6">
        <v>7.1685994742006196E-6</v>
      </c>
      <c r="AS33" s="6">
        <v>7.4469916867909396E-6</v>
      </c>
      <c r="AT33" s="6">
        <v>1.5729160011352799E-5</v>
      </c>
    </row>
    <row r="34" spans="1:46" ht="15.75" customHeight="1" x14ac:dyDescent="0.25">
      <c r="A34" s="1">
        <v>2</v>
      </c>
      <c r="B34" s="1">
        <v>1</v>
      </c>
      <c r="C34" s="1">
        <v>2018</v>
      </c>
      <c r="D34" s="1">
        <v>1</v>
      </c>
      <c r="E34" s="1">
        <v>7</v>
      </c>
      <c r="F34" s="1">
        <v>0</v>
      </c>
      <c r="G34" s="1">
        <v>0</v>
      </c>
      <c r="H34" s="1">
        <v>0</v>
      </c>
      <c r="I34" s="1">
        <v>0</v>
      </c>
      <c r="J34" s="6">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6">
        <v>7.9111965496419503E-5</v>
      </c>
      <c r="AM34" s="6">
        <v>4.69290026618216E-5</v>
      </c>
      <c r="AN34" s="6">
        <v>3.8425811812546601E-5</v>
      </c>
      <c r="AO34" s="6">
        <v>2.5617207875031101E-5</v>
      </c>
      <c r="AP34" s="6">
        <v>1.21627919742795E-5</v>
      </c>
      <c r="AQ34" s="6">
        <v>1.1947521319867399E-5</v>
      </c>
      <c r="AR34" s="6">
        <v>1.2485697955897499E-5</v>
      </c>
      <c r="AS34" s="6">
        <v>1.2055156647073401E-5</v>
      </c>
      <c r="AT34" s="6">
        <v>2.4325583948558899E-5</v>
      </c>
    </row>
    <row r="35" spans="1:46" ht="15.75" customHeight="1" x14ac:dyDescent="0.25">
      <c r="A35" s="1">
        <v>2</v>
      </c>
      <c r="B35" s="1">
        <v>1</v>
      </c>
      <c r="C35" s="1">
        <v>2019</v>
      </c>
      <c r="D35" s="1">
        <v>1</v>
      </c>
      <c r="E35" s="1">
        <v>6</v>
      </c>
      <c r="F35" s="1">
        <v>0</v>
      </c>
      <c r="G35" s="1">
        <v>0</v>
      </c>
      <c r="H35" s="1">
        <v>0</v>
      </c>
      <c r="I35" s="1">
        <v>0</v>
      </c>
      <c r="J35" s="6">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6">
        <v>8.8583082691277696E-5</v>
      </c>
      <c r="AM35" s="6">
        <v>4.6351613036133701E-5</v>
      </c>
      <c r="AN35" s="6">
        <v>3.5922500103003598E-5</v>
      </c>
      <c r="AO35" s="6">
        <v>2.2918297556754999E-5</v>
      </c>
      <c r="AP35" s="6">
        <v>1.1845412220345301E-5</v>
      </c>
      <c r="AQ35" s="6">
        <v>1.2231675662313E-5</v>
      </c>
      <c r="AR35" s="6">
        <v>1.15879032590334E-5</v>
      </c>
      <c r="AS35" s="6">
        <v>1.2360430142969E-5</v>
      </c>
      <c r="AT35" s="6">
        <v>2.5493387169873501E-5</v>
      </c>
    </row>
    <row r="36" spans="1:46" ht="15.75" customHeight="1" x14ac:dyDescent="0.25">
      <c r="A36" s="1">
        <v>2</v>
      </c>
      <c r="B36" s="1">
        <v>1</v>
      </c>
      <c r="C36" s="1">
        <v>2020</v>
      </c>
      <c r="D36" s="1">
        <v>1</v>
      </c>
      <c r="E36" s="1">
        <v>10</v>
      </c>
      <c r="F36" s="1">
        <v>0</v>
      </c>
      <c r="G36" s="1">
        <v>0</v>
      </c>
      <c r="H36" s="1">
        <v>0</v>
      </c>
      <c r="I36" s="1">
        <v>0</v>
      </c>
      <c r="J36" s="6">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6">
        <v>7.2687021434681995E-5</v>
      </c>
      <c r="AM36" s="6">
        <v>5.2478776251332901E-5</v>
      </c>
      <c r="AN36" s="6">
        <v>2.81975514186267E-5</v>
      </c>
      <c r="AO36" s="6">
        <v>1.5978612470555099E-5</v>
      </c>
      <c r="AP36" s="6">
        <v>9.2425307427720705E-6</v>
      </c>
      <c r="AQ36" s="6">
        <v>1.0339102186829801E-5</v>
      </c>
      <c r="AR36" s="6">
        <v>1.15923266943243E-5</v>
      </c>
      <c r="AS36" s="1">
        <v>0</v>
      </c>
      <c r="AT36" s="6">
        <v>1.9111673739291401E-5</v>
      </c>
    </row>
    <row r="37" spans="1:46" ht="15.75" customHeight="1" x14ac:dyDescent="0.25">
      <c r="A37" s="1">
        <v>2</v>
      </c>
      <c r="B37" s="1">
        <v>1</v>
      </c>
      <c r="C37" s="1">
        <v>2021</v>
      </c>
      <c r="D37" s="1">
        <v>1</v>
      </c>
      <c r="E37" s="1">
        <v>12</v>
      </c>
      <c r="F37" s="1">
        <v>0</v>
      </c>
      <c r="G37" s="1">
        <v>0</v>
      </c>
      <c r="H37" s="1">
        <v>0</v>
      </c>
      <c r="I37" s="1">
        <v>0</v>
      </c>
      <c r="J37" s="6">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6">
        <v>5.60534513754246E-5</v>
      </c>
      <c r="AN37" s="6">
        <v>3.1838360381241202E-5</v>
      </c>
      <c r="AO37" s="6">
        <v>2.3617187512845601E-5</v>
      </c>
      <c r="AP37" s="6">
        <v>1.2406497237760701E-5</v>
      </c>
      <c r="AQ37" s="6">
        <v>1.37517800707708E-5</v>
      </c>
      <c r="AR37" s="6">
        <v>1.49475870334466E-5</v>
      </c>
      <c r="AS37" s="1">
        <v>0</v>
      </c>
      <c r="AT37" s="6">
        <v>3.3183643214251403E-5</v>
      </c>
    </row>
    <row r="38" spans="1:46" ht="15.75" customHeight="1" x14ac:dyDescent="0.25">
      <c r="A38" s="1">
        <v>2</v>
      </c>
      <c r="B38" s="1">
        <v>1</v>
      </c>
      <c r="C38" s="1">
        <v>2022</v>
      </c>
      <c r="D38" s="1">
        <v>1</v>
      </c>
      <c r="E38" s="1">
        <v>17</v>
      </c>
      <c r="F38" s="1">
        <v>0</v>
      </c>
      <c r="G38" s="1">
        <v>0</v>
      </c>
      <c r="H38" s="1">
        <v>0</v>
      </c>
      <c r="I38" s="1">
        <v>0</v>
      </c>
      <c r="J38" s="6">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6">
        <v>9.1858895987297201E-5</v>
      </c>
      <c r="AN38" s="6">
        <v>4.6701371489340197E-5</v>
      </c>
      <c r="AO38" s="6">
        <v>2.93330928362798E-5</v>
      </c>
      <c r="AP38" s="6">
        <v>1.35086611746025E-5</v>
      </c>
      <c r="AQ38" s="6">
        <v>1.4537892502191299E-5</v>
      </c>
      <c r="AR38" s="6">
        <v>1.38946229224483E-5</v>
      </c>
      <c r="AS38" s="1">
        <v>0</v>
      </c>
      <c r="AT38" s="6">
        <v>1.4537892502191299E-5</v>
      </c>
    </row>
    <row r="39" spans="1:46" ht="15.75" customHeight="1" x14ac:dyDescent="0.25">
      <c r="A39" s="1">
        <v>2</v>
      </c>
      <c r="B39" s="1">
        <v>1</v>
      </c>
      <c r="C39" s="1">
        <v>2023</v>
      </c>
      <c r="D39" s="1">
        <v>1</v>
      </c>
      <c r="E39" s="1">
        <v>2</v>
      </c>
      <c r="F39" s="1">
        <v>0</v>
      </c>
      <c r="G39" s="1">
        <v>0</v>
      </c>
      <c r="H39" s="1">
        <v>0</v>
      </c>
      <c r="I39" s="1">
        <v>0</v>
      </c>
      <c r="J39" s="6">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6">
        <v>5.2354960796714799E-5</v>
      </c>
      <c r="AN39" s="6">
        <v>2.62686911314527E-5</v>
      </c>
      <c r="AO39" s="6">
        <v>1.6782774889539199E-5</v>
      </c>
      <c r="AP39" s="6">
        <v>9.8507591742947693E-6</v>
      </c>
      <c r="AQ39" s="6">
        <v>1.02156021066761E-5</v>
      </c>
      <c r="AR39" s="6">
        <v>8.5738089109602595E-6</v>
      </c>
      <c r="AS39" s="1">
        <v>0</v>
      </c>
      <c r="AT39" s="6">
        <v>6.2023298504818901E-6</v>
      </c>
    </row>
    <row r="40" spans="1:46" ht="15.75" customHeight="1" x14ac:dyDescent="0.25">
      <c r="A40" s="1">
        <v>2</v>
      </c>
      <c r="B40" s="1">
        <v>1</v>
      </c>
      <c r="C40" s="1">
        <v>2024</v>
      </c>
      <c r="D40" s="1">
        <v>1</v>
      </c>
      <c r="E40" s="1">
        <v>9</v>
      </c>
      <c r="F40" s="1">
        <v>0</v>
      </c>
      <c r="G40" s="1">
        <v>0</v>
      </c>
      <c r="H40" s="1">
        <v>0</v>
      </c>
      <c r="I40" s="1">
        <v>0</v>
      </c>
      <c r="J40" s="6">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6">
        <v>8.9712275679150295E-5</v>
      </c>
      <c r="AN40" s="6">
        <v>4.1190209219077302E-5</v>
      </c>
      <c r="AO40" s="6">
        <v>1.94417787514045E-5</v>
      </c>
      <c r="AP40" s="6">
        <v>9.8856502125785501E-6</v>
      </c>
      <c r="AQ40" s="6">
        <v>9.4737481203877798E-6</v>
      </c>
      <c r="AR40" s="6">
        <v>9.7208893757022399E-6</v>
      </c>
      <c r="AS40" s="1">
        <v>0</v>
      </c>
      <c r="AT40" s="6">
        <v>1.04623131416456E-5</v>
      </c>
    </row>
    <row r="41" spans="1:46" ht="15.75" customHeight="1" x14ac:dyDescent="0.25">
      <c r="A41" s="1">
        <v>2</v>
      </c>
      <c r="B41" s="1">
        <v>2</v>
      </c>
      <c r="C41" s="1">
        <v>1980</v>
      </c>
      <c r="D41" s="1">
        <v>1</v>
      </c>
      <c r="E41" s="1">
        <v>6</v>
      </c>
      <c r="F41" s="1">
        <v>0</v>
      </c>
      <c r="G41" s="1">
        <v>0</v>
      </c>
      <c r="H41" s="1">
        <v>0</v>
      </c>
      <c r="I41" s="1">
        <v>0</v>
      </c>
      <c r="J41" s="6">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v>2</v>
      </c>
      <c r="C42" s="1">
        <v>1981</v>
      </c>
      <c r="D42" s="1">
        <v>1</v>
      </c>
      <c r="E42" s="1">
        <v>10</v>
      </c>
      <c r="F42" s="1">
        <v>0</v>
      </c>
      <c r="G42" s="1">
        <v>0</v>
      </c>
      <c r="H42" s="1">
        <v>0</v>
      </c>
      <c r="I42" s="1">
        <v>0</v>
      </c>
      <c r="J42" s="6">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v>2</v>
      </c>
      <c r="C43" s="1">
        <v>1984</v>
      </c>
      <c r="D43" s="1">
        <v>1</v>
      </c>
      <c r="E43" s="1">
        <v>9</v>
      </c>
      <c r="F43" s="1">
        <v>0</v>
      </c>
      <c r="G43" s="1">
        <v>0</v>
      </c>
      <c r="H43" s="1">
        <v>0</v>
      </c>
      <c r="I43" s="1">
        <v>0</v>
      </c>
      <c r="J43" s="6">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v>2</v>
      </c>
      <c r="C44" s="1">
        <v>1988</v>
      </c>
      <c r="D44" s="1">
        <v>1</v>
      </c>
      <c r="E44" s="1">
        <v>6</v>
      </c>
      <c r="F44" s="1">
        <v>0</v>
      </c>
      <c r="G44" s="1">
        <v>0</v>
      </c>
      <c r="H44" s="1">
        <v>0</v>
      </c>
      <c r="I44" s="1">
        <v>0</v>
      </c>
      <c r="J44" s="6">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v>2</v>
      </c>
      <c r="C45" s="1">
        <v>1990</v>
      </c>
      <c r="D45" s="1">
        <v>1</v>
      </c>
      <c r="E45" s="1">
        <v>6</v>
      </c>
      <c r="F45" s="1">
        <v>0</v>
      </c>
      <c r="G45" s="1">
        <v>0</v>
      </c>
      <c r="H45" s="1">
        <v>0</v>
      </c>
      <c r="I45" s="1">
        <v>0</v>
      </c>
      <c r="J45" s="6">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v>2</v>
      </c>
      <c r="C46" s="1">
        <v>1992</v>
      </c>
      <c r="D46" s="1">
        <v>1</v>
      </c>
      <c r="E46" s="1">
        <v>6</v>
      </c>
      <c r="F46" s="1">
        <v>0</v>
      </c>
      <c r="G46" s="1">
        <v>0</v>
      </c>
      <c r="H46" s="1">
        <v>0</v>
      </c>
      <c r="I46" s="1">
        <v>0</v>
      </c>
      <c r="J46" s="6">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v>2</v>
      </c>
      <c r="C47" s="1">
        <v>1993</v>
      </c>
      <c r="D47" s="1">
        <v>1</v>
      </c>
      <c r="E47" s="1">
        <v>6</v>
      </c>
      <c r="F47" s="1">
        <v>0</v>
      </c>
      <c r="G47" s="1">
        <v>0</v>
      </c>
      <c r="H47" s="1">
        <v>0</v>
      </c>
      <c r="I47" s="1">
        <v>0</v>
      </c>
      <c r="J47" s="6">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v>2</v>
      </c>
      <c r="C48" s="1">
        <v>1994</v>
      </c>
      <c r="D48" s="1">
        <v>1</v>
      </c>
      <c r="E48" s="1">
        <v>12</v>
      </c>
      <c r="F48" s="1">
        <v>0</v>
      </c>
      <c r="G48" s="1">
        <v>0</v>
      </c>
      <c r="H48" s="1">
        <v>0</v>
      </c>
      <c r="I48" s="1">
        <v>0</v>
      </c>
      <c r="J48" s="6">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v>2</v>
      </c>
      <c r="C49" s="1">
        <v>1995</v>
      </c>
      <c r="D49" s="1">
        <v>1</v>
      </c>
      <c r="E49" s="1">
        <v>15</v>
      </c>
      <c r="F49" s="1">
        <v>0</v>
      </c>
      <c r="G49" s="1">
        <v>0</v>
      </c>
      <c r="H49" s="1">
        <v>0</v>
      </c>
      <c r="I49" s="1">
        <v>0</v>
      </c>
      <c r="J49" s="6">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v>2</v>
      </c>
      <c r="C50" s="1">
        <v>1996</v>
      </c>
      <c r="D50" s="1">
        <v>1</v>
      </c>
      <c r="E50" s="1">
        <v>6</v>
      </c>
      <c r="F50" s="1">
        <v>0</v>
      </c>
      <c r="G50" s="1">
        <v>0</v>
      </c>
      <c r="H50" s="1">
        <v>0</v>
      </c>
      <c r="I50" s="1">
        <v>0</v>
      </c>
      <c r="J50" s="6">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v>2</v>
      </c>
      <c r="C51" s="1">
        <v>1997</v>
      </c>
      <c r="D51" s="1">
        <v>1</v>
      </c>
      <c r="E51" s="1">
        <v>2</v>
      </c>
      <c r="F51" s="1">
        <v>0</v>
      </c>
      <c r="G51" s="1">
        <v>0</v>
      </c>
      <c r="H51" s="1">
        <v>0</v>
      </c>
      <c r="I51" s="1">
        <v>0</v>
      </c>
      <c r="J51" s="6">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v>2</v>
      </c>
      <c r="C52" s="1">
        <v>1998</v>
      </c>
      <c r="D52" s="1">
        <v>1</v>
      </c>
      <c r="E52" s="1">
        <v>2</v>
      </c>
      <c r="F52" s="1">
        <v>0</v>
      </c>
      <c r="G52" s="1">
        <v>0</v>
      </c>
      <c r="H52" s="1">
        <v>0</v>
      </c>
      <c r="I52" s="1">
        <v>0</v>
      </c>
      <c r="J52" s="6">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v>2</v>
      </c>
      <c r="C53" s="1">
        <v>1999</v>
      </c>
      <c r="D53" s="1">
        <v>1</v>
      </c>
      <c r="E53" s="1">
        <v>7</v>
      </c>
      <c r="F53" s="1">
        <v>0</v>
      </c>
      <c r="G53" s="1">
        <v>0</v>
      </c>
      <c r="H53" s="1">
        <v>0</v>
      </c>
      <c r="I53" s="1">
        <v>0</v>
      </c>
      <c r="J53" s="6">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v>2</v>
      </c>
      <c r="C54" s="1">
        <v>2000</v>
      </c>
      <c r="D54" s="1">
        <v>1</v>
      </c>
      <c r="E54" s="1">
        <v>10</v>
      </c>
      <c r="F54" s="1">
        <v>0</v>
      </c>
      <c r="G54" s="1">
        <v>0</v>
      </c>
      <c r="H54" s="1">
        <v>0</v>
      </c>
      <c r="I54" s="1">
        <v>0</v>
      </c>
      <c r="J54" s="6">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v>2</v>
      </c>
      <c r="C55" s="1">
        <v>2001</v>
      </c>
      <c r="D55" s="1">
        <v>1</v>
      </c>
      <c r="E55" s="1">
        <v>10</v>
      </c>
      <c r="F55" s="1">
        <v>0</v>
      </c>
      <c r="G55" s="1">
        <v>0</v>
      </c>
      <c r="H55" s="1">
        <v>0</v>
      </c>
      <c r="I55" s="1">
        <v>0</v>
      </c>
      <c r="J55" s="6">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v>2</v>
      </c>
      <c r="C56" s="1">
        <v>2002</v>
      </c>
      <c r="D56" s="1">
        <v>1</v>
      </c>
      <c r="E56" s="1">
        <v>3</v>
      </c>
      <c r="F56" s="1">
        <v>0</v>
      </c>
      <c r="G56" s="1">
        <v>0</v>
      </c>
      <c r="H56" s="1">
        <v>0</v>
      </c>
      <c r="I56" s="1">
        <v>0</v>
      </c>
      <c r="J56" s="6">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v>2</v>
      </c>
      <c r="C57" s="1">
        <v>2003</v>
      </c>
      <c r="D57" s="1">
        <v>1</v>
      </c>
      <c r="E57" s="1">
        <v>6</v>
      </c>
      <c r="F57" s="1">
        <v>0</v>
      </c>
      <c r="G57" s="1">
        <v>0</v>
      </c>
      <c r="H57" s="1">
        <v>0</v>
      </c>
      <c r="I57" s="1">
        <v>0</v>
      </c>
      <c r="J57" s="6">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v>2</v>
      </c>
      <c r="C58" s="1">
        <v>2004</v>
      </c>
      <c r="D58" s="1">
        <v>1</v>
      </c>
      <c r="E58" s="1">
        <v>2</v>
      </c>
      <c r="F58" s="1">
        <v>0</v>
      </c>
      <c r="G58" s="1">
        <v>0</v>
      </c>
      <c r="H58" s="1">
        <v>0</v>
      </c>
      <c r="I58" s="1">
        <v>0</v>
      </c>
      <c r="J58" s="6">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v>2</v>
      </c>
      <c r="C59" s="1">
        <v>2005</v>
      </c>
      <c r="D59" s="1">
        <v>1</v>
      </c>
      <c r="E59" s="1">
        <v>6</v>
      </c>
      <c r="F59" s="1">
        <v>0</v>
      </c>
      <c r="G59" s="1">
        <v>0</v>
      </c>
      <c r="H59" s="1">
        <v>0</v>
      </c>
      <c r="I59" s="1">
        <v>0</v>
      </c>
      <c r="J59" s="6">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v>2</v>
      </c>
      <c r="C60" s="1">
        <v>2006</v>
      </c>
      <c r="D60" s="1">
        <v>1</v>
      </c>
      <c r="E60" s="1">
        <v>10</v>
      </c>
      <c r="F60" s="1">
        <v>0</v>
      </c>
      <c r="G60" s="1">
        <v>0</v>
      </c>
      <c r="H60" s="1">
        <v>0</v>
      </c>
      <c r="I60" s="1">
        <v>0</v>
      </c>
      <c r="J60" s="6">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v>2</v>
      </c>
      <c r="C61" s="1">
        <v>2007</v>
      </c>
      <c r="D61" s="1">
        <v>1</v>
      </c>
      <c r="E61" s="1">
        <v>8</v>
      </c>
      <c r="F61" s="1">
        <v>0</v>
      </c>
      <c r="G61" s="1">
        <v>0</v>
      </c>
      <c r="H61" s="1">
        <v>0</v>
      </c>
      <c r="I61" s="1">
        <v>0</v>
      </c>
      <c r="J61" s="6">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v>2</v>
      </c>
      <c r="C62" s="1">
        <v>2008</v>
      </c>
      <c r="D62" s="1">
        <v>1</v>
      </c>
      <c r="E62" s="1">
        <v>4</v>
      </c>
      <c r="F62" s="1">
        <v>0</v>
      </c>
      <c r="G62" s="1">
        <v>0</v>
      </c>
      <c r="H62" s="1">
        <v>0</v>
      </c>
      <c r="I62" s="1">
        <v>0</v>
      </c>
      <c r="J62" s="6">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v>2</v>
      </c>
      <c r="C63" s="1">
        <v>2009</v>
      </c>
      <c r="D63" s="1">
        <v>1</v>
      </c>
      <c r="E63" s="1">
        <v>5</v>
      </c>
      <c r="F63" s="1">
        <v>0</v>
      </c>
      <c r="G63" s="1">
        <v>0</v>
      </c>
      <c r="H63" s="1">
        <v>0</v>
      </c>
      <c r="I63" s="1">
        <v>0</v>
      </c>
      <c r="J63" s="6">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v>2</v>
      </c>
      <c r="C64" s="1">
        <v>2010</v>
      </c>
      <c r="D64" s="1">
        <v>1</v>
      </c>
      <c r="E64" s="1">
        <v>7</v>
      </c>
      <c r="F64" s="1">
        <v>0</v>
      </c>
      <c r="G64" s="1">
        <v>0</v>
      </c>
      <c r="H64" s="1">
        <v>0</v>
      </c>
      <c r="I64" s="1">
        <v>0</v>
      </c>
      <c r="J64" s="6">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v>2</v>
      </c>
      <c r="C65" s="1">
        <v>2011</v>
      </c>
      <c r="D65" s="1">
        <v>1</v>
      </c>
      <c r="E65" s="1">
        <v>6</v>
      </c>
      <c r="F65" s="1">
        <v>0</v>
      </c>
      <c r="G65" s="1">
        <v>0</v>
      </c>
      <c r="H65" s="1">
        <v>0</v>
      </c>
      <c r="I65" s="1">
        <v>0</v>
      </c>
      <c r="J65" s="6">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v>2</v>
      </c>
      <c r="C66" s="1">
        <v>2012</v>
      </c>
      <c r="D66" s="1">
        <v>1</v>
      </c>
      <c r="E66" s="1">
        <v>9</v>
      </c>
      <c r="F66" s="1">
        <v>0</v>
      </c>
      <c r="G66" s="1">
        <v>0</v>
      </c>
      <c r="H66" s="1">
        <v>0</v>
      </c>
      <c r="I66" s="1">
        <v>0</v>
      </c>
      <c r="J66" s="6">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v>2</v>
      </c>
      <c r="C67" s="1">
        <v>2013</v>
      </c>
      <c r="D67" s="1">
        <v>1</v>
      </c>
      <c r="E67" s="1">
        <v>8</v>
      </c>
      <c r="F67" s="1">
        <v>0</v>
      </c>
      <c r="G67" s="1">
        <v>0</v>
      </c>
      <c r="H67" s="1">
        <v>0</v>
      </c>
      <c r="I67" s="1">
        <v>0</v>
      </c>
      <c r="J67" s="6">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v>2</v>
      </c>
      <c r="C68" s="1">
        <v>2014</v>
      </c>
      <c r="D68" s="1">
        <v>1</v>
      </c>
      <c r="E68" s="1">
        <v>5</v>
      </c>
      <c r="F68" s="1">
        <v>0</v>
      </c>
      <c r="G68" s="1">
        <v>0</v>
      </c>
      <c r="H68" s="1">
        <v>0</v>
      </c>
      <c r="I68" s="1">
        <v>0</v>
      </c>
      <c r="J68" s="6">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v>2</v>
      </c>
      <c r="C69" s="1">
        <v>2015</v>
      </c>
      <c r="D69" s="1">
        <v>1</v>
      </c>
      <c r="E69" s="1">
        <v>5</v>
      </c>
      <c r="F69" s="1">
        <v>0</v>
      </c>
      <c r="G69" s="1">
        <v>0</v>
      </c>
      <c r="H69" s="1">
        <v>0</v>
      </c>
      <c r="I69" s="1">
        <v>0</v>
      </c>
      <c r="J69" s="6">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6">
        <v>0</v>
      </c>
    </row>
    <row r="70" spans="1:46" ht="15.75" customHeight="1" x14ac:dyDescent="0.25">
      <c r="A70" s="1">
        <v>2</v>
      </c>
      <c r="B70" s="1">
        <v>2</v>
      </c>
      <c r="C70" s="1">
        <v>2016</v>
      </c>
      <c r="D70" s="1">
        <v>1</v>
      </c>
      <c r="E70" s="1">
        <v>6</v>
      </c>
      <c r="F70" s="1">
        <v>0</v>
      </c>
      <c r="G70" s="1">
        <v>0</v>
      </c>
      <c r="H70" s="1">
        <v>0</v>
      </c>
      <c r="I70" s="1">
        <v>0</v>
      </c>
      <c r="J70" s="6">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v>2</v>
      </c>
      <c r="C71" s="1">
        <v>2017</v>
      </c>
      <c r="D71" s="1">
        <v>1</v>
      </c>
      <c r="E71" s="1">
        <v>7</v>
      </c>
      <c r="F71" s="1">
        <v>0</v>
      </c>
      <c r="G71" s="1">
        <v>0</v>
      </c>
      <c r="H71" s="1">
        <v>0</v>
      </c>
      <c r="I71" s="1">
        <v>0</v>
      </c>
      <c r="J71" s="6">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v>2</v>
      </c>
      <c r="C72" s="1">
        <v>2018</v>
      </c>
      <c r="D72" s="1">
        <v>1</v>
      </c>
      <c r="E72" s="1">
        <v>13</v>
      </c>
      <c r="F72" s="1">
        <v>0</v>
      </c>
      <c r="G72" s="1">
        <v>0</v>
      </c>
      <c r="H72" s="1">
        <v>0</v>
      </c>
      <c r="I72" s="1">
        <v>0</v>
      </c>
      <c r="J72" s="6">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v>2</v>
      </c>
      <c r="C73" s="1">
        <v>2019</v>
      </c>
      <c r="D73" s="1">
        <v>1</v>
      </c>
      <c r="E73" s="1">
        <v>5</v>
      </c>
      <c r="F73" s="1">
        <v>0</v>
      </c>
      <c r="G73" s="1">
        <v>0</v>
      </c>
      <c r="H73" s="1">
        <v>0</v>
      </c>
      <c r="I73" s="1">
        <v>0</v>
      </c>
      <c r="J73" s="6">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v>2</v>
      </c>
      <c r="C74" s="1">
        <v>2020</v>
      </c>
      <c r="D74" s="1">
        <v>1</v>
      </c>
      <c r="E74" s="1">
        <v>2</v>
      </c>
      <c r="F74" s="1">
        <v>0</v>
      </c>
      <c r="G74" s="1">
        <v>0</v>
      </c>
      <c r="H74" s="1">
        <v>0</v>
      </c>
      <c r="I74" s="1">
        <v>0</v>
      </c>
      <c r="J74" s="6">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v>2</v>
      </c>
      <c r="C75" s="1">
        <v>2021</v>
      </c>
      <c r="D75" s="1">
        <v>1</v>
      </c>
      <c r="E75" s="1">
        <v>5</v>
      </c>
      <c r="F75" s="1">
        <v>0</v>
      </c>
      <c r="G75" s="1">
        <v>0</v>
      </c>
      <c r="H75" s="1">
        <v>0</v>
      </c>
      <c r="I75" s="1">
        <v>0</v>
      </c>
      <c r="J75" s="6">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v>2</v>
      </c>
      <c r="C76" s="1">
        <v>2022</v>
      </c>
      <c r="D76" s="1">
        <v>1</v>
      </c>
      <c r="E76" s="1">
        <v>6</v>
      </c>
      <c r="F76" s="1">
        <v>0</v>
      </c>
      <c r="G76" s="1">
        <v>0</v>
      </c>
      <c r="H76" s="1">
        <v>0</v>
      </c>
      <c r="I76" s="1">
        <v>0</v>
      </c>
      <c r="J76" s="6">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v>2</v>
      </c>
      <c r="C77" s="1">
        <v>2023</v>
      </c>
      <c r="D77" s="1">
        <v>1</v>
      </c>
      <c r="E77" s="1">
        <v>8</v>
      </c>
      <c r="F77" s="1">
        <v>0</v>
      </c>
      <c r="G77" s="1">
        <v>0</v>
      </c>
      <c r="H77" s="1">
        <v>0</v>
      </c>
      <c r="I77" s="1">
        <v>0</v>
      </c>
      <c r="J77" s="6">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v>2</v>
      </c>
      <c r="C78" s="1">
        <v>2024</v>
      </c>
      <c r="D78" s="1">
        <v>1</v>
      </c>
      <c r="E78" s="1">
        <v>14</v>
      </c>
      <c r="F78" s="1">
        <v>0</v>
      </c>
      <c r="G78" s="1">
        <v>0</v>
      </c>
      <c r="H78" s="1">
        <v>0</v>
      </c>
      <c r="I78" s="1">
        <v>0</v>
      </c>
      <c r="J78" s="6">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v>1</v>
      </c>
      <c r="C79" s="1">
        <v>1990</v>
      </c>
      <c r="D79" s="1">
        <v>1</v>
      </c>
      <c r="E79" s="1">
        <v>13</v>
      </c>
      <c r="F79" s="1">
        <v>0</v>
      </c>
      <c r="G79" s="1">
        <v>0</v>
      </c>
      <c r="H79" s="1">
        <v>0</v>
      </c>
      <c r="I79" s="1">
        <v>0</v>
      </c>
      <c r="J79" s="6">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v>1</v>
      </c>
      <c r="C80" s="1">
        <v>1991</v>
      </c>
      <c r="D80" s="1">
        <v>1</v>
      </c>
      <c r="E80" s="1">
        <v>5</v>
      </c>
      <c r="F80" s="1">
        <v>0</v>
      </c>
      <c r="G80" s="1">
        <v>0</v>
      </c>
      <c r="H80" s="1">
        <v>0</v>
      </c>
      <c r="I80" s="1">
        <v>0</v>
      </c>
      <c r="J80" s="6">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v>1</v>
      </c>
      <c r="C81" s="1">
        <v>1992</v>
      </c>
      <c r="D81" s="1">
        <v>1</v>
      </c>
      <c r="E81" s="1">
        <v>9</v>
      </c>
      <c r="F81" s="1">
        <v>0</v>
      </c>
      <c r="G81" s="1">
        <v>0</v>
      </c>
      <c r="H81" s="1">
        <v>0</v>
      </c>
      <c r="I81" s="1">
        <v>0</v>
      </c>
      <c r="J81" s="6">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v>1</v>
      </c>
      <c r="C82" s="1">
        <v>1993</v>
      </c>
      <c r="D82" s="1">
        <v>1</v>
      </c>
      <c r="E82" s="1">
        <v>6</v>
      </c>
      <c r="F82" s="1">
        <v>0</v>
      </c>
      <c r="G82" s="1">
        <v>0</v>
      </c>
      <c r="H82" s="1">
        <v>0</v>
      </c>
      <c r="I82" s="1">
        <v>0</v>
      </c>
      <c r="J82" s="6">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v>1</v>
      </c>
      <c r="C83" s="1">
        <v>1994</v>
      </c>
      <c r="D83" s="1">
        <v>1</v>
      </c>
      <c r="E83" s="1">
        <v>10</v>
      </c>
      <c r="F83" s="1">
        <v>0</v>
      </c>
      <c r="G83" s="1">
        <v>0</v>
      </c>
      <c r="H83" s="1">
        <v>0</v>
      </c>
      <c r="I83" s="1">
        <v>0</v>
      </c>
      <c r="J83" s="6">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v>1</v>
      </c>
      <c r="C84" s="1">
        <v>1995</v>
      </c>
      <c r="D84" s="1">
        <v>1</v>
      </c>
      <c r="E84" s="1">
        <v>14</v>
      </c>
      <c r="F84" s="1">
        <v>0</v>
      </c>
      <c r="G84" s="1">
        <v>0</v>
      </c>
      <c r="H84" s="1">
        <v>0</v>
      </c>
      <c r="I84" s="1">
        <v>0</v>
      </c>
      <c r="J84" s="6">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v>1</v>
      </c>
      <c r="C85" s="1">
        <v>1996</v>
      </c>
      <c r="D85" s="1">
        <v>1</v>
      </c>
      <c r="E85" s="1">
        <v>13</v>
      </c>
      <c r="F85" s="1">
        <v>0</v>
      </c>
      <c r="G85" s="1">
        <v>0</v>
      </c>
      <c r="H85" s="1">
        <v>0</v>
      </c>
      <c r="I85" s="1">
        <v>0</v>
      </c>
      <c r="J85" s="6">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v>1</v>
      </c>
      <c r="C86" s="1">
        <v>1997</v>
      </c>
      <c r="D86" s="1">
        <v>1</v>
      </c>
      <c r="E86" s="1">
        <v>3</v>
      </c>
      <c r="F86" s="1">
        <v>0</v>
      </c>
      <c r="G86" s="1">
        <v>0</v>
      </c>
      <c r="H86" s="1">
        <v>0</v>
      </c>
      <c r="I86" s="1">
        <v>0</v>
      </c>
      <c r="J86" s="6">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v>1</v>
      </c>
      <c r="C87" s="1">
        <v>1998</v>
      </c>
      <c r="D87" s="1">
        <v>1</v>
      </c>
      <c r="E87" s="1">
        <v>9</v>
      </c>
      <c r="F87" s="1">
        <v>0</v>
      </c>
      <c r="G87" s="1">
        <v>0</v>
      </c>
      <c r="H87" s="1">
        <v>0</v>
      </c>
      <c r="I87" s="1">
        <v>0</v>
      </c>
      <c r="J87" s="6">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v>1</v>
      </c>
      <c r="C88" s="1">
        <v>1999</v>
      </c>
      <c r="D88" s="1">
        <v>1</v>
      </c>
      <c r="E88" s="1">
        <v>5</v>
      </c>
      <c r="F88" s="1">
        <v>0</v>
      </c>
      <c r="G88" s="1">
        <v>0</v>
      </c>
      <c r="H88" s="1">
        <v>0</v>
      </c>
      <c r="I88" s="1">
        <v>0</v>
      </c>
      <c r="J88" s="6">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v>1</v>
      </c>
      <c r="C89" s="1">
        <v>2000</v>
      </c>
      <c r="D89" s="1">
        <v>1</v>
      </c>
      <c r="E89" s="1">
        <v>6</v>
      </c>
      <c r="F89" s="1">
        <v>0</v>
      </c>
      <c r="G89" s="1">
        <v>0</v>
      </c>
      <c r="H89" s="1">
        <v>0</v>
      </c>
      <c r="I89" s="1">
        <v>0</v>
      </c>
      <c r="J89" s="6">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v>1</v>
      </c>
      <c r="C90" s="1">
        <v>2001</v>
      </c>
      <c r="D90" s="1">
        <v>1</v>
      </c>
      <c r="E90" s="1">
        <v>18</v>
      </c>
      <c r="F90" s="1">
        <v>0</v>
      </c>
      <c r="G90" s="1">
        <v>0</v>
      </c>
      <c r="H90" s="1">
        <v>0</v>
      </c>
      <c r="I90" s="1">
        <v>0</v>
      </c>
      <c r="J90" s="6">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v>1</v>
      </c>
      <c r="C91" s="1">
        <v>2002</v>
      </c>
      <c r="D91" s="1">
        <v>1</v>
      </c>
      <c r="E91" s="1">
        <v>11</v>
      </c>
      <c r="F91" s="1">
        <v>0</v>
      </c>
      <c r="G91" s="1">
        <v>0</v>
      </c>
      <c r="H91" s="1">
        <v>0</v>
      </c>
      <c r="I91" s="1">
        <v>0</v>
      </c>
      <c r="J91" s="6">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v>1</v>
      </c>
      <c r="C92" s="1">
        <v>2003</v>
      </c>
      <c r="D92" s="1">
        <v>1</v>
      </c>
      <c r="E92" s="1">
        <v>4</v>
      </c>
      <c r="F92" s="1">
        <v>0</v>
      </c>
      <c r="G92" s="1">
        <v>0</v>
      </c>
      <c r="H92" s="1">
        <v>0</v>
      </c>
      <c r="I92" s="1">
        <v>0</v>
      </c>
      <c r="J92" s="6">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v>1</v>
      </c>
      <c r="C93" s="1">
        <v>2004</v>
      </c>
      <c r="D93" s="1">
        <v>1</v>
      </c>
      <c r="E93" s="1">
        <v>8</v>
      </c>
      <c r="F93" s="1">
        <v>0</v>
      </c>
      <c r="G93" s="1">
        <v>0</v>
      </c>
      <c r="H93" s="1">
        <v>0</v>
      </c>
      <c r="I93" s="1">
        <v>0</v>
      </c>
      <c r="J93" s="6">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v>1</v>
      </c>
      <c r="C94" s="1">
        <v>2005</v>
      </c>
      <c r="D94" s="1">
        <v>1</v>
      </c>
      <c r="E94" s="1">
        <v>12</v>
      </c>
      <c r="F94" s="1">
        <v>0</v>
      </c>
      <c r="G94" s="1">
        <v>0</v>
      </c>
      <c r="H94" s="1">
        <v>0</v>
      </c>
      <c r="I94" s="1">
        <v>0</v>
      </c>
      <c r="J94" s="6">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6">
        <v>7.7629983863144301E-5</v>
      </c>
      <c r="AT94" s="1">
        <v>2.9388493891047498E-4</v>
      </c>
    </row>
    <row r="95" spans="1:46" ht="15.75" customHeight="1" x14ac:dyDescent="0.25">
      <c r="A95" s="1">
        <v>4</v>
      </c>
      <c r="B95" s="1">
        <v>1</v>
      </c>
      <c r="C95" s="1">
        <v>2006</v>
      </c>
      <c r="D95" s="1">
        <v>1</v>
      </c>
      <c r="E95" s="1">
        <v>7</v>
      </c>
      <c r="F95" s="1">
        <v>0</v>
      </c>
      <c r="G95" s="1">
        <v>0</v>
      </c>
      <c r="H95" s="1">
        <v>0</v>
      </c>
      <c r="I95" s="1">
        <v>0</v>
      </c>
      <c r="J95" s="6">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6">
        <v>9.2284802906296095E-5</v>
      </c>
      <c r="AT95" s="1">
        <v>3.51632609447838E-4</v>
      </c>
    </row>
    <row r="96" spans="1:46" ht="15.75" customHeight="1" x14ac:dyDescent="0.25">
      <c r="A96" s="1">
        <v>4</v>
      </c>
      <c r="B96" s="1">
        <v>1</v>
      </c>
      <c r="C96" s="1">
        <v>2007</v>
      </c>
      <c r="D96" s="1">
        <v>1</v>
      </c>
      <c r="E96" s="1">
        <v>17</v>
      </c>
      <c r="F96" s="1">
        <v>0</v>
      </c>
      <c r="G96" s="1">
        <v>0</v>
      </c>
      <c r="H96" s="1">
        <v>0</v>
      </c>
      <c r="I96" s="1">
        <v>0</v>
      </c>
      <c r="J96" s="6">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6">
        <v>8.5372931025386501E-5</v>
      </c>
      <c r="AS96" s="6">
        <v>6.65991083119387E-5</v>
      </c>
      <c r="AT96" s="1">
        <v>2.3350798469864899E-4</v>
      </c>
    </row>
    <row r="97" spans="1:46" ht="15.75" customHeight="1" x14ac:dyDescent="0.25">
      <c r="A97" s="1">
        <v>4</v>
      </c>
      <c r="B97" s="1">
        <v>1</v>
      </c>
      <c r="C97" s="1">
        <v>2008</v>
      </c>
      <c r="D97" s="1">
        <v>1</v>
      </c>
      <c r="E97" s="1">
        <v>13</v>
      </c>
      <c r="F97" s="1">
        <v>0</v>
      </c>
      <c r="G97" s="1">
        <v>0</v>
      </c>
      <c r="H97" s="1">
        <v>0</v>
      </c>
      <c r="I97" s="1">
        <v>0</v>
      </c>
      <c r="J97" s="6">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6">
        <v>9.3382222385352898E-5</v>
      </c>
      <c r="AQ97" s="6">
        <v>6.6923926042836295E-5</v>
      </c>
      <c r="AR97" s="6">
        <v>5.1230524780853297E-5</v>
      </c>
      <c r="AS97" s="6">
        <v>4.4615950695224197E-5</v>
      </c>
      <c r="AT97" s="1">
        <v>1.6186251880127801E-4</v>
      </c>
    </row>
    <row r="98" spans="1:46" ht="15.75" customHeight="1" x14ac:dyDescent="0.25">
      <c r="A98" s="1">
        <v>4</v>
      </c>
      <c r="B98" s="1">
        <v>1</v>
      </c>
      <c r="C98" s="1">
        <v>2009</v>
      </c>
      <c r="D98" s="1">
        <v>1</v>
      </c>
      <c r="E98" s="1">
        <v>8</v>
      </c>
      <c r="F98" s="1">
        <v>0</v>
      </c>
      <c r="G98" s="1">
        <v>0</v>
      </c>
      <c r="H98" s="1">
        <v>0</v>
      </c>
      <c r="I98" s="1">
        <v>0</v>
      </c>
      <c r="J98" s="6">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6">
        <v>9.2804314579134905E-5</v>
      </c>
      <c r="AP98" s="6">
        <v>7.8570523999512998E-5</v>
      </c>
      <c r="AQ98" s="6">
        <v>5.1729661763654501E-5</v>
      </c>
      <c r="AR98" s="6">
        <v>4.8801567701560799E-5</v>
      </c>
      <c r="AS98" s="6">
        <v>3.8553238484233102E-5</v>
      </c>
      <c r="AT98" s="1">
        <v>1.4933279716677599E-4</v>
      </c>
    </row>
    <row r="99" spans="1:46" ht="15.75" customHeight="1" x14ac:dyDescent="0.25">
      <c r="A99" s="1">
        <v>4</v>
      </c>
      <c r="B99" s="1">
        <v>1</v>
      </c>
      <c r="C99" s="1">
        <v>2010</v>
      </c>
      <c r="D99" s="1">
        <v>1</v>
      </c>
      <c r="E99" s="1">
        <v>6</v>
      </c>
      <c r="F99" s="1">
        <v>0</v>
      </c>
      <c r="G99" s="1">
        <v>0</v>
      </c>
      <c r="H99" s="1">
        <v>0</v>
      </c>
      <c r="I99" s="1">
        <v>0</v>
      </c>
      <c r="J99" s="6">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6">
        <v>8.6417803259441095E-5</v>
      </c>
      <c r="AN99" s="6">
        <v>6.1013949025415802E-5</v>
      </c>
      <c r="AO99" s="6">
        <v>5.0062727405469398E-5</v>
      </c>
      <c r="AP99" s="6">
        <v>3.3077159178613699E-5</v>
      </c>
      <c r="AQ99" s="6">
        <v>2.7042812571704401E-5</v>
      </c>
      <c r="AR99" s="6">
        <v>2.52548580215091E-5</v>
      </c>
      <c r="AS99" s="6">
        <v>1.7432556864404501E-5</v>
      </c>
      <c r="AT99" s="6">
        <v>7.6435057020850494E-5</v>
      </c>
    </row>
    <row r="100" spans="1:46" ht="15.75" customHeight="1" x14ac:dyDescent="0.25">
      <c r="A100" s="1">
        <v>4</v>
      </c>
      <c r="B100" s="1">
        <v>1</v>
      </c>
      <c r="C100" s="1">
        <v>2011</v>
      </c>
      <c r="D100" s="1">
        <v>1</v>
      </c>
      <c r="E100" s="1">
        <v>7</v>
      </c>
      <c r="F100" s="1">
        <v>0</v>
      </c>
      <c r="G100" s="1">
        <v>0</v>
      </c>
      <c r="H100" s="1">
        <v>0</v>
      </c>
      <c r="I100" s="1">
        <v>0</v>
      </c>
      <c r="J100" s="6">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6">
        <v>8.9087492309748194E-5</v>
      </c>
      <c r="AN100" s="6">
        <v>6.9236475001597801E-5</v>
      </c>
      <c r="AO100" s="6">
        <v>4.5189307693350498E-5</v>
      </c>
      <c r="AP100" s="6">
        <v>3.2197381731512201E-5</v>
      </c>
      <c r="AQ100" s="6">
        <v>3.4134066346941601E-5</v>
      </c>
      <c r="AR100" s="6">
        <v>2.2917434615913501E-5</v>
      </c>
      <c r="AS100" s="6">
        <v>2.2110482692817899E-5</v>
      </c>
      <c r="AT100" s="6">
        <v>7.68218230786959E-5</v>
      </c>
    </row>
    <row r="101" spans="1:46" ht="15.75" customHeight="1" x14ac:dyDescent="0.25">
      <c r="A101" s="1">
        <v>4</v>
      </c>
      <c r="B101" s="1">
        <v>1</v>
      </c>
      <c r="C101" s="1">
        <v>2012</v>
      </c>
      <c r="D101" s="1">
        <v>1</v>
      </c>
      <c r="E101" s="1">
        <v>12</v>
      </c>
      <c r="F101" s="1">
        <v>0</v>
      </c>
      <c r="G101" s="1">
        <v>0</v>
      </c>
      <c r="H101" s="1">
        <v>0</v>
      </c>
      <c r="I101" s="1">
        <v>0</v>
      </c>
      <c r="J101" s="6">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6">
        <v>9.7250961268490404E-5</v>
      </c>
      <c r="AL101" s="6">
        <v>7.8852130758235494E-5</v>
      </c>
      <c r="AM101" s="6">
        <v>5.2568087172157E-5</v>
      </c>
      <c r="AN101" s="6">
        <v>4.1772854985017598E-5</v>
      </c>
      <c r="AO101" s="6">
        <v>3.7173147357453901E-5</v>
      </c>
      <c r="AP101" s="6">
        <v>2.7598245765382399E-5</v>
      </c>
      <c r="AQ101" s="6">
        <v>1.6521398825534999E-5</v>
      </c>
      <c r="AR101" s="6">
        <v>1.6145912488591101E-5</v>
      </c>
      <c r="AS101" s="6">
        <v>7.3219835704075802E-6</v>
      </c>
      <c r="AT101" s="6">
        <v>3.2385696561418099E-5</v>
      </c>
    </row>
    <row r="102" spans="1:46" ht="15.75" customHeight="1" x14ac:dyDescent="0.25">
      <c r="A102" s="1">
        <v>4</v>
      </c>
      <c r="B102" s="1">
        <v>1</v>
      </c>
      <c r="C102" s="1">
        <v>2013</v>
      </c>
      <c r="D102" s="1">
        <v>1</v>
      </c>
      <c r="E102" s="1">
        <v>18</v>
      </c>
      <c r="F102" s="1">
        <v>0</v>
      </c>
      <c r="G102" s="1">
        <v>0</v>
      </c>
      <c r="H102" s="1">
        <v>0</v>
      </c>
      <c r="I102" s="1">
        <v>0</v>
      </c>
      <c r="J102" s="6">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6">
        <v>7.7790853809421695E-5</v>
      </c>
      <c r="AM102" s="6">
        <v>4.6514118772643903E-5</v>
      </c>
      <c r="AN102" s="6">
        <v>3.2791562659641703E-5</v>
      </c>
      <c r="AO102" s="6">
        <v>2.2989736864640099E-5</v>
      </c>
      <c r="AP102" s="6">
        <v>1.3722556113002201E-5</v>
      </c>
      <c r="AQ102" s="6">
        <v>1.3366126084093101E-5</v>
      </c>
      <c r="AR102" s="6">
        <v>5.7919879697736601E-6</v>
      </c>
      <c r="AS102" s="6">
        <v>5.5246654480918004E-6</v>
      </c>
      <c r="AT102" s="6">
        <v>2.13858017345489E-5</v>
      </c>
    </row>
    <row r="103" spans="1:46" ht="15.75" customHeight="1" x14ac:dyDescent="0.25">
      <c r="A103" s="1">
        <v>4</v>
      </c>
      <c r="B103" s="1">
        <v>1</v>
      </c>
      <c r="C103" s="1">
        <v>2014</v>
      </c>
      <c r="D103" s="1">
        <v>1</v>
      </c>
      <c r="E103" s="1">
        <v>11</v>
      </c>
      <c r="F103" s="1">
        <v>0</v>
      </c>
      <c r="G103" s="1">
        <v>0</v>
      </c>
      <c r="H103" s="1">
        <v>0</v>
      </c>
      <c r="I103" s="1">
        <v>0</v>
      </c>
      <c r="J103" s="6">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6">
        <v>9.7195293135688703E-5</v>
      </c>
      <c r="AM103" s="6">
        <v>5.77097052993152E-5</v>
      </c>
      <c r="AN103" s="6">
        <v>4.6775234821550197E-5</v>
      </c>
      <c r="AO103" s="6">
        <v>3.5081426116162698E-5</v>
      </c>
      <c r="AP103" s="6">
        <v>2.49062938660202E-5</v>
      </c>
      <c r="AQ103" s="6">
        <v>2.5513764448118299E-5</v>
      </c>
      <c r="AR103" s="6">
        <v>1.2301279287485601E-5</v>
      </c>
      <c r="AS103" s="6">
        <v>1.17697425281498E-5</v>
      </c>
      <c r="AT103" s="6">
        <v>4.4649087784206999E-5</v>
      </c>
    </row>
    <row r="104" spans="1:46" ht="15.75" customHeight="1" x14ac:dyDescent="0.25">
      <c r="A104" s="1">
        <v>4</v>
      </c>
      <c r="B104" s="1">
        <v>1</v>
      </c>
      <c r="C104" s="1">
        <v>2015</v>
      </c>
      <c r="D104" s="1">
        <v>1</v>
      </c>
      <c r="E104" s="1">
        <v>4</v>
      </c>
      <c r="F104" s="1">
        <v>0</v>
      </c>
      <c r="G104" s="1">
        <v>0</v>
      </c>
      <c r="H104" s="1">
        <v>0</v>
      </c>
      <c r="I104" s="1">
        <v>0</v>
      </c>
      <c r="J104" s="6">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6">
        <v>7.8044351025218604E-5</v>
      </c>
      <c r="AM104" s="6">
        <v>5.4584590746804703E-5</v>
      </c>
      <c r="AN104" s="6">
        <v>3.5073502990500001E-5</v>
      </c>
      <c r="AO104" s="6">
        <v>2.2917785618516599E-5</v>
      </c>
      <c r="AP104" s="6">
        <v>2.2298386007205301E-5</v>
      </c>
      <c r="AQ104" s="6">
        <v>1.0607218343705301E-5</v>
      </c>
      <c r="AR104" s="6">
        <v>1.05297933922914E-5</v>
      </c>
      <c r="AS104" s="6">
        <v>1.10717680521888E-5</v>
      </c>
      <c r="AT104" s="6">
        <v>3.1124830468390801E-5</v>
      </c>
    </row>
    <row r="105" spans="1:46" ht="15.75" customHeight="1" x14ac:dyDescent="0.25">
      <c r="A105" s="1">
        <v>4</v>
      </c>
      <c r="B105" s="1">
        <v>1</v>
      </c>
      <c r="C105" s="1">
        <v>2016</v>
      </c>
      <c r="D105" s="1">
        <v>1</v>
      </c>
      <c r="E105" s="1">
        <v>4</v>
      </c>
      <c r="F105" s="1">
        <v>0</v>
      </c>
      <c r="G105" s="1">
        <v>0</v>
      </c>
      <c r="H105" s="1">
        <v>0</v>
      </c>
      <c r="I105" s="1">
        <v>0</v>
      </c>
      <c r="J105" s="6">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6">
        <v>8.2182829105126494E-5</v>
      </c>
      <c r="AM105" s="6">
        <v>4.9619821346491498E-5</v>
      </c>
      <c r="AN105" s="6">
        <v>3.6550314831120898E-5</v>
      </c>
      <c r="AO105" s="6">
        <v>2.4957588712967402E-5</v>
      </c>
      <c r="AP105" s="6">
        <v>2.4957588712967402E-5</v>
      </c>
      <c r="AQ105" s="6">
        <v>1.1888082197596899E-5</v>
      </c>
      <c r="AR105" s="6">
        <v>1.25526333763446E-5</v>
      </c>
      <c r="AS105" s="6">
        <v>1.2478794356483701E-5</v>
      </c>
      <c r="AT105" s="6">
        <v>3.8543968367363903E-5</v>
      </c>
    </row>
    <row r="106" spans="1:46" ht="15.75" customHeight="1" x14ac:dyDescent="0.25">
      <c r="A106" s="1">
        <v>4</v>
      </c>
      <c r="B106" s="1">
        <v>1</v>
      </c>
      <c r="C106" s="1">
        <v>2017</v>
      </c>
      <c r="D106" s="1">
        <v>1</v>
      </c>
      <c r="E106" s="1">
        <v>5</v>
      </c>
      <c r="F106" s="1">
        <v>0</v>
      </c>
      <c r="G106" s="1">
        <v>0</v>
      </c>
      <c r="H106" s="1">
        <v>0</v>
      </c>
      <c r="I106" s="1">
        <v>0</v>
      </c>
      <c r="J106" s="6">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6">
        <v>7.7666098243287107E-5</v>
      </c>
      <c r="AM106" s="6">
        <v>4.2605402464889001E-5</v>
      </c>
      <c r="AN106" s="6">
        <v>3.0622633021638897E-5</v>
      </c>
      <c r="AO106" s="6">
        <v>1.9860330836497699E-5</v>
      </c>
      <c r="AP106" s="6">
        <v>9.9856412027083507E-6</v>
      </c>
      <c r="AQ106" s="6">
        <v>9.5973107114919101E-6</v>
      </c>
      <c r="AR106" s="6">
        <v>9.9301654182488599E-6</v>
      </c>
      <c r="AS106" s="6">
        <v>1.03739716939248E-5</v>
      </c>
      <c r="AT106" s="6">
        <v>2.1413652801363499E-5</v>
      </c>
    </row>
    <row r="107" spans="1:46" ht="15.75" customHeight="1" x14ac:dyDescent="0.25">
      <c r="A107" s="1">
        <v>4</v>
      </c>
      <c r="B107" s="1">
        <v>1</v>
      </c>
      <c r="C107" s="1">
        <v>2018</v>
      </c>
      <c r="D107" s="1">
        <v>1</v>
      </c>
      <c r="E107" s="1">
        <v>8</v>
      </c>
      <c r="F107" s="1">
        <v>0</v>
      </c>
      <c r="G107" s="1">
        <v>0</v>
      </c>
      <c r="H107" s="1">
        <v>0</v>
      </c>
      <c r="I107" s="1">
        <v>0</v>
      </c>
      <c r="J107" s="6">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6">
        <v>6.1381955711738495E-5</v>
      </c>
      <c r="AL107" s="6">
        <v>2.9608924149412302E-5</v>
      </c>
      <c r="AM107" s="6">
        <v>2.0067177828837599E-5</v>
      </c>
      <c r="AN107" s="6">
        <v>1.2984644477483101E-5</v>
      </c>
      <c r="AO107" s="6">
        <v>8.4596926141178106E-6</v>
      </c>
      <c r="AP107" s="6">
        <v>4.52495186336534E-6</v>
      </c>
      <c r="AQ107" s="6">
        <v>3.73800371321484E-6</v>
      </c>
      <c r="AR107" s="6">
        <v>3.44289815690841E-6</v>
      </c>
      <c r="AS107" s="6">
        <v>2.45921296922029E-6</v>
      </c>
      <c r="AT107" s="6">
        <v>6.4923222387415698E-6</v>
      </c>
    </row>
    <row r="108" spans="1:46" ht="15.75" customHeight="1" x14ac:dyDescent="0.25">
      <c r="A108" s="1">
        <v>4</v>
      </c>
      <c r="B108" s="1">
        <v>1</v>
      </c>
      <c r="C108" s="1">
        <v>2019</v>
      </c>
      <c r="D108" s="1">
        <v>1</v>
      </c>
      <c r="E108" s="1">
        <v>15</v>
      </c>
      <c r="F108" s="1">
        <v>0</v>
      </c>
      <c r="G108" s="1">
        <v>0</v>
      </c>
      <c r="H108" s="1">
        <v>0</v>
      </c>
      <c r="I108" s="1">
        <v>0</v>
      </c>
      <c r="J108" s="6">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6">
        <v>6.7836443875972794E-5</v>
      </c>
      <c r="AM108" s="6">
        <v>3.2443516636334802E-5</v>
      </c>
      <c r="AN108" s="6">
        <v>2.58073427789027E-5</v>
      </c>
      <c r="AO108" s="6">
        <v>1.4992837233457801E-5</v>
      </c>
      <c r="AP108" s="6">
        <v>8.6024475929675707E-6</v>
      </c>
      <c r="AQ108" s="6">
        <v>8.4795554844966095E-6</v>
      </c>
      <c r="AR108" s="6">
        <v>8.6024475929675707E-6</v>
      </c>
      <c r="AS108" s="6">
        <v>9.3398002437933599E-6</v>
      </c>
      <c r="AT108" s="6">
        <v>1.9416953138412501E-5</v>
      </c>
    </row>
    <row r="109" spans="1:46" ht="15.75" customHeight="1" x14ac:dyDescent="0.25">
      <c r="A109" s="1">
        <v>4</v>
      </c>
      <c r="B109" s="1">
        <v>1</v>
      </c>
      <c r="C109" s="1">
        <v>2020</v>
      </c>
      <c r="D109" s="1">
        <v>1</v>
      </c>
      <c r="E109" s="1">
        <v>16</v>
      </c>
      <c r="F109" s="1">
        <v>0</v>
      </c>
      <c r="G109" s="1">
        <v>0</v>
      </c>
      <c r="H109" s="1">
        <v>0</v>
      </c>
      <c r="I109" s="1">
        <v>0</v>
      </c>
      <c r="J109" s="6">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6">
        <v>7.4449475212628896E-5</v>
      </c>
      <c r="AM109" s="6">
        <v>3.7224737606314401E-5</v>
      </c>
      <c r="AN109" s="6">
        <v>2.09389149035519E-5</v>
      </c>
      <c r="AO109" s="6">
        <v>1.0702112061815401E-5</v>
      </c>
      <c r="AP109" s="6">
        <v>6.9796383011839603E-6</v>
      </c>
      <c r="AQ109" s="6">
        <v>6.9796383011839603E-6</v>
      </c>
      <c r="AR109" s="6">
        <v>7.9102567413418201E-6</v>
      </c>
      <c r="AS109" s="1">
        <v>0</v>
      </c>
      <c r="AT109" s="6">
        <v>2.0008296463394001E-5</v>
      </c>
    </row>
    <row r="110" spans="1:46" ht="15.75" customHeight="1" x14ac:dyDescent="0.25">
      <c r="A110" s="1">
        <v>4</v>
      </c>
      <c r="B110" s="1">
        <v>1</v>
      </c>
      <c r="C110" s="1">
        <v>2021</v>
      </c>
      <c r="D110" s="1">
        <v>1</v>
      </c>
      <c r="E110" s="1">
        <v>10</v>
      </c>
      <c r="F110" s="1">
        <v>0</v>
      </c>
      <c r="G110" s="1">
        <v>0</v>
      </c>
      <c r="H110" s="1">
        <v>0</v>
      </c>
      <c r="I110" s="1">
        <v>0</v>
      </c>
      <c r="J110" s="6">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6">
        <v>9.4018144844485398E-5</v>
      </c>
      <c r="AM110" s="6">
        <v>4.6680337650059198E-5</v>
      </c>
      <c r="AN110" s="6">
        <v>2.80082025900355E-5</v>
      </c>
      <c r="AO110" s="6">
        <v>1.9198110695517299E-5</v>
      </c>
      <c r="AP110" s="6">
        <v>9.9935370743788708E-6</v>
      </c>
      <c r="AQ110" s="6">
        <v>9.9935370743788708E-6</v>
      </c>
      <c r="AR110" s="6">
        <v>1.0125030983252301E-5</v>
      </c>
      <c r="AS110" s="1">
        <v>0</v>
      </c>
      <c r="AT110" s="6">
        <v>1.98555802398843E-5</v>
      </c>
    </row>
    <row r="111" spans="1:46" ht="15.75" customHeight="1" x14ac:dyDescent="0.25">
      <c r="A111" s="1">
        <v>4</v>
      </c>
      <c r="B111" s="1">
        <v>1</v>
      </c>
      <c r="C111" s="1">
        <v>2022</v>
      </c>
      <c r="D111" s="1">
        <v>1</v>
      </c>
      <c r="E111" s="1">
        <v>7</v>
      </c>
      <c r="F111" s="1">
        <v>0</v>
      </c>
      <c r="G111" s="1">
        <v>0</v>
      </c>
      <c r="H111" s="1">
        <v>0</v>
      </c>
      <c r="I111" s="1">
        <v>0</v>
      </c>
      <c r="J111" s="6">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6">
        <v>9.6711137233947096E-5</v>
      </c>
      <c r="AM111" s="6">
        <v>4.27328280801162E-5</v>
      </c>
      <c r="AN111" s="6">
        <v>1.8836180798472301E-5</v>
      </c>
      <c r="AO111" s="6">
        <v>1.38694266575816E-5</v>
      </c>
      <c r="AP111" s="6">
        <v>7.5906997247574798E-6</v>
      </c>
      <c r="AQ111" s="6">
        <v>8.3403984630051295E-6</v>
      </c>
      <c r="AR111" s="6">
        <v>8.6215354898479992E-6</v>
      </c>
      <c r="AS111" s="1">
        <v>0</v>
      </c>
      <c r="AT111" s="6">
        <v>8.1529737784432202E-6</v>
      </c>
    </row>
    <row r="112" spans="1:46" ht="15.75" customHeight="1" x14ac:dyDescent="0.25">
      <c r="A112" s="1">
        <v>4</v>
      </c>
      <c r="B112" s="1">
        <v>1</v>
      </c>
      <c r="C112" s="1">
        <v>2023</v>
      </c>
      <c r="D112" s="1">
        <v>1</v>
      </c>
      <c r="E112" s="1">
        <v>9</v>
      </c>
      <c r="F112" s="1">
        <v>0</v>
      </c>
      <c r="G112" s="1">
        <v>0</v>
      </c>
      <c r="H112" s="1">
        <v>0</v>
      </c>
      <c r="I112" s="1">
        <v>0</v>
      </c>
      <c r="J112" s="6">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6">
        <v>7.5173285343775796E-5</v>
      </c>
      <c r="AN112" s="6">
        <v>3.2217122290189599E-5</v>
      </c>
      <c r="AO112" s="6">
        <v>2.1114046246677899E-5</v>
      </c>
      <c r="AP112" s="6">
        <v>9.9199613831374795E-6</v>
      </c>
      <c r="AQ112" s="6">
        <v>9.6469349230511308E-6</v>
      </c>
      <c r="AR112" s="6">
        <v>1.0466014303310201E-5</v>
      </c>
      <c r="AS112" s="1">
        <v>0</v>
      </c>
      <c r="AT112" s="6">
        <v>1.0101979023195099E-5</v>
      </c>
    </row>
    <row r="113" spans="1:46" ht="15.75" customHeight="1" x14ac:dyDescent="0.25">
      <c r="A113" s="1">
        <v>4</v>
      </c>
      <c r="B113" s="1">
        <v>1</v>
      </c>
      <c r="C113" s="1">
        <v>2024</v>
      </c>
      <c r="D113" s="1">
        <v>1</v>
      </c>
      <c r="E113" s="1">
        <v>10</v>
      </c>
      <c r="F113" s="1">
        <v>0</v>
      </c>
      <c r="G113" s="1">
        <v>0</v>
      </c>
      <c r="H113" s="1">
        <v>0</v>
      </c>
      <c r="I113" s="1">
        <v>0</v>
      </c>
      <c r="J113" s="6">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6">
        <v>4.9019311380533397E-5</v>
      </c>
      <c r="AO113" s="6">
        <v>2.4668809298645099E-5</v>
      </c>
      <c r="AP113" s="6">
        <v>1.2095674236755E-5</v>
      </c>
      <c r="AQ113" s="6">
        <v>1.16977902158091E-5</v>
      </c>
      <c r="AR113" s="6">
        <v>1.0902022173917299E-5</v>
      </c>
      <c r="AS113" s="1">
        <v>0</v>
      </c>
      <c r="AT113" s="6">
        <v>9.70837011107967E-6</v>
      </c>
    </row>
    <row r="114" spans="1:46" ht="15.75" customHeight="1" x14ac:dyDescent="0.25">
      <c r="A114" s="1">
        <v>4</v>
      </c>
      <c r="B114" s="1">
        <v>2</v>
      </c>
      <c r="C114" s="1">
        <v>1990</v>
      </c>
      <c r="D114" s="1">
        <v>1</v>
      </c>
      <c r="E114" s="1">
        <v>12</v>
      </c>
      <c r="F114" s="1">
        <v>0</v>
      </c>
      <c r="G114" s="1">
        <v>0</v>
      </c>
      <c r="H114" s="1">
        <v>0</v>
      </c>
      <c r="I114" s="1">
        <v>0</v>
      </c>
      <c r="J114" s="6">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v>2</v>
      </c>
      <c r="C115" s="1">
        <v>1991</v>
      </c>
      <c r="D115" s="1">
        <v>1</v>
      </c>
      <c r="E115" s="1">
        <v>18</v>
      </c>
      <c r="F115" s="1">
        <v>0</v>
      </c>
      <c r="G115" s="1">
        <v>0</v>
      </c>
      <c r="H115" s="1">
        <v>0</v>
      </c>
      <c r="I115" s="1">
        <v>0</v>
      </c>
      <c r="J115" s="6">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v>2</v>
      </c>
      <c r="C116" s="1">
        <v>1992</v>
      </c>
      <c r="D116" s="1">
        <v>1</v>
      </c>
      <c r="E116" s="1">
        <v>7</v>
      </c>
      <c r="F116" s="1">
        <v>0</v>
      </c>
      <c r="G116" s="1">
        <v>0</v>
      </c>
      <c r="H116" s="1">
        <v>0</v>
      </c>
      <c r="I116" s="1">
        <v>0</v>
      </c>
      <c r="J116" s="6">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v>2</v>
      </c>
      <c r="C117" s="1">
        <v>1993</v>
      </c>
      <c r="D117" s="1">
        <v>1</v>
      </c>
      <c r="E117" s="1">
        <v>8</v>
      </c>
      <c r="F117" s="1">
        <v>0</v>
      </c>
      <c r="G117" s="1">
        <v>0</v>
      </c>
      <c r="H117" s="1">
        <v>0</v>
      </c>
      <c r="I117" s="1">
        <v>0</v>
      </c>
      <c r="J117" s="6">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v>2</v>
      </c>
      <c r="C118" s="1">
        <v>1994</v>
      </c>
      <c r="D118" s="1">
        <v>1</v>
      </c>
      <c r="E118" s="1">
        <v>5</v>
      </c>
      <c r="F118" s="1">
        <v>0</v>
      </c>
      <c r="G118" s="1">
        <v>0</v>
      </c>
      <c r="H118" s="1">
        <v>0</v>
      </c>
      <c r="I118" s="1">
        <v>0</v>
      </c>
      <c r="J118" s="6">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v>2</v>
      </c>
      <c r="C119" s="1">
        <v>1995</v>
      </c>
      <c r="D119" s="1">
        <v>1</v>
      </c>
      <c r="E119" s="1">
        <v>9</v>
      </c>
      <c r="F119" s="1">
        <v>0</v>
      </c>
      <c r="G119" s="1">
        <v>0</v>
      </c>
      <c r="H119" s="1">
        <v>0</v>
      </c>
      <c r="I119" s="1">
        <v>0</v>
      </c>
      <c r="J119" s="6">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v>2</v>
      </c>
      <c r="C120" s="1">
        <v>1996</v>
      </c>
      <c r="D120" s="1">
        <v>1</v>
      </c>
      <c r="E120" s="1">
        <v>19</v>
      </c>
      <c r="F120" s="1">
        <v>0</v>
      </c>
      <c r="G120" s="1">
        <v>0</v>
      </c>
      <c r="H120" s="1">
        <v>0</v>
      </c>
      <c r="I120" s="1">
        <v>0</v>
      </c>
      <c r="J120" s="6">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v>2</v>
      </c>
      <c r="C121" s="1">
        <v>1997</v>
      </c>
      <c r="D121" s="1">
        <v>1</v>
      </c>
      <c r="E121" s="1">
        <v>20</v>
      </c>
      <c r="F121" s="1">
        <v>0</v>
      </c>
      <c r="G121" s="1">
        <v>0</v>
      </c>
      <c r="H121" s="1">
        <v>0</v>
      </c>
      <c r="I121" s="1">
        <v>0</v>
      </c>
      <c r="J121" s="6">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v>2</v>
      </c>
      <c r="C122" s="1">
        <v>1998</v>
      </c>
      <c r="D122" s="1">
        <v>1</v>
      </c>
      <c r="E122" s="1">
        <v>6</v>
      </c>
      <c r="F122" s="1">
        <v>0</v>
      </c>
      <c r="G122" s="1">
        <v>0</v>
      </c>
      <c r="H122" s="1">
        <v>0</v>
      </c>
      <c r="I122" s="1">
        <v>0</v>
      </c>
      <c r="J122" s="6">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v>2</v>
      </c>
      <c r="C123" s="1">
        <v>1999</v>
      </c>
      <c r="D123" s="1">
        <v>1</v>
      </c>
      <c r="E123" s="1">
        <v>9</v>
      </c>
      <c r="F123" s="1">
        <v>0</v>
      </c>
      <c r="G123" s="1">
        <v>0</v>
      </c>
      <c r="H123" s="1">
        <v>0</v>
      </c>
      <c r="I123" s="1">
        <v>0</v>
      </c>
      <c r="J123" s="6">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v>2</v>
      </c>
      <c r="C124" s="1">
        <v>2000</v>
      </c>
      <c r="D124" s="1">
        <v>1</v>
      </c>
      <c r="E124" s="1">
        <v>8</v>
      </c>
      <c r="F124" s="1">
        <v>0</v>
      </c>
      <c r="G124" s="1">
        <v>0</v>
      </c>
      <c r="H124" s="1">
        <v>0</v>
      </c>
      <c r="I124" s="1">
        <v>0</v>
      </c>
      <c r="J124" s="6">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v>2</v>
      </c>
      <c r="C125" s="1">
        <v>2001</v>
      </c>
      <c r="D125" s="1">
        <v>1</v>
      </c>
      <c r="E125" s="1">
        <v>9</v>
      </c>
      <c r="F125" s="1">
        <v>0</v>
      </c>
      <c r="G125" s="1">
        <v>0</v>
      </c>
      <c r="H125" s="1">
        <v>0</v>
      </c>
      <c r="I125" s="1">
        <v>0</v>
      </c>
      <c r="J125" s="6">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v>2</v>
      </c>
      <c r="C126" s="1">
        <v>2002</v>
      </c>
      <c r="D126" s="1">
        <v>1</v>
      </c>
      <c r="E126" s="1">
        <v>20</v>
      </c>
      <c r="F126" s="1">
        <v>0</v>
      </c>
      <c r="G126" s="1">
        <v>0</v>
      </c>
      <c r="H126" s="1">
        <v>0</v>
      </c>
      <c r="I126" s="1">
        <v>0</v>
      </c>
      <c r="J126" s="6">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v>2</v>
      </c>
      <c r="C127" s="1">
        <v>2003</v>
      </c>
      <c r="D127" s="1">
        <v>1</v>
      </c>
      <c r="E127" s="1">
        <v>21</v>
      </c>
      <c r="F127" s="1">
        <v>0</v>
      </c>
      <c r="G127" s="1">
        <v>0</v>
      </c>
      <c r="H127" s="1">
        <v>0</v>
      </c>
      <c r="I127" s="1">
        <v>0</v>
      </c>
      <c r="J127" s="6">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v>2</v>
      </c>
      <c r="C128" s="1">
        <v>2004</v>
      </c>
      <c r="D128" s="1">
        <v>1</v>
      </c>
      <c r="E128" s="1">
        <v>11</v>
      </c>
      <c r="F128" s="1">
        <v>0</v>
      </c>
      <c r="G128" s="1">
        <v>0</v>
      </c>
      <c r="H128" s="1">
        <v>0</v>
      </c>
      <c r="I128" s="1">
        <v>0</v>
      </c>
      <c r="J128" s="6">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v>2</v>
      </c>
      <c r="C129" s="1">
        <v>2005</v>
      </c>
      <c r="D129" s="1">
        <v>1</v>
      </c>
      <c r="E129" s="1">
        <v>18</v>
      </c>
      <c r="F129" s="1">
        <v>0</v>
      </c>
      <c r="G129" s="1">
        <v>0</v>
      </c>
      <c r="H129" s="1">
        <v>0</v>
      </c>
      <c r="I129" s="1">
        <v>0</v>
      </c>
      <c r="J129" s="6">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v>2</v>
      </c>
      <c r="C130" s="1">
        <v>2006</v>
      </c>
      <c r="D130" s="1">
        <v>1</v>
      </c>
      <c r="E130" s="1">
        <v>13</v>
      </c>
      <c r="F130" s="1">
        <v>0</v>
      </c>
      <c r="G130" s="1">
        <v>0</v>
      </c>
      <c r="H130" s="1">
        <v>0</v>
      </c>
      <c r="I130" s="1">
        <v>0</v>
      </c>
      <c r="J130" s="6">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v>2</v>
      </c>
      <c r="C131" s="1">
        <v>2007</v>
      </c>
      <c r="D131" s="1">
        <v>1</v>
      </c>
      <c r="E131" s="1">
        <v>20</v>
      </c>
      <c r="F131" s="1">
        <v>0</v>
      </c>
      <c r="G131" s="1">
        <v>0</v>
      </c>
      <c r="H131" s="1">
        <v>0</v>
      </c>
      <c r="I131" s="1">
        <v>0</v>
      </c>
      <c r="J131" s="6">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v>2</v>
      </c>
      <c r="C132" s="1">
        <v>2008</v>
      </c>
      <c r="D132" s="1">
        <v>1</v>
      </c>
      <c r="E132" s="1">
        <v>22</v>
      </c>
      <c r="F132" s="1">
        <v>0</v>
      </c>
      <c r="G132" s="1">
        <v>0</v>
      </c>
      <c r="H132" s="1">
        <v>0</v>
      </c>
      <c r="I132" s="1">
        <v>0</v>
      </c>
      <c r="J132" s="6">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v>2</v>
      </c>
      <c r="C133" s="1">
        <v>2009</v>
      </c>
      <c r="D133" s="1">
        <v>1</v>
      </c>
      <c r="E133" s="1">
        <v>17</v>
      </c>
      <c r="F133" s="1">
        <v>0</v>
      </c>
      <c r="G133" s="1">
        <v>0</v>
      </c>
      <c r="H133" s="1">
        <v>0</v>
      </c>
      <c r="I133" s="1">
        <v>0</v>
      </c>
      <c r="J133" s="6">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v>2</v>
      </c>
      <c r="C134" s="1">
        <v>2010</v>
      </c>
      <c r="D134" s="1">
        <v>1</v>
      </c>
      <c r="E134" s="1">
        <v>10</v>
      </c>
      <c r="F134" s="1">
        <v>0</v>
      </c>
      <c r="G134" s="1">
        <v>0</v>
      </c>
      <c r="H134" s="1">
        <v>0</v>
      </c>
      <c r="I134" s="1">
        <v>0</v>
      </c>
      <c r="J134" s="6">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v>2</v>
      </c>
      <c r="C135" s="1">
        <v>2011</v>
      </c>
      <c r="D135" s="1">
        <v>1</v>
      </c>
      <c r="E135" s="1">
        <v>12</v>
      </c>
      <c r="F135" s="1">
        <v>0</v>
      </c>
      <c r="G135" s="1">
        <v>0</v>
      </c>
      <c r="H135" s="1">
        <v>0</v>
      </c>
      <c r="I135" s="1">
        <v>0</v>
      </c>
      <c r="J135" s="6">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v>2</v>
      </c>
      <c r="C136" s="1">
        <v>2012</v>
      </c>
      <c r="D136" s="1">
        <v>1</v>
      </c>
      <c r="E136" s="1">
        <v>11</v>
      </c>
      <c r="F136" s="1">
        <v>0</v>
      </c>
      <c r="G136" s="1">
        <v>0</v>
      </c>
      <c r="H136" s="1">
        <v>0</v>
      </c>
      <c r="I136" s="1">
        <v>0</v>
      </c>
      <c r="J136" s="6">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v>2</v>
      </c>
      <c r="C137" s="1">
        <v>2013</v>
      </c>
      <c r="D137" s="1">
        <v>1</v>
      </c>
      <c r="E137" s="1">
        <v>19</v>
      </c>
      <c r="F137" s="1">
        <v>0</v>
      </c>
      <c r="G137" s="1">
        <v>0</v>
      </c>
      <c r="H137" s="1">
        <v>0</v>
      </c>
      <c r="I137" s="1">
        <v>0</v>
      </c>
      <c r="J137" s="6">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v>2</v>
      </c>
      <c r="C138" s="1">
        <v>2014</v>
      </c>
      <c r="D138" s="1">
        <v>1</v>
      </c>
      <c r="E138" s="1">
        <v>29</v>
      </c>
      <c r="F138" s="1">
        <v>0</v>
      </c>
      <c r="G138" s="1">
        <v>0</v>
      </c>
      <c r="H138" s="1">
        <v>0</v>
      </c>
      <c r="I138" s="1">
        <v>0</v>
      </c>
      <c r="J138" s="6">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v>2</v>
      </c>
      <c r="C139" s="1">
        <v>2015</v>
      </c>
      <c r="D139" s="1">
        <v>1</v>
      </c>
      <c r="E139" s="1">
        <v>27</v>
      </c>
      <c r="F139" s="1">
        <v>0</v>
      </c>
      <c r="G139" s="1">
        <v>0</v>
      </c>
      <c r="H139" s="1">
        <v>0</v>
      </c>
      <c r="I139" s="1">
        <v>0</v>
      </c>
      <c r="J139" s="6">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v>2</v>
      </c>
      <c r="C140" s="1">
        <v>2016</v>
      </c>
      <c r="D140" s="1">
        <v>1</v>
      </c>
      <c r="E140" s="1">
        <v>6</v>
      </c>
      <c r="F140" s="1">
        <v>0</v>
      </c>
      <c r="G140" s="1">
        <v>0</v>
      </c>
      <c r="H140" s="1">
        <v>0</v>
      </c>
      <c r="I140" s="1">
        <v>0</v>
      </c>
      <c r="J140" s="6">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v>2</v>
      </c>
      <c r="C141" s="1">
        <v>2017</v>
      </c>
      <c r="D141" s="1">
        <v>1</v>
      </c>
      <c r="E141" s="1">
        <v>17</v>
      </c>
      <c r="F141" s="1">
        <v>0</v>
      </c>
      <c r="G141" s="1">
        <v>0</v>
      </c>
      <c r="H141" s="1">
        <v>0</v>
      </c>
      <c r="I141" s="1">
        <v>0</v>
      </c>
      <c r="J141" s="6">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v>2</v>
      </c>
      <c r="C142" s="1">
        <v>2018</v>
      </c>
      <c r="D142" s="1">
        <v>1</v>
      </c>
      <c r="E142" s="1">
        <v>11</v>
      </c>
      <c r="F142" s="1">
        <v>0</v>
      </c>
      <c r="G142" s="1">
        <v>0</v>
      </c>
      <c r="H142" s="1">
        <v>0</v>
      </c>
      <c r="I142" s="1">
        <v>0</v>
      </c>
      <c r="J142" s="6">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v>2</v>
      </c>
      <c r="C143" s="1">
        <v>2019</v>
      </c>
      <c r="D143" s="1">
        <v>1</v>
      </c>
      <c r="E143" s="1">
        <v>25</v>
      </c>
      <c r="F143" s="1">
        <v>0</v>
      </c>
      <c r="G143" s="1">
        <v>0</v>
      </c>
      <c r="H143" s="1">
        <v>0</v>
      </c>
      <c r="I143" s="1">
        <v>0</v>
      </c>
      <c r="J143" s="6">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v>2</v>
      </c>
      <c r="C144" s="1">
        <v>2020</v>
      </c>
      <c r="D144" s="1">
        <v>1</v>
      </c>
      <c r="E144" s="1">
        <v>24</v>
      </c>
      <c r="F144" s="1">
        <v>0</v>
      </c>
      <c r="G144" s="1">
        <v>0</v>
      </c>
      <c r="H144" s="1">
        <v>0</v>
      </c>
      <c r="I144" s="1">
        <v>0</v>
      </c>
      <c r="J144" s="6">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v>2</v>
      </c>
      <c r="C145" s="1">
        <v>2021</v>
      </c>
      <c r="D145" s="1">
        <v>1</v>
      </c>
      <c r="E145" s="1">
        <v>29</v>
      </c>
      <c r="F145" s="1">
        <v>0</v>
      </c>
      <c r="G145" s="1">
        <v>0</v>
      </c>
      <c r="H145" s="1">
        <v>0</v>
      </c>
      <c r="I145" s="1">
        <v>0</v>
      </c>
      <c r="J145" s="6">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v>2</v>
      </c>
      <c r="C146" s="1">
        <v>2022</v>
      </c>
      <c r="D146" s="1">
        <v>1</v>
      </c>
      <c r="E146" s="1">
        <v>11</v>
      </c>
      <c r="F146" s="1">
        <v>0</v>
      </c>
      <c r="G146" s="1">
        <v>0</v>
      </c>
      <c r="H146" s="1">
        <v>0</v>
      </c>
      <c r="I146" s="1">
        <v>0</v>
      </c>
      <c r="J146" s="6">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v>2</v>
      </c>
      <c r="C147" s="1">
        <v>2023</v>
      </c>
      <c r="D147" s="1">
        <v>1</v>
      </c>
      <c r="E147" s="1">
        <v>9</v>
      </c>
      <c r="F147" s="1">
        <v>0</v>
      </c>
      <c r="G147" s="1">
        <v>0</v>
      </c>
      <c r="H147" s="1">
        <v>0</v>
      </c>
      <c r="I147" s="1">
        <v>0</v>
      </c>
      <c r="J147" s="6">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v>2</v>
      </c>
      <c r="C148" s="1">
        <v>2024</v>
      </c>
      <c r="D148" s="1">
        <v>1</v>
      </c>
      <c r="E148" s="1">
        <v>11</v>
      </c>
      <c r="F148" s="1">
        <v>0</v>
      </c>
      <c r="G148" s="1">
        <v>0</v>
      </c>
      <c r="H148" s="1">
        <v>0</v>
      </c>
      <c r="I148" s="1">
        <v>0</v>
      </c>
      <c r="J148" s="6">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000"/>
  <sheetViews>
    <sheetView workbookViewId="0"/>
  </sheetViews>
  <sheetFormatPr defaultColWidth="14.42578125" defaultRowHeight="15" customHeight="1" x14ac:dyDescent="0.25"/>
  <cols>
    <col min="1" max="26" width="11.42578125" customWidth="1"/>
  </cols>
  <sheetData>
    <row r="1" spans="1:20" x14ac:dyDescent="0.25">
      <c r="A1" s="9" t="s">
        <v>263</v>
      </c>
      <c r="B1" s="10"/>
      <c r="C1" s="10"/>
      <c r="D1" s="10"/>
      <c r="E1" s="10"/>
      <c r="F1" s="10"/>
      <c r="G1" s="10"/>
      <c r="H1" s="10"/>
      <c r="I1" s="10"/>
      <c r="J1" s="10"/>
      <c r="K1" s="10"/>
      <c r="L1" s="10"/>
      <c r="M1" s="10"/>
      <c r="N1" s="10"/>
      <c r="O1" s="10"/>
      <c r="P1" s="10"/>
      <c r="Q1" s="10"/>
      <c r="R1" s="10"/>
      <c r="S1" s="10"/>
      <c r="T1" s="10"/>
    </row>
    <row r="2" spans="1:20" x14ac:dyDescent="0.25">
      <c r="A2" s="1" t="s">
        <v>107</v>
      </c>
      <c r="B2" s="1" t="s">
        <v>133</v>
      </c>
      <c r="C2" s="1" t="s">
        <v>42</v>
      </c>
      <c r="D2" s="1" t="s">
        <v>264</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U1000"/>
  <sheetViews>
    <sheetView workbookViewId="0"/>
  </sheetViews>
  <sheetFormatPr defaultColWidth="14.42578125" defaultRowHeight="15" customHeight="1" x14ac:dyDescent="0.25"/>
  <cols>
    <col min="1" max="1" width="32" customWidth="1"/>
    <col min="2" max="26" width="11.42578125" customWidth="1"/>
  </cols>
  <sheetData>
    <row r="1" spans="1:21" ht="14.25" customHeight="1" x14ac:dyDescent="0.25">
      <c r="A1" s="9" t="s">
        <v>265</v>
      </c>
      <c r="B1" s="10"/>
      <c r="C1" s="10"/>
      <c r="D1" s="10"/>
      <c r="E1" s="10"/>
      <c r="F1" s="10"/>
      <c r="G1" s="10"/>
      <c r="H1" s="10"/>
      <c r="I1" s="10"/>
      <c r="J1" s="10"/>
      <c r="K1" s="10"/>
      <c r="L1" s="10"/>
      <c r="M1" s="10"/>
      <c r="N1" s="10"/>
      <c r="O1" s="10"/>
      <c r="P1" s="10"/>
      <c r="Q1" s="10"/>
      <c r="R1" s="10"/>
      <c r="S1" s="10"/>
      <c r="T1" s="10"/>
      <c r="U1" s="10"/>
    </row>
    <row r="2" spans="1:21" x14ac:dyDescent="0.25">
      <c r="A2" s="1" t="s">
        <v>49</v>
      </c>
      <c r="B2" s="1" t="s">
        <v>266</v>
      </c>
    </row>
    <row r="3" spans="1:21" x14ac:dyDescent="0.25">
      <c r="A3" s="1" t="s">
        <v>267</v>
      </c>
      <c r="B3" s="1">
        <v>1</v>
      </c>
    </row>
    <row r="4" spans="1:21" x14ac:dyDescent="0.25">
      <c r="A4" s="1" t="s">
        <v>268</v>
      </c>
      <c r="B4" s="1">
        <v>2</v>
      </c>
    </row>
    <row r="5" spans="1:21" x14ac:dyDescent="0.25">
      <c r="A5" s="1" t="s">
        <v>269</v>
      </c>
      <c r="B5" s="1">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defaultColWidth="14.42578125" defaultRowHeight="15" customHeight="1" x14ac:dyDescent="0.25"/>
  <cols>
    <col min="1" max="1" width="28.5703125" customWidth="1"/>
    <col min="2" max="7" width="11.5703125" customWidth="1"/>
    <col min="8" max="43" width="11.42578125" customWidth="1"/>
  </cols>
  <sheetData>
    <row r="1" spans="1:43" ht="14.25" customHeight="1" x14ac:dyDescent="0.25">
      <c r="A1" s="9" t="s">
        <v>270</v>
      </c>
      <c r="B1" s="10"/>
      <c r="C1" s="10"/>
      <c r="D1" s="10"/>
      <c r="E1" s="10"/>
      <c r="F1" s="10"/>
      <c r="G1" s="10"/>
      <c r="H1" s="10"/>
      <c r="I1" s="10"/>
      <c r="J1" s="10"/>
      <c r="K1" s="10"/>
      <c r="L1" s="10"/>
      <c r="M1" s="10"/>
      <c r="N1" s="10"/>
      <c r="O1" s="10"/>
      <c r="P1" s="10"/>
      <c r="Q1" s="10"/>
      <c r="R1" s="10"/>
      <c r="S1" s="10"/>
      <c r="T1" s="10"/>
      <c r="U1" s="10"/>
    </row>
    <row r="2" spans="1:43" x14ac:dyDescent="0.25">
      <c r="A2" s="1" t="s">
        <v>49</v>
      </c>
      <c r="B2" s="1" t="s">
        <v>266</v>
      </c>
      <c r="C2" s="1" t="s">
        <v>271</v>
      </c>
      <c r="D2" s="1" t="s">
        <v>272</v>
      </c>
      <c r="E2" s="1" t="s">
        <v>273</v>
      </c>
      <c r="F2" s="1" t="s">
        <v>274</v>
      </c>
      <c r="G2" s="1" t="s">
        <v>275</v>
      </c>
      <c r="H2" s="1" t="s">
        <v>276</v>
      </c>
      <c r="I2" s="1" t="s">
        <v>277</v>
      </c>
      <c r="J2" s="1" t="s">
        <v>278</v>
      </c>
      <c r="K2" s="1" t="s">
        <v>279</v>
      </c>
      <c r="L2" s="1" t="s">
        <v>280</v>
      </c>
      <c r="M2" s="1" t="s">
        <v>281</v>
      </c>
      <c r="N2" s="1" t="s">
        <v>282</v>
      </c>
      <c r="O2" s="1" t="s">
        <v>283</v>
      </c>
      <c r="P2" s="1" t="s">
        <v>284</v>
      </c>
      <c r="Q2" s="1" t="s">
        <v>285</v>
      </c>
      <c r="R2" s="1" t="s">
        <v>286</v>
      </c>
      <c r="S2" s="1" t="s">
        <v>287</v>
      </c>
      <c r="T2" s="1" t="s">
        <v>288</v>
      </c>
      <c r="U2" s="1" t="s">
        <v>289</v>
      </c>
      <c r="V2" s="1" t="s">
        <v>290</v>
      </c>
      <c r="W2" s="1" t="s">
        <v>291</v>
      </c>
      <c r="X2" s="1" t="s">
        <v>292</v>
      </c>
      <c r="Y2" s="1" t="s">
        <v>293</v>
      </c>
      <c r="Z2" s="1" t="s">
        <v>294</v>
      </c>
      <c r="AA2" s="1" t="s">
        <v>295</v>
      </c>
      <c r="AB2" s="1" t="s">
        <v>296</v>
      </c>
      <c r="AC2" s="1" t="s">
        <v>297</v>
      </c>
      <c r="AD2" s="1" t="s">
        <v>298</v>
      </c>
      <c r="AE2" s="1" t="s">
        <v>299</v>
      </c>
      <c r="AF2" s="1" t="s">
        <v>300</v>
      </c>
      <c r="AG2" s="1" t="s">
        <v>301</v>
      </c>
      <c r="AH2" s="1" t="s">
        <v>302</v>
      </c>
      <c r="AI2" s="1" t="s">
        <v>303</v>
      </c>
      <c r="AJ2" s="1" t="s">
        <v>304</v>
      </c>
      <c r="AK2" s="1" t="s">
        <v>305</v>
      </c>
      <c r="AL2" s="1" t="s">
        <v>306</v>
      </c>
      <c r="AM2" s="1" t="s">
        <v>307</v>
      </c>
      <c r="AN2" s="1" t="s">
        <v>308</v>
      </c>
      <c r="AO2" s="1" t="s">
        <v>309</v>
      </c>
      <c r="AP2" s="1" t="s">
        <v>310</v>
      </c>
      <c r="AQ2" s="1" t="s">
        <v>311</v>
      </c>
    </row>
    <row r="3" spans="1:43" x14ac:dyDescent="0.25">
      <c r="A3" s="1" t="s">
        <v>267</v>
      </c>
      <c r="B3" s="1">
        <v>1</v>
      </c>
      <c r="C3" s="1">
        <v>0</v>
      </c>
      <c r="D3" s="1">
        <v>0</v>
      </c>
      <c r="E3" s="1">
        <v>0</v>
      </c>
      <c r="F3" s="1">
        <v>0</v>
      </c>
      <c r="G3" s="1">
        <v>0</v>
      </c>
      <c r="H3" s="1">
        <v>0</v>
      </c>
      <c r="I3" s="1">
        <v>0</v>
      </c>
      <c r="J3" s="1">
        <v>0</v>
      </c>
      <c r="K3" s="1">
        <v>0</v>
      </c>
      <c r="L3" s="1">
        <v>0</v>
      </c>
      <c r="M3" s="1">
        <v>0</v>
      </c>
      <c r="N3" s="1">
        <v>0</v>
      </c>
      <c r="O3" s="1">
        <v>0.5</v>
      </c>
      <c r="P3" s="1">
        <v>1</v>
      </c>
      <c r="Q3" s="1">
        <v>1</v>
      </c>
      <c r="R3" s="1">
        <v>1</v>
      </c>
      <c r="S3" s="1">
        <v>1</v>
      </c>
      <c r="T3" s="1">
        <v>1</v>
      </c>
      <c r="U3" s="1">
        <v>1</v>
      </c>
      <c r="V3" s="1">
        <v>1</v>
      </c>
      <c r="W3" s="1">
        <v>1</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row>
    <row r="4" spans="1:43" x14ac:dyDescent="0.25">
      <c r="A4" s="1" t="s">
        <v>268</v>
      </c>
      <c r="B4" s="1">
        <v>2</v>
      </c>
      <c r="C4" s="1">
        <v>0</v>
      </c>
      <c r="D4" s="1">
        <v>0</v>
      </c>
      <c r="E4" s="1">
        <v>0</v>
      </c>
      <c r="F4" s="1">
        <v>0</v>
      </c>
      <c r="G4" s="1">
        <v>0</v>
      </c>
      <c r="H4" s="1">
        <v>0</v>
      </c>
      <c r="I4" s="1">
        <v>0</v>
      </c>
      <c r="J4" s="1">
        <v>0</v>
      </c>
      <c r="K4" s="1">
        <v>0</v>
      </c>
      <c r="L4" s="1">
        <v>0</v>
      </c>
      <c r="M4" s="1">
        <v>0</v>
      </c>
      <c r="N4" s="1">
        <v>0</v>
      </c>
      <c r="O4" s="1">
        <v>0.5</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row>
    <row r="5" spans="1:43" x14ac:dyDescent="0.25">
      <c r="A5" s="1" t="s">
        <v>269</v>
      </c>
      <c r="B5" s="1">
        <v>3</v>
      </c>
      <c r="C5" s="1">
        <v>1</v>
      </c>
      <c r="D5" s="1">
        <v>1</v>
      </c>
      <c r="E5" s="1">
        <v>1</v>
      </c>
      <c r="F5" s="1">
        <v>1</v>
      </c>
      <c r="G5" s="1">
        <v>1</v>
      </c>
      <c r="H5" s="1">
        <v>1</v>
      </c>
      <c r="I5" s="1">
        <v>1</v>
      </c>
      <c r="J5" s="1">
        <v>1</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U1000"/>
  <sheetViews>
    <sheetView workbookViewId="0"/>
  </sheetViews>
  <sheetFormatPr defaultColWidth="14.42578125" defaultRowHeight="15" customHeight="1" x14ac:dyDescent="0.25"/>
  <cols>
    <col min="1" max="9" width="11.42578125" customWidth="1"/>
    <col min="10" max="10" width="22.28515625" customWidth="1"/>
    <col min="11" max="12" width="11.42578125" customWidth="1"/>
    <col min="13" max="13" width="23" customWidth="1"/>
    <col min="14" max="26" width="11.42578125" customWidth="1"/>
  </cols>
  <sheetData>
    <row r="1" spans="1:21" ht="14.25" customHeight="1" x14ac:dyDescent="0.25">
      <c r="A1" s="9" t="s">
        <v>312</v>
      </c>
      <c r="B1" s="10"/>
      <c r="C1" s="10"/>
      <c r="D1" s="10"/>
      <c r="E1" s="10"/>
      <c r="F1" s="10"/>
      <c r="G1" s="10"/>
      <c r="H1" s="10"/>
      <c r="I1" s="10"/>
      <c r="J1" s="10"/>
      <c r="K1" s="10"/>
      <c r="L1" s="10"/>
      <c r="M1" s="10"/>
      <c r="N1" s="10"/>
      <c r="O1" s="10"/>
      <c r="P1" s="10"/>
      <c r="Q1" s="10"/>
      <c r="R1" s="10"/>
      <c r="S1" s="10"/>
      <c r="T1" s="10"/>
      <c r="U1" s="10"/>
    </row>
    <row r="2" spans="1:21" x14ac:dyDescent="0.25">
      <c r="A2" s="1" t="s">
        <v>313</v>
      </c>
      <c r="B2" s="1" t="s">
        <v>314</v>
      </c>
      <c r="C2" s="1" t="s">
        <v>48</v>
      </c>
      <c r="D2" s="1" t="s">
        <v>315</v>
      </c>
      <c r="E2" s="1" t="s">
        <v>316</v>
      </c>
      <c r="F2" s="1" t="s">
        <v>317</v>
      </c>
      <c r="G2" s="1" t="s">
        <v>318</v>
      </c>
      <c r="H2" s="1" t="s">
        <v>319</v>
      </c>
      <c r="I2" s="1" t="s">
        <v>320</v>
      </c>
      <c r="J2" s="1" t="s">
        <v>49</v>
      </c>
      <c r="K2" s="1" t="s">
        <v>321</v>
      </c>
    </row>
    <row r="3" spans="1:21" x14ac:dyDescent="0.25">
      <c r="A3" s="1" t="s">
        <v>322</v>
      </c>
      <c r="B3" s="1">
        <v>9999</v>
      </c>
      <c r="C3" s="1" t="s">
        <v>112</v>
      </c>
      <c r="D3" s="1" t="s">
        <v>323</v>
      </c>
      <c r="E3" s="1" t="s">
        <v>323</v>
      </c>
      <c r="F3" s="1" t="s">
        <v>323</v>
      </c>
      <c r="G3" s="1">
        <v>76</v>
      </c>
      <c r="H3" s="1" t="s">
        <v>323</v>
      </c>
      <c r="I3" s="1" t="s">
        <v>324</v>
      </c>
      <c r="J3" s="1" t="s">
        <v>267</v>
      </c>
      <c r="K3" s="1">
        <v>1</v>
      </c>
    </row>
    <row r="4" spans="1:21" x14ac:dyDescent="0.25">
      <c r="A4" s="1" t="s">
        <v>322</v>
      </c>
      <c r="B4" s="1">
        <v>9999</v>
      </c>
      <c r="C4" s="1" t="s">
        <v>88</v>
      </c>
      <c r="D4" s="1" t="s">
        <v>323</v>
      </c>
      <c r="E4" s="1" t="s">
        <v>323</v>
      </c>
      <c r="F4" s="1" t="s">
        <v>323</v>
      </c>
      <c r="G4" s="1">
        <v>76</v>
      </c>
      <c r="H4" s="1" t="s">
        <v>323</v>
      </c>
      <c r="I4" s="1" t="s">
        <v>324</v>
      </c>
      <c r="J4" s="1" t="s">
        <v>268</v>
      </c>
      <c r="K4" s="1">
        <v>2</v>
      </c>
    </row>
    <row r="5" spans="1:21" x14ac:dyDescent="0.25">
      <c r="A5" s="1" t="s">
        <v>322</v>
      </c>
      <c r="B5" s="1">
        <v>9999</v>
      </c>
      <c r="C5" s="1" t="s">
        <v>323</v>
      </c>
      <c r="D5" s="1" t="s">
        <v>323</v>
      </c>
      <c r="E5" s="1" t="s">
        <v>323</v>
      </c>
      <c r="F5" s="1" t="s">
        <v>323</v>
      </c>
      <c r="G5" s="1" t="s">
        <v>323</v>
      </c>
      <c r="H5" s="1" t="s">
        <v>323</v>
      </c>
      <c r="I5" s="1" t="s">
        <v>324</v>
      </c>
      <c r="J5" s="1" t="s">
        <v>269</v>
      </c>
      <c r="K5" s="1">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1:A1000"/>
  <sheetViews>
    <sheetView workbookViewId="0"/>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dynamics</vt:lpstr>
      <vt:lpstr>area</vt:lpstr>
      <vt:lpstr>times</vt:lpstr>
      <vt:lpstr>Weights</vt:lpstr>
      <vt:lpstr>fleetcode</vt:lpstr>
      <vt:lpstr>MainParameters</vt:lpstr>
      <vt:lpstr>Escapegaps</vt:lpstr>
      <vt:lpstr>EfficiencyCreep</vt:lpstr>
      <vt:lpstr>Growth</vt:lpstr>
      <vt:lpstr>SizeTransMatricesNew</vt:lpstr>
      <vt:lpstr>Puerulus</vt:lpstr>
      <vt:lpstr>PuerulusPar</vt:lpstr>
      <vt:lpstr>Recruitment</vt:lpstr>
      <vt:lpstr>migrate</vt:lpstr>
      <vt:lpstr>IsWhite</vt:lpstr>
      <vt:lpstr>maturity</vt:lpstr>
      <vt:lpstr>lengthweight</vt:lpstr>
      <vt:lpstr>Catch</vt:lpstr>
      <vt:lpstr>CPUE</vt:lpstr>
      <vt:lpstr>LengthFreq</vt:lpstr>
      <vt:lpstr>HighGrading</vt:lpstr>
      <vt:lpstr>LegalID</vt:lpstr>
      <vt:lpstr>LegalPattern</vt:lpstr>
      <vt:lpstr>LegalList</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2026-01-15T14:43:49Z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