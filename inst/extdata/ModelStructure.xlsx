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snd\IMuLT\inst\extdata\"/>
    </mc:Choice>
  </mc:AlternateContent>
  <xr:revisionPtr revIDLastSave="0" documentId="13_ncr:1_{544C5254-A45C-4EB8-A8D2-FBB3B2627B15}" xr6:coauthVersionLast="47" xr6:coauthVersionMax="47" xr10:uidLastSave="{00000000-0000-0000-0000-000000000000}"/>
  <bookViews>
    <workbookView xWindow="-120" yWindow="-120" windowWidth="29040" windowHeight="15720" tabRatio="884" activeTab="12"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White" sheetId="15" r:id="rId14"/>
    <sheet name="maturity" sheetId="16" r:id="rId15"/>
    <sheet name="lengthweight" sheetId="17" r:id="rId16"/>
    <sheet name="Catch" sheetId="18" r:id="rId17"/>
    <sheet name="CPUE" sheetId="19" r:id="rId18"/>
    <sheet name="LengthFreq" sheetId="20" r:id="rId19"/>
    <sheet name="EfficiencyCreep" sheetId="8" r:id="rId20"/>
    <sheet name="HighGrading" sheetId="21" r:id="rId21"/>
    <sheet name="Selectivity" sheetId="7" r:id="rId22"/>
    <sheet name="Retention" sheetId="25" r:id="rId23"/>
    <sheet name="Sheet2" sheetId="26" r:id="rId2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0" roundtripDataChecksum="IQlKuGiie4VPfrR3iYpZzNGLlPv6OdNnrXNWFz5Of0k="/>
    </ext>
  </extLst>
</workbook>
</file>

<file path=xl/calcChain.xml><?xml version="1.0" encoding="utf-8"?>
<calcChain xmlns="http://schemas.openxmlformats.org/spreadsheetml/2006/main">
  <c r="D68" i="18" l="1"/>
  <c r="D69" i="18" s="1"/>
  <c r="D70" i="18" s="1"/>
  <c r="D71" i="18" s="1"/>
  <c r="D72" i="18" s="1"/>
  <c r="D73" i="18" s="1"/>
  <c r="D74" i="18" s="1"/>
  <c r="D75" i="18" s="1"/>
  <c r="D76" i="18" s="1"/>
  <c r="D77" i="18" s="1"/>
  <c r="D78" i="18" s="1"/>
  <c r="D79" i="18" s="1"/>
  <c r="D80" i="18" s="1"/>
  <c r="D81" i="18" s="1"/>
  <c r="D82" i="18" s="1"/>
  <c r="D83" i="18" s="1"/>
  <c r="D84" i="18" s="1"/>
  <c r="D85" i="18" s="1"/>
  <c r="D86" i="18" s="1"/>
  <c r="D87" i="18" s="1"/>
  <c r="D88" i="18" s="1"/>
  <c r="D89" i="18" s="1"/>
  <c r="D90" i="18" s="1"/>
  <c r="D91" i="18" s="1"/>
  <c r="D92" i="18" s="1"/>
  <c r="D93" i="18" s="1"/>
  <c r="D94" i="18" s="1"/>
  <c r="D95" i="18" s="1"/>
  <c r="D96" i="18" s="1"/>
  <c r="D97" i="18" s="1"/>
  <c r="D98" i="18" s="1"/>
  <c r="D99" i="18" s="1"/>
  <c r="D100" i="18" s="1"/>
  <c r="D101" i="18" s="1"/>
  <c r="D102" i="18" s="1"/>
  <c r="D103" i="18" s="1"/>
  <c r="D104" i="18" s="1"/>
  <c r="D105" i="18" s="1"/>
  <c r="D106" i="18" s="1"/>
  <c r="D107" i="18" s="1"/>
  <c r="D108" i="18" s="1"/>
  <c r="D109" i="18" s="1"/>
  <c r="D110" i="18" s="1"/>
  <c r="D111" i="18" s="1"/>
  <c r="D112" i="18" s="1"/>
  <c r="D4" i="18"/>
  <c r="D5" i="18" s="1"/>
  <c r="D6" i="18" s="1"/>
  <c r="D7" i="18" s="1"/>
  <c r="D8" i="18" s="1"/>
  <c r="D9" i="18" s="1"/>
  <c r="D10" i="18" s="1"/>
  <c r="D11" i="18" s="1"/>
  <c r="D12" i="18" s="1"/>
  <c r="D13" i="18" s="1"/>
  <c r="D14" i="18" s="1"/>
  <c r="D15" i="18" s="1"/>
  <c r="D16" i="18" s="1"/>
  <c r="D17" i="18" s="1"/>
  <c r="D18" i="18" s="1"/>
  <c r="D19" i="18" s="1"/>
  <c r="D20" i="18" s="1"/>
  <c r="D21" i="18" s="1"/>
  <c r="D22" i="18" s="1"/>
  <c r="D23" i="18" s="1"/>
  <c r="D24" i="18" s="1"/>
  <c r="D25" i="18" s="1"/>
  <c r="D26" i="18" s="1"/>
  <c r="D27" i="18" s="1"/>
  <c r="D28" i="18" s="1"/>
  <c r="D29" i="18" s="1"/>
  <c r="D30" i="18" s="1"/>
  <c r="D31" i="18" s="1"/>
  <c r="D32" i="18" s="1"/>
  <c r="D33" i="18" s="1"/>
  <c r="D34" i="18" s="1"/>
  <c r="D35" i="18" s="1"/>
  <c r="D36" i="18" s="1"/>
  <c r="D37" i="18" s="1"/>
  <c r="D38" i="18" s="1"/>
  <c r="D39" i="18" s="1"/>
  <c r="D40" i="18" s="1"/>
  <c r="D41" i="18" s="1"/>
  <c r="D42" i="18" s="1"/>
  <c r="D43" i="18" s="1"/>
  <c r="D44" i="18" s="1"/>
  <c r="D45" i="18" s="1"/>
  <c r="D46" i="18" s="1"/>
  <c r="D47" i="18" s="1"/>
  <c r="D48" i="18" s="1"/>
  <c r="D49" i="18" s="1"/>
  <c r="D50" i="18" s="1"/>
  <c r="D51" i="18" s="1"/>
  <c r="D52" i="18" s="1"/>
  <c r="D53" i="18" s="1"/>
  <c r="D54" i="18" s="1"/>
  <c r="D55" i="18" s="1"/>
  <c r="D56" i="18" s="1"/>
  <c r="D57" i="18" s="1"/>
  <c r="D58" i="18" s="1"/>
  <c r="D59" i="18" s="1"/>
  <c r="D60" i="18" s="1"/>
  <c r="D61" i="18" s="1"/>
  <c r="D62" i="18" s="1"/>
  <c r="D63" i="18" s="1"/>
  <c r="D64" i="18" s="1"/>
  <c r="D65" i="18" s="1"/>
  <c r="D66" i="18" s="1"/>
  <c r="D67" i="18" s="1"/>
  <c r="W1" i="13"/>
  <c r="V1" i="13"/>
  <c r="D4" i="9"/>
  <c r="C4" i="9"/>
  <c r="E3" i="9"/>
  <c r="C3" i="9"/>
  <c r="K25" i="7"/>
  <c r="K24" i="7"/>
  <c r="K23" i="7"/>
  <c r="K21" i="7"/>
  <c r="K20" i="7"/>
  <c r="K19" i="7"/>
  <c r="K17" i="7"/>
  <c r="K16" i="7"/>
  <c r="K15" i="7"/>
  <c r="K13" i="7"/>
  <c r="K12" i="7"/>
  <c r="K11" i="7"/>
  <c r="K9" i="7"/>
  <c r="K8" i="7"/>
  <c r="K7" i="7"/>
  <c r="K5" i="7"/>
  <c r="K4" i="7"/>
  <c r="K3" i="7"/>
</calcChain>
</file>

<file path=xl/sharedStrings.xml><?xml version="1.0" encoding="utf-8"?>
<sst xmlns="http://schemas.openxmlformats.org/spreadsheetml/2006/main" count="902" uniqueCount="420">
  <si>
    <t>## Used to set up global dynamics of model</t>
  </si>
  <si>
    <t>object</t>
  </si>
  <si>
    <t>value</t>
  </si>
  <si>
    <t>comments</t>
  </si>
  <si>
    <t>startseason</t>
  </si>
  <si>
    <t># first season/year</t>
  </si>
  <si>
    <t>endseason</t>
  </si>
  <si>
    <t>projectedseason</t>
  </si>
  <si>
    <t># number of years</t>
  </si>
  <si>
    <t>projectedcatch</t>
  </si>
  <si>
    <t># in t not KG</t>
  </si>
  <si>
    <t>ages</t>
  </si>
  <si>
    <t># max age, if one age = 1, if two age = 2</t>
  </si>
  <si>
    <t>agemat</t>
  </si>
  <si>
    <t># Age when maturity is attained (starts at age 1)</t>
  </si>
  <si>
    <t>sexs</t>
  </si>
  <si>
    <t># number of sexes, 1 will default to a male only fishery. 2 will define both female and male</t>
  </si>
  <si>
    <t>lblwr</t>
  </si>
  <si>
    <t>bottom of lowest length bin</t>
  </si>
  <si>
    <t>lbupr</t>
  </si>
  <si>
    <t>bottom of largest length bin</t>
  </si>
  <si>
    <t>lbgap</t>
  </si>
  <si>
    <t>size of length bin</t>
  </si>
  <si>
    <t>tune_years</t>
  </si>
  <si>
    <t>change_q_bymonth</t>
  </si>
  <si>
    <t>Does q change between timesteps? 0 no, 1 yes</t>
  </si>
  <si>
    <t>burnin</t>
  </si>
  <si>
    <t>Maximum burnin period for all areas</t>
  </si>
  <si>
    <t>## not loaded: Recruit area refers to size composition of recruits.  The same areacode number will receive recruits of the same size classses. Target/limit and thresholds are in proportions</t>
  </si>
  <si>
    <t>Name</t>
  </si>
  <si>
    <t>ManageZone</t>
  </si>
  <si>
    <t>AreaCode</t>
  </si>
  <si>
    <t>recruitarea</t>
  </si>
  <si>
    <t>burn_in</t>
  </si>
  <si>
    <t>biomass target</t>
  </si>
  <si>
    <t>biomass threshold</t>
  </si>
  <si>
    <t>biomass limit</t>
  </si>
  <si>
    <t>SouthCoast</t>
  </si>
  <si>
    <t>A</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</si>
  <si>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</si>
  <si>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</si>
  <si>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</si>
  <si>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</si>
  <si>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</si>
  <si>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</si>
  <si>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</si>
  <si>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</si>
  <si>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</si>
  <si>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</si>
  <si>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</si>
  <si>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</si>
  <si>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</si>
  <si>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</si>
  <si>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</si>
  <si>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</si>
  <si>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</si>
  <si>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initialN</t>
  </si>
  <si>
    <t>initialPen</t>
  </si>
  <si>
    <t>individual</t>
  </si>
  <si>
    <t>survey</t>
  </si>
  <si>
    <t>comm_monitor</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</si>
  <si>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</si>
  <si>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</si>
  <si>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</si>
  <si>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</si>
  <si>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</si>
  <si>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</si>
  <si>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</si>
  <si>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</si>
  <si>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com_catch</t>
  </si>
  <si>
    <t>com_measure</t>
  </si>
  <si>
    <t>rec</t>
  </si>
  <si>
    <t>## Link parameters to have common parameter. M must match number of areas and ages. Priors, 0 = none, 1 = normal, 2 = gamma (not yet implemented)</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</si>
  <si>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</si>
  <si>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</si>
  <si>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</si>
  <si>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</si>
  <si>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</si>
  <si>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</si>
  <si>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</si>
  <si>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</si>
  <si>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</si>
  <si>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</si>
  <si>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</si>
  <si>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</si>
  <si>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</si>
  <si>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</si>
  <si>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</si>
  <si>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area1</t>
  </si>
  <si>
    <t>Multiplier for age 1</t>
  </si>
  <si>
    <t>WhiteScaleM</t>
  </si>
  <si>
    <t>RedQ</t>
  </si>
  <si>
    <t>RedScaleQ</t>
  </si>
  <si>
    <t>Sigma</t>
  </si>
  <si>
    <t>SigmaR</t>
  </si>
  <si>
    <t>Rintro</t>
  </si>
  <si>
    <t>Rintro1</t>
  </si>
  <si>
    <t>Initial</t>
  </si>
  <si>
    <t>Iniial F at start of model</t>
  </si>
  <si>
    <t>## Parameters for logistic curve to describe retention in pots.  Sex = F, M or B (both).  YearLink aligns years (decimals in table to right allow for multiple version of that to be applied).  Parlink allows parameters to be linked. Form must be either logistic or doublelogistic. If doublelogistic inflect1 must be &lt; inflect2, slope 1 and 2 must be +ive and -ive, respectively</t>
  </si>
  <si>
    <t>yearlink</t>
  </si>
  <si>
    <t>lwr</t>
  </si>
  <si>
    <t>upr</t>
  </si>
  <si>
    <t>par</t>
  </si>
  <si>
    <t>phase</t>
  </si>
  <si>
    <t>parlink</t>
  </si>
  <si>
    <t>season</t>
  </si>
  <si>
    <t>fleet1</t>
  </si>
  <si>
    <t>fleet2</t>
  </si>
  <si>
    <t>fleet3</t>
  </si>
  <si>
    <t>fleet4</t>
  </si>
  <si>
    <t>F</t>
  </si>
  <si>
    <t>inflect1</t>
  </si>
  <si>
    <t>doublelogistic</t>
  </si>
  <si>
    <t>Fgap0</t>
  </si>
  <si>
    <t>slope1</t>
  </si>
  <si>
    <t>inflect2</t>
  </si>
  <si>
    <t>slope2</t>
  </si>
  <si>
    <t>Mgap0</t>
  </si>
  <si>
    <t>Fgap54</t>
  </si>
  <si>
    <t>Mgap54</t>
  </si>
  <si>
    <t>Fgap55</t>
  </si>
  <si>
    <t>Mgap55</t>
  </si>
  <si>
    <t>## Setting up parameters for efficiency creep.  Number pars poduced is  nyears/temporal cover, with efficiency compounded year on year. Pointer need to match numbers in fleet tab. If in fleet tab you have multiple pointers, then they must also exist here.</t>
  </si>
  <si>
    <t>pointer</t>
  </si>
  <si>
    <t>upper</t>
  </si>
  <si>
    <t>est</t>
  </si>
  <si>
    <t>Phase</t>
  </si>
  <si>
    <t>prior</t>
  </si>
  <si>
    <t>priorsd</t>
  </si>
  <si>
    <t>temporal.cover</t>
  </si>
  <si>
    <t>## Any value &gt; 0 will apply a STM in that timestep. The STM will be compounded by the grow number to allow for monthly STMs to represent longer periods of growth, e.g. grow = 6 represents six months of growth. Season 999 applies to all seasons.  Put in a specific season and only this season will have that unique moulting schedule/growth.  All timesteps and areas not listed will default to no growth. Matrix define what matrix to use for that case (sex/area/tstep) as reported in next tab (sizetransmat)</t>
  </si>
  <si>
    <t>area</t>
  </si>
  <si>
    <t>grow</t>
  </si>
  <si>
    <t>matrix</t>
  </si>
  <si>
    <t>redone</t>
  </si>
  <si>
    <t>STM_s1_l1_ts1</t>
  </si>
  <si>
    <t>STM_s2_l1_ts1</t>
  </si>
  <si>
    <t>## Add all size trans matrices below with a "#label" before each STM.  They should be sorted by sex and then growth area then timestep (Fem area1 ts 1, Fem area1 ts 2, Fem area2 ts1 , Mal area1 ts 1, ….).  Each STM should be a square of length-bin dimentions with columns summing to 1.</t>
  </si>
  <si>
    <t># Matrix # s1_l1_ts1</t>
  </si>
  <si>
    <t># Matrix # s2_l1_ts1</t>
  </si>
  <si>
    <t>## not loaded: Leave blank if there is not post-larval recruitment data. If there is no Puerulus data delete everything from row 3 down (leave the headers).</t>
  </si>
  <si>
    <t>mn</t>
  </si>
  <si>
    <t>se</t>
  </si>
  <si>
    <t>cv</t>
  </si>
  <si>
    <t>## not loaded: Leave blanck in not post-larval data. Density dependent parameter (b) in relationship Rec = a*Puerulus^b.  Required for every area of the model.  If there is no Puerulus data delete everything from row 3 down (leave the headers).</t>
  </si>
  <si>
    <t>## not loaded: Use parameters: 1 = Yes, 0 = No and use pre-specifyed dist.  Number of parameters must = 1(sexsplit)+(#Areas-1)+#RecruitAreas*#Sex*2Par.  Relative contribution by area for # areas -1 (last area is remainder).  Add pre specified in order of sex 1 area 1, sex 2 area 1, sex 1 area 2 .... Does not need to be aligned with Inflection parameter, but makes it easy to track</t>
  </si>
  <si>
    <t>These numbers should match</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</si>
  <si>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</si>
  <si>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</si>
  <si>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</si>
  <si>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</si>
  <si>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</si>
  <si>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</si>
  <si>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</si>
  <si>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</si>
  <si>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</si>
  <si>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</si>
  <si>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</si>
  <si>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</si>
  <si>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</si>
  <si>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</si>
  <si>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</si>
  <si>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</si>
  <si>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</si>
  <si>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</si>
  <si>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</si>
  <si>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</si>
  <si>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</si>
  <si>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</si>
  <si>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</si>
  <si>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</si>
  <si>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</si>
  <si>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</si>
  <si>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</si>
  <si>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</si>
  <si>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</si>
  <si>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</si>
  <si>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</si>
  <si>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</si>
  <si>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</si>
  <si>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</si>
  <si>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</si>
  <si>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</si>
  <si>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</si>
  <si>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</si>
  <si>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A1 Inflect Sex 1: Recruit area 1, sex 1</t>
  </si>
  <si>
    <t>A1 Slope Sex 1</t>
  </si>
  <si>
    <t>A1 Inflect Sex 2</t>
  </si>
  <si>
    <t>A1 Slope Sex 2</t>
  </si>
  <si>
    <t>## not loaded:  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Priors not used yet. Leave blank if no migration exists but leave headers on row 3.</t>
  </si>
  <si>
    <t>Season</t>
  </si>
  <si>
    <t>Age</t>
  </si>
  <si>
    <t>Source</t>
  </si>
  <si>
    <t>Dest</t>
  </si>
  <si>
    <t>## not loaded:  This links with migration and the different catchability and M they experience during this life stage.  Leave blank if you have no need for this (headers remain on row 2). Age starts at 1</t>
  </si>
  <si>
    <t>Sex</t>
  </si>
  <si>
    <t>Area</t>
  </si>
  <si>
    <t>Tstep</t>
  </si>
  <si>
    <t>## not loaded:  MaturityOgive = 1/(1+exp((lens-a)/b)) . Fecundity = a*Length^b. if male only (and no fecundity) set parameters to length weight and double breeding to be super large. One for each model area. Check your parameters have the correct sign.</t>
  </si>
  <si>
    <t>cat</t>
  </si>
  <si>
    <t>a</t>
  </si>
  <si>
    <t>b</t>
  </si>
  <si>
    <t>age</t>
  </si>
  <si>
    <t>mature</t>
  </si>
  <si>
    <t>dspawn</t>
  </si>
  <si>
    <t>fecundity</t>
  </si>
  <si>
    <t>## not loaded:  equation W = a*Length^b. This must be in KG.</t>
  </si>
  <si>
    <t>female</t>
  </si>
  <si>
    <t>male</t>
  </si>
  <si>
    <t>## not loaded:  Catch should be in KG.  Fleet starts at 1 and should match those under fleet tab.  Recreational and indigenous should  be combined.</t>
  </si>
  <si>
    <t>year</t>
  </si>
  <si>
    <t>step</t>
  </si>
  <si>
    <t>catch</t>
  </si>
  <si>
    <t xml:space="preserve">## not loaded: Should be pre standardised for everything sensible.  CpueInd starts at 0, fleet at 1, sex at C (combined sexes), F (female), M (male), timestep at 1. </t>
  </si>
  <si>
    <t>CpueInd</t>
  </si>
  <si>
    <t>Fleet</t>
  </si>
  <si>
    <t>Year</t>
  </si>
  <si>
    <t>Step</t>
  </si>
  <si>
    <t>Index</t>
  </si>
  <si>
    <t>CV</t>
  </si>
  <si>
    <t>C</t>
  </si>
  <si>
    <t>## not loaded: numb refers to how many samples the data was derived from.  Fleet must match fleetcopde tab. Sex (C, F or M). Timestep starts at 1</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</si>
  <si>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</si>
  <si>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</si>
  <si>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</si>
  <si>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</si>
  <si>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</si>
  <si>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</si>
  <si>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</si>
  <si>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</si>
  <si>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</si>
  <si>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</si>
  <si>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</si>
  <si>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</si>
  <si>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</si>
  <si>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</si>
  <si>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</si>
  <si>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</si>
  <si>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</si>
  <si>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</si>
  <si>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</si>
  <si>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</si>
  <si>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</si>
  <si>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</si>
  <si>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</si>
  <si>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</si>
  <si>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</si>
  <si>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</si>
  <si>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</si>
  <si>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</si>
  <si>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</si>
  <si>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</si>
  <si>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</si>
  <si>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</si>
  <si>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</si>
  <si>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</si>
  <si>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</si>
  <si>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</si>
  <si>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</si>
  <si>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</si>
  <si>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</si>
  <si>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</si>
  <si>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</si>
  <si>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</si>
  <si>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 not loaded: oldarea 99 represents all areas in model.  All timesteps in years not listed get no high-grading.</t>
  </si>
  <si>
    <t>prop</t>
  </si>
  <si>
    <t>pos</t>
  </si>
  <si>
    <t>Survey</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</si>
  <si>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</si>
  <si>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</si>
  <si>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</si>
  <si>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</si>
  <si>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</si>
  <si>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</si>
  <si>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</si>
  <si>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</si>
  <si>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</si>
  <si>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</si>
  <si>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</si>
  <si>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</si>
  <si>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</si>
  <si>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</si>
  <si>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</si>
  <si>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</si>
  <si>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</si>
  <si>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</si>
  <si>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</si>
  <si>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</si>
  <si>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</si>
  <si>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</si>
  <si>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</si>
  <si>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</si>
  <si>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</si>
  <si>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</si>
  <si>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</si>
  <si>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</si>
  <si>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</si>
  <si>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</si>
  <si>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</si>
  <si>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</si>
  <si>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</si>
  <si>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</si>
  <si>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</si>
  <si>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</si>
  <si>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</si>
  <si>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</si>
  <si>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</si>
  <si>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</si>
  <si>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</si>
  <si>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</si>
  <si>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Requires Lb values must have the same length as length bins.</t>
  </si>
  <si>
    <t>StartSeason</t>
  </si>
  <si>
    <t>EndSeason</t>
  </si>
  <si>
    <t>TimeStep</t>
  </si>
  <si>
    <t>UseArea</t>
  </si>
  <si>
    <t>IsConstantLegal</t>
  </si>
  <si>
    <t>MLL comm</t>
  </si>
  <si>
    <t>MLL rec</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</si>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</sst>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scheme val="minor"/>
    </font>
    <font>
      <sz val="11"/>
      <color theme="1"/>
      <name val="Calibri"/>
      <family val="2"/>
      <scheme val="minor"/>
    </font>
    <font>
      <sz val="11"/>
      <color theme="1"/>
      <name val="Calibri"/>
    </font>
    <font>
      <sz val="11"/>
      <name val="Calibri"/>
    </font>
    <font>
      <sz val="11"/>
      <color theme="1"/>
      <name val="Calibri"/>
      <family val="2"/>
    </font>
    <font>
      <sz val="11"/>
      <name val="Calibri"/>
      <family val="2"/>
    </font>
  </fonts>
  <fills count="5">
    <fill>
      <patternFill patternType="none"/>
    </fill>
    <fill>
      <patternFill patternType="gray125"/>
    </fill>
    <fill>
      <patternFill patternType="solid">
        <fgColor rgb="FFFFFF00"/>
        <bgColor rgb="FFFFFF00"/>
      </patternFill>
    </fill>
    <fill>
      <patternFill patternType="solid">
        <fgColor rgb="FF92D050"/>
        <bgColor rgb="FF92D050"/>
      </patternFill>
    </fill>
    <fill>
      <patternFill patternType="solid">
        <fgColor rgb="FFFFC000"/>
        <bgColor rgb="FFFFC00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16">
    <xf numFmtId="0" fontId="0" fillId="0" borderId="0" xfId="0"/>
    <xf numFmtId="0" fontId="2" fillId="0" borderId="0" xfId="0" applyFont="1"/>
    <xf numFmtId="0" fontId="2" fillId="0" borderId="0" xfId="0" applyFont="1" applyAlignment="1">
      <alignment horizontal="right"/>
    </xf>
    <xf numFmtId="0" fontId="2" fillId="3" borderId="4" xfId="0" applyFont="1" applyFill="1" applyBorder="1"/>
    <xf numFmtId="0" fontId="2" fillId="4" borderId="4" xfId="0" applyFont="1" applyFill="1" applyBorder="1"/>
    <xf numFmtId="11" fontId="2" fillId="0" borderId="0" xfId="0" applyNumberFormat="1" applyFont="1"/>
    <xf numFmtId="0" fontId="2" fillId="2" borderId="4" xfId="0" applyFont="1" applyFill="1" applyBorder="1"/>
    <xf numFmtId="0" fontId="2" fillId="0" borderId="0" xfId="0" applyFont="1" applyAlignment="1">
      <alignment wrapText="1"/>
    </xf>
    <xf numFmtId="0" fontId="1" fillId="0" borderId="0" xfId="0" applyFont="1"/>
    <xf numFmtId="0" fontId="2" fillId="2" borderId="1" xfId="0" applyFont="1" applyFill="1" applyBorder="1" applyAlignment="1">
      <alignment wrapText="1"/>
    </xf>
    <xf numFmtId="0" fontId="3" fillId="0" borderId="2" xfId="0" applyFont="1" applyBorder="1"/>
    <xf numFmtId="0" fontId="3" fillId="0" borderId="3" xfId="0" applyFont="1" applyBorder="1"/>
    <xf numFmtId="0" fontId="4" fillId="2" borderId="4" xfId="0" applyFont="1" applyFill="1" applyBorder="1" applyAlignment="1">
      <alignment wrapText="1"/>
    </xf>
    <xf numFmtId="0" fontId="5" fillId="0" borderId="4" xfId="0" applyFont="1" applyBorder="1"/>
    <xf numFmtId="0" fontId="2" fillId="2" borderId="4" xfId="0" applyFont="1" applyFill="1" applyBorder="1" applyAlignment="1">
      <alignment wrapText="1"/>
    </xf>
    <xf numFmtId="0" fontId="3" fillId="0" borderId="4"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0"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0"/>
  <sheetViews>
    <sheetView workbookViewId="0">
      <selection activeCell="C28" sqref="C28"/>
    </sheetView>
  </sheetViews>
  <sheetFormatPr defaultColWidth="14.42578125" defaultRowHeight="15" customHeight="1" x14ac:dyDescent="0.25"/>
  <cols>
    <col min="1" max="1" width="18.7109375" customWidth="1"/>
    <col min="2" max="26" width="11.42578125" customWidth="1"/>
  </cols>
  <sheetData>
    <row r="1" spans="1:21" ht="15" customHeight="1" x14ac:dyDescent="0.25">
      <c r="A1" s="9" t="s">
        <v>0</v>
      </c>
      <c r="B1" s="10"/>
      <c r="C1" s="10"/>
      <c r="D1" s="10"/>
      <c r="E1" s="10"/>
      <c r="F1" s="10"/>
      <c r="G1" s="10"/>
      <c r="H1" s="10"/>
      <c r="I1" s="10"/>
      <c r="J1" s="10"/>
      <c r="K1" s="10"/>
      <c r="L1" s="10"/>
      <c r="M1" s="10"/>
      <c r="N1" s="10"/>
      <c r="O1" s="10"/>
      <c r="P1" s="10"/>
      <c r="Q1" s="10"/>
      <c r="R1" s="10"/>
      <c r="S1" s="10"/>
      <c r="T1" s="10"/>
      <c r="U1" s="11"/>
    </row>
    <row r="2" spans="1:21" x14ac:dyDescent="0.25">
      <c r="A2" s="1" t="s">
        <v>1</v>
      </c>
      <c r="B2" s="1" t="s">
        <v>2</v>
      </c>
      <c r="C2" s="1" t="s">
        <v>3</v>
      </c>
    </row>
    <row r="3" spans="1:21" x14ac:dyDescent="0.25">
      <c r="A3" s="1" t="s">
        <v>4</v>
      </c>
      <c r="B3" s="1">
        <v>1970</v>
      </c>
      <c r="C3" s="1" t="s">
        <v>5</v>
      </c>
    </row>
    <row r="4" spans="1:21" x14ac:dyDescent="0.25">
      <c r="A4" s="1" t="s">
        <v>6</v>
      </c>
      <c r="B4" s="1">
        <v>2024</v>
      </c>
    </row>
    <row r="5" spans="1:21" x14ac:dyDescent="0.25">
      <c r="A5" s="1" t="s">
        <v>7</v>
      </c>
      <c r="B5" s="1">
        <v>10</v>
      </c>
      <c r="C5" s="1" t="s">
        <v>8</v>
      </c>
    </row>
    <row r="6" spans="1:21" x14ac:dyDescent="0.25">
      <c r="A6" s="1" t="s">
        <v>9</v>
      </c>
      <c r="B6" s="1">
        <v>7000</v>
      </c>
      <c r="C6" s="1" t="s">
        <v>10</v>
      </c>
    </row>
    <row r="7" spans="1:21" x14ac:dyDescent="0.25">
      <c r="A7" s="1" t="s">
        <v>11</v>
      </c>
      <c r="B7" s="1">
        <v>1</v>
      </c>
      <c r="C7" s="1" t="s">
        <v>12</v>
      </c>
    </row>
    <row r="8" spans="1:21" x14ac:dyDescent="0.25">
      <c r="A8" s="1" t="s">
        <v>13</v>
      </c>
      <c r="B8" s="1">
        <v>1</v>
      </c>
      <c r="C8" s="1" t="s">
        <v>14</v>
      </c>
    </row>
    <row r="9" spans="1:21" x14ac:dyDescent="0.25">
      <c r="A9" s="1" t="s">
        <v>15</v>
      </c>
      <c r="B9" s="2">
        <v>2</v>
      </c>
      <c r="C9" s="1" t="s">
        <v>16</v>
      </c>
    </row>
    <row r="10" spans="1:21" x14ac:dyDescent="0.25">
      <c r="A10" s="1" t="s">
        <v>17</v>
      </c>
      <c r="B10" s="1">
        <v>51</v>
      </c>
      <c r="C10" s="1" t="s">
        <v>18</v>
      </c>
    </row>
    <row r="11" spans="1:21" x14ac:dyDescent="0.25">
      <c r="A11" s="1" t="s">
        <v>19</v>
      </c>
      <c r="B11" s="1">
        <v>131</v>
      </c>
      <c r="C11" s="1" t="s">
        <v>20</v>
      </c>
    </row>
    <row r="12" spans="1:21" x14ac:dyDescent="0.25">
      <c r="A12" s="1" t="s">
        <v>21</v>
      </c>
      <c r="B12" s="1">
        <v>2</v>
      </c>
      <c r="C12" s="1" t="s">
        <v>22</v>
      </c>
    </row>
    <row r="13" spans="1:21" x14ac:dyDescent="0.25">
      <c r="A13" s="1" t="s">
        <v>23</v>
      </c>
      <c r="B13" s="1">
        <v>2</v>
      </c>
    </row>
    <row r="14" spans="1:21" x14ac:dyDescent="0.25">
      <c r="A14" s="1" t="s">
        <v>24</v>
      </c>
      <c r="B14" s="1">
        <v>1</v>
      </c>
      <c r="C14" s="1" t="s">
        <v>25</v>
      </c>
    </row>
    <row r="15" spans="1:21" x14ac:dyDescent="0.25">
      <c r="A15" s="1" t="s">
        <v>26</v>
      </c>
      <c r="B15" s="1">
        <v>10</v>
      </c>
      <c r="C15" s="1" t="s">
        <v>27</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sqref="A1:N1"/>
    </sheetView>
  </sheetViews>
  <sheetFormatPr defaultColWidth="14.42578125" defaultRowHeight="15" customHeight="1" x14ac:dyDescent="0.25"/>
  <cols>
    <col min="1" max="1" width="19.5703125" customWidth="1"/>
    <col min="2" max="2" width="13.140625" customWidth="1"/>
    <col min="3" max="24" width="11.42578125" customWidth="1"/>
  </cols>
  <sheetData>
    <row r="1" spans="1:14" ht="15.75" customHeight="1" x14ac:dyDescent="0.25">
      <c r="A1" s="9" t="s">
        <v>28</v>
      </c>
      <c r="B1" s="10"/>
      <c r="C1" s="10"/>
      <c r="D1" s="10"/>
      <c r="E1" s="10"/>
      <c r="F1" s="10"/>
      <c r="G1" s="10"/>
      <c r="H1" s="10"/>
      <c r="I1" s="10"/>
      <c r="J1" s="10"/>
      <c r="K1" s="10"/>
      <c r="L1" s="10"/>
      <c r="M1" s="10"/>
      <c r="N1" s="11"/>
    </row>
    <row r="2" spans="1:14" x14ac:dyDescent="0.25">
      <c r="A2" s="1" t="s">
        <v>29</v>
      </c>
      <c r="B2" s="1" t="s">
        <v>30</v>
      </c>
      <c r="C2" s="1" t="s">
        <v>31</v>
      </c>
      <c r="D2" s="1" t="s">
        <v>32</v>
      </c>
      <c r="E2" s="1" t="s">
        <v>33</v>
      </c>
      <c r="F2" s="1" t="s">
        <v>23</v>
      </c>
      <c r="G2" s="1" t="s">
        <v>34</v>
      </c>
      <c r="H2" s="1" t="s">
        <v>35</v>
      </c>
      <c r="I2" s="1" t="s">
        <v>36</v>
      </c>
    </row>
    <row r="3" spans="1:14" x14ac:dyDescent="0.25">
      <c r="A3" s="1" t="s">
        <v>37</v>
      </c>
      <c r="B3" s="1" t="s">
        <v>38</v>
      </c>
      <c r="C3" s="1">
        <v>1</v>
      </c>
      <c r="D3" s="1">
        <v>1</v>
      </c>
      <c r="E3" s="1">
        <v>3</v>
      </c>
      <c r="F3" s="1">
        <v>2</v>
      </c>
      <c r="G3" s="1">
        <v>0.42</v>
      </c>
      <c r="H3" s="1">
        <v>0.35</v>
      </c>
      <c r="I3" s="1">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9" t="s">
        <v>39</v>
      </c>
      <c r="B1" s="10"/>
      <c r="C1" s="10"/>
      <c r="D1" s="10"/>
      <c r="E1" s="10"/>
      <c r="F1" s="10"/>
      <c r="G1" s="10"/>
      <c r="H1" s="10"/>
      <c r="I1" s="10"/>
      <c r="J1" s="10"/>
      <c r="K1" s="10"/>
      <c r="L1" s="10"/>
      <c r="M1" s="10"/>
      <c r="N1" s="10"/>
      <c r="O1" s="10"/>
      <c r="P1" s="10"/>
      <c r="Q1" s="10"/>
      <c r="R1" s="10"/>
      <c r="S1" s="10"/>
      <c r="T1" s="10"/>
      <c r="U1" s="11"/>
    </row>
    <row r="2" spans="1:21" x14ac:dyDescent="0.25">
      <c r="A2" s="1" t="s">
        <v>40</v>
      </c>
      <c r="B2" s="1" t="s">
        <v>41</v>
      </c>
      <c r="C2" s="1" t="s">
        <v>42</v>
      </c>
      <c r="D2" s="1" t="s">
        <v>43</v>
      </c>
    </row>
    <row r="3" spans="1:21" x14ac:dyDescent="0.25">
      <c r="A3" s="1">
        <v>1</v>
      </c>
      <c r="B3" s="1">
        <v>0</v>
      </c>
      <c r="C3" s="1">
        <v>1</v>
      </c>
      <c r="D3" s="1">
        <v>1</v>
      </c>
    </row>
    <row r="4" spans="1:21" x14ac:dyDescent="0.25">
      <c r="A4" s="1">
        <v>1</v>
      </c>
      <c r="B4" s="1">
        <v>1</v>
      </c>
      <c r="C4" s="1">
        <v>1</v>
      </c>
      <c r="D4" s="1">
        <v>0</v>
      </c>
    </row>
    <row r="5" spans="1:21" x14ac:dyDescent="0.25">
      <c r="A5" s="1">
        <v>2</v>
      </c>
      <c r="B5" s="1">
        <v>0</v>
      </c>
      <c r="C5" s="1">
        <v>1</v>
      </c>
      <c r="D5" s="1">
        <v>0</v>
      </c>
    </row>
    <row r="6" spans="1:21" x14ac:dyDescent="0.25">
      <c r="A6" s="1">
        <v>2</v>
      </c>
      <c r="B6" s="1">
        <v>1</v>
      </c>
      <c r="C6" s="1">
        <v>1</v>
      </c>
      <c r="D6" s="1">
        <v>0</v>
      </c>
    </row>
    <row r="7" spans="1:21" x14ac:dyDescent="0.25">
      <c r="A7" s="1">
        <v>3</v>
      </c>
      <c r="B7" s="1">
        <v>0</v>
      </c>
      <c r="C7" s="1">
        <v>1</v>
      </c>
      <c r="D7" s="1">
        <v>0</v>
      </c>
    </row>
    <row r="8" spans="1:21" x14ac:dyDescent="0.25">
      <c r="A8" s="1">
        <v>3</v>
      </c>
      <c r="B8" s="1">
        <v>1</v>
      </c>
      <c r="C8" s="1">
        <v>1</v>
      </c>
      <c r="D8" s="1">
        <v>0</v>
      </c>
    </row>
    <row r="9" spans="1:21" x14ac:dyDescent="0.25">
      <c r="A9" s="1">
        <v>4</v>
      </c>
      <c r="B9" s="1">
        <v>0</v>
      </c>
      <c r="C9" s="1">
        <v>1</v>
      </c>
      <c r="D9" s="1">
        <v>0</v>
      </c>
    </row>
    <row r="10" spans="1:21" x14ac:dyDescent="0.25">
      <c r="A10" s="1">
        <v>4</v>
      </c>
      <c r="B10" s="1">
        <v>1</v>
      </c>
      <c r="C10" s="1">
        <v>1</v>
      </c>
      <c r="D10" s="1">
        <v>0</v>
      </c>
    </row>
    <row r="11" spans="1:21" x14ac:dyDescent="0.25">
      <c r="A11" s="1">
        <v>5</v>
      </c>
      <c r="B11" s="1">
        <v>0</v>
      </c>
      <c r="C11" s="1">
        <v>1</v>
      </c>
      <c r="D11" s="1">
        <v>0</v>
      </c>
    </row>
    <row r="12" spans="1:21" x14ac:dyDescent="0.25">
      <c r="A12" s="1">
        <v>5</v>
      </c>
      <c r="B12" s="1">
        <v>1</v>
      </c>
      <c r="C12" s="1">
        <v>1</v>
      </c>
      <c r="D12" s="1">
        <v>0</v>
      </c>
    </row>
    <row r="13" spans="1:21" x14ac:dyDescent="0.25">
      <c r="A13" s="1">
        <v>6</v>
      </c>
      <c r="B13" s="1">
        <v>0</v>
      </c>
      <c r="C13" s="1">
        <v>1</v>
      </c>
      <c r="D13" s="1">
        <v>0</v>
      </c>
    </row>
    <row r="14" spans="1:21" x14ac:dyDescent="0.25">
      <c r="A14" s="1">
        <v>6</v>
      </c>
      <c r="B14" s="1">
        <v>1</v>
      </c>
      <c r="C14" s="1">
        <v>1</v>
      </c>
      <c r="D14" s="1">
        <v>0</v>
      </c>
    </row>
    <row r="15" spans="1:21" x14ac:dyDescent="0.25">
      <c r="A15" s="1">
        <v>7</v>
      </c>
      <c r="B15" s="1">
        <v>0</v>
      </c>
      <c r="C15" s="1">
        <v>1</v>
      </c>
      <c r="D15" s="1">
        <v>0</v>
      </c>
    </row>
    <row r="16" spans="1:21" x14ac:dyDescent="0.25">
      <c r="A16" s="1">
        <v>7</v>
      </c>
      <c r="B16" s="1">
        <v>1</v>
      </c>
      <c r="C16" s="1">
        <v>1</v>
      </c>
      <c r="D16" s="1">
        <v>0</v>
      </c>
    </row>
    <row r="17" spans="1:4" x14ac:dyDescent="0.25">
      <c r="A17" s="1">
        <v>8</v>
      </c>
      <c r="B17" s="1">
        <v>0</v>
      </c>
      <c r="C17" s="1">
        <v>1</v>
      </c>
      <c r="D17" s="1">
        <v>0</v>
      </c>
    </row>
    <row r="18" spans="1:4" x14ac:dyDescent="0.25">
      <c r="A18" s="1">
        <v>8</v>
      </c>
      <c r="B18" s="1">
        <v>1</v>
      </c>
      <c r="C18" s="1">
        <v>1</v>
      </c>
      <c r="D18" s="1">
        <v>0</v>
      </c>
    </row>
    <row r="19" spans="1:4" x14ac:dyDescent="0.25">
      <c r="A19" s="1">
        <v>9</v>
      </c>
      <c r="B19" s="1">
        <v>0</v>
      </c>
      <c r="C19" s="1">
        <v>1</v>
      </c>
      <c r="D19" s="1">
        <v>0</v>
      </c>
    </row>
    <row r="20" spans="1:4" x14ac:dyDescent="0.25">
      <c r="A20" s="1">
        <v>9</v>
      </c>
      <c r="B20" s="1">
        <v>1</v>
      </c>
      <c r="C20" s="1">
        <v>1</v>
      </c>
      <c r="D20" s="1">
        <v>0</v>
      </c>
    </row>
    <row r="21" spans="1:4" ht="15.75" customHeight="1" x14ac:dyDescent="0.25">
      <c r="A21" s="1">
        <v>10</v>
      </c>
      <c r="B21" s="1">
        <v>0</v>
      </c>
      <c r="C21" s="1">
        <v>1</v>
      </c>
      <c r="D21" s="1">
        <v>0</v>
      </c>
    </row>
    <row r="22" spans="1:4" ht="15.75" customHeight="1" x14ac:dyDescent="0.25">
      <c r="A22" s="1">
        <v>10</v>
      </c>
      <c r="B22" s="1">
        <v>1</v>
      </c>
      <c r="C22" s="1">
        <v>1</v>
      </c>
      <c r="D22" s="1">
        <v>0</v>
      </c>
    </row>
    <row r="23" spans="1:4" ht="15.75" customHeight="1" x14ac:dyDescent="0.25">
      <c r="A23" s="1">
        <v>11</v>
      </c>
      <c r="B23" s="1">
        <v>0</v>
      </c>
      <c r="C23" s="1">
        <v>1</v>
      </c>
      <c r="D23" s="1">
        <v>0</v>
      </c>
    </row>
    <row r="24" spans="1:4" ht="15.75" customHeight="1" x14ac:dyDescent="0.25">
      <c r="A24" s="1">
        <v>11</v>
      </c>
      <c r="B24" s="1">
        <v>1</v>
      </c>
      <c r="C24" s="1">
        <v>1</v>
      </c>
      <c r="D24" s="1">
        <v>0</v>
      </c>
    </row>
    <row r="25" spans="1:4" ht="15.75" customHeight="1" x14ac:dyDescent="0.25">
      <c r="A25" s="1">
        <v>12</v>
      </c>
      <c r="B25" s="1">
        <v>0</v>
      </c>
      <c r="C25" s="1">
        <v>1</v>
      </c>
      <c r="D25" s="1">
        <v>0</v>
      </c>
    </row>
    <row r="26" spans="1:4" ht="15.75" customHeight="1" x14ac:dyDescent="0.25">
      <c r="A26" s="1">
        <v>12</v>
      </c>
      <c r="B26" s="1">
        <v>1</v>
      </c>
      <c r="C26" s="1">
        <v>1</v>
      </c>
      <c r="D26" s="1">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K9" sqref="K9"/>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9" t="s">
        <v>319</v>
      </c>
      <c r="B1" s="10"/>
      <c r="C1" s="10"/>
      <c r="D1" s="10"/>
      <c r="E1" s="10"/>
      <c r="F1" s="10"/>
      <c r="G1" s="10"/>
      <c r="H1" s="10"/>
      <c r="I1" s="10"/>
      <c r="J1" s="10"/>
      <c r="K1" s="10"/>
      <c r="L1" s="10"/>
      <c r="M1" s="10"/>
      <c r="N1" s="10"/>
      <c r="O1" s="10"/>
      <c r="P1" s="10"/>
      <c r="Q1" s="10"/>
      <c r="R1" s="10"/>
      <c r="S1" s="10"/>
      <c r="T1" s="10"/>
      <c r="U1" s="11"/>
    </row>
    <row r="2" spans="1:21" x14ac:dyDescent="0.25">
      <c r="A2" s="1" t="s">
        <v>44</v>
      </c>
      <c r="B2" s="1" t="s">
        <v>45</v>
      </c>
      <c r="C2" s="1" t="s">
        <v>2</v>
      </c>
      <c r="D2" s="1" t="s">
        <v>46</v>
      </c>
      <c r="E2" s="1" t="s">
        <v>42</v>
      </c>
      <c r="F2" s="1" t="s">
        <v>47</v>
      </c>
      <c r="G2" s="1" t="s">
        <v>48</v>
      </c>
    </row>
    <row r="3" spans="1:21" x14ac:dyDescent="0.25">
      <c r="A3" s="1" t="s">
        <v>49</v>
      </c>
      <c r="B3" s="1" t="s">
        <v>50</v>
      </c>
      <c r="C3" s="1">
        <v>1</v>
      </c>
    </row>
    <row r="4" spans="1:21" x14ac:dyDescent="0.25">
      <c r="A4" s="1" t="s">
        <v>49</v>
      </c>
      <c r="B4" s="1" t="s">
        <v>51</v>
      </c>
      <c r="C4" s="1">
        <v>1</v>
      </c>
    </row>
    <row r="5" spans="1:21" x14ac:dyDescent="0.25">
      <c r="A5" s="1" t="s">
        <v>49</v>
      </c>
      <c r="B5" s="1" t="s">
        <v>52</v>
      </c>
      <c r="C5" s="1">
        <v>0.25</v>
      </c>
    </row>
    <row r="6" spans="1:21" x14ac:dyDescent="0.25">
      <c r="A6" s="1" t="s">
        <v>49</v>
      </c>
      <c r="B6" s="1" t="s">
        <v>53</v>
      </c>
      <c r="C6" s="1">
        <v>1</v>
      </c>
    </row>
    <row r="7" spans="1:21" x14ac:dyDescent="0.25">
      <c r="A7" s="1" t="s">
        <v>49</v>
      </c>
      <c r="B7" s="1" t="s">
        <v>54</v>
      </c>
      <c r="C7" s="1">
        <v>0</v>
      </c>
      <c r="D7" s="1"/>
      <c r="E7" s="1"/>
      <c r="F7" s="1"/>
      <c r="G7" s="1"/>
      <c r="H7" s="1"/>
      <c r="I7" s="1"/>
    </row>
    <row r="8" spans="1:21" x14ac:dyDescent="0.25">
      <c r="A8" s="1" t="s">
        <v>49</v>
      </c>
      <c r="B8" s="1" t="s">
        <v>55</v>
      </c>
      <c r="C8" s="1">
        <v>0</v>
      </c>
      <c r="D8" s="1"/>
      <c r="E8" s="1"/>
      <c r="F8" s="1"/>
      <c r="G8" s="1"/>
      <c r="H8" s="1"/>
      <c r="I8" s="1"/>
    </row>
    <row r="9" spans="1:21" x14ac:dyDescent="0.25">
      <c r="A9" s="1" t="s">
        <v>49</v>
      </c>
      <c r="B9" s="1" t="s">
        <v>56</v>
      </c>
      <c r="C9" s="1">
        <v>0</v>
      </c>
      <c r="D9" s="1"/>
      <c r="E9" s="1"/>
      <c r="F9" s="1"/>
      <c r="G9" s="1"/>
      <c r="H9" s="1"/>
      <c r="I9" s="1"/>
    </row>
    <row r="10" spans="1:21" x14ac:dyDescent="0.25">
      <c r="A10" s="1" t="s">
        <v>49</v>
      </c>
      <c r="B10" s="1" t="s">
        <v>57</v>
      </c>
      <c r="C10" s="1">
        <v>0</v>
      </c>
      <c r="D10" s="1"/>
      <c r="E10" s="1"/>
      <c r="F10" s="1"/>
      <c r="G10" s="1"/>
      <c r="H10" s="1"/>
      <c r="I10" s="1"/>
    </row>
    <row r="11" spans="1:21" x14ac:dyDescent="0.25">
      <c r="A11" s="1" t="s">
        <v>58</v>
      </c>
      <c r="B11" s="1" t="s">
        <v>50</v>
      </c>
      <c r="C11" s="1">
        <v>5</v>
      </c>
      <c r="D11" s="1">
        <v>4</v>
      </c>
      <c r="E11" s="1">
        <v>-1</v>
      </c>
      <c r="F11" s="1" t="s">
        <v>221</v>
      </c>
      <c r="G11" s="1" t="s">
        <v>59</v>
      </c>
    </row>
    <row r="12" spans="1:21" x14ac:dyDescent="0.25">
      <c r="A12" s="1" t="s">
        <v>58</v>
      </c>
      <c r="B12" s="1" t="s">
        <v>52</v>
      </c>
      <c r="C12" s="1">
        <v>1</v>
      </c>
      <c r="D12" s="1">
        <v>2</v>
      </c>
      <c r="E12" s="1">
        <v>-1</v>
      </c>
      <c r="F12" s="1" t="s">
        <v>111</v>
      </c>
      <c r="G12" s="1" t="s">
        <v>60</v>
      </c>
    </row>
    <row r="13" spans="1:21" x14ac:dyDescent="0.25">
      <c r="A13" s="1" t="s">
        <v>58</v>
      </c>
      <c r="B13" s="1" t="s">
        <v>52</v>
      </c>
      <c r="C13" s="1">
        <v>1</v>
      </c>
      <c r="D13" s="1">
        <v>2</v>
      </c>
      <c r="E13" s="1">
        <v>-1</v>
      </c>
      <c r="F13" s="1" t="s">
        <v>87</v>
      </c>
      <c r="G13" s="1" t="s">
        <v>60</v>
      </c>
    </row>
    <row r="14" spans="1:21" x14ac:dyDescent="0.25">
      <c r="A14" s="1" t="s">
        <v>58</v>
      </c>
      <c r="B14" s="1" t="s">
        <v>52</v>
      </c>
      <c r="C14" s="1">
        <v>1</v>
      </c>
      <c r="D14" s="1">
        <v>4</v>
      </c>
      <c r="E14" s="1">
        <v>-1</v>
      </c>
      <c r="F14" s="1" t="s">
        <v>111</v>
      </c>
      <c r="G14" s="1" t="s">
        <v>59</v>
      </c>
    </row>
    <row r="15" spans="1:21" x14ac:dyDescent="0.25">
      <c r="A15" s="1" t="s">
        <v>58</v>
      </c>
      <c r="B15" s="1" t="s">
        <v>52</v>
      </c>
      <c r="C15" s="1">
        <v>1</v>
      </c>
      <c r="D15" s="1">
        <v>4</v>
      </c>
      <c r="E15" s="1">
        <v>-1</v>
      </c>
      <c r="F15" s="1" t="s">
        <v>87</v>
      </c>
      <c r="G15" s="1" t="s">
        <v>59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sqref="A1:U1"/>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9" t="s">
        <v>61</v>
      </c>
      <c r="B1" s="10"/>
      <c r="C1" s="10"/>
      <c r="D1" s="10"/>
      <c r="E1" s="10"/>
      <c r="F1" s="10"/>
      <c r="G1" s="10"/>
      <c r="H1" s="10"/>
      <c r="I1" s="10"/>
      <c r="J1" s="10"/>
      <c r="K1" s="10"/>
      <c r="L1" s="10"/>
      <c r="M1" s="10"/>
      <c r="N1" s="10"/>
      <c r="O1" s="10"/>
      <c r="P1" s="10"/>
      <c r="Q1" s="10"/>
      <c r="R1" s="10"/>
      <c r="S1" s="10"/>
      <c r="T1" s="10"/>
      <c r="U1" s="11"/>
    </row>
    <row r="2" spans="1:21" x14ac:dyDescent="0.25">
      <c r="A2" s="1" t="s">
        <v>62</v>
      </c>
      <c r="B2" s="1" t="s">
        <v>46</v>
      </c>
      <c r="C2" s="1" t="s">
        <v>63</v>
      </c>
      <c r="D2" s="1" t="s">
        <v>64</v>
      </c>
      <c r="E2" s="1" t="s">
        <v>65</v>
      </c>
      <c r="F2" s="1" t="s">
        <v>66</v>
      </c>
      <c r="G2" s="1" t="s">
        <v>67</v>
      </c>
    </row>
    <row r="3" spans="1:21" x14ac:dyDescent="0.25">
      <c r="A3" s="1">
        <v>1</v>
      </c>
      <c r="B3" s="1">
        <v>1</v>
      </c>
      <c r="C3" s="1" t="s">
        <v>68</v>
      </c>
      <c r="D3" s="1">
        <v>0</v>
      </c>
      <c r="E3" s="1">
        <v>1</v>
      </c>
      <c r="F3" s="1">
        <v>1</v>
      </c>
      <c r="G3" s="1" t="s">
        <v>69</v>
      </c>
    </row>
    <row r="4" spans="1:21" x14ac:dyDescent="0.25">
      <c r="A4" s="1">
        <v>1</v>
      </c>
      <c r="B4" s="1">
        <v>2</v>
      </c>
      <c r="C4" s="1" t="s">
        <v>60</v>
      </c>
      <c r="D4" s="1">
        <v>1</v>
      </c>
      <c r="E4" s="1">
        <v>1</v>
      </c>
      <c r="F4" s="1">
        <v>1</v>
      </c>
      <c r="G4" s="1" t="s">
        <v>70</v>
      </c>
    </row>
    <row r="5" spans="1:21" x14ac:dyDescent="0.25">
      <c r="A5" s="1">
        <v>1</v>
      </c>
      <c r="B5" s="1">
        <v>3</v>
      </c>
      <c r="C5" s="1" t="s">
        <v>71</v>
      </c>
      <c r="D5" s="1">
        <v>0</v>
      </c>
      <c r="E5" s="1">
        <v>2</v>
      </c>
      <c r="F5" s="1">
        <v>1</v>
      </c>
      <c r="G5" s="1" t="s">
        <v>71</v>
      </c>
    </row>
    <row r="6" spans="1:21" x14ac:dyDescent="0.25">
      <c r="A6" s="1">
        <v>1</v>
      </c>
      <c r="B6" s="1">
        <v>4</v>
      </c>
      <c r="C6" s="1" t="s">
        <v>59</v>
      </c>
      <c r="D6" s="1">
        <v>1</v>
      </c>
      <c r="E6" s="1">
        <v>3</v>
      </c>
      <c r="F6" s="1">
        <v>0</v>
      </c>
      <c r="G6" s="1" t="s">
        <v>59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1000"/>
  <sheetViews>
    <sheetView workbookViewId="0">
      <selection sqref="A1:U1"/>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15" customHeight="1" x14ac:dyDescent="0.25">
      <c r="A1" s="9" t="s">
        <v>72</v>
      </c>
      <c r="B1" s="10"/>
      <c r="C1" s="10"/>
      <c r="D1" s="10"/>
      <c r="E1" s="10"/>
      <c r="F1" s="10"/>
      <c r="G1" s="10"/>
      <c r="H1" s="10"/>
      <c r="I1" s="10"/>
      <c r="J1" s="10"/>
      <c r="K1" s="10"/>
      <c r="L1" s="10"/>
      <c r="M1" s="10"/>
      <c r="N1" s="10"/>
      <c r="O1" s="10"/>
      <c r="P1" s="10"/>
      <c r="Q1" s="10"/>
      <c r="R1" s="10"/>
      <c r="S1" s="10"/>
      <c r="T1" s="10"/>
      <c r="U1" s="11"/>
    </row>
    <row r="2" spans="1:21" x14ac:dyDescent="0.25">
      <c r="A2" s="1" t="s">
        <v>73</v>
      </c>
      <c r="B2" s="1" t="s">
        <v>74</v>
      </c>
      <c r="C2" s="1" t="s">
        <v>75</v>
      </c>
      <c r="D2" s="1" t="s">
        <v>76</v>
      </c>
      <c r="E2" s="1" t="s">
        <v>77</v>
      </c>
      <c r="F2" s="1" t="s">
        <v>78</v>
      </c>
      <c r="G2" s="1" t="s">
        <v>79</v>
      </c>
      <c r="H2" s="1" t="s">
        <v>80</v>
      </c>
      <c r="I2" s="1" t="s">
        <v>81</v>
      </c>
      <c r="J2" s="1" t="s">
        <v>82</v>
      </c>
      <c r="K2" s="1" t="s">
        <v>83</v>
      </c>
    </row>
    <row r="3" spans="1:21" x14ac:dyDescent="0.25">
      <c r="A3" s="1" t="s">
        <v>84</v>
      </c>
      <c r="B3" s="1">
        <v>1</v>
      </c>
      <c r="C3" s="1">
        <v>25</v>
      </c>
      <c r="D3" s="1">
        <v>10.5</v>
      </c>
      <c r="E3" s="1">
        <v>1</v>
      </c>
      <c r="F3" s="1">
        <v>0</v>
      </c>
      <c r="G3" s="1">
        <v>0</v>
      </c>
      <c r="H3" s="1">
        <v>7.5</v>
      </c>
      <c r="I3" s="1">
        <v>0.1</v>
      </c>
      <c r="J3" s="1" t="s">
        <v>85</v>
      </c>
      <c r="K3" s="1" t="s">
        <v>86</v>
      </c>
    </row>
    <row r="4" spans="1:21" x14ac:dyDescent="0.25">
      <c r="A4" s="1" t="s">
        <v>87</v>
      </c>
      <c r="B4" s="1">
        <v>0.05</v>
      </c>
      <c r="C4" s="1">
        <v>0.2</v>
      </c>
      <c r="D4" s="1">
        <v>0.08</v>
      </c>
      <c r="E4" s="1">
        <v>-1</v>
      </c>
      <c r="F4" s="1">
        <v>0</v>
      </c>
      <c r="G4" s="1">
        <v>0</v>
      </c>
      <c r="H4" s="1">
        <v>0.13</v>
      </c>
      <c r="I4" s="1">
        <v>0.01</v>
      </c>
      <c r="J4" s="1" t="s">
        <v>85</v>
      </c>
      <c r="K4" s="1" t="s">
        <v>88</v>
      </c>
    </row>
    <row r="5" spans="1:21" x14ac:dyDescent="0.25">
      <c r="A5" s="1" t="s">
        <v>87</v>
      </c>
      <c r="B5" s="1">
        <v>0</v>
      </c>
      <c r="C5" s="1">
        <v>10</v>
      </c>
      <c r="D5" s="1">
        <v>1</v>
      </c>
      <c r="E5" s="1">
        <v>-1</v>
      </c>
      <c r="F5" s="1">
        <v>0</v>
      </c>
      <c r="G5" s="1">
        <v>0</v>
      </c>
      <c r="H5" s="1">
        <v>0.1</v>
      </c>
      <c r="I5" s="1">
        <v>0.01</v>
      </c>
      <c r="J5" s="1" t="s">
        <v>85</v>
      </c>
      <c r="K5" s="1" t="s">
        <v>89</v>
      </c>
    </row>
    <row r="6" spans="1:21" x14ac:dyDescent="0.25">
      <c r="A6" s="1" t="s">
        <v>87</v>
      </c>
      <c r="B6" s="1">
        <v>1</v>
      </c>
      <c r="C6" s="1">
        <v>5</v>
      </c>
      <c r="D6" s="1">
        <v>3</v>
      </c>
      <c r="E6" s="1">
        <v>-1</v>
      </c>
      <c r="F6" s="1">
        <v>0</v>
      </c>
      <c r="G6" s="1">
        <v>0</v>
      </c>
      <c r="H6" s="1">
        <v>0.1</v>
      </c>
      <c r="I6" s="1">
        <v>0.01</v>
      </c>
      <c r="J6" s="1" t="s">
        <v>85</v>
      </c>
      <c r="K6" s="1" t="s">
        <v>90</v>
      </c>
    </row>
    <row r="7" spans="1:21" x14ac:dyDescent="0.25">
      <c r="A7" s="1" t="s">
        <v>91</v>
      </c>
      <c r="B7" s="1">
        <v>0</v>
      </c>
      <c r="C7" s="1">
        <v>1</v>
      </c>
      <c r="D7" s="1">
        <v>1</v>
      </c>
      <c r="E7" s="1">
        <v>-2</v>
      </c>
      <c r="F7" s="1">
        <v>0</v>
      </c>
      <c r="G7" s="1">
        <v>0</v>
      </c>
      <c r="H7" s="1">
        <v>0.1</v>
      </c>
      <c r="I7" s="1">
        <v>0.01</v>
      </c>
      <c r="J7" s="1" t="s">
        <v>85</v>
      </c>
      <c r="K7" s="1" t="s">
        <v>92</v>
      </c>
    </row>
    <row r="8" spans="1:21" x14ac:dyDescent="0.25">
      <c r="A8" s="1" t="s">
        <v>93</v>
      </c>
      <c r="B8" s="1">
        <v>1E-3</v>
      </c>
      <c r="C8" s="1">
        <v>1</v>
      </c>
      <c r="D8" s="1">
        <v>0.5</v>
      </c>
      <c r="E8" s="1">
        <v>-1</v>
      </c>
      <c r="F8" s="1">
        <v>0</v>
      </c>
      <c r="G8" s="1">
        <v>0</v>
      </c>
      <c r="H8" s="1">
        <v>0.1</v>
      </c>
      <c r="I8" s="1">
        <v>0.01</v>
      </c>
      <c r="J8" s="1" t="s">
        <v>85</v>
      </c>
      <c r="K8" s="1" t="s">
        <v>94</v>
      </c>
    </row>
    <row r="9" spans="1:21" x14ac:dyDescent="0.25">
      <c r="A9" s="1" t="s">
        <v>95</v>
      </c>
      <c r="B9" s="1">
        <v>10</v>
      </c>
      <c r="C9" s="1">
        <v>25</v>
      </c>
      <c r="D9" s="1">
        <v>15</v>
      </c>
      <c r="E9" s="1">
        <v>-1</v>
      </c>
      <c r="F9" s="1">
        <v>0</v>
      </c>
      <c r="G9" s="1">
        <v>0</v>
      </c>
      <c r="H9" s="1">
        <v>0.1</v>
      </c>
      <c r="I9" s="1">
        <v>0.01</v>
      </c>
      <c r="J9" s="1" t="s">
        <v>85</v>
      </c>
      <c r="K9" s="1" t="s">
        <v>96</v>
      </c>
    </row>
    <row r="10" spans="1:21" x14ac:dyDescent="0.25">
      <c r="A10" s="1" t="s">
        <v>97</v>
      </c>
      <c r="B10" s="1">
        <v>-6</v>
      </c>
      <c r="C10" s="1">
        <v>1</v>
      </c>
      <c r="D10" s="1">
        <v>-0.2</v>
      </c>
      <c r="E10" s="1">
        <v>-1</v>
      </c>
      <c r="F10" s="1">
        <v>0</v>
      </c>
      <c r="G10" s="1">
        <v>0</v>
      </c>
      <c r="H10" s="1">
        <v>0.1</v>
      </c>
      <c r="I10" s="1">
        <v>0.01</v>
      </c>
      <c r="J10" s="1" t="s">
        <v>85</v>
      </c>
      <c r="K10" s="1" t="s">
        <v>98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0"/>
  <sheetViews>
    <sheetView workbookViewId="0">
      <pane ySplit="2" topLeftCell="A3" activePane="bottomLeft" state="frozen"/>
      <selection pane="bottomLeft" activeCell="B5" sqref="B5"/>
    </sheetView>
  </sheetViews>
  <sheetFormatPr defaultColWidth="14.42578125" defaultRowHeight="15" customHeight="1" x14ac:dyDescent="0.25"/>
  <cols>
    <col min="1" max="2" width="11.42578125" customWidth="1"/>
    <col min="3" max="5" width="10" customWidth="1"/>
    <col min="6" max="6" width="17.28515625" customWidth="1"/>
    <col min="7" max="8" width="10" customWidth="1"/>
    <col min="9" max="26" width="11.42578125" customWidth="1"/>
  </cols>
  <sheetData>
    <row r="1" spans="1:21" ht="33" customHeight="1" x14ac:dyDescent="0.25">
      <c r="A1" s="9" t="s">
        <v>131</v>
      </c>
      <c r="B1" s="10"/>
      <c r="C1" s="10"/>
      <c r="D1" s="10"/>
      <c r="E1" s="10"/>
      <c r="F1" s="10"/>
      <c r="G1" s="10"/>
      <c r="H1" s="10"/>
      <c r="I1" s="10"/>
      <c r="J1" s="10"/>
      <c r="K1" s="10"/>
      <c r="L1" s="10"/>
      <c r="M1" s="10"/>
      <c r="N1" s="10"/>
      <c r="O1" s="10"/>
      <c r="P1" s="10"/>
      <c r="Q1" s="10"/>
      <c r="R1" s="10"/>
      <c r="S1" s="10"/>
      <c r="T1" s="10"/>
      <c r="U1" s="11"/>
    </row>
    <row r="2" spans="1:21" x14ac:dyDescent="0.25">
      <c r="A2" s="1" t="s">
        <v>106</v>
      </c>
      <c r="B2" s="1" t="s">
        <v>47</v>
      </c>
      <c r="C2" s="1" t="s">
        <v>132</v>
      </c>
      <c r="D2" s="1" t="s">
        <v>42</v>
      </c>
      <c r="E2" s="1" t="s">
        <v>133</v>
      </c>
      <c r="F2" s="1" t="s">
        <v>134</v>
      </c>
      <c r="G2" s="1" t="s">
        <v>135</v>
      </c>
    </row>
    <row r="3" spans="1:21" x14ac:dyDescent="0.25">
      <c r="A3" s="1">
        <v>999</v>
      </c>
      <c r="B3" s="2" t="s">
        <v>111</v>
      </c>
      <c r="C3" s="2" t="str">
        <f t="shared" ref="C3:C4" si="0">MID(F3,9,1)</f>
        <v>1</v>
      </c>
      <c r="D3" s="2">
        <v>1</v>
      </c>
      <c r="E3" s="2" t="str">
        <f>RIGHT(G3,1)</f>
        <v>1</v>
      </c>
      <c r="F3" s="1" t="s">
        <v>136</v>
      </c>
      <c r="G3" s="1">
        <v>1</v>
      </c>
    </row>
    <row r="4" spans="1:21" x14ac:dyDescent="0.25">
      <c r="A4" s="1">
        <v>999</v>
      </c>
      <c r="B4" s="2" t="s">
        <v>87</v>
      </c>
      <c r="C4" s="2" t="str">
        <f t="shared" si="0"/>
        <v>1</v>
      </c>
      <c r="D4" s="2" t="str">
        <f>MID(F4,13,1)</f>
        <v>1</v>
      </c>
      <c r="E4" s="1">
        <v>1</v>
      </c>
      <c r="F4" s="1" t="s">
        <v>137</v>
      </c>
      <c r="G4" s="1">
        <v>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sqref="A1:U1"/>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9" t="s">
        <v>138</v>
      </c>
      <c r="B1" s="10"/>
      <c r="C1" s="10"/>
      <c r="D1" s="10"/>
      <c r="E1" s="10"/>
      <c r="F1" s="10"/>
      <c r="G1" s="10"/>
      <c r="H1" s="10"/>
      <c r="I1" s="10"/>
      <c r="J1" s="10"/>
      <c r="K1" s="10"/>
      <c r="L1" s="10"/>
      <c r="M1" s="10"/>
      <c r="N1" s="10"/>
      <c r="O1" s="10"/>
      <c r="P1" s="10"/>
      <c r="Q1" s="10"/>
      <c r="R1" s="10"/>
      <c r="S1" s="10"/>
      <c r="T1" s="10"/>
      <c r="U1" s="11"/>
    </row>
    <row r="3" spans="1:41" x14ac:dyDescent="0.25">
      <c r="A3" s="1" t="s">
        <v>139</v>
      </c>
    </row>
    <row r="4" spans="1:41" x14ac:dyDescent="0.25">
      <c r="A4" s="1">
        <v>1.1180500160453291E-3</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row>
    <row r="5" spans="1:41" x14ac:dyDescent="0.25">
      <c r="A5" s="1">
        <v>4.8476613707829581E-2</v>
      </c>
      <c r="B5" s="1">
        <v>1.1725585629315664E-3</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row>
    <row r="6" spans="1:41" x14ac:dyDescent="0.25">
      <c r="A6" s="1">
        <v>0.36433780145507444</v>
      </c>
      <c r="B6" s="1">
        <v>4.9933523151304192E-2</v>
      </c>
      <c r="C6" s="1">
        <v>1.249469697710062E-3</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row>
    <row r="7" spans="1:41" x14ac:dyDescent="0.25">
      <c r="A7" s="1">
        <v>0.47465395863585058</v>
      </c>
      <c r="B7" s="1">
        <v>0.36859614786487732</v>
      </c>
      <c r="C7" s="1">
        <v>5.1940707532375327E-2</v>
      </c>
      <c r="D7" s="1">
        <v>1.3592286746411475E-3</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c r="AD7" s="1">
        <v>0</v>
      </c>
      <c r="AE7" s="1">
        <v>0</v>
      </c>
      <c r="AF7" s="1">
        <v>0</v>
      </c>
      <c r="AG7" s="1">
        <v>0</v>
      </c>
      <c r="AH7" s="1">
        <v>0</v>
      </c>
      <c r="AI7" s="1">
        <v>0</v>
      </c>
      <c r="AJ7" s="1">
        <v>0</v>
      </c>
      <c r="AK7" s="1">
        <v>0</v>
      </c>
      <c r="AL7" s="1">
        <v>0</v>
      </c>
      <c r="AM7" s="1">
        <v>0</v>
      </c>
      <c r="AN7" s="1">
        <v>0</v>
      </c>
      <c r="AO7" s="1">
        <v>0</v>
      </c>
    </row>
    <row r="8" spans="1:41" x14ac:dyDescent="0.25">
      <c r="A8" s="1">
        <v>0.1071891672222422</v>
      </c>
      <c r="B8" s="1">
        <v>0.47163963038714196</v>
      </c>
      <c r="C8" s="1">
        <v>0.37427507846499025</v>
      </c>
      <c r="D8" s="1">
        <v>5.471497066074562E-2</v>
      </c>
      <c r="E8" s="1">
        <v>1.5181197450394388E-3</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row>
    <row r="9" spans="1:41" x14ac:dyDescent="0.25">
      <c r="A9" s="1">
        <v>4.1959045672628117E-3</v>
      </c>
      <c r="B9" s="1">
        <v>0.1046093983050583</v>
      </c>
      <c r="C9" s="1">
        <v>0.46749274395448176</v>
      </c>
      <c r="D9" s="1">
        <v>0.38178664185206379</v>
      </c>
      <c r="E9" s="1">
        <v>5.8563613675473469E-2</v>
      </c>
      <c r="F9" s="1">
        <v>1.7521968001875908E-3</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row>
    <row r="10" spans="1:41" x14ac:dyDescent="0.25">
      <c r="A10" s="1">
        <v>2.8470901750461252E-5</v>
      </c>
      <c r="B10" s="1">
        <v>4.0219070874687015E-3</v>
      </c>
      <c r="C10" s="1">
        <v>0.1012184667804443</v>
      </c>
      <c r="D10" s="1">
        <v>0.46178115208658604</v>
      </c>
      <c r="E10" s="1">
        <v>0.39160715748626812</v>
      </c>
      <c r="F10" s="1">
        <v>6.3923017444076316E-2</v>
      </c>
      <c r="G10" s="1">
        <v>2.1041977536124115E-3</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row>
    <row r="11" spans="1:41" x14ac:dyDescent="0.25">
      <c r="A11" s="1">
        <v>3.348711695647974E-8</v>
      </c>
      <c r="B11" s="1">
        <v>2.6803670990472522E-5</v>
      </c>
      <c r="C11" s="1">
        <v>3.7987923091482591E-3</v>
      </c>
      <c r="D11" s="1">
        <v>9.6817216482859805E-2</v>
      </c>
      <c r="E11" s="1">
        <v>0.45391474466381893</v>
      </c>
      <c r="F11" s="1">
        <v>0.40423374714773253</v>
      </c>
      <c r="G11" s="1">
        <v>7.1410010013569294E-2</v>
      </c>
      <c r="H11" s="1">
        <v>2.6456972404927275E-3</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row>
    <row r="12" spans="1:41" x14ac:dyDescent="0.25">
      <c r="A12" s="1">
        <v>6.8273978469391306E-12</v>
      </c>
      <c r="B12" s="1">
        <v>3.096402710529956E-8</v>
      </c>
      <c r="C12" s="1">
        <v>2.4713386498494263E-5</v>
      </c>
      <c r="D12" s="1">
        <v>3.518599993116506E-3</v>
      </c>
      <c r="E12" s="1">
        <v>9.1200847751428241E-2</v>
      </c>
      <c r="F12" s="1">
        <v>0.44310717571482983</v>
      </c>
      <c r="G12" s="1">
        <v>0.4200805277768595</v>
      </c>
      <c r="H12" s="1">
        <v>8.1882130237657627E-2</v>
      </c>
      <c r="I12" s="1">
        <v>3.4980153758482338E-3</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row>
    <row r="13" spans="1:41" x14ac:dyDescent="0.25">
      <c r="A13" s="1">
        <v>0</v>
      </c>
      <c r="B13" s="1">
        <v>6.2004258054924781E-12</v>
      </c>
      <c r="C13" s="1">
        <v>2.7868903901889029E-8</v>
      </c>
      <c r="D13" s="1">
        <v>2.2166040284751908E-5</v>
      </c>
      <c r="E13" s="1">
        <v>3.1763209267193439E-3</v>
      </c>
      <c r="F13" s="1">
        <v>8.4194924984594979E-2</v>
      </c>
      <c r="G13" s="1">
        <v>0.42835804069718425</v>
      </c>
      <c r="H13" s="1">
        <v>0.43927757846762072</v>
      </c>
      <c r="I13" s="1">
        <v>9.6487841707300598E-2</v>
      </c>
      <c r="J13" s="1">
        <v>4.8662801563293338E-3</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row>
    <row r="14" spans="1:41" x14ac:dyDescent="0.25">
      <c r="A14" s="1">
        <v>0</v>
      </c>
      <c r="B14" s="1">
        <v>0</v>
      </c>
      <c r="C14" s="1">
        <v>5.447640380084009E-12</v>
      </c>
      <c r="D14" s="1">
        <v>2.4205120802946864E-8</v>
      </c>
      <c r="E14" s="1">
        <v>1.9175680812549964E-5</v>
      </c>
      <c r="F14" s="1">
        <v>2.7730899771836537E-3</v>
      </c>
      <c r="G14" s="1">
        <v>7.5715049665502271E-2</v>
      </c>
      <c r="H14" s="1">
        <v>0.40849792626041648</v>
      </c>
      <c r="I14" s="1">
        <v>0.46134347803126519</v>
      </c>
      <c r="J14" s="1">
        <v>0.11665704120380281</v>
      </c>
      <c r="K14" s="1">
        <v>7.0890703030674967E-3</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row>
    <row r="15" spans="1:41" x14ac:dyDescent="0.25">
      <c r="A15" s="1">
        <v>0</v>
      </c>
      <c r="B15" s="1">
        <v>0</v>
      </c>
      <c r="C15" s="1">
        <v>0</v>
      </c>
      <c r="D15" s="1">
        <v>4.5817069334732966E-12</v>
      </c>
      <c r="E15" s="1">
        <v>2.006680007519932E-8</v>
      </c>
      <c r="F15" s="1">
        <v>1.5832260374311731E-5</v>
      </c>
      <c r="G15" s="1">
        <v>2.3198420445359959E-3</v>
      </c>
      <c r="H15" s="1">
        <v>6.584784877684334E-2</v>
      </c>
      <c r="I15" s="1">
        <v>0.38236408647595754</v>
      </c>
      <c r="J15" s="1">
        <v>0.48475882240927087</v>
      </c>
      <c r="K15" s="1">
        <v>0.14393962827432746</v>
      </c>
      <c r="L15" s="1">
        <v>1.0696195963635446E-2</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row>
    <row r="16" spans="1:41" x14ac:dyDescent="0.25">
      <c r="A16" s="1">
        <v>0</v>
      </c>
      <c r="B16" s="1">
        <v>0</v>
      </c>
      <c r="C16" s="1">
        <v>0</v>
      </c>
      <c r="D16" s="1">
        <v>0</v>
      </c>
      <c r="E16" s="1">
        <v>3.6400418028578506E-12</v>
      </c>
      <c r="F16" s="1">
        <v>1.5668333307723346E-8</v>
      </c>
      <c r="G16" s="1">
        <v>1.2320704301269434E-5</v>
      </c>
      <c r="H16" s="1">
        <v>1.8399000957681237E-3</v>
      </c>
      <c r="I16" s="1">
        <v>5.4932671347383222E-2</v>
      </c>
      <c r="J16" s="1">
        <v>0.3491736012268023</v>
      </c>
      <c r="K16" s="1">
        <v>0.50660839924026857</v>
      </c>
      <c r="L16" s="1">
        <v>0.17958455144348934</v>
      </c>
      <c r="M16" s="1">
        <v>1.6445564533687774E-2</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row>
    <row r="17" spans="1:41" x14ac:dyDescent="0.25">
      <c r="A17" s="1">
        <v>0</v>
      </c>
      <c r="B17" s="1">
        <v>0</v>
      </c>
      <c r="C17" s="1">
        <v>0</v>
      </c>
      <c r="D17" s="1">
        <v>0</v>
      </c>
      <c r="E17" s="1">
        <v>0</v>
      </c>
      <c r="F17" s="1">
        <v>2.6878411291003915E-12</v>
      </c>
      <c r="G17" s="1">
        <v>1.1342624879845714E-8</v>
      </c>
      <c r="H17" s="1">
        <v>8.9114383777549644E-6</v>
      </c>
      <c r="I17" s="1">
        <v>1.3679973599481604E-3</v>
      </c>
      <c r="J17" s="1">
        <v>4.3597139768539767E-2</v>
      </c>
      <c r="K17" s="1">
        <v>0.30907601951603758</v>
      </c>
      <c r="L17" s="1">
        <v>0.52264826508715667</v>
      </c>
      <c r="M17" s="1">
        <v>0.2238533272974553</v>
      </c>
      <c r="N17" s="1">
        <v>2.5288648612529257E-2</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row>
    <row r="18" spans="1:41" x14ac:dyDescent="0.25">
      <c r="A18" s="1">
        <v>0</v>
      </c>
      <c r="B18" s="1">
        <v>0</v>
      </c>
      <c r="C18" s="1">
        <v>0</v>
      </c>
      <c r="D18" s="1">
        <v>0</v>
      </c>
      <c r="E18" s="1">
        <v>0</v>
      </c>
      <c r="F18" s="1">
        <v>0</v>
      </c>
      <c r="G18" s="1">
        <v>1.8100581194628295E-12</v>
      </c>
      <c r="H18" s="1">
        <v>7.4817344591055092E-9</v>
      </c>
      <c r="I18" s="1">
        <v>5.9052829975865992E-6</v>
      </c>
      <c r="J18" s="1">
        <v>9.4357300896742377E-4</v>
      </c>
      <c r="K18" s="1">
        <v>3.2685802387485578E-2</v>
      </c>
      <c r="L18" s="1">
        <v>0.26366407962834537</v>
      </c>
      <c r="M18" s="1">
        <v>0.52817669818460111</v>
      </c>
      <c r="N18" s="1">
        <v>0.27533676566470389</v>
      </c>
      <c r="O18" s="1">
        <v>3.8233374310296407E-2</v>
      </c>
      <c r="P18" s="1">
        <v>0</v>
      </c>
      <c r="Q18" s="1">
        <v>0</v>
      </c>
      <c r="R18" s="1">
        <v>0</v>
      </c>
      <c r="S18" s="1">
        <v>0</v>
      </c>
      <c r="T18" s="1">
        <v>0</v>
      </c>
      <c r="U18" s="1">
        <v>0</v>
      </c>
      <c r="V18" s="1">
        <v>0</v>
      </c>
      <c r="W18" s="1">
        <v>0</v>
      </c>
      <c r="X18" s="1">
        <v>0</v>
      </c>
      <c r="Y18" s="1">
        <v>0</v>
      </c>
      <c r="Z18" s="1">
        <v>0</v>
      </c>
      <c r="AA18" s="1">
        <v>0</v>
      </c>
      <c r="AB18" s="1">
        <v>0</v>
      </c>
      <c r="AC18" s="1">
        <v>0</v>
      </c>
      <c r="AD18" s="1">
        <v>0</v>
      </c>
      <c r="AE18" s="1">
        <v>0</v>
      </c>
      <c r="AF18" s="1">
        <v>0</v>
      </c>
      <c r="AG18" s="1">
        <v>0</v>
      </c>
      <c r="AH18" s="1">
        <v>0</v>
      </c>
      <c r="AI18" s="1">
        <v>0</v>
      </c>
      <c r="AJ18" s="1">
        <v>0</v>
      </c>
      <c r="AK18" s="1">
        <v>0</v>
      </c>
      <c r="AL18" s="1">
        <v>0</v>
      </c>
      <c r="AM18" s="1">
        <v>0</v>
      </c>
      <c r="AN18" s="1">
        <v>0</v>
      </c>
      <c r="AO18" s="1">
        <v>0</v>
      </c>
    </row>
    <row r="19" spans="1:41" x14ac:dyDescent="0.25">
      <c r="A19" s="1">
        <v>0</v>
      </c>
      <c r="B19" s="1">
        <v>0</v>
      </c>
      <c r="C19" s="1">
        <v>0</v>
      </c>
      <c r="D19" s="1">
        <v>0</v>
      </c>
      <c r="E19" s="1">
        <v>0</v>
      </c>
      <c r="F19" s="1">
        <v>0</v>
      </c>
      <c r="G19" s="1">
        <v>0</v>
      </c>
      <c r="H19" s="1">
        <v>1.0888240065367553E-12</v>
      </c>
      <c r="I19" s="1">
        <v>4.418726143692298E-9</v>
      </c>
      <c r="J19" s="1">
        <v>3.5399239859335822E-6</v>
      </c>
      <c r="K19" s="1">
        <v>5.9917530625930087E-4</v>
      </c>
      <c r="L19" s="1">
        <v>2.3056497662650159E-2</v>
      </c>
      <c r="M19" s="1">
        <v>0.21602093238018491</v>
      </c>
      <c r="N19" s="1">
        <v>0.51964135519564802</v>
      </c>
      <c r="O19" s="1">
        <v>0.33080163110756</v>
      </c>
      <c r="P19" s="1">
        <v>5.6163504733345269E-2</v>
      </c>
      <c r="Q19" s="1">
        <v>0</v>
      </c>
      <c r="R19" s="1">
        <v>0</v>
      </c>
      <c r="S19" s="1">
        <v>0</v>
      </c>
      <c r="T19" s="1">
        <v>0</v>
      </c>
      <c r="U19" s="1">
        <v>0</v>
      </c>
      <c r="V19" s="1">
        <v>0</v>
      </c>
      <c r="W19" s="1">
        <v>0</v>
      </c>
      <c r="X19" s="1">
        <v>0</v>
      </c>
      <c r="Y19" s="1">
        <v>0</v>
      </c>
      <c r="Z19" s="1">
        <v>0</v>
      </c>
      <c r="AA19" s="1">
        <v>0</v>
      </c>
      <c r="AB19" s="1">
        <v>0</v>
      </c>
      <c r="AC19" s="1">
        <v>0</v>
      </c>
      <c r="AD19" s="1">
        <v>0</v>
      </c>
      <c r="AE19" s="1">
        <v>0</v>
      </c>
      <c r="AF19" s="1">
        <v>0</v>
      </c>
      <c r="AG19" s="1">
        <v>0</v>
      </c>
      <c r="AH19" s="1">
        <v>0</v>
      </c>
      <c r="AI19" s="1">
        <v>0</v>
      </c>
      <c r="AJ19" s="1">
        <v>0</v>
      </c>
      <c r="AK19" s="1">
        <v>0</v>
      </c>
      <c r="AL19" s="1">
        <v>0</v>
      </c>
      <c r="AM19" s="1">
        <v>0</v>
      </c>
      <c r="AN19" s="1">
        <v>0</v>
      </c>
      <c r="AO19" s="1">
        <v>0</v>
      </c>
    </row>
    <row r="20" spans="1:41" x14ac:dyDescent="0.25">
      <c r="A20" s="1">
        <v>0</v>
      </c>
      <c r="B20" s="1">
        <v>0</v>
      </c>
      <c r="C20" s="1">
        <v>0</v>
      </c>
      <c r="D20" s="1">
        <v>0</v>
      </c>
      <c r="E20" s="1">
        <v>0</v>
      </c>
      <c r="F20" s="1">
        <v>0</v>
      </c>
      <c r="G20" s="1">
        <v>0</v>
      </c>
      <c r="H20" s="1">
        <v>0</v>
      </c>
      <c r="I20" s="1">
        <v>5.7313162528880491E-13</v>
      </c>
      <c r="J20" s="1">
        <v>2.302042191093932E-9</v>
      </c>
      <c r="K20" s="1">
        <v>1.9039238664022043E-6</v>
      </c>
      <c r="L20" s="1">
        <v>3.4949150443267364E-4</v>
      </c>
      <c r="M20" s="1">
        <v>1.5314871271811067E-2</v>
      </c>
      <c r="N20" s="1">
        <v>0.16999812154007476</v>
      </c>
      <c r="O20" s="1">
        <v>0.49612780980328686</v>
      </c>
      <c r="P20" s="1">
        <v>0.38590307925812573</v>
      </c>
      <c r="Q20" s="1">
        <v>7.9763404213937267E-2</v>
      </c>
      <c r="R20" s="1">
        <v>0</v>
      </c>
      <c r="S20" s="1">
        <v>0</v>
      </c>
      <c r="T20" s="1">
        <v>0</v>
      </c>
      <c r="U20" s="1">
        <v>0</v>
      </c>
      <c r="V20" s="1">
        <v>0</v>
      </c>
      <c r="W20" s="1">
        <v>0</v>
      </c>
      <c r="X20" s="1">
        <v>0</v>
      </c>
      <c r="Y20" s="1">
        <v>0</v>
      </c>
      <c r="Z20" s="1">
        <v>0</v>
      </c>
      <c r="AA20" s="1">
        <v>0</v>
      </c>
      <c r="AB20" s="1">
        <v>0</v>
      </c>
      <c r="AC20" s="1">
        <v>0</v>
      </c>
      <c r="AD20" s="1">
        <v>0</v>
      </c>
      <c r="AE20" s="1">
        <v>0</v>
      </c>
      <c r="AF20" s="1">
        <v>0</v>
      </c>
      <c r="AG20" s="1">
        <v>0</v>
      </c>
      <c r="AH20" s="1">
        <v>0</v>
      </c>
      <c r="AI20" s="1">
        <v>0</v>
      </c>
      <c r="AJ20" s="1">
        <v>0</v>
      </c>
      <c r="AK20" s="1">
        <v>0</v>
      </c>
      <c r="AL20" s="1">
        <v>0</v>
      </c>
      <c r="AM20" s="1">
        <v>0</v>
      </c>
      <c r="AN20" s="1">
        <v>0</v>
      </c>
      <c r="AO20" s="1">
        <v>0</v>
      </c>
    </row>
    <row r="21" spans="1:41" ht="15.75" customHeight="1" x14ac:dyDescent="0.25">
      <c r="A21" s="1">
        <v>0</v>
      </c>
      <c r="B21" s="1">
        <v>0</v>
      </c>
      <c r="C21" s="1">
        <v>0</v>
      </c>
      <c r="D21" s="1">
        <v>0</v>
      </c>
      <c r="E21" s="1">
        <v>0</v>
      </c>
      <c r="F21" s="1">
        <v>0</v>
      </c>
      <c r="G21" s="1">
        <v>0</v>
      </c>
      <c r="H21" s="1">
        <v>0</v>
      </c>
      <c r="I21" s="1">
        <v>0</v>
      </c>
      <c r="J21" s="1">
        <v>2.5949771449029505E-13</v>
      </c>
      <c r="K21" s="1">
        <v>1.0486876776063124E-9</v>
      </c>
      <c r="L21" s="1">
        <v>9.1829204990353557E-7</v>
      </c>
      <c r="M21" s="1">
        <v>1.88205270310794E-4</v>
      </c>
      <c r="N21" s="1">
        <v>9.6401868992086037E-3</v>
      </c>
      <c r="O21" s="1">
        <v>0.12897941902377835</v>
      </c>
      <c r="P21" s="1">
        <v>0.45962453403026116</v>
      </c>
      <c r="Q21" s="1">
        <v>0.4363934571736191</v>
      </c>
      <c r="R21" s="1">
        <v>0.10963924762958933</v>
      </c>
      <c r="S21" s="1">
        <v>0</v>
      </c>
      <c r="T21" s="1">
        <v>0</v>
      </c>
      <c r="U21" s="1">
        <v>0</v>
      </c>
      <c r="V21" s="1">
        <v>0</v>
      </c>
      <c r="W21" s="1">
        <v>0</v>
      </c>
      <c r="X21" s="1">
        <v>0</v>
      </c>
      <c r="Y21" s="1">
        <v>0</v>
      </c>
      <c r="Z21" s="1">
        <v>0</v>
      </c>
      <c r="AA21" s="1">
        <v>0</v>
      </c>
      <c r="AB21" s="1">
        <v>0</v>
      </c>
      <c r="AC21" s="1">
        <v>0</v>
      </c>
      <c r="AD21" s="1">
        <v>0</v>
      </c>
      <c r="AE21" s="1">
        <v>0</v>
      </c>
      <c r="AF21" s="1">
        <v>0</v>
      </c>
      <c r="AG21" s="1">
        <v>0</v>
      </c>
      <c r="AH21" s="1">
        <v>0</v>
      </c>
      <c r="AI21" s="1">
        <v>0</v>
      </c>
      <c r="AJ21" s="1">
        <v>0</v>
      </c>
      <c r="AK21" s="1">
        <v>0</v>
      </c>
      <c r="AL21" s="1">
        <v>0</v>
      </c>
      <c r="AM21" s="1">
        <v>0</v>
      </c>
      <c r="AN21" s="1">
        <v>0</v>
      </c>
      <c r="AO21" s="1">
        <v>0</v>
      </c>
    </row>
    <row r="22" spans="1:41" ht="15.75" customHeight="1" x14ac:dyDescent="0.25">
      <c r="A22" s="1">
        <v>0</v>
      </c>
      <c r="B22" s="1">
        <v>0</v>
      </c>
      <c r="C22" s="1">
        <v>0</v>
      </c>
      <c r="D22" s="1">
        <v>0</v>
      </c>
      <c r="E22" s="1">
        <v>0</v>
      </c>
      <c r="F22" s="1">
        <v>0</v>
      </c>
      <c r="G22" s="1">
        <v>0</v>
      </c>
      <c r="H22" s="1">
        <v>0</v>
      </c>
      <c r="I22" s="1">
        <v>0</v>
      </c>
      <c r="J22" s="1">
        <v>0</v>
      </c>
      <c r="K22" s="1">
        <v>0</v>
      </c>
      <c r="L22" s="1">
        <v>4.1824036146654438E-10</v>
      </c>
      <c r="M22" s="1">
        <v>4.0091391166584419E-7</v>
      </c>
      <c r="N22" s="1">
        <v>9.4760577947692207E-5</v>
      </c>
      <c r="O22" s="1">
        <v>5.8123020691990034E-3</v>
      </c>
      <c r="P22" s="1">
        <v>9.4891885640617762E-2</v>
      </c>
      <c r="Q22" s="1">
        <v>0.41386023107432751</v>
      </c>
      <c r="R22" s="1">
        <v>0.47896652423134101</v>
      </c>
      <c r="S22" s="1">
        <v>0.14651276911681238</v>
      </c>
      <c r="T22" s="1">
        <v>0</v>
      </c>
      <c r="U22" s="1">
        <v>0</v>
      </c>
      <c r="V22" s="1">
        <v>0</v>
      </c>
      <c r="W22" s="1">
        <v>0</v>
      </c>
      <c r="X22" s="1">
        <v>0</v>
      </c>
      <c r="Y22" s="1">
        <v>0</v>
      </c>
      <c r="Z22" s="1">
        <v>0</v>
      </c>
      <c r="AA22" s="1">
        <v>0</v>
      </c>
      <c r="AB22" s="1">
        <v>0</v>
      </c>
      <c r="AC22" s="1">
        <v>0</v>
      </c>
      <c r="AD22" s="1">
        <v>0</v>
      </c>
      <c r="AE22" s="1">
        <v>0</v>
      </c>
      <c r="AF22" s="1">
        <v>0</v>
      </c>
      <c r="AG22" s="1">
        <v>0</v>
      </c>
      <c r="AH22" s="1">
        <v>0</v>
      </c>
      <c r="AI22" s="1">
        <v>0</v>
      </c>
      <c r="AJ22" s="1">
        <v>0</v>
      </c>
      <c r="AK22" s="1">
        <v>0</v>
      </c>
      <c r="AL22" s="1">
        <v>0</v>
      </c>
      <c r="AM22" s="1">
        <v>0</v>
      </c>
      <c r="AN22" s="1">
        <v>0</v>
      </c>
      <c r="AO22" s="1">
        <v>0</v>
      </c>
    </row>
    <row r="23" spans="1:41" ht="15.75" customHeight="1" x14ac:dyDescent="0.25">
      <c r="A23" s="1">
        <v>0</v>
      </c>
      <c r="B23" s="1">
        <v>0</v>
      </c>
      <c r="C23" s="1">
        <v>0</v>
      </c>
      <c r="D23" s="1">
        <v>0</v>
      </c>
      <c r="E23" s="1">
        <v>0</v>
      </c>
      <c r="F23" s="1">
        <v>0</v>
      </c>
      <c r="G23" s="1">
        <v>0</v>
      </c>
      <c r="H23" s="1">
        <v>0</v>
      </c>
      <c r="I23" s="1">
        <v>0</v>
      </c>
      <c r="J23" s="1">
        <v>0</v>
      </c>
      <c r="K23" s="1">
        <v>0</v>
      </c>
      <c r="L23" s="1">
        <v>0</v>
      </c>
      <c r="M23" s="1">
        <v>1.480373791463745E-10</v>
      </c>
      <c r="N23" s="1">
        <v>1.6146219915483304E-7</v>
      </c>
      <c r="O23" s="1">
        <v>4.54021953311545E-5</v>
      </c>
      <c r="P23" s="1">
        <v>3.3959076129792304E-3</v>
      </c>
      <c r="Q23" s="1">
        <v>6.8034637757355951E-2</v>
      </c>
      <c r="R23" s="1">
        <v>0.36269802503377935</v>
      </c>
      <c r="S23" s="1">
        <v>0.51124408026971391</v>
      </c>
      <c r="T23" s="1">
        <v>0.19118771748189489</v>
      </c>
      <c r="U23" s="1">
        <v>0</v>
      </c>
      <c r="V23" s="1">
        <v>0</v>
      </c>
      <c r="W23" s="1">
        <v>0</v>
      </c>
      <c r="X23" s="1">
        <v>0</v>
      </c>
      <c r="Y23" s="1">
        <v>0</v>
      </c>
      <c r="Z23" s="1">
        <v>0</v>
      </c>
      <c r="AA23" s="1">
        <v>0</v>
      </c>
      <c r="AB23" s="1">
        <v>0</v>
      </c>
      <c r="AC23" s="1">
        <v>0</v>
      </c>
      <c r="AD23" s="1">
        <v>0</v>
      </c>
      <c r="AE23" s="1">
        <v>0</v>
      </c>
      <c r="AF23" s="1">
        <v>0</v>
      </c>
      <c r="AG23" s="1">
        <v>0</v>
      </c>
      <c r="AH23" s="1">
        <v>0</v>
      </c>
      <c r="AI23" s="1">
        <v>0</v>
      </c>
      <c r="AJ23" s="1">
        <v>0</v>
      </c>
      <c r="AK23" s="1">
        <v>0</v>
      </c>
      <c r="AL23" s="1">
        <v>0</v>
      </c>
      <c r="AM23" s="1">
        <v>0</v>
      </c>
      <c r="AN23" s="1">
        <v>0</v>
      </c>
      <c r="AO23" s="1">
        <v>0</v>
      </c>
    </row>
    <row r="24" spans="1:41" ht="15.75" customHeight="1" x14ac:dyDescent="0.25">
      <c r="A24" s="1">
        <v>0</v>
      </c>
      <c r="B24" s="1">
        <v>0</v>
      </c>
      <c r="C24" s="1">
        <v>0</v>
      </c>
      <c r="D24" s="1">
        <v>0</v>
      </c>
      <c r="E24" s="1">
        <v>0</v>
      </c>
      <c r="F24" s="1">
        <v>0</v>
      </c>
      <c r="G24" s="1">
        <v>0</v>
      </c>
      <c r="H24" s="1">
        <v>0</v>
      </c>
      <c r="I24" s="1">
        <v>0</v>
      </c>
      <c r="J24" s="1">
        <v>0</v>
      </c>
      <c r="K24" s="1">
        <v>0</v>
      </c>
      <c r="L24" s="1">
        <v>0</v>
      </c>
      <c r="M24" s="1">
        <v>0</v>
      </c>
      <c r="N24" s="1">
        <v>4.7688640468328462E-11</v>
      </c>
      <c r="O24" s="1">
        <v>6.147611925474125E-8</v>
      </c>
      <c r="P24" s="1">
        <v>2.1066072376721096E-5</v>
      </c>
      <c r="Q24" s="1">
        <v>1.938685549762207E-3</v>
      </c>
      <c r="R24" s="1">
        <v>4.7608679542709288E-2</v>
      </c>
      <c r="S24" s="1">
        <v>0.30923028702845334</v>
      </c>
      <c r="T24" s="1">
        <v>0.53125335978516364</v>
      </c>
      <c r="U24" s="1">
        <v>0.24403865318255999</v>
      </c>
      <c r="V24" s="1">
        <v>0</v>
      </c>
      <c r="W24" s="1">
        <v>0</v>
      </c>
      <c r="X24" s="1">
        <v>0</v>
      </c>
      <c r="Y24" s="1">
        <v>0</v>
      </c>
      <c r="Z24" s="1">
        <v>0</v>
      </c>
      <c r="AA24" s="1">
        <v>0</v>
      </c>
      <c r="AB24" s="1">
        <v>0</v>
      </c>
      <c r="AC24" s="1">
        <v>0</v>
      </c>
      <c r="AD24" s="1">
        <v>0</v>
      </c>
      <c r="AE24" s="1">
        <v>0</v>
      </c>
      <c r="AF24" s="1">
        <v>0</v>
      </c>
      <c r="AG24" s="1">
        <v>0</v>
      </c>
      <c r="AH24" s="1">
        <v>0</v>
      </c>
      <c r="AI24" s="1">
        <v>0</v>
      </c>
      <c r="AJ24" s="1">
        <v>0</v>
      </c>
      <c r="AK24" s="1">
        <v>0</v>
      </c>
      <c r="AL24" s="1">
        <v>0</v>
      </c>
      <c r="AM24" s="1">
        <v>0</v>
      </c>
      <c r="AN24" s="1">
        <v>0</v>
      </c>
      <c r="AO24" s="1">
        <v>0</v>
      </c>
    </row>
    <row r="25" spans="1:41" ht="15.75" customHeight="1" x14ac:dyDescent="0.25">
      <c r="A25" s="1">
        <v>0</v>
      </c>
      <c r="B25" s="1">
        <v>0</v>
      </c>
      <c r="C25" s="1">
        <v>0</v>
      </c>
      <c r="D25" s="1">
        <v>0</v>
      </c>
      <c r="E25" s="1">
        <v>0</v>
      </c>
      <c r="F25" s="1">
        <v>0</v>
      </c>
      <c r="G25" s="1">
        <v>0</v>
      </c>
      <c r="H25" s="1">
        <v>0</v>
      </c>
      <c r="I25" s="1">
        <v>0</v>
      </c>
      <c r="J25" s="1">
        <v>0</v>
      </c>
      <c r="K25" s="1">
        <v>0</v>
      </c>
      <c r="L25" s="1">
        <v>0</v>
      </c>
      <c r="M25" s="1">
        <v>0</v>
      </c>
      <c r="N25" s="1">
        <v>0</v>
      </c>
      <c r="O25" s="1">
        <v>1.4429023860430333E-11</v>
      </c>
      <c r="P25" s="1">
        <v>2.2652294172437443E-8</v>
      </c>
      <c r="Q25" s="1">
        <v>9.5760319257506423E-6</v>
      </c>
      <c r="R25" s="1">
        <v>1.0832482528373695E-3</v>
      </c>
      <c r="S25" s="1">
        <v>3.242176625277414E-2</v>
      </c>
      <c r="T25" s="1">
        <v>0.25588469261618252</v>
      </c>
      <c r="U25" s="1">
        <v>0.53723604842002926</v>
      </c>
      <c r="V25" s="1">
        <v>0.30410526072286426</v>
      </c>
      <c r="W25" s="1">
        <v>0</v>
      </c>
      <c r="X25" s="1">
        <v>0</v>
      </c>
      <c r="Y25" s="1">
        <v>0</v>
      </c>
      <c r="Z25" s="1">
        <v>0</v>
      </c>
      <c r="AA25" s="1">
        <v>0</v>
      </c>
      <c r="AB25" s="1">
        <v>0</v>
      </c>
      <c r="AC25" s="1">
        <v>0</v>
      </c>
      <c r="AD25" s="1">
        <v>0</v>
      </c>
      <c r="AE25" s="1">
        <v>0</v>
      </c>
      <c r="AF25" s="1">
        <v>0</v>
      </c>
      <c r="AG25" s="1">
        <v>0</v>
      </c>
      <c r="AH25" s="1">
        <v>0</v>
      </c>
      <c r="AI25" s="1">
        <v>0</v>
      </c>
      <c r="AJ25" s="1">
        <v>0</v>
      </c>
      <c r="AK25" s="1">
        <v>0</v>
      </c>
      <c r="AL25" s="1">
        <v>0</v>
      </c>
      <c r="AM25" s="1">
        <v>0</v>
      </c>
      <c r="AN25" s="1">
        <v>0</v>
      </c>
      <c r="AO25" s="1">
        <v>0</v>
      </c>
    </row>
    <row r="26" spans="1:41" ht="15.75" customHeight="1" x14ac:dyDescent="0.25">
      <c r="A26" s="1">
        <v>0</v>
      </c>
      <c r="B26" s="1">
        <v>0</v>
      </c>
      <c r="C26" s="1">
        <v>0</v>
      </c>
      <c r="D26" s="1">
        <v>0</v>
      </c>
      <c r="E26" s="1">
        <v>0</v>
      </c>
      <c r="F26" s="1">
        <v>0</v>
      </c>
      <c r="G26" s="1">
        <v>0</v>
      </c>
      <c r="H26" s="1">
        <v>0</v>
      </c>
      <c r="I26" s="1">
        <v>0</v>
      </c>
      <c r="J26" s="1">
        <v>0</v>
      </c>
      <c r="K26" s="1">
        <v>0</v>
      </c>
      <c r="L26" s="1">
        <v>0</v>
      </c>
      <c r="M26" s="1">
        <v>0</v>
      </c>
      <c r="N26" s="1">
        <v>0</v>
      </c>
      <c r="O26" s="1">
        <v>0</v>
      </c>
      <c r="P26" s="1">
        <v>0</v>
      </c>
      <c r="Q26" s="1">
        <v>8.1990722411656567E-9</v>
      </c>
      <c r="R26" s="1">
        <v>4.2723888586126699E-6</v>
      </c>
      <c r="S26" s="1">
        <v>5.8924001621980381E-4</v>
      </c>
      <c r="T26" s="1">
        <v>2.1364259233016117E-2</v>
      </c>
      <c r="U26" s="1">
        <v>0.20500883994124508</v>
      </c>
      <c r="V26" s="1">
        <v>0.52837697890025503</v>
      </c>
      <c r="W26" s="1">
        <v>0.36839875910488273</v>
      </c>
      <c r="X26" s="1">
        <v>0</v>
      </c>
      <c r="Y26" s="1">
        <v>0</v>
      </c>
      <c r="Z26" s="1">
        <v>0</v>
      </c>
      <c r="AA26" s="1">
        <v>0</v>
      </c>
      <c r="AB26" s="1">
        <v>0</v>
      </c>
      <c r="AC26" s="1">
        <v>0</v>
      </c>
      <c r="AD26" s="1">
        <v>0</v>
      </c>
      <c r="AE26" s="1">
        <v>0</v>
      </c>
      <c r="AF26" s="1">
        <v>0</v>
      </c>
      <c r="AG26" s="1">
        <v>0</v>
      </c>
      <c r="AH26" s="1">
        <v>0</v>
      </c>
      <c r="AI26" s="1">
        <v>0</v>
      </c>
      <c r="AJ26" s="1">
        <v>0</v>
      </c>
      <c r="AK26" s="1">
        <v>0</v>
      </c>
      <c r="AL26" s="1">
        <v>0</v>
      </c>
      <c r="AM26" s="1">
        <v>0</v>
      </c>
      <c r="AN26" s="1">
        <v>0</v>
      </c>
      <c r="AO26" s="1">
        <v>0</v>
      </c>
    </row>
    <row r="27" spans="1:41" ht="15.75" customHeight="1" x14ac:dyDescent="0.25">
      <c r="A27" s="1">
        <v>0</v>
      </c>
      <c r="B27" s="1">
        <v>0</v>
      </c>
      <c r="C27" s="1">
        <v>0</v>
      </c>
      <c r="D27" s="1">
        <v>0</v>
      </c>
      <c r="E27" s="1">
        <v>0</v>
      </c>
      <c r="F27" s="1">
        <v>0</v>
      </c>
      <c r="G27" s="1">
        <v>0</v>
      </c>
      <c r="H27" s="1">
        <v>0</v>
      </c>
      <c r="I27" s="1">
        <v>0</v>
      </c>
      <c r="J27" s="1">
        <v>0</v>
      </c>
      <c r="K27" s="1">
        <v>0</v>
      </c>
      <c r="L27" s="1">
        <v>0</v>
      </c>
      <c r="M27" s="1">
        <v>0</v>
      </c>
      <c r="N27" s="1">
        <v>0</v>
      </c>
      <c r="O27" s="1">
        <v>0</v>
      </c>
      <c r="P27" s="1">
        <v>0</v>
      </c>
      <c r="Q27" s="1">
        <v>0</v>
      </c>
      <c r="R27" s="1">
        <v>2.9208850513744097E-9</v>
      </c>
      <c r="S27" s="1">
        <v>1.8563023343132937E-6</v>
      </c>
      <c r="T27" s="1">
        <v>3.0919487526539336E-4</v>
      </c>
      <c r="U27" s="1">
        <v>1.356066370365693E-2</v>
      </c>
      <c r="V27" s="1">
        <v>0.15913465146080125</v>
      </c>
      <c r="W27" s="1">
        <v>0.50608129358735432</v>
      </c>
      <c r="X27" s="1">
        <v>0.43224990891020154</v>
      </c>
      <c r="Y27" s="1">
        <v>0</v>
      </c>
      <c r="Z27" s="1">
        <v>0</v>
      </c>
      <c r="AA27" s="1">
        <v>0</v>
      </c>
      <c r="AB27" s="1">
        <v>0</v>
      </c>
      <c r="AC27" s="1">
        <v>0</v>
      </c>
      <c r="AD27" s="1">
        <v>0</v>
      </c>
      <c r="AE27" s="1">
        <v>0</v>
      </c>
      <c r="AF27" s="1">
        <v>0</v>
      </c>
      <c r="AG27" s="1">
        <v>0</v>
      </c>
      <c r="AH27" s="1">
        <v>0</v>
      </c>
      <c r="AI27" s="1">
        <v>0</v>
      </c>
      <c r="AJ27" s="1">
        <v>0</v>
      </c>
      <c r="AK27" s="1">
        <v>0</v>
      </c>
      <c r="AL27" s="1">
        <v>0</v>
      </c>
      <c r="AM27" s="1">
        <v>0</v>
      </c>
      <c r="AN27" s="1">
        <v>0</v>
      </c>
      <c r="AO27" s="1">
        <v>0</v>
      </c>
    </row>
    <row r="28" spans="1:41" ht="15.75" customHeight="1" x14ac:dyDescent="0.25">
      <c r="A28" s="1">
        <v>0</v>
      </c>
      <c r="B28" s="1">
        <v>0</v>
      </c>
      <c r="C28" s="1">
        <v>0</v>
      </c>
      <c r="D28" s="1">
        <v>0</v>
      </c>
      <c r="E28" s="1">
        <v>0</v>
      </c>
      <c r="F28" s="1">
        <v>0</v>
      </c>
      <c r="G28" s="1">
        <v>0</v>
      </c>
      <c r="H28" s="1">
        <v>0</v>
      </c>
      <c r="I28" s="1">
        <v>0</v>
      </c>
      <c r="J28" s="1">
        <v>0</v>
      </c>
      <c r="K28" s="1">
        <v>0</v>
      </c>
      <c r="L28" s="1">
        <v>0</v>
      </c>
      <c r="M28" s="1">
        <v>0</v>
      </c>
      <c r="N28" s="1">
        <v>0</v>
      </c>
      <c r="O28" s="1">
        <v>0</v>
      </c>
      <c r="P28" s="1">
        <v>0</v>
      </c>
      <c r="Q28" s="1">
        <v>0</v>
      </c>
      <c r="R28" s="1">
        <v>0</v>
      </c>
      <c r="S28" s="1">
        <v>1.0136921991308225E-9</v>
      </c>
      <c r="T28" s="1">
        <v>7.756711714455844E-7</v>
      </c>
      <c r="U28" s="1">
        <v>1.5548561620896625E-4</v>
      </c>
      <c r="V28" s="1">
        <v>8.3078097533458971E-3</v>
      </c>
      <c r="W28" s="1">
        <v>0.12051006654074994</v>
      </c>
      <c r="X28" s="1">
        <v>0.47447512279146253</v>
      </c>
      <c r="Y28" s="1">
        <v>0.49081880344230483</v>
      </c>
      <c r="Z28" s="1">
        <v>0</v>
      </c>
      <c r="AA28" s="1">
        <v>0</v>
      </c>
      <c r="AB28" s="1">
        <v>0</v>
      </c>
      <c r="AC28" s="1">
        <v>0</v>
      </c>
      <c r="AD28" s="1">
        <v>0</v>
      </c>
      <c r="AE28" s="1">
        <v>0</v>
      </c>
      <c r="AF28" s="1">
        <v>0</v>
      </c>
      <c r="AG28" s="1">
        <v>0</v>
      </c>
      <c r="AH28" s="1">
        <v>0</v>
      </c>
      <c r="AI28" s="1">
        <v>0</v>
      </c>
      <c r="AJ28" s="1">
        <v>0</v>
      </c>
      <c r="AK28" s="1">
        <v>0</v>
      </c>
      <c r="AL28" s="1">
        <v>0</v>
      </c>
      <c r="AM28" s="1">
        <v>0</v>
      </c>
      <c r="AN28" s="1">
        <v>0</v>
      </c>
      <c r="AO28" s="1">
        <v>0</v>
      </c>
    </row>
    <row r="29" spans="1:41" ht="15.75" customHeight="1" x14ac:dyDescent="0.25">
      <c r="A29" s="1">
        <v>0</v>
      </c>
      <c r="B29" s="1">
        <v>0</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3.3730589401614296E-10</v>
      </c>
      <c r="U29" s="1">
        <v>3.0902983359445475E-7</v>
      </c>
      <c r="V29" s="1">
        <v>7.5181198341430476E-5</v>
      </c>
      <c r="W29" s="1">
        <v>4.9742462753724062E-3</v>
      </c>
      <c r="X29" s="1">
        <v>9.0280280319876741E-2</v>
      </c>
      <c r="Y29" s="1">
        <v>0.43921233459942011</v>
      </c>
      <c r="Z29" s="1">
        <v>0.54074372379032243</v>
      </c>
      <c r="AA29" s="1">
        <v>0</v>
      </c>
      <c r="AB29" s="1">
        <v>0</v>
      </c>
      <c r="AC29" s="1">
        <v>0</v>
      </c>
      <c r="AD29" s="1">
        <v>0</v>
      </c>
      <c r="AE29" s="1">
        <v>0</v>
      </c>
      <c r="AF29" s="1">
        <v>0</v>
      </c>
      <c r="AG29" s="1">
        <v>0</v>
      </c>
      <c r="AH29" s="1">
        <v>0</v>
      </c>
      <c r="AI29" s="1">
        <v>0</v>
      </c>
      <c r="AJ29" s="1">
        <v>0</v>
      </c>
      <c r="AK29" s="1">
        <v>0</v>
      </c>
      <c r="AL29" s="1">
        <v>0</v>
      </c>
      <c r="AM29" s="1">
        <v>0</v>
      </c>
      <c r="AN29" s="1">
        <v>0</v>
      </c>
      <c r="AO29" s="1">
        <v>0</v>
      </c>
    </row>
    <row r="30" spans="1:41" ht="15.75" customHeight="1" x14ac:dyDescent="0.25">
      <c r="A30" s="1">
        <v>0</v>
      </c>
      <c r="B30" s="1">
        <v>0</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1.0646614092787798E-10</v>
      </c>
      <c r="V30" s="1">
        <v>1.1793232496360163E-7</v>
      </c>
      <c r="W30" s="1">
        <v>3.5590341580086193E-5</v>
      </c>
      <c r="X30" s="1">
        <v>2.9776473814990506E-3</v>
      </c>
      <c r="Y30" s="1">
        <v>6.8128492526058917E-2</v>
      </c>
      <c r="Z30" s="1">
        <v>0.40538508599850942</v>
      </c>
      <c r="AA30" s="1">
        <v>0.58080769163441215</v>
      </c>
      <c r="AB30" s="1">
        <v>0</v>
      </c>
      <c r="AC30" s="1">
        <v>0</v>
      </c>
      <c r="AD30" s="1">
        <v>0</v>
      </c>
      <c r="AE30" s="1">
        <v>0</v>
      </c>
      <c r="AF30" s="1">
        <v>0</v>
      </c>
      <c r="AG30" s="1">
        <v>0</v>
      </c>
      <c r="AH30" s="1">
        <v>0</v>
      </c>
      <c r="AI30" s="1">
        <v>0</v>
      </c>
      <c r="AJ30" s="1">
        <v>0</v>
      </c>
      <c r="AK30" s="1">
        <v>0</v>
      </c>
      <c r="AL30" s="1">
        <v>0</v>
      </c>
      <c r="AM30" s="1">
        <v>0</v>
      </c>
      <c r="AN30" s="1">
        <v>0</v>
      </c>
      <c r="AO30" s="1">
        <v>0</v>
      </c>
    </row>
    <row r="31" spans="1:41" ht="15.75" customHeight="1" x14ac:dyDescent="0.25">
      <c r="A31" s="1">
        <v>0</v>
      </c>
      <c r="B31" s="1">
        <v>0</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3.2066930662022026E-11</v>
      </c>
      <c r="W31" s="1">
        <v>4.4140570762897383E-8</v>
      </c>
      <c r="X31" s="1">
        <v>1.7023723220456304E-5</v>
      </c>
      <c r="Y31" s="1">
        <v>1.8318248506013735E-3</v>
      </c>
      <c r="Z31" s="1">
        <v>5.2679902476482979E-2</v>
      </c>
      <c r="AA31" s="1">
        <v>0.37614250688243783</v>
      </c>
      <c r="AB31" s="1">
        <v>0.61153112166358625</v>
      </c>
      <c r="AC31" s="1">
        <v>0</v>
      </c>
      <c r="AD31" s="1">
        <v>0</v>
      </c>
      <c r="AE31" s="1">
        <v>0</v>
      </c>
      <c r="AF31" s="1">
        <v>0</v>
      </c>
      <c r="AG31" s="1">
        <v>0</v>
      </c>
      <c r="AH31" s="1">
        <v>0</v>
      </c>
      <c r="AI31" s="1">
        <v>0</v>
      </c>
      <c r="AJ31" s="1">
        <v>0</v>
      </c>
      <c r="AK31" s="1">
        <v>0</v>
      </c>
      <c r="AL31" s="1">
        <v>0</v>
      </c>
      <c r="AM31" s="1">
        <v>0</v>
      </c>
      <c r="AN31" s="1">
        <v>0</v>
      </c>
      <c r="AO31" s="1">
        <v>0</v>
      </c>
    </row>
    <row r="32" spans="1:41" ht="15.75" customHeight="1" x14ac:dyDescent="0.25">
      <c r="A32" s="1">
        <v>0</v>
      </c>
      <c r="B32" s="1">
        <v>0</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9.4895288063971277E-12</v>
      </c>
      <c r="X32" s="1">
        <v>1.6870841625146719E-8</v>
      </c>
      <c r="Y32" s="1">
        <v>8.5376830643334396E-6</v>
      </c>
      <c r="Z32" s="1">
        <v>1.1866511736806299E-3</v>
      </c>
      <c r="AA32" s="1">
        <v>4.2225362425353852E-2</v>
      </c>
      <c r="AB32" s="1">
        <v>0.35261295151089167</v>
      </c>
      <c r="AC32" s="1">
        <v>0.63434977489616784</v>
      </c>
      <c r="AD32" s="1">
        <v>0</v>
      </c>
      <c r="AE32" s="1">
        <v>0</v>
      </c>
      <c r="AF32" s="1">
        <v>0</v>
      </c>
      <c r="AG32" s="1">
        <v>0</v>
      </c>
      <c r="AH32" s="1">
        <v>0</v>
      </c>
      <c r="AI32" s="1">
        <v>0</v>
      </c>
      <c r="AJ32" s="1">
        <v>0</v>
      </c>
      <c r="AK32" s="1">
        <v>0</v>
      </c>
      <c r="AL32" s="1">
        <v>0</v>
      </c>
      <c r="AM32" s="1">
        <v>0</v>
      </c>
      <c r="AN32" s="1">
        <v>0</v>
      </c>
      <c r="AO32" s="1">
        <v>0</v>
      </c>
    </row>
    <row r="33" spans="1:41" ht="15.75" customHeight="1" x14ac:dyDescent="0.25">
      <c r="A33" s="1">
        <v>0</v>
      </c>
      <c r="B33" s="1">
        <v>0</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2.8981433489769374E-12</v>
      </c>
      <c r="Y33" s="1">
        <v>6.8975844591493032E-9</v>
      </c>
      <c r="Z33" s="1">
        <v>4.6334245936411583E-6</v>
      </c>
      <c r="AA33" s="1">
        <v>8.2166591695260788E-4</v>
      </c>
      <c r="AB33" s="1">
        <v>3.5243487049299582E-2</v>
      </c>
      <c r="AC33" s="1">
        <v>0.33457547962978712</v>
      </c>
      <c r="AD33" s="1">
        <v>0.65093553561258377</v>
      </c>
      <c r="AE33" s="1">
        <v>0</v>
      </c>
      <c r="AF33" s="1">
        <v>0</v>
      </c>
      <c r="AG33" s="1">
        <v>0</v>
      </c>
      <c r="AH33" s="1">
        <v>0</v>
      </c>
      <c r="AI33" s="1">
        <v>0</v>
      </c>
      <c r="AJ33" s="1">
        <v>0</v>
      </c>
      <c r="AK33" s="1">
        <v>0</v>
      </c>
      <c r="AL33" s="1">
        <v>0</v>
      </c>
      <c r="AM33" s="1">
        <v>0</v>
      </c>
      <c r="AN33" s="1">
        <v>0</v>
      </c>
      <c r="AO33" s="1">
        <v>0</v>
      </c>
    </row>
    <row r="34" spans="1:41" ht="15.75" customHeight="1" x14ac:dyDescent="0.25">
      <c r="A34" s="1">
        <v>0</v>
      </c>
      <c r="B34" s="1">
        <v>0</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9.6595065365277517E-13</v>
      </c>
      <c r="Z34" s="1">
        <v>3.136043235453663E-9</v>
      </c>
      <c r="AA34" s="1">
        <v>2.7715203705681792E-6</v>
      </c>
      <c r="AB34" s="1">
        <v>6.1060506014784413E-4</v>
      </c>
      <c r="AC34" s="1">
        <v>3.0588652372373158E-2</v>
      </c>
      <c r="AD34" s="1">
        <v>0.32118517243196076</v>
      </c>
      <c r="AE34" s="1">
        <v>0.65093553561258377</v>
      </c>
      <c r="AF34" s="1">
        <v>0</v>
      </c>
      <c r="AG34" s="1">
        <v>0</v>
      </c>
      <c r="AH34" s="1">
        <v>0</v>
      </c>
      <c r="AI34" s="1">
        <v>0</v>
      </c>
      <c r="AJ34" s="1">
        <v>0</v>
      </c>
      <c r="AK34" s="1">
        <v>0</v>
      </c>
      <c r="AL34" s="1">
        <v>0</v>
      </c>
      <c r="AM34" s="1">
        <v>0</v>
      </c>
      <c r="AN34" s="1">
        <v>0</v>
      </c>
      <c r="AO34" s="1">
        <v>0</v>
      </c>
    </row>
    <row r="35" spans="1:41" ht="15.75" customHeight="1" x14ac:dyDescent="0.25">
      <c r="A35" s="1">
        <v>0</v>
      </c>
      <c r="B35" s="1">
        <v>0</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3.6792805031323338E-13</v>
      </c>
      <c r="AA35" s="1">
        <v>1.6204729762525686E-9</v>
      </c>
      <c r="AB35" s="1">
        <v>1.8337614641600792E-6</v>
      </c>
      <c r="AC35" s="1">
        <v>4.8476080079966214E-4</v>
      </c>
      <c r="AD35" s="1">
        <v>2.7470964656344792E-2</v>
      </c>
      <c r="AE35" s="1">
        <v>0.32118517243196076</v>
      </c>
      <c r="AF35" s="1">
        <v>0.65093553561258377</v>
      </c>
      <c r="AG35" s="1">
        <v>0</v>
      </c>
      <c r="AH35" s="1">
        <v>0</v>
      </c>
      <c r="AI35" s="1">
        <v>0</v>
      </c>
      <c r="AJ35" s="1">
        <v>0</v>
      </c>
      <c r="AK35" s="1">
        <v>0</v>
      </c>
      <c r="AL35" s="1">
        <v>0</v>
      </c>
      <c r="AM35" s="1">
        <v>0</v>
      </c>
      <c r="AN35" s="1">
        <v>0</v>
      </c>
      <c r="AO35" s="1">
        <v>0</v>
      </c>
    </row>
    <row r="36" spans="1:41" ht="15.75" customHeight="1" x14ac:dyDescent="0.25">
      <c r="A36" s="1">
        <v>0</v>
      </c>
      <c r="B36" s="1">
        <v>0</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9.5461048569256034E-10</v>
      </c>
      <c r="AC36" s="1">
        <v>1.3316667623264556E-6</v>
      </c>
      <c r="AD36" s="1">
        <v>4.0728015386583044E-4</v>
      </c>
      <c r="AE36" s="1">
        <v>2.7470964656344792E-2</v>
      </c>
      <c r="AF36" s="1">
        <v>0.32118517243196076</v>
      </c>
      <c r="AG36" s="1">
        <v>0.65093553561258377</v>
      </c>
      <c r="AH36" s="1">
        <v>0</v>
      </c>
      <c r="AI36" s="1">
        <v>0</v>
      </c>
      <c r="AJ36" s="1">
        <v>0</v>
      </c>
      <c r="AK36" s="1">
        <v>0</v>
      </c>
      <c r="AL36" s="1">
        <v>0</v>
      </c>
      <c r="AM36" s="1">
        <v>0</v>
      </c>
      <c r="AN36" s="1">
        <v>0</v>
      </c>
      <c r="AO36" s="1">
        <v>0</v>
      </c>
    </row>
    <row r="37" spans="1:41" ht="15.75" customHeight="1" x14ac:dyDescent="0.25">
      <c r="A37" s="1">
        <v>0</v>
      </c>
      <c r="B37" s="1">
        <v>0</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6.3410991164545808E-10</v>
      </c>
      <c r="AD37" s="1">
        <v>1.0466789779083405E-6</v>
      </c>
      <c r="AE37" s="1">
        <v>4.0728015386583044E-4</v>
      </c>
      <c r="AF37" s="1">
        <v>2.7470964656344792E-2</v>
      </c>
      <c r="AG37" s="1">
        <v>0.32118517243196076</v>
      </c>
      <c r="AH37" s="1">
        <v>0.65093553561258377</v>
      </c>
      <c r="AI37" s="1">
        <v>0</v>
      </c>
      <c r="AJ37" s="1">
        <v>0</v>
      </c>
      <c r="AK37" s="1">
        <v>0</v>
      </c>
      <c r="AL37" s="1">
        <v>0</v>
      </c>
      <c r="AM37" s="1">
        <v>0</v>
      </c>
      <c r="AN37" s="1">
        <v>0</v>
      </c>
      <c r="AO37" s="1">
        <v>0</v>
      </c>
    </row>
    <row r="38" spans="1:41" ht="15.75" customHeight="1" x14ac:dyDescent="0.25">
      <c r="A38" s="1">
        <v>0</v>
      </c>
      <c r="B38" s="1">
        <v>0</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c r="AD38" s="1">
        <v>4.6626699073896471E-10</v>
      </c>
      <c r="AE38" s="1">
        <v>1.0466789779083405E-6</v>
      </c>
      <c r="AF38" s="1">
        <v>4.0728015386583044E-4</v>
      </c>
      <c r="AG38" s="1">
        <v>2.7470964656344792E-2</v>
      </c>
      <c r="AH38" s="1">
        <v>0.32118517243196076</v>
      </c>
      <c r="AI38" s="1">
        <v>0.65093553561258377</v>
      </c>
      <c r="AJ38" s="1">
        <v>0</v>
      </c>
      <c r="AK38" s="1">
        <v>0</v>
      </c>
      <c r="AL38" s="1">
        <v>0</v>
      </c>
      <c r="AM38" s="1">
        <v>0</v>
      </c>
      <c r="AN38" s="1">
        <v>0</v>
      </c>
      <c r="AO38" s="1">
        <v>0</v>
      </c>
    </row>
    <row r="39" spans="1:41" ht="15.75" customHeight="1" x14ac:dyDescent="0.25">
      <c r="A39" s="1">
        <v>0</v>
      </c>
      <c r="B39" s="1">
        <v>0</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c r="AD39" s="1">
        <v>0</v>
      </c>
      <c r="AE39" s="1">
        <v>4.6626699073896471E-10</v>
      </c>
      <c r="AF39" s="1">
        <v>1.0466789779083405E-6</v>
      </c>
      <c r="AG39" s="1">
        <v>4.0728015386583044E-4</v>
      </c>
      <c r="AH39" s="1">
        <v>2.7470964656344792E-2</v>
      </c>
      <c r="AI39" s="1">
        <v>0.32118517243196076</v>
      </c>
      <c r="AJ39" s="1">
        <v>0.65093553561258377</v>
      </c>
      <c r="AK39" s="1">
        <v>0</v>
      </c>
      <c r="AL39" s="1">
        <v>0</v>
      </c>
      <c r="AM39" s="1">
        <v>0</v>
      </c>
      <c r="AN39" s="1">
        <v>0</v>
      </c>
      <c r="AO39" s="1">
        <v>0</v>
      </c>
    </row>
    <row r="40" spans="1:41" ht="15.75" customHeight="1" x14ac:dyDescent="0.25">
      <c r="A40" s="1">
        <v>0</v>
      </c>
      <c r="B40" s="1">
        <v>0</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0</v>
      </c>
      <c r="AA40" s="1">
        <v>0</v>
      </c>
      <c r="AB40" s="1">
        <v>0</v>
      </c>
      <c r="AC40" s="1">
        <v>0</v>
      </c>
      <c r="AD40" s="1">
        <v>0</v>
      </c>
      <c r="AE40" s="1">
        <v>0</v>
      </c>
      <c r="AF40" s="1">
        <v>4.6626699073896471E-10</v>
      </c>
      <c r="AG40" s="1">
        <v>1.0466789779083405E-6</v>
      </c>
      <c r="AH40" s="1">
        <v>4.0728015386583044E-4</v>
      </c>
      <c r="AI40" s="1">
        <v>2.7470964656344792E-2</v>
      </c>
      <c r="AJ40" s="1">
        <v>0.32118517243196076</v>
      </c>
      <c r="AK40" s="1">
        <v>0.65093553561258377</v>
      </c>
      <c r="AL40" s="1">
        <v>0</v>
      </c>
      <c r="AM40" s="1">
        <v>0</v>
      </c>
      <c r="AN40" s="1">
        <v>0</v>
      </c>
      <c r="AO40" s="1">
        <v>0</v>
      </c>
    </row>
    <row r="41" spans="1:41" ht="15.75" customHeight="1" x14ac:dyDescent="0.25">
      <c r="A41" s="1">
        <v>0</v>
      </c>
      <c r="B41" s="1">
        <v>0</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c r="AD41" s="1">
        <v>0</v>
      </c>
      <c r="AE41" s="1">
        <v>0</v>
      </c>
      <c r="AF41" s="1">
        <v>0</v>
      </c>
      <c r="AG41" s="1">
        <v>4.6626699073896471E-10</v>
      </c>
      <c r="AH41" s="1">
        <v>1.0466789779083405E-6</v>
      </c>
      <c r="AI41" s="1">
        <v>4.0728015386583044E-4</v>
      </c>
      <c r="AJ41" s="1">
        <v>2.7470964656344792E-2</v>
      </c>
      <c r="AK41" s="1">
        <v>0.32118517243196076</v>
      </c>
      <c r="AL41" s="1">
        <v>0.65093553561258377</v>
      </c>
      <c r="AM41" s="1">
        <v>0</v>
      </c>
      <c r="AN41" s="1">
        <v>0</v>
      </c>
      <c r="AO41" s="1">
        <v>0</v>
      </c>
    </row>
    <row r="42" spans="1:41" ht="15.75" customHeight="1" x14ac:dyDescent="0.25">
      <c r="A42" s="1">
        <v>0</v>
      </c>
      <c r="B42" s="1">
        <v>0</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c r="AD42" s="1">
        <v>0</v>
      </c>
      <c r="AE42" s="1">
        <v>0</v>
      </c>
      <c r="AF42" s="1">
        <v>0</v>
      </c>
      <c r="AG42" s="1">
        <v>0</v>
      </c>
      <c r="AH42" s="1">
        <v>4.6626699073896471E-10</v>
      </c>
      <c r="AI42" s="1">
        <v>1.0466789779083405E-6</v>
      </c>
      <c r="AJ42" s="1">
        <v>4.0728015386583044E-4</v>
      </c>
      <c r="AK42" s="1">
        <v>2.7470964656344792E-2</v>
      </c>
      <c r="AL42" s="1">
        <v>0.32118517243196076</v>
      </c>
      <c r="AM42" s="1">
        <v>0.65093553561258377</v>
      </c>
      <c r="AN42" s="1">
        <v>0</v>
      </c>
      <c r="AO42" s="1">
        <v>0</v>
      </c>
    </row>
    <row r="43" spans="1:41" ht="15.75" customHeight="1" x14ac:dyDescent="0.25">
      <c r="A43" s="1">
        <v>0</v>
      </c>
      <c r="B43" s="1">
        <v>0</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c r="AD43" s="1">
        <v>0</v>
      </c>
      <c r="AE43" s="1">
        <v>0</v>
      </c>
      <c r="AF43" s="1">
        <v>0</v>
      </c>
      <c r="AG43" s="1">
        <v>0</v>
      </c>
      <c r="AH43" s="1">
        <v>0</v>
      </c>
      <c r="AI43" s="1">
        <v>4.6626699073896471E-10</v>
      </c>
      <c r="AJ43" s="1">
        <v>1.0466789779083405E-6</v>
      </c>
      <c r="AK43" s="1">
        <v>4.0728015386583044E-4</v>
      </c>
      <c r="AL43" s="1">
        <v>2.7470964656344792E-2</v>
      </c>
      <c r="AM43" s="1">
        <v>0.32118517243196076</v>
      </c>
      <c r="AN43" s="1">
        <v>0.65093553561258377</v>
      </c>
      <c r="AO43" s="1">
        <v>0</v>
      </c>
    </row>
    <row r="44" spans="1:41" ht="15.75" customHeight="1" x14ac:dyDescent="0.25">
      <c r="A44" s="1">
        <v>0</v>
      </c>
      <c r="B44" s="1">
        <v>0</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c r="AD44" s="1">
        <v>0</v>
      </c>
      <c r="AE44" s="1">
        <v>0</v>
      </c>
      <c r="AF44" s="1">
        <v>0</v>
      </c>
      <c r="AG44" s="1">
        <v>0</v>
      </c>
      <c r="AH44" s="1">
        <v>0</v>
      </c>
      <c r="AI44" s="1">
        <v>0</v>
      </c>
      <c r="AJ44" s="1">
        <v>4.6626691396767228E-10</v>
      </c>
      <c r="AK44" s="1">
        <v>1.0471452448479468E-6</v>
      </c>
      <c r="AL44" s="1">
        <v>4.0832729911066679E-4</v>
      </c>
      <c r="AM44" s="1">
        <v>2.7879291955455465E-2</v>
      </c>
      <c r="AN44" s="1">
        <v>0.34906446438741623</v>
      </c>
      <c r="AO44" s="1">
        <v>1</v>
      </c>
    </row>
    <row r="45" spans="1:41" ht="15.75" customHeight="1" x14ac:dyDescent="0.25"/>
    <row r="46" spans="1:41" ht="15.75" customHeight="1" x14ac:dyDescent="0.25">
      <c r="A46" s="1" t="s">
        <v>140</v>
      </c>
    </row>
    <row r="47" spans="1:41" ht="15.75" customHeight="1" x14ac:dyDescent="0.25">
      <c r="A47" s="1">
        <v>0.15307271504047792</v>
      </c>
      <c r="B47" s="1">
        <v>0</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0</v>
      </c>
      <c r="V47" s="1">
        <v>0</v>
      </c>
      <c r="W47" s="1">
        <v>0</v>
      </c>
      <c r="X47" s="1">
        <v>0</v>
      </c>
      <c r="Y47" s="1">
        <v>0</v>
      </c>
      <c r="Z47" s="1">
        <v>0</v>
      </c>
      <c r="AA47" s="1">
        <v>0</v>
      </c>
      <c r="AB47" s="1">
        <v>0</v>
      </c>
      <c r="AC47" s="1">
        <v>0</v>
      </c>
      <c r="AD47" s="1">
        <v>0</v>
      </c>
      <c r="AE47" s="1">
        <v>0</v>
      </c>
      <c r="AF47" s="1">
        <v>0</v>
      </c>
      <c r="AG47" s="1">
        <v>0</v>
      </c>
      <c r="AH47" s="1">
        <v>0</v>
      </c>
      <c r="AI47" s="1">
        <v>0</v>
      </c>
      <c r="AJ47" s="1">
        <v>0</v>
      </c>
      <c r="AK47" s="1">
        <v>0</v>
      </c>
      <c r="AL47" s="1">
        <v>0</v>
      </c>
      <c r="AM47" s="1">
        <v>0</v>
      </c>
      <c r="AN47" s="1">
        <v>0</v>
      </c>
      <c r="AO47" s="1">
        <v>0</v>
      </c>
    </row>
    <row r="48" spans="1:41" ht="15.75" customHeight="1" x14ac:dyDescent="0.25">
      <c r="A48" s="1">
        <v>0.19948096340392329</v>
      </c>
      <c r="B48" s="1">
        <v>0.15307271509291839</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c r="AD48" s="1">
        <v>0</v>
      </c>
      <c r="AE48" s="1">
        <v>0</v>
      </c>
      <c r="AF48" s="1">
        <v>0</v>
      </c>
      <c r="AG48" s="1">
        <v>0</v>
      </c>
      <c r="AH48" s="1">
        <v>0</v>
      </c>
      <c r="AI48" s="1">
        <v>0</v>
      </c>
      <c r="AJ48" s="1">
        <v>0</v>
      </c>
      <c r="AK48" s="1">
        <v>0</v>
      </c>
      <c r="AL48" s="1">
        <v>0</v>
      </c>
      <c r="AM48" s="1">
        <v>0</v>
      </c>
      <c r="AN48" s="1">
        <v>0</v>
      </c>
      <c r="AO48" s="1">
        <v>0</v>
      </c>
    </row>
    <row r="49" spans="1:41" ht="15.75" customHeight="1" x14ac:dyDescent="0.25">
      <c r="A49" s="1">
        <v>0.21152541059593205</v>
      </c>
      <c r="B49" s="1">
        <v>0.1994809634436186</v>
      </c>
      <c r="C49" s="1">
        <v>0.15307271524709687</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c r="AD49" s="1">
        <v>0</v>
      </c>
      <c r="AE49" s="1">
        <v>0</v>
      </c>
      <c r="AF49" s="1">
        <v>0</v>
      </c>
      <c r="AG49" s="1">
        <v>0</v>
      </c>
      <c r="AH49" s="1">
        <v>0</v>
      </c>
      <c r="AI49" s="1">
        <v>0</v>
      </c>
      <c r="AJ49" s="1">
        <v>0</v>
      </c>
      <c r="AK49" s="1">
        <v>0</v>
      </c>
      <c r="AL49" s="1">
        <v>0</v>
      </c>
      <c r="AM49" s="1">
        <v>0</v>
      </c>
      <c r="AN49" s="1">
        <v>0</v>
      </c>
      <c r="AO49" s="1">
        <v>0</v>
      </c>
    </row>
    <row r="50" spans="1:41" ht="15.75" customHeight="1" x14ac:dyDescent="0.25">
      <c r="A50" s="1">
        <v>0.18250764220815685</v>
      </c>
      <c r="B50" s="1">
        <v>0.21152541060765206</v>
      </c>
      <c r="C50" s="1">
        <v>0.19948096356032591</v>
      </c>
      <c r="D50" s="1">
        <v>0.15307271570039199</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c r="AD50" s="1">
        <v>0</v>
      </c>
      <c r="AE50" s="1">
        <v>0</v>
      </c>
      <c r="AF50" s="1">
        <v>0</v>
      </c>
      <c r="AG50" s="1">
        <v>0</v>
      </c>
      <c r="AH50" s="1">
        <v>0</v>
      </c>
      <c r="AI50" s="1">
        <v>0</v>
      </c>
      <c r="AJ50" s="1">
        <v>0</v>
      </c>
      <c r="AK50" s="1">
        <v>0</v>
      </c>
      <c r="AL50" s="1">
        <v>0</v>
      </c>
      <c r="AM50" s="1">
        <v>0</v>
      </c>
      <c r="AN50" s="1">
        <v>0</v>
      </c>
      <c r="AO50" s="1">
        <v>0</v>
      </c>
    </row>
    <row r="51" spans="1:41" ht="15.75" customHeight="1" x14ac:dyDescent="0.25">
      <c r="A51" s="1">
        <v>0.12813181570527035</v>
      </c>
      <c r="B51" s="1">
        <v>0.18250764219206145</v>
      </c>
      <c r="C51" s="1">
        <v>0.21152541064210784</v>
      </c>
      <c r="D51" s="1">
        <v>0.19948096390345563</v>
      </c>
      <c r="E51" s="1">
        <v>0.15307271703311062</v>
      </c>
      <c r="F51" s="1">
        <v>0</v>
      </c>
      <c r="G51" s="1">
        <v>0</v>
      </c>
      <c r="H51" s="1">
        <v>0</v>
      </c>
      <c r="I51" s="1">
        <v>0</v>
      </c>
      <c r="J51" s="1">
        <v>0</v>
      </c>
      <c r="K51" s="1">
        <v>0</v>
      </c>
      <c r="L51" s="1">
        <v>0</v>
      </c>
      <c r="M51" s="1">
        <v>0</v>
      </c>
      <c r="N51" s="1">
        <v>0</v>
      </c>
      <c r="O51" s="1">
        <v>0</v>
      </c>
      <c r="P51" s="1">
        <v>0</v>
      </c>
      <c r="Q51" s="1">
        <v>0</v>
      </c>
      <c r="R51" s="1">
        <v>0</v>
      </c>
      <c r="S51" s="1">
        <v>0</v>
      </c>
      <c r="T51" s="1">
        <v>0</v>
      </c>
      <c r="U51" s="1">
        <v>0</v>
      </c>
      <c r="V51" s="1">
        <v>0</v>
      </c>
      <c r="W51" s="1">
        <v>0</v>
      </c>
      <c r="X51" s="1">
        <v>0</v>
      </c>
      <c r="Y51" s="1">
        <v>0</v>
      </c>
      <c r="Z51" s="1">
        <v>0</v>
      </c>
      <c r="AA51" s="1">
        <v>0</v>
      </c>
      <c r="AB51" s="1">
        <v>0</v>
      </c>
      <c r="AC51" s="1">
        <v>0</v>
      </c>
      <c r="AD51" s="1">
        <v>0</v>
      </c>
      <c r="AE51" s="1">
        <v>0</v>
      </c>
      <c r="AF51" s="1">
        <v>0</v>
      </c>
      <c r="AG51" s="1">
        <v>0</v>
      </c>
      <c r="AH51" s="1">
        <v>0</v>
      </c>
      <c r="AI51" s="1">
        <v>0</v>
      </c>
      <c r="AJ51" s="1">
        <v>0</v>
      </c>
      <c r="AK51" s="1">
        <v>0</v>
      </c>
      <c r="AL51" s="1">
        <v>0</v>
      </c>
      <c r="AM51" s="1">
        <v>0</v>
      </c>
      <c r="AN51" s="1">
        <v>0</v>
      </c>
      <c r="AO51" s="1">
        <v>0</v>
      </c>
    </row>
    <row r="52" spans="1:41" ht="15.75" customHeight="1" x14ac:dyDescent="0.25">
      <c r="A52" s="1">
        <v>7.3196501552975551E-2</v>
      </c>
      <c r="B52" s="1">
        <v>0.1281318156755723</v>
      </c>
      <c r="C52" s="1">
        <v>0.18250764214474241</v>
      </c>
      <c r="D52" s="1">
        <v>0.21152541074340905</v>
      </c>
      <c r="E52" s="1">
        <v>0.19948096491227754</v>
      </c>
      <c r="F52" s="1">
        <v>0.15307272095139335</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c r="AD52" s="1">
        <v>0</v>
      </c>
      <c r="AE52" s="1">
        <v>0</v>
      </c>
      <c r="AF52" s="1">
        <v>0</v>
      </c>
      <c r="AG52" s="1">
        <v>0</v>
      </c>
      <c r="AH52" s="1">
        <v>0</v>
      </c>
      <c r="AI52" s="1">
        <v>0</v>
      </c>
      <c r="AJ52" s="1">
        <v>0</v>
      </c>
      <c r="AK52" s="1">
        <v>0</v>
      </c>
      <c r="AL52" s="1">
        <v>0</v>
      </c>
      <c r="AM52" s="1">
        <v>0</v>
      </c>
      <c r="AN52" s="1">
        <v>0</v>
      </c>
      <c r="AO52" s="1">
        <v>0</v>
      </c>
    </row>
    <row r="53" spans="1:41" ht="15.75" customHeight="1" x14ac:dyDescent="0.25">
      <c r="A53" s="1">
        <v>3.4023664427293203E-2</v>
      </c>
      <c r="B53" s="1">
        <v>7.3196501525499988E-2</v>
      </c>
      <c r="C53" s="1">
        <v>0.12813181558825784</v>
      </c>
      <c r="D53" s="1">
        <v>0.18250764200561834</v>
      </c>
      <c r="E53" s="1">
        <v>0.21152541104124289</v>
      </c>
      <c r="F53" s="1">
        <v>0.19948096787828329</v>
      </c>
      <c r="G53" s="1">
        <v>0.15307273247141556</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c r="AD53" s="1">
        <v>0</v>
      </c>
      <c r="AE53" s="1">
        <v>0</v>
      </c>
      <c r="AF53" s="1">
        <v>0</v>
      </c>
      <c r="AG53" s="1">
        <v>0</v>
      </c>
      <c r="AH53" s="1">
        <v>0</v>
      </c>
      <c r="AI53" s="1">
        <v>0</v>
      </c>
      <c r="AJ53" s="1">
        <v>0</v>
      </c>
      <c r="AK53" s="1">
        <v>0</v>
      </c>
      <c r="AL53" s="1">
        <v>0</v>
      </c>
      <c r="AM53" s="1">
        <v>0</v>
      </c>
      <c r="AN53" s="1">
        <v>0</v>
      </c>
      <c r="AO53" s="1">
        <v>0</v>
      </c>
    </row>
    <row r="54" spans="1:41" ht="15.75" customHeight="1" x14ac:dyDescent="0.25">
      <c r="A54" s="1">
        <v>1.2868539689936006E-2</v>
      </c>
      <c r="B54" s="1">
        <v>3.4023664409636438E-2</v>
      </c>
      <c r="C54" s="1">
        <v>7.3196501444719578E-2</v>
      </c>
      <c r="D54" s="1">
        <v>0.12813181533154785</v>
      </c>
      <c r="E54" s="1">
        <v>0.18250764159658728</v>
      </c>
      <c r="F54" s="1">
        <v>0.21152541191689531</v>
      </c>
      <c r="G54" s="1">
        <v>0.19948097659854347</v>
      </c>
      <c r="H54" s="1">
        <v>0.15307276634107997</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c r="AD54" s="1">
        <v>0</v>
      </c>
      <c r="AE54" s="1">
        <v>0</v>
      </c>
      <c r="AF54" s="1">
        <v>0</v>
      </c>
      <c r="AG54" s="1">
        <v>0</v>
      </c>
      <c r="AH54" s="1">
        <v>0</v>
      </c>
      <c r="AI54" s="1">
        <v>0</v>
      </c>
      <c r="AJ54" s="1">
        <v>0</v>
      </c>
      <c r="AK54" s="1">
        <v>0</v>
      </c>
      <c r="AL54" s="1">
        <v>0</v>
      </c>
      <c r="AM54" s="1">
        <v>0</v>
      </c>
      <c r="AN54" s="1">
        <v>0</v>
      </c>
      <c r="AO54" s="1">
        <v>0</v>
      </c>
    </row>
    <row r="55" spans="1:41" ht="15.75" customHeight="1" x14ac:dyDescent="0.25">
      <c r="A55" s="1">
        <v>3.9603618148931225E-3</v>
      </c>
      <c r="B55" s="1">
        <v>1.2868539681409958E-2</v>
      </c>
      <c r="C55" s="1">
        <v>3.4023664357723839E-2</v>
      </c>
      <c r="D55" s="1">
        <v>7.3196501207220391E-2</v>
      </c>
      <c r="E55" s="1">
        <v>0.12813181457680217</v>
      </c>
      <c r="F55" s="1">
        <v>0.18250764039400674</v>
      </c>
      <c r="G55" s="1">
        <v>0.2115254144913721</v>
      </c>
      <c r="H55" s="1">
        <v>0.19948100223671036</v>
      </c>
      <c r="I55" s="1">
        <v>0.15307286592036362</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c r="AD55" s="1">
        <v>0</v>
      </c>
      <c r="AE55" s="1">
        <v>0</v>
      </c>
      <c r="AF55" s="1">
        <v>0</v>
      </c>
      <c r="AG55" s="1">
        <v>0</v>
      </c>
      <c r="AH55" s="1">
        <v>0</v>
      </c>
      <c r="AI55" s="1">
        <v>0</v>
      </c>
      <c r="AJ55" s="1">
        <v>0</v>
      </c>
      <c r="AK55" s="1">
        <v>0</v>
      </c>
      <c r="AL55" s="1">
        <v>0</v>
      </c>
      <c r="AM55" s="1">
        <v>0</v>
      </c>
      <c r="AN55" s="1">
        <v>0</v>
      </c>
      <c r="AO55" s="1">
        <v>0</v>
      </c>
    </row>
    <row r="56" spans="1:41" ht="15.75" customHeight="1" x14ac:dyDescent="0.25">
      <c r="A56" s="1">
        <v>9.9174011551712436E-4</v>
      </c>
      <c r="B56" s="1">
        <v>3.9603618117005105E-3</v>
      </c>
      <c r="C56" s="1">
        <v>1.2868539656342803E-2</v>
      </c>
      <c r="D56" s="1">
        <v>3.4023664205097698E-2</v>
      </c>
      <c r="E56" s="1">
        <v>7.3196500508955778E-2</v>
      </c>
      <c r="F56" s="1">
        <v>0.1281318123577995</v>
      </c>
      <c r="G56" s="1">
        <v>0.1825076368583339</v>
      </c>
      <c r="H56" s="1">
        <v>0.21152542206051136</v>
      </c>
      <c r="I56" s="1">
        <v>0.19948107761476716</v>
      </c>
      <c r="J56" s="1">
        <v>0.15307315869164967</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c r="AD56" s="1">
        <v>0</v>
      </c>
      <c r="AE56" s="1">
        <v>0</v>
      </c>
      <c r="AF56" s="1">
        <v>0</v>
      </c>
      <c r="AG56" s="1">
        <v>0</v>
      </c>
      <c r="AH56" s="1">
        <v>0</v>
      </c>
      <c r="AI56" s="1">
        <v>0</v>
      </c>
      <c r="AJ56" s="1">
        <v>0</v>
      </c>
      <c r="AK56" s="1">
        <v>0</v>
      </c>
      <c r="AL56" s="1">
        <v>0</v>
      </c>
      <c r="AM56" s="1">
        <v>0</v>
      </c>
      <c r="AN56" s="1">
        <v>0</v>
      </c>
      <c r="AO56" s="1">
        <v>0</v>
      </c>
    </row>
    <row r="57" spans="1:41" ht="15.75" customHeight="1" x14ac:dyDescent="0.25">
      <c r="A57" s="1">
        <v>2.0207766494642317E-4</v>
      </c>
      <c r="B57" s="1">
        <v>9.9174011457523891E-4</v>
      </c>
      <c r="C57" s="1">
        <v>3.9603618023140268E-3</v>
      </c>
      <c r="D57" s="1">
        <v>1.2868539582643597E-2</v>
      </c>
      <c r="E57" s="1">
        <v>3.4023663756366652E-2</v>
      </c>
      <c r="F57" s="1">
        <v>7.3196498456010894E-2</v>
      </c>
      <c r="G57" s="1">
        <v>0.12813180583378012</v>
      </c>
      <c r="H57" s="1">
        <v>0.18250762646321184</v>
      </c>
      <c r="I57" s="1">
        <v>0.21152544431429179</v>
      </c>
      <c r="J57" s="1">
        <v>0.19948129923222427</v>
      </c>
      <c r="K57" s="1">
        <v>0.15307401947116053</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c r="AD57" s="1">
        <v>0</v>
      </c>
      <c r="AE57" s="1">
        <v>0</v>
      </c>
      <c r="AF57" s="1">
        <v>0</v>
      </c>
      <c r="AG57" s="1">
        <v>0</v>
      </c>
      <c r="AH57" s="1">
        <v>0</v>
      </c>
      <c r="AI57" s="1">
        <v>0</v>
      </c>
      <c r="AJ57" s="1">
        <v>0</v>
      </c>
      <c r="AK57" s="1">
        <v>0</v>
      </c>
      <c r="AL57" s="1">
        <v>0</v>
      </c>
      <c r="AM57" s="1">
        <v>0</v>
      </c>
      <c r="AN57" s="1">
        <v>0</v>
      </c>
      <c r="AO57" s="1">
        <v>0</v>
      </c>
    </row>
    <row r="58" spans="1:41" ht="15.75" customHeight="1" x14ac:dyDescent="0.25">
      <c r="A58" s="1">
        <v>3.3503961979542276E-5</v>
      </c>
      <c r="B58" s="1">
        <v>2.0207766472548697E-4</v>
      </c>
      <c r="C58" s="1">
        <v>9.917401118060287E-4</v>
      </c>
      <c r="D58" s="1">
        <v>3.960361774717128E-3</v>
      </c>
      <c r="E58" s="1">
        <v>1.2868539365963147E-2</v>
      </c>
      <c r="F58" s="1">
        <v>3.4023662437066567E-2</v>
      </c>
      <c r="G58" s="1">
        <v>7.3196492420212339E-2</v>
      </c>
      <c r="H58" s="1">
        <v>0.12813178665270805</v>
      </c>
      <c r="I58" s="1">
        <v>0.18250759590077328</v>
      </c>
      <c r="J58" s="1">
        <v>0.21152550974193449</v>
      </c>
      <c r="K58" s="1">
        <v>0.19948195080972267</v>
      </c>
      <c r="L58" s="1">
        <v>0.15307655032236198</v>
      </c>
      <c r="M58" s="1">
        <v>0</v>
      </c>
      <c r="N58" s="1">
        <v>0</v>
      </c>
      <c r="O58" s="1">
        <v>0</v>
      </c>
      <c r="P58" s="1">
        <v>0</v>
      </c>
      <c r="Q58" s="1">
        <v>0</v>
      </c>
      <c r="R58" s="1">
        <v>0</v>
      </c>
      <c r="S58" s="1">
        <v>0</v>
      </c>
      <c r="T58" s="1">
        <v>0</v>
      </c>
      <c r="U58" s="1">
        <v>0</v>
      </c>
      <c r="V58" s="1">
        <v>0</v>
      </c>
      <c r="W58" s="1">
        <v>0</v>
      </c>
      <c r="X58" s="1">
        <v>0</v>
      </c>
      <c r="Y58" s="1">
        <v>0</v>
      </c>
      <c r="Z58" s="1">
        <v>0</v>
      </c>
      <c r="AA58" s="1">
        <v>0</v>
      </c>
      <c r="AB58" s="1">
        <v>0</v>
      </c>
      <c r="AC58" s="1">
        <v>0</v>
      </c>
      <c r="AD58" s="1">
        <v>0</v>
      </c>
      <c r="AE58" s="1">
        <v>0</v>
      </c>
      <c r="AF58" s="1">
        <v>0</v>
      </c>
      <c r="AG58" s="1">
        <v>0</v>
      </c>
      <c r="AH58" s="1">
        <v>0</v>
      </c>
      <c r="AI58" s="1">
        <v>0</v>
      </c>
      <c r="AJ58" s="1">
        <v>0</v>
      </c>
      <c r="AK58" s="1">
        <v>0</v>
      </c>
      <c r="AL58" s="1">
        <v>0</v>
      </c>
      <c r="AM58" s="1">
        <v>0</v>
      </c>
      <c r="AN58" s="1">
        <v>0</v>
      </c>
      <c r="AO58" s="1">
        <v>0</v>
      </c>
    </row>
    <row r="59" spans="1:41" ht="15.75" customHeight="1" x14ac:dyDescent="0.25">
      <c r="A59" s="1">
        <v>4.5199271749011552E-6</v>
      </c>
      <c r="B59" s="1">
        <v>3.3503961938100769E-5</v>
      </c>
      <c r="C59" s="1">
        <v>2.0207766407592053E-4</v>
      </c>
      <c r="D59" s="1">
        <v>9.917401036643621E-4</v>
      </c>
      <c r="E59" s="1">
        <v>3.9603616935803823E-3</v>
      </c>
      <c r="F59" s="1">
        <v>1.2868538728907888E-2</v>
      </c>
      <c r="G59" s="1">
        <v>3.4023658558235026E-2</v>
      </c>
      <c r="H59" s="1">
        <v>7.3196474674547721E-2</v>
      </c>
      <c r="I59" s="1">
        <v>0.12813173025896979</v>
      </c>
      <c r="J59" s="1">
        <v>0.18250750604452767</v>
      </c>
      <c r="K59" s="1">
        <v>0.21152570210369023</v>
      </c>
      <c r="L59" s="1">
        <v>0.19948386655105252</v>
      </c>
      <c r="M59" s="1">
        <v>0.15308399203603226</v>
      </c>
      <c r="N59" s="1">
        <v>0</v>
      </c>
      <c r="O59" s="1">
        <v>0</v>
      </c>
      <c r="P59" s="1">
        <v>0</v>
      </c>
      <c r="Q59" s="1">
        <v>0</v>
      </c>
      <c r="R59" s="1">
        <v>0</v>
      </c>
      <c r="S59" s="1">
        <v>0</v>
      </c>
      <c r="T59" s="1">
        <v>0</v>
      </c>
      <c r="U59" s="1">
        <v>0</v>
      </c>
      <c r="V59" s="1">
        <v>0</v>
      </c>
      <c r="W59" s="1">
        <v>0</v>
      </c>
      <c r="X59" s="1">
        <v>0</v>
      </c>
      <c r="Y59" s="1">
        <v>0</v>
      </c>
      <c r="Z59" s="1">
        <v>0</v>
      </c>
      <c r="AA59" s="1">
        <v>0</v>
      </c>
      <c r="AB59" s="1">
        <v>0</v>
      </c>
      <c r="AC59" s="1">
        <v>0</v>
      </c>
      <c r="AD59" s="1">
        <v>0</v>
      </c>
      <c r="AE59" s="1">
        <v>0</v>
      </c>
      <c r="AF59" s="1">
        <v>0</v>
      </c>
      <c r="AG59" s="1">
        <v>0</v>
      </c>
      <c r="AH59" s="1">
        <v>0</v>
      </c>
      <c r="AI59" s="1">
        <v>0</v>
      </c>
      <c r="AJ59" s="1">
        <v>0</v>
      </c>
      <c r="AK59" s="1">
        <v>0</v>
      </c>
      <c r="AL59" s="1">
        <v>0</v>
      </c>
      <c r="AM59" s="1">
        <v>0</v>
      </c>
      <c r="AN59" s="1">
        <v>0</v>
      </c>
      <c r="AO59" s="1">
        <v>0</v>
      </c>
    </row>
    <row r="60" spans="1:41" ht="15.75" customHeight="1" x14ac:dyDescent="0.25">
      <c r="A60" s="1">
        <v>4.9616271564944776E-7</v>
      </c>
      <c r="B60" s="1">
        <v>4.5199271686613701E-6</v>
      </c>
      <c r="C60" s="1">
        <v>3.3503961816260081E-5</v>
      </c>
      <c r="D60" s="1">
        <v>2.0207766216615033E-4</v>
      </c>
      <c r="E60" s="1">
        <v>9.9174007972731661E-4</v>
      </c>
      <c r="F60" s="1">
        <v>3.9603614550328447E-3</v>
      </c>
      <c r="G60" s="1">
        <v>1.2868536855921939E-2</v>
      </c>
      <c r="H60" s="1">
        <v>3.4023647154202218E-2</v>
      </c>
      <c r="I60" s="1">
        <v>7.319642250102304E-2</v>
      </c>
      <c r="J60" s="1">
        <v>0.12813156445680787</v>
      </c>
      <c r="K60" s="1">
        <v>0.18250724185598263</v>
      </c>
      <c r="L60" s="1">
        <v>0.21152626765999863</v>
      </c>
      <c r="M60" s="1">
        <v>0.19948949944716274</v>
      </c>
      <c r="N60" s="1">
        <v>0.15310587772893103</v>
      </c>
      <c r="O60" s="1">
        <v>0</v>
      </c>
      <c r="P60" s="1">
        <v>0</v>
      </c>
      <c r="Q60" s="1">
        <v>0</v>
      </c>
      <c r="R60" s="1">
        <v>0</v>
      </c>
      <c r="S60" s="1">
        <v>0</v>
      </c>
      <c r="T60" s="1">
        <v>0</v>
      </c>
      <c r="U60" s="1">
        <v>0</v>
      </c>
      <c r="V60" s="1">
        <v>0</v>
      </c>
      <c r="W60" s="1">
        <v>0</v>
      </c>
      <c r="X60" s="1">
        <v>0</v>
      </c>
      <c r="Y60" s="1">
        <v>0</v>
      </c>
      <c r="Z60" s="1">
        <v>0</v>
      </c>
      <c r="AA60" s="1">
        <v>0</v>
      </c>
      <c r="AB60" s="1">
        <v>0</v>
      </c>
      <c r="AC60" s="1">
        <v>0</v>
      </c>
      <c r="AD60" s="1">
        <v>0</v>
      </c>
      <c r="AE60" s="1">
        <v>0</v>
      </c>
      <c r="AF60" s="1">
        <v>0</v>
      </c>
      <c r="AG60" s="1">
        <v>0</v>
      </c>
      <c r="AH60" s="1">
        <v>0</v>
      </c>
      <c r="AI60" s="1">
        <v>0</v>
      </c>
      <c r="AJ60" s="1">
        <v>0</v>
      </c>
      <c r="AK60" s="1">
        <v>0</v>
      </c>
      <c r="AL60" s="1">
        <v>0</v>
      </c>
      <c r="AM60" s="1">
        <v>0</v>
      </c>
      <c r="AN60" s="1">
        <v>0</v>
      </c>
      <c r="AO60" s="1">
        <v>0</v>
      </c>
    </row>
    <row r="61" spans="1:41" ht="15.75" customHeight="1" x14ac:dyDescent="0.25">
      <c r="A61" s="1">
        <v>4.431739581531823E-8</v>
      </c>
      <c r="B61" s="1">
        <v>4.9616271489324936E-7</v>
      </c>
      <c r="C61" s="1">
        <v>4.5199271503160248E-6</v>
      </c>
      <c r="D61" s="1">
        <v>3.350396145804011E-5</v>
      </c>
      <c r="E61" s="1">
        <v>2.0207765655129805E-4</v>
      </c>
      <c r="F61" s="1">
        <v>9.9174000935077652E-4</v>
      </c>
      <c r="G61" s="1">
        <v>3.9603607536868295E-3</v>
      </c>
      <c r="H61" s="1">
        <v>1.2868531349214599E-2</v>
      </c>
      <c r="I61" s="1">
        <v>3.4023613625539288E-2</v>
      </c>
      <c r="J61" s="1">
        <v>7.3196269106777206E-2</v>
      </c>
      <c r="K61" s="1">
        <v>0.12813107698097861</v>
      </c>
      <c r="L61" s="1">
        <v>0.18250646508072299</v>
      </c>
      <c r="M61" s="1">
        <v>0.21152793042365811</v>
      </c>
      <c r="N61" s="1">
        <v>0.19950606421493744</v>
      </c>
      <c r="O61" s="1">
        <v>0.15317025112461807</v>
      </c>
      <c r="P61" s="1">
        <v>0</v>
      </c>
      <c r="Q61" s="1">
        <v>0</v>
      </c>
      <c r="R61" s="1">
        <v>0</v>
      </c>
      <c r="S61" s="1">
        <v>0</v>
      </c>
      <c r="T61" s="1">
        <v>0</v>
      </c>
      <c r="U61" s="1">
        <v>0</v>
      </c>
      <c r="V61" s="1">
        <v>0</v>
      </c>
      <c r="W61" s="1">
        <v>0</v>
      </c>
      <c r="X61" s="1">
        <v>0</v>
      </c>
      <c r="Y61" s="1">
        <v>0</v>
      </c>
      <c r="Z61" s="1">
        <v>0</v>
      </c>
      <c r="AA61" s="1">
        <v>0</v>
      </c>
      <c r="AB61" s="1">
        <v>0</v>
      </c>
      <c r="AC61" s="1">
        <v>0</v>
      </c>
      <c r="AD61" s="1">
        <v>0</v>
      </c>
      <c r="AE61" s="1">
        <v>0</v>
      </c>
      <c r="AF61" s="1">
        <v>0</v>
      </c>
      <c r="AG61" s="1">
        <v>0</v>
      </c>
      <c r="AH61" s="1">
        <v>0</v>
      </c>
      <c r="AI61" s="1">
        <v>0</v>
      </c>
      <c r="AJ61" s="1">
        <v>0</v>
      </c>
      <c r="AK61" s="1">
        <v>0</v>
      </c>
      <c r="AL61" s="1">
        <v>0</v>
      </c>
      <c r="AM61" s="1">
        <v>0</v>
      </c>
      <c r="AN61" s="1">
        <v>0</v>
      </c>
      <c r="AO61" s="1">
        <v>0</v>
      </c>
    </row>
    <row r="62" spans="1:41" ht="15.75" customHeight="1" x14ac:dyDescent="0.25">
      <c r="A62" s="1">
        <v>3.2209334892436401E-9</v>
      </c>
      <c r="B62" s="1">
        <v>4.4317395741410714E-8</v>
      </c>
      <c r="C62" s="1">
        <v>4.9616271266997739E-7</v>
      </c>
      <c r="D62" s="1">
        <v>4.5199270963794154E-6</v>
      </c>
      <c r="E62" s="1">
        <v>3.350396040484902E-5</v>
      </c>
      <c r="F62" s="1">
        <v>2.020776400432509E-4</v>
      </c>
      <c r="G62" s="1">
        <v>9.9173980243894987E-4</v>
      </c>
      <c r="H62" s="1">
        <v>3.9603586916815373E-3</v>
      </c>
      <c r="I62" s="1">
        <v>1.2868515159108548E-2</v>
      </c>
      <c r="J62" s="1">
        <v>3.4023515048714911E-2</v>
      </c>
      <c r="K62" s="1">
        <v>7.3195818112762781E-2</v>
      </c>
      <c r="L62" s="1">
        <v>0.12812964371700911</v>
      </c>
      <c r="M62" s="1">
        <v>0.18250418094739515</v>
      </c>
      <c r="N62" s="1">
        <v>0.21153281881420166</v>
      </c>
      <c r="O62" s="1">
        <v>0.19955477579850883</v>
      </c>
      <c r="P62" s="1">
        <v>0.15335920160619601</v>
      </c>
      <c r="Q62" s="1">
        <v>0</v>
      </c>
      <c r="R62" s="1">
        <v>0</v>
      </c>
      <c r="S62" s="1">
        <v>0</v>
      </c>
      <c r="T62" s="1">
        <v>0</v>
      </c>
      <c r="U62" s="1">
        <v>0</v>
      </c>
      <c r="V62" s="1">
        <v>0</v>
      </c>
      <c r="W62" s="1">
        <v>0</v>
      </c>
      <c r="X62" s="1">
        <v>0</v>
      </c>
      <c r="Y62" s="1">
        <v>0</v>
      </c>
      <c r="Z62" s="1">
        <v>0</v>
      </c>
      <c r="AA62" s="1">
        <v>0</v>
      </c>
      <c r="AB62" s="1">
        <v>0</v>
      </c>
      <c r="AC62" s="1">
        <v>0</v>
      </c>
      <c r="AD62" s="1">
        <v>0</v>
      </c>
      <c r="AE62" s="1">
        <v>0</v>
      </c>
      <c r="AF62" s="1">
        <v>0</v>
      </c>
      <c r="AG62" s="1">
        <v>0</v>
      </c>
      <c r="AH62" s="1">
        <v>0</v>
      </c>
      <c r="AI62" s="1">
        <v>0</v>
      </c>
      <c r="AJ62" s="1">
        <v>0</v>
      </c>
      <c r="AK62" s="1">
        <v>0</v>
      </c>
      <c r="AL62" s="1">
        <v>0</v>
      </c>
      <c r="AM62" s="1">
        <v>0</v>
      </c>
      <c r="AN62" s="1">
        <v>0</v>
      </c>
      <c r="AO62" s="1">
        <v>0</v>
      </c>
    </row>
    <row r="63" spans="1:41" ht="15.75" customHeight="1" x14ac:dyDescent="0.25">
      <c r="A63" s="1">
        <v>1.9047882330932558E-10</v>
      </c>
      <c r="B63" s="1">
        <v>3.2209334834096362E-9</v>
      </c>
      <c r="C63" s="1">
        <v>4.4317395524117838E-8</v>
      </c>
      <c r="D63" s="1">
        <v>4.9616270613339894E-7</v>
      </c>
      <c r="E63" s="1">
        <v>4.5199269378021803E-6</v>
      </c>
      <c r="F63" s="1">
        <v>3.350395730839571E-5</v>
      </c>
      <c r="G63" s="1">
        <v>2.0207759150846986E-4</v>
      </c>
      <c r="H63" s="1">
        <v>9.9173919410406718E-4</v>
      </c>
      <c r="I63" s="1">
        <v>3.9603526292425126E-3</v>
      </c>
      <c r="J63" s="1">
        <v>1.2868467558993572E-2</v>
      </c>
      <c r="K63" s="1">
        <v>3.4023225223862794E-2</v>
      </c>
      <c r="L63" s="1">
        <v>7.3194492122355764E-2</v>
      </c>
      <c r="M63" s="1">
        <v>0.12812542939379426</v>
      </c>
      <c r="N63" s="1">
        <v>0.18249746253311863</v>
      </c>
      <c r="O63" s="1">
        <v>0.21154718246515786</v>
      </c>
      <c r="P63" s="1">
        <v>0.19969765941847459</v>
      </c>
      <c r="Q63" s="1">
        <v>0.15391157965149213</v>
      </c>
      <c r="R63" s="1">
        <v>0</v>
      </c>
      <c r="S63" s="1">
        <v>0</v>
      </c>
      <c r="T63" s="1">
        <v>0</v>
      </c>
      <c r="U63" s="1">
        <v>0</v>
      </c>
      <c r="V63" s="1">
        <v>0</v>
      </c>
      <c r="W63" s="1">
        <v>0</v>
      </c>
      <c r="X63" s="1">
        <v>0</v>
      </c>
      <c r="Y63" s="1">
        <v>0</v>
      </c>
      <c r="Z63" s="1">
        <v>0</v>
      </c>
      <c r="AA63" s="1">
        <v>0</v>
      </c>
      <c r="AB63" s="1">
        <v>0</v>
      </c>
      <c r="AC63" s="1">
        <v>0</v>
      </c>
      <c r="AD63" s="1">
        <v>0</v>
      </c>
      <c r="AE63" s="1">
        <v>0</v>
      </c>
      <c r="AF63" s="1">
        <v>0</v>
      </c>
      <c r="AG63" s="1">
        <v>0</v>
      </c>
      <c r="AH63" s="1">
        <v>0</v>
      </c>
      <c r="AI63" s="1">
        <v>0</v>
      </c>
      <c r="AJ63" s="1">
        <v>0</v>
      </c>
      <c r="AK63" s="1">
        <v>0</v>
      </c>
      <c r="AL63" s="1">
        <v>0</v>
      </c>
      <c r="AM63" s="1">
        <v>0</v>
      </c>
      <c r="AN63" s="1">
        <v>0</v>
      </c>
      <c r="AO63" s="1">
        <v>0</v>
      </c>
    </row>
    <row r="64" spans="1:41" ht="15.75" customHeight="1" x14ac:dyDescent="0.25">
      <c r="A64" s="1">
        <v>0</v>
      </c>
      <c r="B64" s="1">
        <v>1.9047882293696488E-10</v>
      </c>
      <c r="C64" s="1">
        <v>3.2209334662573E-9</v>
      </c>
      <c r="D64" s="1">
        <v>4.4317394885262031E-8</v>
      </c>
      <c r="E64" s="1">
        <v>4.9616268691540859E-7</v>
      </c>
      <c r="F64" s="1">
        <v>4.5199264715742821E-6</v>
      </c>
      <c r="G64" s="1">
        <v>3.3503948204612959E-5</v>
      </c>
      <c r="H64" s="1">
        <v>2.0207744881290966E-4</v>
      </c>
      <c r="I64" s="1">
        <v>9.917374055575304E-4</v>
      </c>
      <c r="J64" s="1">
        <v>3.960334805231878E-3</v>
      </c>
      <c r="K64" s="1">
        <v>1.2868327610577086E-2</v>
      </c>
      <c r="L64" s="1">
        <v>3.4022373100346857E-2</v>
      </c>
      <c r="M64" s="1">
        <v>7.3190593315083069E-2</v>
      </c>
      <c r="N64" s="1">
        <v>0.12811303568182414</v>
      </c>
      <c r="O64" s="1">
        <v>0.18247769359693358</v>
      </c>
      <c r="P64" s="1">
        <v>0.21158921558814506</v>
      </c>
      <c r="Q64" s="1">
        <v>0.2001145462247215</v>
      </c>
      <c r="R64" s="1">
        <v>0.15551426429829038</v>
      </c>
      <c r="S64" s="1">
        <v>0</v>
      </c>
      <c r="T64" s="1">
        <v>0</v>
      </c>
      <c r="U64" s="1">
        <v>0</v>
      </c>
      <c r="V64" s="1">
        <v>0</v>
      </c>
      <c r="W64" s="1">
        <v>0</v>
      </c>
      <c r="X64" s="1">
        <v>0</v>
      </c>
      <c r="Y64" s="1">
        <v>0</v>
      </c>
      <c r="Z64" s="1">
        <v>0</v>
      </c>
      <c r="AA64" s="1">
        <v>0</v>
      </c>
      <c r="AB64" s="1">
        <v>0</v>
      </c>
      <c r="AC64" s="1">
        <v>0</v>
      </c>
      <c r="AD64" s="1">
        <v>0</v>
      </c>
      <c r="AE64" s="1">
        <v>0</v>
      </c>
      <c r="AF64" s="1">
        <v>0</v>
      </c>
      <c r="AG64" s="1">
        <v>0</v>
      </c>
      <c r="AH64" s="1">
        <v>0</v>
      </c>
      <c r="AI64" s="1">
        <v>0</v>
      </c>
      <c r="AJ64" s="1">
        <v>0</v>
      </c>
      <c r="AK64" s="1">
        <v>0</v>
      </c>
      <c r="AL64" s="1">
        <v>0</v>
      </c>
      <c r="AM64" s="1">
        <v>0</v>
      </c>
      <c r="AN64" s="1">
        <v>0</v>
      </c>
      <c r="AO64" s="1">
        <v>0</v>
      </c>
    </row>
    <row r="65" spans="1:41" ht="15.75" customHeight="1" x14ac:dyDescent="0.25">
      <c r="A65" s="1">
        <v>0</v>
      </c>
      <c r="B65" s="1">
        <v>0</v>
      </c>
      <c r="C65" s="1">
        <v>1.9047882184219977E-10</v>
      </c>
      <c r="D65" s="1">
        <v>3.2209334158282427E-9</v>
      </c>
      <c r="E65" s="1">
        <v>4.4317393006982875E-8</v>
      </c>
      <c r="F65" s="1">
        <v>4.9616263041322595E-7</v>
      </c>
      <c r="G65" s="1">
        <v>4.5199251008327322E-6</v>
      </c>
      <c r="H65" s="1">
        <v>3.3503921438873649E-5</v>
      </c>
      <c r="I65" s="1">
        <v>2.0207702927819662E-4</v>
      </c>
      <c r="J65" s="1">
        <v>9.9173214710399386E-4</v>
      </c>
      <c r="K65" s="1">
        <v>3.9602824012061845E-3</v>
      </c>
      <c r="L65" s="1">
        <v>1.2867916145930511E-2</v>
      </c>
      <c r="M65" s="1">
        <v>3.4019867648459733E-2</v>
      </c>
      <c r="N65" s="1">
        <v>7.3179128287006373E-2</v>
      </c>
      <c r="O65" s="1">
        <v>0.12807658489159135</v>
      </c>
      <c r="P65" s="1">
        <v>0.18241960056161258</v>
      </c>
      <c r="Q65" s="1">
        <v>0.21171100774021934</v>
      </c>
      <c r="R65" s="1">
        <v>0.20131722906276273</v>
      </c>
      <c r="S65" s="1">
        <v>0.16005174879241205</v>
      </c>
      <c r="T65" s="1">
        <v>0</v>
      </c>
      <c r="U65" s="1">
        <v>0</v>
      </c>
      <c r="V65" s="1">
        <v>0</v>
      </c>
      <c r="W65" s="1">
        <v>0</v>
      </c>
      <c r="X65" s="1">
        <v>0</v>
      </c>
      <c r="Y65" s="1">
        <v>0</v>
      </c>
      <c r="Z65" s="1">
        <v>0</v>
      </c>
      <c r="AA65" s="1">
        <v>0</v>
      </c>
      <c r="AB65" s="1">
        <v>0</v>
      </c>
      <c r="AC65" s="1">
        <v>0</v>
      </c>
      <c r="AD65" s="1">
        <v>0</v>
      </c>
      <c r="AE65" s="1">
        <v>0</v>
      </c>
      <c r="AF65" s="1">
        <v>0</v>
      </c>
      <c r="AG65" s="1">
        <v>0</v>
      </c>
      <c r="AH65" s="1">
        <v>0</v>
      </c>
      <c r="AI65" s="1">
        <v>0</v>
      </c>
      <c r="AJ65" s="1">
        <v>0</v>
      </c>
      <c r="AK65" s="1">
        <v>0</v>
      </c>
      <c r="AL65" s="1">
        <v>0</v>
      </c>
      <c r="AM65" s="1">
        <v>0</v>
      </c>
      <c r="AN65" s="1">
        <v>0</v>
      </c>
      <c r="AO65" s="1">
        <v>0</v>
      </c>
    </row>
    <row r="66" spans="1:41" ht="15.75" customHeight="1" x14ac:dyDescent="0.25">
      <c r="A66" s="1">
        <v>0</v>
      </c>
      <c r="B66" s="1">
        <v>0</v>
      </c>
      <c r="C66" s="1">
        <v>0</v>
      </c>
      <c r="D66" s="1">
        <v>1.9047881862351543E-10</v>
      </c>
      <c r="E66" s="1">
        <v>3.2209332675633847E-9</v>
      </c>
      <c r="F66" s="1">
        <v>4.4317387484714214E-8</v>
      </c>
      <c r="G66" s="1">
        <v>4.9616246429298129E-7</v>
      </c>
      <c r="H66" s="1">
        <v>4.5199210707597463E-6</v>
      </c>
      <c r="I66" s="1">
        <v>3.3503842745783641E-5</v>
      </c>
      <c r="J66" s="1">
        <v>2.0207579581712145E-4</v>
      </c>
      <c r="K66" s="1">
        <v>9.9171668685385473E-4</v>
      </c>
      <c r="L66" s="1">
        <v>3.9601283280669775E-3</v>
      </c>
      <c r="M66" s="1">
        <v>1.2866706358647971E-2</v>
      </c>
      <c r="N66" s="1">
        <v>3.4012500383592381E-2</v>
      </c>
      <c r="O66" s="1">
        <v>7.314541571714421E-2</v>
      </c>
      <c r="P66" s="1">
        <v>0.127969622963403</v>
      </c>
      <c r="Q66" s="1">
        <v>0.18224920327249927</v>
      </c>
      <c r="R66" s="1">
        <v>0.21205527299036792</v>
      </c>
      <c r="S66" s="1">
        <v>0.20466731155916942</v>
      </c>
      <c r="T66" s="1">
        <v>0.17203269112135222</v>
      </c>
      <c r="U66" s="1">
        <v>0</v>
      </c>
      <c r="V66" s="1">
        <v>0</v>
      </c>
      <c r="W66" s="1">
        <v>0</v>
      </c>
      <c r="X66" s="1">
        <v>0</v>
      </c>
      <c r="Y66" s="1">
        <v>0</v>
      </c>
      <c r="Z66" s="1">
        <v>0</v>
      </c>
      <c r="AA66" s="1">
        <v>0</v>
      </c>
      <c r="AB66" s="1">
        <v>0</v>
      </c>
      <c r="AC66" s="1">
        <v>0</v>
      </c>
      <c r="AD66" s="1">
        <v>0</v>
      </c>
      <c r="AE66" s="1">
        <v>0</v>
      </c>
      <c r="AF66" s="1">
        <v>0</v>
      </c>
      <c r="AG66" s="1">
        <v>0</v>
      </c>
      <c r="AH66" s="1">
        <v>0</v>
      </c>
      <c r="AI66" s="1">
        <v>0</v>
      </c>
      <c r="AJ66" s="1">
        <v>0</v>
      </c>
      <c r="AK66" s="1">
        <v>0</v>
      </c>
      <c r="AL66" s="1">
        <v>0</v>
      </c>
      <c r="AM66" s="1">
        <v>0</v>
      </c>
      <c r="AN66" s="1">
        <v>0</v>
      </c>
      <c r="AO66" s="1">
        <v>0</v>
      </c>
    </row>
    <row r="67" spans="1:41" ht="15.75" customHeight="1" x14ac:dyDescent="0.25">
      <c r="A67" s="1">
        <v>0</v>
      </c>
      <c r="B67" s="1">
        <v>0</v>
      </c>
      <c r="C67" s="1">
        <v>0</v>
      </c>
      <c r="D67" s="1">
        <v>0</v>
      </c>
      <c r="E67" s="1">
        <v>1.9047880916036592E-10</v>
      </c>
      <c r="F67" s="1">
        <v>3.2209328316546428E-9</v>
      </c>
      <c r="G67" s="1">
        <v>4.4317371248870941E-8</v>
      </c>
      <c r="H67" s="1">
        <v>4.9616197588824315E-7</v>
      </c>
      <c r="I67" s="1">
        <v>4.5199092220738692E-6</v>
      </c>
      <c r="J67" s="1">
        <v>3.3503611382785843E-5</v>
      </c>
      <c r="K67" s="1">
        <v>2.0207216935457032E-4</v>
      </c>
      <c r="L67" s="1">
        <v>9.916712323823876E-4</v>
      </c>
      <c r="M67" s="1">
        <v>3.9596753295467928E-3</v>
      </c>
      <c r="N67" s="1">
        <v>1.2863149156347863E-2</v>
      </c>
      <c r="O67" s="1">
        <v>3.3990840556867151E-2</v>
      </c>
      <c r="P67" s="1">
        <v>7.3046548225717392E-2</v>
      </c>
      <c r="Q67" s="1">
        <v>0.12765718265917139</v>
      </c>
      <c r="R67" s="1">
        <v>0.18175008650259047</v>
      </c>
      <c r="S67" s="1">
        <v>0.21295800221621347</v>
      </c>
      <c r="T67" s="1">
        <v>0.21313376966830716</v>
      </c>
      <c r="U67" s="1">
        <v>0.17203269112135222</v>
      </c>
      <c r="V67" s="1">
        <v>0</v>
      </c>
      <c r="W67" s="1">
        <v>0</v>
      </c>
      <c r="X67" s="1">
        <v>0</v>
      </c>
      <c r="Y67" s="1">
        <v>0</v>
      </c>
      <c r="Z67" s="1">
        <v>0</v>
      </c>
      <c r="AA67" s="1">
        <v>0</v>
      </c>
      <c r="AB67" s="1">
        <v>0</v>
      </c>
      <c r="AC67" s="1">
        <v>0</v>
      </c>
      <c r="AD67" s="1">
        <v>0</v>
      </c>
      <c r="AE67" s="1">
        <v>0</v>
      </c>
      <c r="AF67" s="1">
        <v>0</v>
      </c>
      <c r="AG67" s="1">
        <v>0</v>
      </c>
      <c r="AH67" s="1">
        <v>0</v>
      </c>
      <c r="AI67" s="1">
        <v>0</v>
      </c>
      <c r="AJ67" s="1">
        <v>0</v>
      </c>
      <c r="AK67" s="1">
        <v>0</v>
      </c>
      <c r="AL67" s="1">
        <v>0</v>
      </c>
      <c r="AM67" s="1">
        <v>0</v>
      </c>
      <c r="AN67" s="1">
        <v>0</v>
      </c>
      <c r="AO67" s="1">
        <v>0</v>
      </c>
    </row>
    <row r="68" spans="1:41" ht="15.75" customHeight="1" x14ac:dyDescent="0.25">
      <c r="A68" s="1">
        <v>0</v>
      </c>
      <c r="B68" s="1">
        <v>0</v>
      </c>
      <c r="C68" s="1">
        <v>0</v>
      </c>
      <c r="D68" s="1">
        <v>0</v>
      </c>
      <c r="E68" s="1">
        <v>0</v>
      </c>
      <c r="F68" s="1">
        <v>1.9047878133806376E-10</v>
      </c>
      <c r="G68" s="1">
        <v>3.2209315500534082E-9</v>
      </c>
      <c r="H68" s="1">
        <v>4.4317323514398741E-8</v>
      </c>
      <c r="I68" s="1">
        <v>4.9616053994572204E-7</v>
      </c>
      <c r="J68" s="1">
        <v>4.5198743861569253E-6</v>
      </c>
      <c r="K68" s="1">
        <v>3.3502931160380646E-5</v>
      </c>
      <c r="L68" s="1">
        <v>2.0206150729382976E-4</v>
      </c>
      <c r="M68" s="1">
        <v>9.915375912824501E-4</v>
      </c>
      <c r="N68" s="1">
        <v>3.9583434136050248E-3</v>
      </c>
      <c r="O68" s="1">
        <v>1.2852692412164102E-2</v>
      </c>
      <c r="P68" s="1">
        <v>3.3927348861502622E-2</v>
      </c>
      <c r="Q68" s="1">
        <v>7.2758257688452788E-2</v>
      </c>
      <c r="R68" s="1">
        <v>0.1267528095130703</v>
      </c>
      <c r="S68" s="1">
        <v>0.18030047097388124</v>
      </c>
      <c r="T68" s="1">
        <v>0.21485772236255804</v>
      </c>
      <c r="U68" s="1">
        <v>0.21313376966830716</v>
      </c>
      <c r="V68" s="1">
        <v>0.17203269112135222</v>
      </c>
      <c r="W68" s="1">
        <v>0</v>
      </c>
      <c r="X68" s="1">
        <v>0</v>
      </c>
      <c r="Y68" s="1">
        <v>0</v>
      </c>
      <c r="Z68" s="1">
        <v>0</v>
      </c>
      <c r="AA68" s="1">
        <v>0</v>
      </c>
      <c r="AB68" s="1">
        <v>0</v>
      </c>
      <c r="AC68" s="1">
        <v>0</v>
      </c>
      <c r="AD68" s="1">
        <v>0</v>
      </c>
      <c r="AE68" s="1">
        <v>0</v>
      </c>
      <c r="AF68" s="1">
        <v>0</v>
      </c>
      <c r="AG68" s="1">
        <v>0</v>
      </c>
      <c r="AH68" s="1">
        <v>0</v>
      </c>
      <c r="AI68" s="1">
        <v>0</v>
      </c>
      <c r="AJ68" s="1">
        <v>0</v>
      </c>
      <c r="AK68" s="1">
        <v>0</v>
      </c>
      <c r="AL68" s="1">
        <v>0</v>
      </c>
      <c r="AM68" s="1">
        <v>0</v>
      </c>
      <c r="AN68" s="1">
        <v>0</v>
      </c>
      <c r="AO68" s="1">
        <v>0</v>
      </c>
    </row>
    <row r="69" spans="1:41" ht="15.75" customHeight="1" x14ac:dyDescent="0.25">
      <c r="A69" s="1">
        <v>0</v>
      </c>
      <c r="B69" s="1">
        <v>0</v>
      </c>
      <c r="C69" s="1">
        <v>0</v>
      </c>
      <c r="D69" s="1">
        <v>0</v>
      </c>
      <c r="E69" s="1">
        <v>0</v>
      </c>
      <c r="F69" s="1">
        <v>0</v>
      </c>
      <c r="G69" s="1">
        <v>1.9047869953861708E-10</v>
      </c>
      <c r="H69" s="1">
        <v>3.2209277820598555E-9</v>
      </c>
      <c r="I69" s="1">
        <v>4.4317183171890528E-8</v>
      </c>
      <c r="J69" s="1">
        <v>4.9615631818243719E-7</v>
      </c>
      <c r="K69" s="1">
        <v>4.519771966441491E-6</v>
      </c>
      <c r="L69" s="1">
        <v>3.350093126730592E-5</v>
      </c>
      <c r="M69" s="1">
        <v>2.0203016012748889E-4</v>
      </c>
      <c r="N69" s="1">
        <v>9.9114467394874166E-4</v>
      </c>
      <c r="O69" s="1">
        <v>3.9544286337425865E-3</v>
      </c>
      <c r="P69" s="1">
        <v>1.2822053027255777E-2</v>
      </c>
      <c r="Q69" s="1">
        <v>3.374246016566259E-2</v>
      </c>
      <c r="R69" s="1">
        <v>7.1927999325256717E-2</v>
      </c>
      <c r="S69" s="1">
        <v>0.12421017578913099</v>
      </c>
      <c r="T69" s="1">
        <v>0.17624105624197287</v>
      </c>
      <c r="U69" s="1">
        <v>0.21485772236255804</v>
      </c>
      <c r="V69" s="1">
        <v>0.21313376966830716</v>
      </c>
      <c r="W69" s="1">
        <v>0.17203269112135222</v>
      </c>
      <c r="X69" s="1">
        <v>0</v>
      </c>
      <c r="Y69" s="1">
        <v>0</v>
      </c>
      <c r="Z69" s="1">
        <v>0</v>
      </c>
      <c r="AA69" s="1">
        <v>0</v>
      </c>
      <c r="AB69" s="1">
        <v>0</v>
      </c>
      <c r="AC69" s="1">
        <v>0</v>
      </c>
      <c r="AD69" s="1">
        <v>0</v>
      </c>
      <c r="AE69" s="1">
        <v>0</v>
      </c>
      <c r="AF69" s="1">
        <v>0</v>
      </c>
      <c r="AG69" s="1">
        <v>0</v>
      </c>
      <c r="AH69" s="1">
        <v>0</v>
      </c>
      <c r="AI69" s="1">
        <v>0</v>
      </c>
      <c r="AJ69" s="1">
        <v>0</v>
      </c>
      <c r="AK69" s="1">
        <v>0</v>
      </c>
      <c r="AL69" s="1">
        <v>0</v>
      </c>
      <c r="AM69" s="1">
        <v>0</v>
      </c>
      <c r="AN69" s="1">
        <v>0</v>
      </c>
      <c r="AO69" s="1">
        <v>0</v>
      </c>
    </row>
    <row r="70" spans="1:41" ht="15.75" customHeight="1" x14ac:dyDescent="0.25">
      <c r="A70" s="1">
        <v>0</v>
      </c>
      <c r="B70" s="1">
        <v>0</v>
      </c>
      <c r="C70" s="1">
        <v>0</v>
      </c>
      <c r="D70" s="1">
        <v>0</v>
      </c>
      <c r="E70" s="1">
        <v>0</v>
      </c>
      <c r="F70" s="1">
        <v>0</v>
      </c>
      <c r="G70" s="1">
        <v>0</v>
      </c>
      <c r="H70" s="1">
        <v>1.9047845904276867E-10</v>
      </c>
      <c r="I70" s="1">
        <v>3.2209167039113093E-9</v>
      </c>
      <c r="J70" s="1">
        <v>4.4316770556125753E-8</v>
      </c>
      <c r="K70" s="1">
        <v>4.9614390596169868E-7</v>
      </c>
      <c r="L70" s="1">
        <v>4.51947084802567E-6</v>
      </c>
      <c r="M70" s="1">
        <v>3.3495051532968089E-5</v>
      </c>
      <c r="N70" s="1">
        <v>2.019380004535389E-4</v>
      </c>
      <c r="O70" s="1">
        <v>9.899899553083237E-4</v>
      </c>
      <c r="P70" s="1">
        <v>3.9429623561023216E-3</v>
      </c>
      <c r="Q70" s="1">
        <v>1.2732937728348872E-2</v>
      </c>
      <c r="R70" s="1">
        <v>3.3212057783408647E-2</v>
      </c>
      <c r="S70" s="1">
        <v>6.9626555345414731E-2</v>
      </c>
      <c r="T70" s="1">
        <v>0.11763068453883135</v>
      </c>
      <c r="U70" s="1">
        <v>0.17624105624197287</v>
      </c>
      <c r="V70" s="1">
        <v>0.21485772236255804</v>
      </c>
      <c r="W70" s="1">
        <v>0.21313376966830716</v>
      </c>
      <c r="X70" s="1">
        <v>0.17203269112135222</v>
      </c>
      <c r="Y70" s="1">
        <v>0</v>
      </c>
      <c r="Z70" s="1">
        <v>0</v>
      </c>
      <c r="AA70" s="1">
        <v>0</v>
      </c>
      <c r="AB70" s="1">
        <v>0</v>
      </c>
      <c r="AC70" s="1">
        <v>0</v>
      </c>
      <c r="AD70" s="1">
        <v>0</v>
      </c>
      <c r="AE70" s="1">
        <v>0</v>
      </c>
      <c r="AF70" s="1">
        <v>0</v>
      </c>
      <c r="AG70" s="1">
        <v>0</v>
      </c>
      <c r="AH70" s="1">
        <v>0</v>
      </c>
      <c r="AI70" s="1">
        <v>0</v>
      </c>
      <c r="AJ70" s="1">
        <v>0</v>
      </c>
      <c r="AK70" s="1">
        <v>0</v>
      </c>
      <c r="AL70" s="1">
        <v>0</v>
      </c>
      <c r="AM70" s="1">
        <v>0</v>
      </c>
      <c r="AN70" s="1">
        <v>0</v>
      </c>
      <c r="AO70" s="1">
        <v>0</v>
      </c>
    </row>
    <row r="71" spans="1:41" ht="15.75" customHeight="1" x14ac:dyDescent="0.25">
      <c r="A71" s="1">
        <v>0</v>
      </c>
      <c r="B71" s="1">
        <v>0</v>
      </c>
      <c r="C71" s="1">
        <v>0</v>
      </c>
      <c r="D71" s="1">
        <v>0</v>
      </c>
      <c r="E71" s="1">
        <v>0</v>
      </c>
      <c r="F71" s="1">
        <v>0</v>
      </c>
      <c r="G71" s="1">
        <v>0</v>
      </c>
      <c r="H71" s="1">
        <v>0</v>
      </c>
      <c r="I71" s="1">
        <v>1.9047775196931462E-10</v>
      </c>
      <c r="J71" s="1">
        <v>3.2208841334786966E-9</v>
      </c>
      <c r="K71" s="1">
        <v>4.4315557444610035E-8</v>
      </c>
      <c r="L71" s="1">
        <v>4.9610741366772941E-7</v>
      </c>
      <c r="M71" s="1">
        <v>4.518585565088378E-6</v>
      </c>
      <c r="N71" s="1">
        <v>3.347776602733784E-5</v>
      </c>
      <c r="O71" s="1">
        <v>2.0166719244769292E-4</v>
      </c>
      <c r="P71" s="1">
        <v>9.8660908690424449E-4</v>
      </c>
      <c r="Q71" s="1">
        <v>3.9096502184271338E-3</v>
      </c>
      <c r="R71" s="1">
        <v>1.2478173134901783E-2</v>
      </c>
      <c r="S71" s="1">
        <v>3.1757774535023833E-2</v>
      </c>
      <c r="T71" s="1">
        <v>6.3883923334490555E-2</v>
      </c>
      <c r="U71" s="1">
        <v>0.11763068453883135</v>
      </c>
      <c r="V71" s="1">
        <v>0.17624105624197287</v>
      </c>
      <c r="W71" s="1">
        <v>0.21485772236255804</v>
      </c>
      <c r="X71" s="1">
        <v>0.21313376966830716</v>
      </c>
      <c r="Y71" s="1">
        <v>0.17203269112135222</v>
      </c>
      <c r="Z71" s="1">
        <v>0</v>
      </c>
      <c r="AA71" s="1">
        <v>0</v>
      </c>
      <c r="AB71" s="1">
        <v>0</v>
      </c>
      <c r="AC71" s="1">
        <v>0</v>
      </c>
      <c r="AD71" s="1">
        <v>0</v>
      </c>
      <c r="AE71" s="1">
        <v>0</v>
      </c>
      <c r="AF71" s="1">
        <v>0</v>
      </c>
      <c r="AG71" s="1">
        <v>0</v>
      </c>
      <c r="AH71" s="1">
        <v>0</v>
      </c>
      <c r="AI71" s="1">
        <v>0</v>
      </c>
      <c r="AJ71" s="1">
        <v>0</v>
      </c>
      <c r="AK71" s="1">
        <v>0</v>
      </c>
      <c r="AL71" s="1">
        <v>0</v>
      </c>
      <c r="AM71" s="1">
        <v>0</v>
      </c>
      <c r="AN71" s="1">
        <v>0</v>
      </c>
      <c r="AO71" s="1">
        <v>0</v>
      </c>
    </row>
    <row r="72" spans="1:41" ht="15.75" customHeight="1" x14ac:dyDescent="0.25">
      <c r="A72" s="1">
        <v>0</v>
      </c>
      <c r="B72" s="1">
        <v>0</v>
      </c>
      <c r="C72" s="1">
        <v>0</v>
      </c>
      <c r="D72" s="1">
        <v>0</v>
      </c>
      <c r="E72" s="1">
        <v>0</v>
      </c>
      <c r="F72" s="1">
        <v>0</v>
      </c>
      <c r="G72" s="1">
        <v>0</v>
      </c>
      <c r="H72" s="1">
        <v>0</v>
      </c>
      <c r="I72" s="1">
        <v>0</v>
      </c>
      <c r="J72" s="1">
        <v>1.9047567313135315E-10</v>
      </c>
      <c r="K72" s="1">
        <v>3.2207883748902438E-9</v>
      </c>
      <c r="L72" s="1">
        <v>4.4311990878055188E-8</v>
      </c>
      <c r="M72" s="1">
        <v>4.9600012846337544E-7</v>
      </c>
      <c r="N72" s="1">
        <v>4.5159830791501889E-6</v>
      </c>
      <c r="O72" s="1">
        <v>3.3426979447114465E-5</v>
      </c>
      <c r="P72" s="1">
        <v>2.0087459281247576E-4</v>
      </c>
      <c r="Q72" s="1">
        <v>9.7679766291435812E-4</v>
      </c>
      <c r="R72" s="1">
        <v>3.8147286192479965E-3</v>
      </c>
      <c r="S72" s="1">
        <v>1.1786439479255836E-2</v>
      </c>
      <c r="T72" s="1">
        <v>2.8230589912495378E-2</v>
      </c>
      <c r="U72" s="1">
        <v>6.3883923334490555E-2</v>
      </c>
      <c r="V72" s="1">
        <v>0.11763068453883135</v>
      </c>
      <c r="W72" s="1">
        <v>0.17624105624197287</v>
      </c>
      <c r="X72" s="1">
        <v>0.21485772236255804</v>
      </c>
      <c r="Y72" s="1">
        <v>0.21313376966830716</v>
      </c>
      <c r="Z72" s="1">
        <v>0.17203269112135222</v>
      </c>
      <c r="AA72" s="1">
        <v>0</v>
      </c>
      <c r="AB72" s="1">
        <v>0</v>
      </c>
      <c r="AC72" s="1">
        <v>0</v>
      </c>
      <c r="AD72" s="1">
        <v>0</v>
      </c>
      <c r="AE72" s="1">
        <v>0</v>
      </c>
      <c r="AF72" s="1">
        <v>0</v>
      </c>
      <c r="AG72" s="1">
        <v>0</v>
      </c>
      <c r="AH72" s="1">
        <v>0</v>
      </c>
      <c r="AI72" s="1">
        <v>0</v>
      </c>
      <c r="AJ72" s="1">
        <v>0</v>
      </c>
      <c r="AK72" s="1">
        <v>0</v>
      </c>
      <c r="AL72" s="1">
        <v>0</v>
      </c>
      <c r="AM72" s="1">
        <v>0</v>
      </c>
      <c r="AN72" s="1">
        <v>0</v>
      </c>
      <c r="AO72" s="1">
        <v>0</v>
      </c>
    </row>
    <row r="73" spans="1:41" ht="15.75" customHeight="1" x14ac:dyDescent="0.25">
      <c r="A73" s="1">
        <v>0</v>
      </c>
      <c r="B73" s="1">
        <v>0</v>
      </c>
      <c r="C73" s="1">
        <v>0</v>
      </c>
      <c r="D73" s="1">
        <v>0</v>
      </c>
      <c r="E73" s="1">
        <v>0</v>
      </c>
      <c r="F73" s="1">
        <v>0</v>
      </c>
      <c r="G73" s="1">
        <v>0</v>
      </c>
      <c r="H73" s="1">
        <v>0</v>
      </c>
      <c r="I73" s="1">
        <v>0</v>
      </c>
      <c r="J73" s="1">
        <v>0</v>
      </c>
      <c r="K73" s="1">
        <v>1.9046956126078059E-10</v>
      </c>
      <c r="L73" s="1">
        <v>3.2205068444991243E-9</v>
      </c>
      <c r="M73" s="1">
        <v>4.4301505528271407E-8</v>
      </c>
      <c r="N73" s="1">
        <v>4.956847528072506E-7</v>
      </c>
      <c r="O73" s="1">
        <v>4.5083376460968752E-6</v>
      </c>
      <c r="P73" s="1">
        <v>3.3278391436081216E-5</v>
      </c>
      <c r="Q73" s="1">
        <v>1.9857690488844817E-4</v>
      </c>
      <c r="R73" s="1">
        <v>9.4892897118315552E-4</v>
      </c>
      <c r="S73" s="1">
        <v>3.5593657574139216E-3</v>
      </c>
      <c r="T73" s="1">
        <v>1.0150927943548013E-2</v>
      </c>
      <c r="U73" s="1">
        <v>2.8230589912495378E-2</v>
      </c>
      <c r="V73" s="1">
        <v>6.3883923334490555E-2</v>
      </c>
      <c r="W73" s="1">
        <v>0.11763068453883135</v>
      </c>
      <c r="X73" s="1">
        <v>0.17624105624197287</v>
      </c>
      <c r="Y73" s="1">
        <v>0.21485772236255804</v>
      </c>
      <c r="Z73" s="1">
        <v>0.21313376966830716</v>
      </c>
      <c r="AA73" s="1">
        <v>0.17203269112135222</v>
      </c>
      <c r="AB73" s="1">
        <v>0</v>
      </c>
      <c r="AC73" s="1">
        <v>0</v>
      </c>
      <c r="AD73" s="1">
        <v>0</v>
      </c>
      <c r="AE73" s="1">
        <v>0</v>
      </c>
      <c r="AF73" s="1">
        <v>0</v>
      </c>
      <c r="AG73" s="1">
        <v>0</v>
      </c>
      <c r="AH73" s="1">
        <v>0</v>
      </c>
      <c r="AI73" s="1">
        <v>0</v>
      </c>
      <c r="AJ73" s="1">
        <v>0</v>
      </c>
      <c r="AK73" s="1">
        <v>0</v>
      </c>
      <c r="AL73" s="1">
        <v>0</v>
      </c>
      <c r="AM73" s="1">
        <v>0</v>
      </c>
      <c r="AN73" s="1">
        <v>0</v>
      </c>
      <c r="AO73" s="1">
        <v>0</v>
      </c>
    </row>
    <row r="74" spans="1:41" ht="15.75" customHeight="1" x14ac:dyDescent="0.25">
      <c r="A74" s="1">
        <v>0</v>
      </c>
      <c r="B74" s="1">
        <v>0</v>
      </c>
      <c r="C74" s="1">
        <v>0</v>
      </c>
      <c r="D74" s="1">
        <v>0</v>
      </c>
      <c r="E74" s="1">
        <v>0</v>
      </c>
      <c r="F74" s="1">
        <v>0</v>
      </c>
      <c r="G74" s="1">
        <v>0</v>
      </c>
      <c r="H74" s="1">
        <v>0</v>
      </c>
      <c r="I74" s="1">
        <v>0</v>
      </c>
      <c r="J74" s="1">
        <v>0</v>
      </c>
      <c r="K74" s="1">
        <v>0</v>
      </c>
      <c r="L74" s="1">
        <v>1.9045159243722264E-10</v>
      </c>
      <c r="M74" s="1">
        <v>3.2196791847796306E-9</v>
      </c>
      <c r="N74" s="1">
        <v>4.4270684055681086E-8</v>
      </c>
      <c r="O74" s="1">
        <v>4.9475837307943019E-7</v>
      </c>
      <c r="P74" s="1">
        <v>4.4859771825574302E-6</v>
      </c>
      <c r="Q74" s="1">
        <v>3.2848102015902651E-5</v>
      </c>
      <c r="R74" s="1">
        <v>1.9207072802752205E-4</v>
      </c>
      <c r="S74" s="1">
        <v>8.7462124744190357E-4</v>
      </c>
      <c r="T74" s="1">
        <v>2.9699487464474256E-3</v>
      </c>
      <c r="U74" s="1">
        <v>1.0150927943548013E-2</v>
      </c>
      <c r="V74" s="1">
        <v>2.8230589912495378E-2</v>
      </c>
      <c r="W74" s="1">
        <v>6.3883923334490555E-2</v>
      </c>
      <c r="X74" s="1">
        <v>0.11763068453883135</v>
      </c>
      <c r="Y74" s="1">
        <v>0.17624105624197287</v>
      </c>
      <c r="Z74" s="1">
        <v>0.21485772236255804</v>
      </c>
      <c r="AA74" s="1">
        <v>0.21313376966830716</v>
      </c>
      <c r="AB74" s="1">
        <v>0.17203269112135222</v>
      </c>
      <c r="AC74" s="1">
        <v>0</v>
      </c>
      <c r="AD74" s="1">
        <v>0</v>
      </c>
      <c r="AE74" s="1">
        <v>0</v>
      </c>
      <c r="AF74" s="1">
        <v>0</v>
      </c>
      <c r="AG74" s="1">
        <v>0</v>
      </c>
      <c r="AH74" s="1">
        <v>0</v>
      </c>
      <c r="AI74" s="1">
        <v>0</v>
      </c>
      <c r="AJ74" s="1">
        <v>0</v>
      </c>
      <c r="AK74" s="1">
        <v>0</v>
      </c>
      <c r="AL74" s="1">
        <v>0</v>
      </c>
      <c r="AM74" s="1">
        <v>0</v>
      </c>
      <c r="AN74" s="1">
        <v>0</v>
      </c>
      <c r="AO74" s="1">
        <v>0</v>
      </c>
    </row>
    <row r="75" spans="1:41" ht="15.75" customHeight="1" x14ac:dyDescent="0.25">
      <c r="A75" s="1">
        <v>0</v>
      </c>
      <c r="B75" s="1">
        <v>0</v>
      </c>
      <c r="C75" s="1">
        <v>0</v>
      </c>
      <c r="D75" s="1">
        <v>0</v>
      </c>
      <c r="E75" s="1">
        <v>0</v>
      </c>
      <c r="F75" s="1">
        <v>0</v>
      </c>
      <c r="G75" s="1">
        <v>0</v>
      </c>
      <c r="H75" s="1">
        <v>0</v>
      </c>
      <c r="I75" s="1">
        <v>0</v>
      </c>
      <c r="J75" s="1">
        <v>0</v>
      </c>
      <c r="K75" s="1">
        <v>0</v>
      </c>
      <c r="L75" s="1">
        <v>0</v>
      </c>
      <c r="M75" s="1">
        <v>1.9039876735958327E-10</v>
      </c>
      <c r="N75" s="1">
        <v>3.2172463955846343E-9</v>
      </c>
      <c r="O75" s="1">
        <v>4.4180160478782079E-8</v>
      </c>
      <c r="P75" s="1">
        <v>4.9204997351794691E-7</v>
      </c>
      <c r="Q75" s="1">
        <v>4.4212924476229874E-6</v>
      </c>
      <c r="R75" s="1">
        <v>3.1633414868956091E-5</v>
      </c>
      <c r="S75" s="1">
        <v>1.7487384021012273E-4</v>
      </c>
      <c r="T75" s="1">
        <v>7.0704911385745077E-4</v>
      </c>
      <c r="U75" s="1">
        <v>2.9699487464474256E-3</v>
      </c>
      <c r="V75" s="1">
        <v>1.0150927943548013E-2</v>
      </c>
      <c r="W75" s="1">
        <v>2.8230589912495378E-2</v>
      </c>
      <c r="X75" s="1">
        <v>6.3883923334490555E-2</v>
      </c>
      <c r="Y75" s="1">
        <v>0.11763068453883135</v>
      </c>
      <c r="Z75" s="1">
        <v>0.17624105624197287</v>
      </c>
      <c r="AA75" s="1">
        <v>0.21485772236255804</v>
      </c>
      <c r="AB75" s="1">
        <v>0.21313376966830716</v>
      </c>
      <c r="AC75" s="1">
        <v>0.17203269112135222</v>
      </c>
      <c r="AD75" s="1">
        <v>0</v>
      </c>
      <c r="AE75" s="1">
        <v>0</v>
      </c>
      <c r="AF75" s="1">
        <v>0</v>
      </c>
      <c r="AG75" s="1">
        <v>0</v>
      </c>
      <c r="AH75" s="1">
        <v>0</v>
      </c>
      <c r="AI75" s="1">
        <v>0</v>
      </c>
      <c r="AJ75" s="1">
        <v>0</v>
      </c>
      <c r="AK75" s="1">
        <v>0</v>
      </c>
      <c r="AL75" s="1">
        <v>0</v>
      </c>
      <c r="AM75" s="1">
        <v>0</v>
      </c>
      <c r="AN75" s="1">
        <v>0</v>
      </c>
      <c r="AO75" s="1">
        <v>0</v>
      </c>
    </row>
    <row r="76" spans="1:41" ht="15.75" customHeight="1" x14ac:dyDescent="0.25">
      <c r="A76" s="1">
        <v>0</v>
      </c>
      <c r="B76" s="1">
        <v>0</v>
      </c>
      <c r="C76" s="1">
        <v>0</v>
      </c>
      <c r="D76" s="1">
        <v>0</v>
      </c>
      <c r="E76" s="1">
        <v>0</v>
      </c>
      <c r="F76" s="1">
        <v>0</v>
      </c>
      <c r="G76" s="1">
        <v>0</v>
      </c>
      <c r="H76" s="1">
        <v>0</v>
      </c>
      <c r="I76" s="1">
        <v>0</v>
      </c>
      <c r="J76" s="1">
        <v>0</v>
      </c>
      <c r="K76" s="1">
        <v>0</v>
      </c>
      <c r="L76" s="1">
        <v>0</v>
      </c>
      <c r="M76" s="1">
        <v>0</v>
      </c>
      <c r="N76" s="1">
        <v>1.9024350182822966E-10</v>
      </c>
      <c r="O76" s="1">
        <v>3.2101020829615573E-9</v>
      </c>
      <c r="P76" s="1">
        <v>4.391559622133606E-8</v>
      </c>
      <c r="Q76" s="1">
        <v>4.8422323187856984E-7</v>
      </c>
      <c r="R76" s="1">
        <v>4.2392437616524845E-6</v>
      </c>
      <c r="S76" s="1">
        <v>2.8450315631691516E-5</v>
      </c>
      <c r="T76" s="1">
        <v>1.3696437753092281E-4</v>
      </c>
      <c r="U76" s="1">
        <v>7.0704911385745077E-4</v>
      </c>
      <c r="V76" s="1">
        <v>2.9699487464474256E-3</v>
      </c>
      <c r="W76" s="1">
        <v>1.0150927943548013E-2</v>
      </c>
      <c r="X76" s="1">
        <v>2.8230589912495378E-2</v>
      </c>
      <c r="Y76" s="1">
        <v>6.3883923334490555E-2</v>
      </c>
      <c r="Z76" s="1">
        <v>0.11763068453883135</v>
      </c>
      <c r="AA76" s="1">
        <v>0.17624105624197287</v>
      </c>
      <c r="AB76" s="1">
        <v>0.21485772236255804</v>
      </c>
      <c r="AC76" s="1">
        <v>0.21313376966830716</v>
      </c>
      <c r="AD76" s="1">
        <v>0.17203269112135222</v>
      </c>
      <c r="AE76" s="1">
        <v>0</v>
      </c>
      <c r="AF76" s="1">
        <v>0</v>
      </c>
      <c r="AG76" s="1">
        <v>0</v>
      </c>
      <c r="AH76" s="1">
        <v>0</v>
      </c>
      <c r="AI76" s="1">
        <v>0</v>
      </c>
      <c r="AJ76" s="1">
        <v>0</v>
      </c>
      <c r="AK76" s="1">
        <v>0</v>
      </c>
      <c r="AL76" s="1">
        <v>0</v>
      </c>
      <c r="AM76" s="1">
        <v>0</v>
      </c>
      <c r="AN76" s="1">
        <v>0</v>
      </c>
      <c r="AO76" s="1">
        <v>0</v>
      </c>
    </row>
    <row r="77" spans="1:41" ht="15.75" customHeight="1" x14ac:dyDescent="0.25">
      <c r="A77" s="1">
        <v>0</v>
      </c>
      <c r="B77" s="1">
        <v>0</v>
      </c>
      <c r="C77" s="1">
        <v>0</v>
      </c>
      <c r="D77" s="1">
        <v>0</v>
      </c>
      <c r="E77" s="1">
        <v>0</v>
      </c>
      <c r="F77" s="1">
        <v>0</v>
      </c>
      <c r="G77" s="1">
        <v>0</v>
      </c>
      <c r="H77" s="1">
        <v>0</v>
      </c>
      <c r="I77" s="1">
        <v>0</v>
      </c>
      <c r="J77" s="1">
        <v>0</v>
      </c>
      <c r="K77" s="1">
        <v>0</v>
      </c>
      <c r="L77" s="1">
        <v>0</v>
      </c>
      <c r="M77" s="1">
        <v>0</v>
      </c>
      <c r="N77" s="1">
        <v>0</v>
      </c>
      <c r="O77" s="1">
        <v>1.8978759212410052E-10</v>
      </c>
      <c r="P77" s="1">
        <v>3.1892294952843256E-9</v>
      </c>
      <c r="Q77" s="1">
        <v>4.3151850025498603E-8</v>
      </c>
      <c r="R77" s="1">
        <v>4.6226192174683514E-7</v>
      </c>
      <c r="S77" s="1">
        <v>3.7662292211385192E-6</v>
      </c>
      <c r="T77" s="1">
        <v>2.1588531015541564E-5</v>
      </c>
      <c r="U77" s="1">
        <v>1.3696437753092281E-4</v>
      </c>
      <c r="V77" s="1">
        <v>7.0704911385745077E-4</v>
      </c>
      <c r="W77" s="1">
        <v>2.9699487464474256E-3</v>
      </c>
      <c r="X77" s="1">
        <v>1.0150927943548013E-2</v>
      </c>
      <c r="Y77" s="1">
        <v>2.8230589912495378E-2</v>
      </c>
      <c r="Z77" s="1">
        <v>6.3883923334490555E-2</v>
      </c>
      <c r="AA77" s="1">
        <v>0.11763068453883135</v>
      </c>
      <c r="AB77" s="1">
        <v>0.17624105624197287</v>
      </c>
      <c r="AC77" s="1">
        <v>0.21485772236255804</v>
      </c>
      <c r="AD77" s="1">
        <v>0.21313376966830716</v>
      </c>
      <c r="AE77" s="1">
        <v>0.17203269112135222</v>
      </c>
      <c r="AF77" s="1">
        <v>0</v>
      </c>
      <c r="AG77" s="1">
        <v>0</v>
      </c>
      <c r="AH77" s="1">
        <v>0</v>
      </c>
      <c r="AI77" s="1">
        <v>0</v>
      </c>
      <c r="AJ77" s="1">
        <v>0</v>
      </c>
      <c r="AK77" s="1">
        <v>0</v>
      </c>
      <c r="AL77" s="1">
        <v>0</v>
      </c>
      <c r="AM77" s="1">
        <v>0</v>
      </c>
      <c r="AN77" s="1">
        <v>0</v>
      </c>
      <c r="AO77" s="1">
        <v>0</v>
      </c>
    </row>
    <row r="78" spans="1:41" ht="15.75" customHeight="1" x14ac:dyDescent="0.25">
      <c r="A78" s="1">
        <v>0</v>
      </c>
      <c r="B78" s="1">
        <v>0</v>
      </c>
      <c r="C78" s="1">
        <v>0</v>
      </c>
      <c r="D78" s="1">
        <v>0</v>
      </c>
      <c r="E78" s="1">
        <v>0</v>
      </c>
      <c r="F78" s="1">
        <v>0</v>
      </c>
      <c r="G78" s="1">
        <v>0</v>
      </c>
      <c r="H78" s="1">
        <v>0</v>
      </c>
      <c r="I78" s="1">
        <v>0</v>
      </c>
      <c r="J78" s="1">
        <v>0</v>
      </c>
      <c r="K78" s="1">
        <v>0</v>
      </c>
      <c r="L78" s="1">
        <v>0</v>
      </c>
      <c r="M78" s="1">
        <v>0</v>
      </c>
      <c r="N78" s="1">
        <v>0</v>
      </c>
      <c r="O78" s="1">
        <v>0</v>
      </c>
      <c r="P78" s="1">
        <v>1.8845609101081354E-10</v>
      </c>
      <c r="Q78" s="1">
        <v>3.1290365452826972E-9</v>
      </c>
      <c r="R78" s="1">
        <v>4.1015241136844586E-8</v>
      </c>
      <c r="S78" s="1">
        <v>4.0568021379914339E-7</v>
      </c>
      <c r="T78" s="1">
        <v>2.7688279723574842E-6</v>
      </c>
      <c r="U78" s="1">
        <v>2.1588531015541564E-5</v>
      </c>
      <c r="V78" s="1">
        <v>1.3696437753092281E-4</v>
      </c>
      <c r="W78" s="1">
        <v>7.0704911385745077E-4</v>
      </c>
      <c r="X78" s="1">
        <v>2.9699487464474256E-3</v>
      </c>
      <c r="Y78" s="1">
        <v>1.0150927943548013E-2</v>
      </c>
      <c r="Z78" s="1">
        <v>2.8230589912495378E-2</v>
      </c>
      <c r="AA78" s="1">
        <v>6.3883923334490555E-2</v>
      </c>
      <c r="AB78" s="1">
        <v>0.11763068453883135</v>
      </c>
      <c r="AC78" s="1">
        <v>0.17624105624197287</v>
      </c>
      <c r="AD78" s="1">
        <v>0.21485772236255804</v>
      </c>
      <c r="AE78" s="1">
        <v>0.21313376966830716</v>
      </c>
      <c r="AF78" s="1">
        <v>0.17203269112135222</v>
      </c>
      <c r="AG78" s="1">
        <v>0</v>
      </c>
      <c r="AH78" s="1">
        <v>0</v>
      </c>
      <c r="AI78" s="1">
        <v>0</v>
      </c>
      <c r="AJ78" s="1">
        <v>0</v>
      </c>
      <c r="AK78" s="1">
        <v>0</v>
      </c>
      <c r="AL78" s="1">
        <v>0</v>
      </c>
      <c r="AM78" s="1">
        <v>0</v>
      </c>
      <c r="AN78" s="1">
        <v>0</v>
      </c>
      <c r="AO78" s="1">
        <v>0</v>
      </c>
    </row>
    <row r="79" spans="1:41" ht="15.75" customHeight="1" x14ac:dyDescent="0.25">
      <c r="A79" s="1">
        <v>0</v>
      </c>
      <c r="B79" s="1">
        <v>0</v>
      </c>
      <c r="C79" s="1">
        <v>0</v>
      </c>
      <c r="D79" s="1">
        <v>0</v>
      </c>
      <c r="E79" s="1">
        <v>0</v>
      </c>
      <c r="F79" s="1">
        <v>0</v>
      </c>
      <c r="G79" s="1">
        <v>0</v>
      </c>
      <c r="H79" s="1">
        <v>0</v>
      </c>
      <c r="I79" s="1">
        <v>0</v>
      </c>
      <c r="J79" s="1">
        <v>0</v>
      </c>
      <c r="K79" s="1">
        <v>0</v>
      </c>
      <c r="L79" s="1">
        <v>0</v>
      </c>
      <c r="M79" s="1">
        <v>0</v>
      </c>
      <c r="N79" s="1">
        <v>0</v>
      </c>
      <c r="O79" s="1">
        <v>0</v>
      </c>
      <c r="P79" s="1">
        <v>0</v>
      </c>
      <c r="Q79" s="1">
        <v>1.8462022218666017E-10</v>
      </c>
      <c r="R79" s="1">
        <v>2.9611461030172454E-9</v>
      </c>
      <c r="S79" s="1">
        <v>3.5556444131159121E-8</v>
      </c>
      <c r="T79" s="1">
        <v>2.8895237854877025E-7</v>
      </c>
      <c r="U79" s="1">
        <v>2.7688279723574842E-6</v>
      </c>
      <c r="V79" s="1">
        <v>2.1588531015541564E-5</v>
      </c>
      <c r="W79" s="1">
        <v>1.3696437753092281E-4</v>
      </c>
      <c r="X79" s="1">
        <v>7.0704911385745077E-4</v>
      </c>
      <c r="Y79" s="1">
        <v>2.9699487464474256E-3</v>
      </c>
      <c r="Z79" s="1">
        <v>1.0150927943548013E-2</v>
      </c>
      <c r="AA79" s="1">
        <v>2.8230589912495378E-2</v>
      </c>
      <c r="AB79" s="1">
        <v>6.3883923334490555E-2</v>
      </c>
      <c r="AC79" s="1">
        <v>0.11763068453883135</v>
      </c>
      <c r="AD79" s="1">
        <v>0.17624105624197287</v>
      </c>
      <c r="AE79" s="1">
        <v>0.21485772236255804</v>
      </c>
      <c r="AF79" s="1">
        <v>0.21313376966830716</v>
      </c>
      <c r="AG79" s="1">
        <v>0.17203269112135222</v>
      </c>
      <c r="AH79" s="1">
        <v>0</v>
      </c>
      <c r="AI79" s="1">
        <v>0</v>
      </c>
      <c r="AJ79" s="1">
        <v>0</v>
      </c>
      <c r="AK79" s="1">
        <v>0</v>
      </c>
      <c r="AL79" s="1">
        <v>0</v>
      </c>
      <c r="AM79" s="1">
        <v>0</v>
      </c>
      <c r="AN79" s="1">
        <v>0</v>
      </c>
      <c r="AO79" s="1">
        <v>0</v>
      </c>
    </row>
    <row r="80" spans="1:41" ht="15.75" customHeight="1" x14ac:dyDescent="0.25">
      <c r="A80" s="1">
        <v>0</v>
      </c>
      <c r="B80" s="1">
        <v>0</v>
      </c>
      <c r="C80" s="1">
        <v>0</v>
      </c>
      <c r="D80" s="1">
        <v>0</v>
      </c>
      <c r="E80" s="1">
        <v>0</v>
      </c>
      <c r="F80" s="1">
        <v>0</v>
      </c>
      <c r="G80" s="1">
        <v>0</v>
      </c>
      <c r="H80" s="1">
        <v>0</v>
      </c>
      <c r="I80" s="1">
        <v>0</v>
      </c>
      <c r="J80" s="1">
        <v>0</v>
      </c>
      <c r="K80" s="1">
        <v>0</v>
      </c>
      <c r="L80" s="1">
        <v>0</v>
      </c>
      <c r="M80" s="1">
        <v>0</v>
      </c>
      <c r="N80" s="1">
        <v>0</v>
      </c>
      <c r="O80" s="1">
        <v>0</v>
      </c>
      <c r="P80" s="1">
        <v>0</v>
      </c>
      <c r="Q80" s="1">
        <v>0</v>
      </c>
      <c r="R80" s="1">
        <v>1.7395295910086342E-10</v>
      </c>
      <c r="S80" s="1">
        <v>2.535772199403849E-9</v>
      </c>
      <c r="T80" s="1">
        <v>2.4536577896099145E-8</v>
      </c>
      <c r="U80" s="1">
        <v>2.8895237854877025E-7</v>
      </c>
      <c r="V80" s="1">
        <v>2.7688279723574842E-6</v>
      </c>
      <c r="W80" s="1">
        <v>2.1588531015541564E-5</v>
      </c>
      <c r="X80" s="1">
        <v>1.3696437753092281E-4</v>
      </c>
      <c r="Y80" s="1">
        <v>7.0704911385745077E-4</v>
      </c>
      <c r="Z80" s="1">
        <v>2.9699487464474256E-3</v>
      </c>
      <c r="AA80" s="1">
        <v>1.0150927943548013E-2</v>
      </c>
      <c r="AB80" s="1">
        <v>2.8230589912495378E-2</v>
      </c>
      <c r="AC80" s="1">
        <v>6.3883923334490555E-2</v>
      </c>
      <c r="AD80" s="1">
        <v>0.11763068453883135</v>
      </c>
      <c r="AE80" s="1">
        <v>0.17624105624197287</v>
      </c>
      <c r="AF80" s="1">
        <v>0.21485772236255804</v>
      </c>
      <c r="AG80" s="1">
        <v>0.21313376966830716</v>
      </c>
      <c r="AH80" s="1">
        <v>0.17203269112135222</v>
      </c>
      <c r="AI80" s="1">
        <v>0</v>
      </c>
      <c r="AJ80" s="1">
        <v>0</v>
      </c>
      <c r="AK80" s="1">
        <v>0</v>
      </c>
      <c r="AL80" s="1">
        <v>0</v>
      </c>
      <c r="AM80" s="1">
        <v>0</v>
      </c>
      <c r="AN80" s="1">
        <v>0</v>
      </c>
      <c r="AO80" s="1">
        <v>0</v>
      </c>
    </row>
    <row r="81" spans="1:41" ht="15.75" customHeight="1" x14ac:dyDescent="0.25">
      <c r="A81" s="1">
        <v>0</v>
      </c>
      <c r="B81" s="1">
        <v>0</v>
      </c>
      <c r="C81" s="1">
        <v>0</v>
      </c>
      <c r="D81" s="1">
        <v>0</v>
      </c>
      <c r="E81" s="1">
        <v>0</v>
      </c>
      <c r="F81" s="1">
        <v>0</v>
      </c>
      <c r="G81" s="1">
        <v>0</v>
      </c>
      <c r="H81" s="1">
        <v>0</v>
      </c>
      <c r="I81" s="1">
        <v>0</v>
      </c>
      <c r="J81" s="1">
        <v>0</v>
      </c>
      <c r="K81" s="1">
        <v>0</v>
      </c>
      <c r="L81" s="1">
        <v>0</v>
      </c>
      <c r="M81" s="1">
        <v>0</v>
      </c>
      <c r="N81" s="1">
        <v>0</v>
      </c>
      <c r="O81" s="1">
        <v>0</v>
      </c>
      <c r="P81" s="1">
        <v>0</v>
      </c>
      <c r="Q81" s="1">
        <v>0</v>
      </c>
      <c r="R81" s="1">
        <v>0</v>
      </c>
      <c r="S81" s="1">
        <v>1.4714976341560116E-10</v>
      </c>
      <c r="T81" s="1">
        <v>1.6953490524096953E-9</v>
      </c>
      <c r="U81" s="1">
        <v>2.4536577896099145E-8</v>
      </c>
      <c r="V81" s="1">
        <v>2.8895237854877025E-7</v>
      </c>
      <c r="W81" s="1">
        <v>2.7688279723574842E-6</v>
      </c>
      <c r="X81" s="1">
        <v>2.1588531015541564E-5</v>
      </c>
      <c r="Y81" s="1">
        <v>1.3696437753092281E-4</v>
      </c>
      <c r="Z81" s="1">
        <v>7.0704911385745077E-4</v>
      </c>
      <c r="AA81" s="1">
        <v>2.9699487464474256E-3</v>
      </c>
      <c r="AB81" s="1">
        <v>1.0150927943548013E-2</v>
      </c>
      <c r="AC81" s="1">
        <v>2.8230589912495378E-2</v>
      </c>
      <c r="AD81" s="1">
        <v>6.3883923334490555E-2</v>
      </c>
      <c r="AE81" s="1">
        <v>0.11763068453883135</v>
      </c>
      <c r="AF81" s="1">
        <v>0.17624105624197287</v>
      </c>
      <c r="AG81" s="1">
        <v>0.21485772236255804</v>
      </c>
      <c r="AH81" s="1">
        <v>0.21313376966830716</v>
      </c>
      <c r="AI81" s="1">
        <v>0.17203269112135222</v>
      </c>
      <c r="AJ81" s="1">
        <v>0</v>
      </c>
      <c r="AK81" s="1">
        <v>0</v>
      </c>
      <c r="AL81" s="1">
        <v>0</v>
      </c>
      <c r="AM81" s="1">
        <v>0</v>
      </c>
      <c r="AN81" s="1">
        <v>0</v>
      </c>
      <c r="AO81" s="1">
        <v>0</v>
      </c>
    </row>
    <row r="82" spans="1:41" ht="15.75" customHeight="1" x14ac:dyDescent="0.25">
      <c r="A82" s="1">
        <v>0</v>
      </c>
      <c r="B82" s="1">
        <v>0</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9.5315094328274586E-11</v>
      </c>
      <c r="U82" s="1">
        <v>1.6953490524096953E-9</v>
      </c>
      <c r="V82" s="1">
        <v>2.4536577896099145E-8</v>
      </c>
      <c r="W82" s="1">
        <v>2.8895237854877025E-7</v>
      </c>
      <c r="X82" s="1">
        <v>2.7688279723574842E-6</v>
      </c>
      <c r="Y82" s="1">
        <v>2.1588531015541564E-5</v>
      </c>
      <c r="Z82" s="1">
        <v>1.3696437753092281E-4</v>
      </c>
      <c r="AA82" s="1">
        <v>7.0704911385745077E-4</v>
      </c>
      <c r="AB82" s="1">
        <v>2.9699487464474256E-3</v>
      </c>
      <c r="AC82" s="1">
        <v>1.0150927943548013E-2</v>
      </c>
      <c r="AD82" s="1">
        <v>2.8230589912495378E-2</v>
      </c>
      <c r="AE82" s="1">
        <v>6.3883923334490555E-2</v>
      </c>
      <c r="AF82" s="1">
        <v>0.11763068453883135</v>
      </c>
      <c r="AG82" s="1">
        <v>0.17624105624197287</v>
      </c>
      <c r="AH82" s="1">
        <v>0.21485772236255804</v>
      </c>
      <c r="AI82" s="1">
        <v>0.21313376966830716</v>
      </c>
      <c r="AJ82" s="1">
        <v>0.17203269112135222</v>
      </c>
      <c r="AK82" s="1">
        <v>0</v>
      </c>
      <c r="AL82" s="1">
        <v>0</v>
      </c>
      <c r="AM82" s="1">
        <v>0</v>
      </c>
      <c r="AN82" s="1">
        <v>0</v>
      </c>
      <c r="AO82" s="1">
        <v>0</v>
      </c>
    </row>
    <row r="83" spans="1:41" ht="15.75" customHeight="1" x14ac:dyDescent="0.25">
      <c r="A83" s="1">
        <v>0</v>
      </c>
      <c r="B83" s="1">
        <v>0</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9.5315094328274586E-11</v>
      </c>
      <c r="V83" s="1">
        <v>1.6953490524096953E-9</v>
      </c>
      <c r="W83" s="1">
        <v>2.4536577896099145E-8</v>
      </c>
      <c r="X83" s="1">
        <v>2.8895237854877025E-7</v>
      </c>
      <c r="Y83" s="1">
        <v>2.7688279723574842E-6</v>
      </c>
      <c r="Z83" s="1">
        <v>2.1588531015541564E-5</v>
      </c>
      <c r="AA83" s="1">
        <v>1.3696437753092281E-4</v>
      </c>
      <c r="AB83" s="1">
        <v>7.0704911385745077E-4</v>
      </c>
      <c r="AC83" s="1">
        <v>2.9699487464474256E-3</v>
      </c>
      <c r="AD83" s="1">
        <v>1.0150927943548013E-2</v>
      </c>
      <c r="AE83" s="1">
        <v>2.8230589912495378E-2</v>
      </c>
      <c r="AF83" s="1">
        <v>6.3883923334490555E-2</v>
      </c>
      <c r="AG83" s="1">
        <v>0.11763068453883135</v>
      </c>
      <c r="AH83" s="1">
        <v>0.17624105624197287</v>
      </c>
      <c r="AI83" s="1">
        <v>0.21485772236255804</v>
      </c>
      <c r="AJ83" s="1">
        <v>0.21313376966830716</v>
      </c>
      <c r="AK83" s="1">
        <v>0.17203269112135222</v>
      </c>
      <c r="AL83" s="1">
        <v>0</v>
      </c>
      <c r="AM83" s="1">
        <v>0</v>
      </c>
      <c r="AN83" s="1">
        <v>0</v>
      </c>
      <c r="AO83" s="1">
        <v>0</v>
      </c>
    </row>
    <row r="84" spans="1:41" ht="15.75" customHeight="1" x14ac:dyDescent="0.25">
      <c r="A84" s="1">
        <v>0</v>
      </c>
      <c r="B84" s="1">
        <v>0</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9.5315094328274586E-11</v>
      </c>
      <c r="W84" s="1">
        <v>1.6953490524096953E-9</v>
      </c>
      <c r="X84" s="1">
        <v>2.4536577896099145E-8</v>
      </c>
      <c r="Y84" s="1">
        <v>2.8895237854877025E-7</v>
      </c>
      <c r="Z84" s="1">
        <v>2.7688279723574842E-6</v>
      </c>
      <c r="AA84" s="1">
        <v>2.1588531015541564E-5</v>
      </c>
      <c r="AB84" s="1">
        <v>1.3696437753092281E-4</v>
      </c>
      <c r="AC84" s="1">
        <v>7.0704911385745077E-4</v>
      </c>
      <c r="AD84" s="1">
        <v>2.9699487464474256E-3</v>
      </c>
      <c r="AE84" s="1">
        <v>1.0150927943548013E-2</v>
      </c>
      <c r="AF84" s="1">
        <v>2.8230589912495378E-2</v>
      </c>
      <c r="AG84" s="1">
        <v>6.3883923334490555E-2</v>
      </c>
      <c r="AH84" s="1">
        <v>0.11763068453883135</v>
      </c>
      <c r="AI84" s="1">
        <v>0.17624105624197287</v>
      </c>
      <c r="AJ84" s="1">
        <v>0.21485772236255804</v>
      </c>
      <c r="AK84" s="1">
        <v>0.21313376966830716</v>
      </c>
      <c r="AL84" s="1">
        <v>0.17203269112135222</v>
      </c>
      <c r="AM84" s="1">
        <v>0</v>
      </c>
      <c r="AN84" s="1">
        <v>0</v>
      </c>
      <c r="AO84" s="1">
        <v>0</v>
      </c>
    </row>
    <row r="85" spans="1:41" ht="15.75" customHeight="1" x14ac:dyDescent="0.25">
      <c r="A85" s="1">
        <v>0</v>
      </c>
      <c r="B85" s="1">
        <v>0</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9.5315094328274586E-11</v>
      </c>
      <c r="X85" s="1">
        <v>1.6953490524096953E-9</v>
      </c>
      <c r="Y85" s="1">
        <v>2.4536577896099145E-8</v>
      </c>
      <c r="Z85" s="1">
        <v>2.8895237854877025E-7</v>
      </c>
      <c r="AA85" s="1">
        <v>2.7688279723574842E-6</v>
      </c>
      <c r="AB85" s="1">
        <v>2.1588531015541564E-5</v>
      </c>
      <c r="AC85" s="1">
        <v>1.3696437753092281E-4</v>
      </c>
      <c r="AD85" s="1">
        <v>7.0704911385745077E-4</v>
      </c>
      <c r="AE85" s="1">
        <v>2.9699487464474256E-3</v>
      </c>
      <c r="AF85" s="1">
        <v>1.0150927943548013E-2</v>
      </c>
      <c r="AG85" s="1">
        <v>2.8230589912495378E-2</v>
      </c>
      <c r="AH85" s="1">
        <v>6.3883923334490555E-2</v>
      </c>
      <c r="AI85" s="1">
        <v>0.11763068453883135</v>
      </c>
      <c r="AJ85" s="1">
        <v>0.17624105624197287</v>
      </c>
      <c r="AK85" s="1">
        <v>0.21485772236255804</v>
      </c>
      <c r="AL85" s="1">
        <v>0.21313376966830716</v>
      </c>
      <c r="AM85" s="1">
        <v>0.17203269112135222</v>
      </c>
      <c r="AN85" s="1">
        <v>0</v>
      </c>
      <c r="AO85" s="1">
        <v>0</v>
      </c>
    </row>
    <row r="86" spans="1:41" ht="15.75" customHeight="1" x14ac:dyDescent="0.25">
      <c r="A86" s="1">
        <v>0</v>
      </c>
      <c r="B86" s="1">
        <v>0</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9.5315094328274586E-11</v>
      </c>
      <c r="Y86" s="1">
        <v>1.6953490524096953E-9</v>
      </c>
      <c r="Z86" s="1">
        <v>2.4536577896099145E-8</v>
      </c>
      <c r="AA86" s="1">
        <v>2.8895237854877025E-7</v>
      </c>
      <c r="AB86" s="1">
        <v>2.7688279723574842E-6</v>
      </c>
      <c r="AC86" s="1">
        <v>2.1588531015541564E-5</v>
      </c>
      <c r="AD86" s="1">
        <v>1.3696437753092281E-4</v>
      </c>
      <c r="AE86" s="1">
        <v>7.0704911385745077E-4</v>
      </c>
      <c r="AF86" s="1">
        <v>2.9699487464474256E-3</v>
      </c>
      <c r="AG86" s="1">
        <v>1.0150927943548013E-2</v>
      </c>
      <c r="AH86" s="1">
        <v>2.8230589912495378E-2</v>
      </c>
      <c r="AI86" s="1">
        <v>6.3883923334490555E-2</v>
      </c>
      <c r="AJ86" s="1">
        <v>0.11763068453883135</v>
      </c>
      <c r="AK86" s="1">
        <v>0.17624105624197287</v>
      </c>
      <c r="AL86" s="1">
        <v>0.21485772236255804</v>
      </c>
      <c r="AM86" s="1">
        <v>0.21313376966830716</v>
      </c>
      <c r="AN86" s="1">
        <v>0.17203269112135222</v>
      </c>
      <c r="AO86" s="1">
        <v>0</v>
      </c>
    </row>
    <row r="87" spans="1:41" ht="15.75" customHeight="1" x14ac:dyDescent="0.25">
      <c r="A87" s="1">
        <v>0</v>
      </c>
      <c r="B87" s="1">
        <v>0</v>
      </c>
      <c r="C87" s="1">
        <v>0</v>
      </c>
      <c r="D87" s="1">
        <v>0</v>
      </c>
      <c r="E87" s="1">
        <v>0</v>
      </c>
      <c r="F87" s="1">
        <v>0</v>
      </c>
      <c r="G87" s="1">
        <v>0</v>
      </c>
      <c r="H87" s="1">
        <v>0</v>
      </c>
      <c r="I87" s="1">
        <v>0</v>
      </c>
      <c r="J87" s="1">
        <v>0</v>
      </c>
      <c r="K87" s="1">
        <v>0</v>
      </c>
      <c r="L87" s="1">
        <v>0</v>
      </c>
      <c r="M87" s="1">
        <v>0</v>
      </c>
      <c r="N87" s="1">
        <v>0</v>
      </c>
      <c r="O87" s="1">
        <v>0</v>
      </c>
      <c r="P87" s="1">
        <v>0</v>
      </c>
      <c r="Q87" s="1">
        <v>0</v>
      </c>
      <c r="R87" s="1">
        <v>0</v>
      </c>
      <c r="S87" s="1">
        <v>0</v>
      </c>
      <c r="T87" s="1">
        <v>0</v>
      </c>
      <c r="U87" s="1">
        <v>0</v>
      </c>
      <c r="V87" s="1">
        <v>0</v>
      </c>
      <c r="W87" s="1">
        <v>0</v>
      </c>
      <c r="X87" s="1">
        <v>0</v>
      </c>
      <c r="Y87" s="1">
        <v>9.5315311199328789E-11</v>
      </c>
      <c r="Z87" s="1">
        <v>1.7906643945408973E-9</v>
      </c>
      <c r="AA87" s="1">
        <v>2.6327242275137053E-8</v>
      </c>
      <c r="AB87" s="1">
        <v>3.1527962085498018E-7</v>
      </c>
      <c r="AC87" s="1">
        <v>3.0841075931986595E-6</v>
      </c>
      <c r="AD87" s="1">
        <v>2.4672638608724817E-5</v>
      </c>
      <c r="AE87" s="1">
        <v>1.6163701613969295E-4</v>
      </c>
      <c r="AF87" s="1">
        <v>8.6868612999713157E-4</v>
      </c>
      <c r="AG87" s="1">
        <v>3.8386348764445355E-3</v>
      </c>
      <c r="AH87" s="1">
        <v>1.3989562819992529E-2</v>
      </c>
      <c r="AI87" s="1">
        <v>4.2220152732487914E-2</v>
      </c>
      <c r="AJ87" s="1">
        <v>0.10610407606697847</v>
      </c>
      <c r="AK87" s="1">
        <v>0.22373476060580977</v>
      </c>
      <c r="AL87" s="1">
        <v>0.39997581684778261</v>
      </c>
      <c r="AM87" s="1">
        <v>0.61483353921034056</v>
      </c>
      <c r="AN87" s="1">
        <v>0.82796730887864778</v>
      </c>
      <c r="AO87" s="1">
        <v>1</v>
      </c>
    </row>
    <row r="88" spans="1:41" ht="15.75" customHeight="1" x14ac:dyDescent="0.25"/>
    <row r="89" spans="1:41" ht="15.75" customHeight="1" x14ac:dyDescent="0.25"/>
    <row r="90" spans="1:41" ht="15.75" customHeight="1" x14ac:dyDescent="0.25"/>
    <row r="91" spans="1:41" ht="15.75" customHeight="1" x14ac:dyDescent="0.25"/>
    <row r="92" spans="1:41" ht="15.75" customHeight="1" x14ac:dyDescent="0.25"/>
    <row r="93" spans="1:41" ht="15.75" customHeight="1" x14ac:dyDescent="0.25"/>
    <row r="94" spans="1:41" ht="15.75" customHeight="1" x14ac:dyDescent="0.25"/>
    <row r="95" spans="1:41" ht="15.75" customHeight="1" x14ac:dyDescent="0.25"/>
    <row r="96" spans="1:41"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Q1000"/>
  <sheetViews>
    <sheetView workbookViewId="0">
      <selection sqref="A1:U1"/>
    </sheetView>
  </sheetViews>
  <sheetFormatPr defaultColWidth="14.42578125" defaultRowHeight="15" customHeight="1" x14ac:dyDescent="0.25"/>
  <cols>
    <col min="1" max="1" width="15" customWidth="1"/>
    <col min="2" max="5" width="11.42578125" customWidth="1"/>
    <col min="6" max="6" width="33.5703125" customWidth="1"/>
    <col min="7" max="7" width="11.42578125" customWidth="1"/>
    <col min="8" max="8" width="12.140625" customWidth="1"/>
    <col min="9" max="43" width="11.42578125" customWidth="1"/>
  </cols>
  <sheetData>
    <row r="1" spans="1:43" ht="30" customHeight="1" x14ac:dyDescent="0.25">
      <c r="A1" s="9" t="s">
        <v>146</v>
      </c>
      <c r="B1" s="10"/>
      <c r="C1" s="10"/>
      <c r="D1" s="10"/>
      <c r="E1" s="10"/>
      <c r="F1" s="10"/>
      <c r="G1" s="10"/>
      <c r="H1" s="10"/>
      <c r="I1" s="10"/>
      <c r="J1" s="10"/>
      <c r="K1" s="10"/>
      <c r="L1" s="10"/>
      <c r="M1" s="10"/>
      <c r="N1" s="10"/>
      <c r="O1" s="10"/>
      <c r="P1" s="10"/>
      <c r="Q1" s="10"/>
      <c r="R1" s="10"/>
      <c r="S1" s="10"/>
      <c r="T1" s="10"/>
      <c r="U1" s="11"/>
      <c r="V1" s="3" t="e">
        <f>1+(MAX(area!C3:C28)-1)+MAX(#REF!)*(dynamics!B9+3)</f>
        <v>#REF!</v>
      </c>
      <c r="W1" s="4">
        <f>COUNT(A3:A35)</f>
        <v>5</v>
      </c>
      <c r="X1" s="1" t="s">
        <v>147</v>
      </c>
    </row>
    <row r="2" spans="1:43" x14ac:dyDescent="0.25">
      <c r="A2" s="1" t="s">
        <v>148</v>
      </c>
      <c r="B2" s="1" t="s">
        <v>74</v>
      </c>
      <c r="C2" s="1" t="s">
        <v>125</v>
      </c>
      <c r="D2" s="1" t="s">
        <v>126</v>
      </c>
      <c r="E2" s="1" t="s">
        <v>127</v>
      </c>
      <c r="F2" s="1" t="s">
        <v>67</v>
      </c>
      <c r="H2" s="1" t="s">
        <v>149</v>
      </c>
      <c r="I2" s="1" t="s">
        <v>150</v>
      </c>
      <c r="J2" s="1" t="s">
        <v>151</v>
      </c>
      <c r="K2" s="1" t="s">
        <v>152</v>
      </c>
      <c r="L2" s="1" t="s">
        <v>153</v>
      </c>
      <c r="M2" s="1" t="s">
        <v>154</v>
      </c>
      <c r="N2" s="1" t="s">
        <v>155</v>
      </c>
      <c r="O2" s="1" t="s">
        <v>156</v>
      </c>
      <c r="P2" s="1" t="s">
        <v>157</v>
      </c>
      <c r="Q2" s="1" t="s">
        <v>158</v>
      </c>
      <c r="R2" s="1" t="s">
        <v>159</v>
      </c>
      <c r="S2" s="1" t="s">
        <v>160</v>
      </c>
      <c r="T2" s="1" t="s">
        <v>161</v>
      </c>
      <c r="U2" s="1" t="s">
        <v>162</v>
      </c>
      <c r="V2" s="1" t="s">
        <v>163</v>
      </c>
      <c r="W2" s="1" t="s">
        <v>164</v>
      </c>
      <c r="X2" s="1" t="s">
        <v>165</v>
      </c>
      <c r="Y2" s="1" t="s">
        <v>166</v>
      </c>
      <c r="Z2" s="1" t="s">
        <v>167</v>
      </c>
      <c r="AA2" s="1" t="s">
        <v>168</v>
      </c>
      <c r="AB2" s="1" t="s">
        <v>169</v>
      </c>
      <c r="AC2" s="1" t="s">
        <v>170</v>
      </c>
      <c r="AD2" s="1" t="s">
        <v>171</v>
      </c>
      <c r="AE2" s="1" t="s">
        <v>172</v>
      </c>
      <c r="AF2" s="1" t="s">
        <v>173</v>
      </c>
      <c r="AG2" s="1" t="s">
        <v>174</v>
      </c>
      <c r="AH2" s="1" t="s">
        <v>175</v>
      </c>
      <c r="AI2" s="1" t="s">
        <v>176</v>
      </c>
      <c r="AJ2" s="1" t="s">
        <v>177</v>
      </c>
      <c r="AK2" s="1" t="s">
        <v>178</v>
      </c>
      <c r="AL2" s="1" t="s">
        <v>179</v>
      </c>
      <c r="AM2" s="1" t="s">
        <v>180</v>
      </c>
      <c r="AN2" s="1" t="s">
        <v>181</v>
      </c>
      <c r="AO2" s="1" t="s">
        <v>182</v>
      </c>
      <c r="AP2" s="1" t="s">
        <v>183</v>
      </c>
      <c r="AQ2" s="1" t="s">
        <v>184</v>
      </c>
    </row>
    <row r="3" spans="1:43" x14ac:dyDescent="0.25">
      <c r="A3" s="1">
        <v>1</v>
      </c>
      <c r="B3" s="1">
        <v>-1</v>
      </c>
      <c r="C3" s="1">
        <v>1</v>
      </c>
      <c r="D3" s="1">
        <v>0</v>
      </c>
      <c r="E3" s="1">
        <v>-2</v>
      </c>
      <c r="F3" s="1" t="s">
        <v>185</v>
      </c>
    </row>
    <row r="4" spans="1:43" x14ac:dyDescent="0.25">
      <c r="A4" s="1">
        <v>1</v>
      </c>
      <c r="B4" s="1">
        <v>30</v>
      </c>
      <c r="C4" s="1">
        <v>70</v>
      </c>
      <c r="D4" s="1">
        <v>60</v>
      </c>
      <c r="E4" s="1">
        <v>3</v>
      </c>
      <c r="F4" s="1" t="s">
        <v>186</v>
      </c>
      <c r="H4" s="1">
        <v>1.1985823336539199E-3</v>
      </c>
      <c r="I4" s="1">
        <v>2.9955482619746301E-3</v>
      </c>
      <c r="J4" s="1">
        <v>8.4808117793318E-3</v>
      </c>
      <c r="K4" s="1">
        <v>2.0501756353299601E-2</v>
      </c>
      <c r="L4" s="1">
        <v>4.2320374559578697E-2</v>
      </c>
      <c r="M4" s="1">
        <v>7.4597280277718406E-2</v>
      </c>
      <c r="N4" s="1">
        <v>0.112284472094438</v>
      </c>
      <c r="O4" s="1">
        <v>0.14432633580026699</v>
      </c>
      <c r="P4" s="1">
        <v>0.15841793087765099</v>
      </c>
      <c r="Q4" s="1">
        <v>0.14849004173396299</v>
      </c>
      <c r="R4" s="1">
        <v>0.118856683579757</v>
      </c>
      <c r="S4" s="1">
        <v>8.1241867441214602E-2</v>
      </c>
      <c r="T4" s="1">
        <v>4.7419900907974398E-2</v>
      </c>
      <c r="U4" s="1">
        <v>2.3635134136526001E-2</v>
      </c>
      <c r="V4" s="1">
        <v>1.00591733358729E-2</v>
      </c>
      <c r="W4" s="1">
        <v>3.65562298871958E-3</v>
      </c>
      <c r="X4" s="1">
        <v>1.1343357384749899E-3</v>
      </c>
      <c r="Y4" s="1">
        <v>3.0052972348915098E-4</v>
      </c>
      <c r="Z4" s="5">
        <v>6.7980097010256202E-5</v>
      </c>
      <c r="AA4" s="5">
        <v>1.3128230712311499E-5</v>
      </c>
      <c r="AB4" s="5">
        <v>2.1644174259538599E-6</v>
      </c>
      <c r="AC4" s="5">
        <v>3.0462500133499001E-7</v>
      </c>
      <c r="AD4" s="5">
        <v>3.6598072794546998E-8</v>
      </c>
      <c r="AE4" s="5">
        <v>3.7531577845584302E-9</v>
      </c>
      <c r="AF4" s="5">
        <v>3.2851754649953999E-10</v>
      </c>
      <c r="AG4" s="5">
        <v>2.4542701204666199E-11</v>
      </c>
      <c r="AH4" s="5">
        <v>1.5647483309067001E-12</v>
      </c>
      <c r="AI4" s="5">
        <v>8.5154105988749494E-14</v>
      </c>
      <c r="AJ4" s="5">
        <v>3.9968028886505604E-15</v>
      </c>
      <c r="AK4" s="5">
        <v>1.11022302462516E-16</v>
      </c>
      <c r="AL4" s="1">
        <v>0</v>
      </c>
      <c r="AM4" s="1">
        <v>0</v>
      </c>
      <c r="AN4" s="1">
        <v>0</v>
      </c>
      <c r="AO4" s="1">
        <v>0</v>
      </c>
      <c r="AP4" s="1">
        <v>0</v>
      </c>
      <c r="AQ4" s="1">
        <v>0</v>
      </c>
    </row>
    <row r="5" spans="1:43" x14ac:dyDescent="0.25">
      <c r="A5" s="1">
        <v>1</v>
      </c>
      <c r="B5" s="1">
        <v>0.5</v>
      </c>
      <c r="C5" s="1">
        <v>10</v>
      </c>
      <c r="D5" s="1">
        <v>0.50800000000000001</v>
      </c>
      <c r="E5" s="1">
        <v>3</v>
      </c>
      <c r="F5" s="1" t="s">
        <v>187</v>
      </c>
    </row>
    <row r="6" spans="1:43" x14ac:dyDescent="0.25">
      <c r="A6" s="1">
        <v>1</v>
      </c>
      <c r="B6" s="1">
        <v>30</v>
      </c>
      <c r="C6" s="1">
        <v>70</v>
      </c>
      <c r="D6" s="1">
        <v>60</v>
      </c>
      <c r="E6" s="1">
        <v>3</v>
      </c>
      <c r="F6" s="1" t="s">
        <v>188</v>
      </c>
      <c r="H6" s="1">
        <v>1.1985823336539199E-3</v>
      </c>
      <c r="I6" s="1">
        <v>2.9955482619746301E-3</v>
      </c>
      <c r="J6" s="1">
        <v>8.4808117793318E-3</v>
      </c>
      <c r="K6" s="1">
        <v>2.0501756353299601E-2</v>
      </c>
      <c r="L6" s="1">
        <v>4.2320374559578697E-2</v>
      </c>
      <c r="M6" s="1">
        <v>7.4597280277718406E-2</v>
      </c>
      <c r="N6" s="1">
        <v>0.112284472094438</v>
      </c>
      <c r="O6" s="1">
        <v>0.14432633580026699</v>
      </c>
      <c r="P6" s="1">
        <v>0.15841793087765099</v>
      </c>
      <c r="Q6" s="1">
        <v>0.14849004173396299</v>
      </c>
      <c r="R6" s="1">
        <v>0.118856683579757</v>
      </c>
      <c r="S6" s="1">
        <v>8.1241867441214602E-2</v>
      </c>
      <c r="T6" s="1">
        <v>4.7419900907974398E-2</v>
      </c>
      <c r="U6" s="1">
        <v>2.3635134136526001E-2</v>
      </c>
      <c r="V6" s="1">
        <v>1.00591733358729E-2</v>
      </c>
      <c r="W6" s="1">
        <v>3.65562298871958E-3</v>
      </c>
      <c r="X6" s="1">
        <v>1.1343357384749899E-3</v>
      </c>
      <c r="Y6" s="1">
        <v>3.0052972348915098E-4</v>
      </c>
      <c r="Z6" s="5">
        <v>6.7980097010256202E-5</v>
      </c>
      <c r="AA6" s="5">
        <v>1.3128230712311499E-5</v>
      </c>
      <c r="AB6" s="5">
        <v>2.1644174259538599E-6</v>
      </c>
      <c r="AC6" s="5">
        <v>3.0462500133499001E-7</v>
      </c>
      <c r="AD6" s="5">
        <v>3.6598072794546998E-8</v>
      </c>
      <c r="AE6" s="5">
        <v>3.7531577845584302E-9</v>
      </c>
      <c r="AF6" s="5">
        <v>3.2851754649953999E-10</v>
      </c>
      <c r="AG6" s="5">
        <v>2.4542701204666199E-11</v>
      </c>
      <c r="AH6" s="5">
        <v>1.5647483309067001E-12</v>
      </c>
      <c r="AI6" s="5">
        <v>8.5154105988749494E-14</v>
      </c>
      <c r="AJ6" s="5">
        <v>3.9968028886505604E-15</v>
      </c>
      <c r="AK6" s="5">
        <v>1.11022302462516E-16</v>
      </c>
      <c r="AL6" s="1">
        <v>0</v>
      </c>
      <c r="AM6" s="1">
        <v>0</v>
      </c>
      <c r="AN6" s="1">
        <v>0</v>
      </c>
      <c r="AO6" s="1">
        <v>0</v>
      </c>
      <c r="AP6" s="1">
        <v>0</v>
      </c>
      <c r="AQ6" s="1">
        <v>0</v>
      </c>
    </row>
    <row r="7" spans="1:43" x14ac:dyDescent="0.25">
      <c r="A7" s="1">
        <v>1</v>
      </c>
      <c r="B7" s="1">
        <v>0.5</v>
      </c>
      <c r="C7" s="1">
        <v>10</v>
      </c>
      <c r="D7" s="1">
        <v>0.50800000000000001</v>
      </c>
      <c r="E7" s="1">
        <v>3</v>
      </c>
      <c r="F7" s="1" t="s">
        <v>189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9" t="s">
        <v>141</v>
      </c>
      <c r="B1" s="10"/>
      <c r="C1" s="10"/>
      <c r="D1" s="10"/>
      <c r="E1" s="10"/>
      <c r="F1" s="10"/>
      <c r="G1" s="10"/>
      <c r="H1" s="10"/>
      <c r="I1" s="10"/>
      <c r="J1" s="10"/>
      <c r="K1" s="10"/>
      <c r="L1" s="10"/>
      <c r="M1" s="10"/>
      <c r="N1" s="10"/>
      <c r="O1" s="10"/>
      <c r="P1" s="10"/>
      <c r="Q1" s="10"/>
      <c r="R1" s="10"/>
      <c r="S1" s="10"/>
      <c r="T1" s="10"/>
      <c r="U1" s="11"/>
    </row>
    <row r="2" spans="1:21" x14ac:dyDescent="0.25">
      <c r="A2" s="1" t="s">
        <v>132</v>
      </c>
      <c r="B2" s="1" t="s">
        <v>106</v>
      </c>
      <c r="C2" s="1" t="s">
        <v>142</v>
      </c>
      <c r="D2" s="1" t="s">
        <v>143</v>
      </c>
      <c r="E2" s="1" t="s">
        <v>144</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11" spans="1:21" x14ac:dyDescent="0.25">
      <c r="A11" s="1"/>
      <c r="B11" s="1"/>
      <c r="C11" s="1"/>
      <c r="D11" s="1"/>
      <c r="E11" s="1"/>
    </row>
    <row r="12" spans="1:21" x14ac:dyDescent="0.25">
      <c r="A12" s="1"/>
      <c r="B12" s="1"/>
      <c r="C12" s="1"/>
      <c r="D12" s="1"/>
      <c r="E12" s="1"/>
    </row>
    <row r="13" spans="1:21" x14ac:dyDescent="0.25">
      <c r="A13" s="1"/>
      <c r="B13" s="1"/>
      <c r="C13" s="1"/>
      <c r="D13" s="1"/>
      <c r="E13" s="1"/>
    </row>
    <row r="14" spans="1:21" x14ac:dyDescent="0.25">
      <c r="A14" s="1"/>
      <c r="B14" s="1"/>
      <c r="C14" s="1"/>
      <c r="D14" s="1"/>
      <c r="E14" s="1"/>
    </row>
    <row r="15" spans="1:21" x14ac:dyDescent="0.25">
      <c r="A15" s="1"/>
      <c r="B15" s="1"/>
      <c r="C15" s="1"/>
      <c r="D15" s="1"/>
      <c r="E15" s="1"/>
    </row>
    <row r="16" spans="1:21" x14ac:dyDescent="0.25">
      <c r="A16" s="1"/>
      <c r="B16" s="1"/>
      <c r="C16" s="1"/>
      <c r="D16" s="1"/>
      <c r="E16" s="1"/>
    </row>
    <row r="17" spans="1:5" x14ac:dyDescent="0.25">
      <c r="A17" s="1"/>
      <c r="B17" s="1"/>
      <c r="C17" s="1"/>
      <c r="D17" s="1"/>
      <c r="E17" s="1"/>
    </row>
    <row r="18" spans="1:5" x14ac:dyDescent="0.25">
      <c r="A18" s="1"/>
      <c r="B18" s="1"/>
      <c r="C18" s="1"/>
      <c r="D18" s="1"/>
      <c r="E18" s="1"/>
    </row>
    <row r="19" spans="1:5" x14ac:dyDescent="0.25">
      <c r="A19" s="1"/>
      <c r="B19" s="1"/>
      <c r="C19" s="1"/>
      <c r="D19" s="1"/>
      <c r="E19" s="1"/>
    </row>
    <row r="20" spans="1:5" x14ac:dyDescent="0.25">
      <c r="A20" s="1"/>
      <c r="B20" s="1"/>
      <c r="C20" s="1"/>
      <c r="D20" s="1"/>
      <c r="E20" s="1"/>
    </row>
    <row r="21" spans="1:5" ht="15.75" customHeight="1" x14ac:dyDescent="0.25">
      <c r="A21" s="1"/>
      <c r="B21" s="1"/>
      <c r="C21" s="1"/>
      <c r="D21" s="1"/>
      <c r="E21" s="1"/>
    </row>
    <row r="22" spans="1:5" ht="15.75" customHeight="1" x14ac:dyDescent="0.25">
      <c r="A22" s="1"/>
      <c r="B22" s="1"/>
      <c r="C22" s="1"/>
      <c r="D22" s="1"/>
      <c r="E22" s="1"/>
    </row>
    <row r="23" spans="1:5" ht="15.75" customHeight="1" x14ac:dyDescent="0.25">
      <c r="A23" s="1"/>
      <c r="B23" s="1"/>
      <c r="C23" s="1"/>
      <c r="D23" s="1"/>
      <c r="E23" s="1"/>
    </row>
    <row r="24" spans="1:5" ht="15.75" customHeight="1" x14ac:dyDescent="0.25">
      <c r="A24" s="1"/>
      <c r="B24" s="1"/>
      <c r="C24" s="1"/>
      <c r="D24" s="1"/>
      <c r="E24" s="1"/>
    </row>
    <row r="25" spans="1:5" ht="15.75" customHeight="1" x14ac:dyDescent="0.25">
      <c r="A25" s="1"/>
      <c r="B25" s="1"/>
      <c r="C25" s="1"/>
      <c r="D25" s="1"/>
      <c r="E25" s="1"/>
    </row>
    <row r="26" spans="1:5" ht="15.75" customHeight="1" x14ac:dyDescent="0.25">
      <c r="A26" s="1"/>
      <c r="B26" s="1"/>
      <c r="C26" s="1"/>
      <c r="D26" s="1"/>
      <c r="E26" s="1"/>
    </row>
    <row r="27" spans="1:5" ht="15.75" customHeight="1" x14ac:dyDescent="0.25">
      <c r="A27" s="1"/>
      <c r="B27" s="1"/>
      <c r="C27" s="1"/>
      <c r="D27" s="1"/>
      <c r="E27" s="1"/>
    </row>
    <row r="28" spans="1:5" ht="15.75" customHeight="1" x14ac:dyDescent="0.25">
      <c r="A28" s="1"/>
      <c r="B28" s="1"/>
      <c r="C28" s="1"/>
      <c r="D28" s="1"/>
      <c r="E28" s="1"/>
    </row>
    <row r="29" spans="1:5" ht="15.75" customHeight="1" x14ac:dyDescent="0.25">
      <c r="A29" s="1"/>
      <c r="B29" s="1"/>
      <c r="C29" s="1"/>
      <c r="D29" s="1"/>
      <c r="E29" s="1"/>
    </row>
    <row r="30" spans="1:5" ht="15.75" customHeight="1" x14ac:dyDescent="0.25">
      <c r="A30" s="1"/>
      <c r="B30" s="1"/>
      <c r="C30" s="1"/>
      <c r="D30" s="1"/>
      <c r="E30" s="1"/>
    </row>
    <row r="31" spans="1:5" ht="15.75" customHeight="1" x14ac:dyDescent="0.25">
      <c r="A31" s="1"/>
      <c r="B31" s="1"/>
      <c r="C31" s="1"/>
      <c r="D31" s="1"/>
      <c r="E31" s="1"/>
    </row>
    <row r="32" spans="1:5" ht="15.75" customHeight="1" x14ac:dyDescent="0.25">
      <c r="A32" s="1"/>
      <c r="B32" s="1"/>
      <c r="C32" s="1"/>
      <c r="D32" s="1"/>
      <c r="E32" s="1"/>
    </row>
    <row r="33" spans="1:5" ht="15.75" customHeight="1" x14ac:dyDescent="0.25">
      <c r="A33" s="1"/>
      <c r="B33" s="1"/>
      <c r="C33" s="1"/>
      <c r="D33" s="1"/>
      <c r="E33" s="1"/>
    </row>
    <row r="34" spans="1:5" ht="15.75" customHeight="1" x14ac:dyDescent="0.25">
      <c r="A34" s="1"/>
      <c r="B34" s="1"/>
      <c r="C34" s="1"/>
      <c r="D34" s="1"/>
      <c r="E34" s="1"/>
    </row>
    <row r="35" spans="1:5" ht="15.75" customHeight="1" x14ac:dyDescent="0.25">
      <c r="A35" s="1"/>
      <c r="B35" s="1"/>
      <c r="C35" s="1"/>
      <c r="D35" s="1"/>
      <c r="E35" s="1"/>
    </row>
    <row r="36" spans="1:5" ht="15.75" customHeight="1" x14ac:dyDescent="0.25">
      <c r="A36" s="1"/>
      <c r="B36" s="1"/>
      <c r="C36" s="1"/>
      <c r="D36" s="1"/>
      <c r="E36" s="1"/>
    </row>
    <row r="37" spans="1:5" ht="15.75" customHeight="1" x14ac:dyDescent="0.25">
      <c r="A37" s="1"/>
      <c r="B37" s="1"/>
      <c r="C37" s="1"/>
      <c r="D37" s="1"/>
      <c r="E37" s="1"/>
    </row>
    <row r="38" spans="1:5" ht="15.75" customHeight="1" x14ac:dyDescent="0.25">
      <c r="A38" s="1"/>
      <c r="B38" s="1"/>
      <c r="C38" s="1"/>
      <c r="D38" s="1"/>
      <c r="E38" s="1"/>
    </row>
    <row r="39" spans="1:5" ht="15.75" customHeight="1" x14ac:dyDescent="0.25">
      <c r="A39" s="1"/>
      <c r="B39" s="1"/>
      <c r="C39" s="1"/>
      <c r="D39" s="1"/>
      <c r="E39" s="1"/>
    </row>
    <row r="40" spans="1:5" ht="15.75" customHeight="1" x14ac:dyDescent="0.25">
      <c r="A40" s="1"/>
      <c r="B40" s="1"/>
      <c r="C40" s="1"/>
      <c r="D40" s="1"/>
      <c r="E40" s="1"/>
    </row>
    <row r="41" spans="1:5" ht="15.75" customHeight="1" x14ac:dyDescent="0.25">
      <c r="A41" s="1"/>
      <c r="B41" s="1"/>
      <c r="C41" s="1"/>
      <c r="D41" s="1"/>
      <c r="E41" s="1"/>
    </row>
    <row r="42" spans="1:5" ht="15.75" customHeight="1" x14ac:dyDescent="0.25">
      <c r="A42" s="1"/>
      <c r="B42" s="1"/>
      <c r="C42" s="1"/>
      <c r="D42" s="1"/>
      <c r="E42" s="1"/>
    </row>
    <row r="43" spans="1:5" ht="15.75" customHeight="1" x14ac:dyDescent="0.25">
      <c r="A43" s="1"/>
      <c r="B43" s="1"/>
      <c r="C43" s="1"/>
      <c r="D43" s="1"/>
      <c r="E43" s="1"/>
    </row>
    <row r="44" spans="1:5" ht="15.75" customHeight="1" x14ac:dyDescent="0.25">
      <c r="A44" s="1"/>
      <c r="B44" s="1"/>
      <c r="C44" s="1"/>
      <c r="D44" s="1"/>
      <c r="E44" s="1"/>
    </row>
    <row r="45" spans="1:5" ht="15.75" customHeight="1" x14ac:dyDescent="0.25">
      <c r="A45" s="1"/>
      <c r="B45" s="1"/>
      <c r="C45" s="1"/>
      <c r="D45" s="1"/>
      <c r="E45" s="1"/>
    </row>
    <row r="46" spans="1:5" ht="15.75" customHeight="1" x14ac:dyDescent="0.25">
      <c r="A46" s="1"/>
      <c r="B46" s="1"/>
      <c r="C46" s="1"/>
      <c r="D46" s="1"/>
      <c r="E46" s="1"/>
    </row>
    <row r="47" spans="1:5" ht="15.75" customHeight="1" x14ac:dyDescent="0.25">
      <c r="A47" s="1"/>
      <c r="B47" s="1"/>
      <c r="C47" s="1"/>
      <c r="D47" s="1"/>
      <c r="E47" s="1"/>
    </row>
    <row r="48" spans="1:5" ht="15.75" customHeight="1" x14ac:dyDescent="0.25">
      <c r="A48" s="1"/>
      <c r="B48" s="1"/>
      <c r="C48" s="1"/>
      <c r="D48" s="1"/>
      <c r="E48" s="1"/>
    </row>
    <row r="49" spans="1:5" ht="15.75" customHeight="1" x14ac:dyDescent="0.25">
      <c r="A49" s="1"/>
      <c r="B49" s="1"/>
      <c r="C49" s="1"/>
      <c r="D49" s="1"/>
      <c r="E49" s="1"/>
    </row>
    <row r="50" spans="1:5" ht="15.75" customHeight="1" x14ac:dyDescent="0.25">
      <c r="A50" s="1"/>
      <c r="B50" s="1"/>
      <c r="C50" s="1"/>
      <c r="D50" s="1"/>
      <c r="E50" s="1"/>
    </row>
    <row r="51" spans="1:5" ht="15.75" customHeight="1" x14ac:dyDescent="0.25">
      <c r="A51" s="1"/>
      <c r="B51" s="1"/>
      <c r="C51" s="1"/>
      <c r="D51" s="1"/>
      <c r="E51" s="1"/>
    </row>
    <row r="52" spans="1:5" ht="15.75" customHeight="1" x14ac:dyDescent="0.25">
      <c r="A52" s="1"/>
      <c r="B52" s="1"/>
      <c r="C52" s="1"/>
      <c r="D52" s="1"/>
      <c r="E52" s="1"/>
    </row>
    <row r="53" spans="1:5" ht="15.75" customHeight="1" x14ac:dyDescent="0.25">
      <c r="A53" s="1"/>
      <c r="B53" s="1"/>
      <c r="C53" s="1"/>
      <c r="D53" s="1"/>
      <c r="E53" s="1"/>
    </row>
    <row r="54" spans="1:5" ht="15.75" customHeight="1" x14ac:dyDescent="0.25">
      <c r="A54" s="1"/>
      <c r="B54" s="1"/>
      <c r="C54" s="1"/>
      <c r="D54" s="1"/>
      <c r="E54" s="1"/>
    </row>
    <row r="55" spans="1:5" ht="15.75" customHeight="1" x14ac:dyDescent="0.25">
      <c r="A55" s="1"/>
      <c r="B55" s="1"/>
      <c r="C55" s="1"/>
      <c r="D55" s="1"/>
      <c r="E55" s="1"/>
    </row>
    <row r="56" spans="1:5" ht="15.75" customHeight="1" x14ac:dyDescent="0.25">
      <c r="A56" s="1"/>
      <c r="B56" s="1"/>
      <c r="C56" s="1"/>
      <c r="D56" s="1"/>
      <c r="E56" s="1"/>
    </row>
    <row r="57" spans="1:5" ht="15.75" customHeight="1" x14ac:dyDescent="0.25">
      <c r="A57" s="1"/>
      <c r="B57" s="1"/>
      <c r="C57" s="1"/>
      <c r="D57" s="1"/>
      <c r="E57" s="1"/>
    </row>
    <row r="58" spans="1:5" ht="15.75" customHeight="1" x14ac:dyDescent="0.25">
      <c r="A58" s="1"/>
      <c r="B58" s="1"/>
      <c r="C58" s="1"/>
      <c r="D58" s="1"/>
      <c r="E58" s="1"/>
    </row>
    <row r="59" spans="1:5" ht="15.75" customHeight="1" x14ac:dyDescent="0.25">
      <c r="A59" s="1"/>
      <c r="B59" s="1"/>
      <c r="C59" s="1"/>
      <c r="D59" s="1"/>
      <c r="E59" s="1"/>
    </row>
    <row r="60" spans="1:5" ht="15.75" customHeight="1" x14ac:dyDescent="0.25">
      <c r="A60" s="1"/>
      <c r="B60" s="1"/>
      <c r="C60" s="1"/>
      <c r="D60" s="1"/>
      <c r="E60" s="1"/>
    </row>
    <row r="61" spans="1:5" ht="15.75" customHeight="1" x14ac:dyDescent="0.25">
      <c r="A61" s="1"/>
      <c r="B61" s="1"/>
      <c r="C61" s="1"/>
      <c r="D61" s="1"/>
      <c r="E61" s="1"/>
    </row>
    <row r="62" spans="1:5" ht="15.75" customHeight="1" x14ac:dyDescent="0.25">
      <c r="A62" s="1"/>
      <c r="B62" s="1"/>
      <c r="C62" s="1"/>
      <c r="D62" s="1"/>
      <c r="E62" s="1"/>
    </row>
    <row r="63" spans="1:5" ht="15.75" customHeight="1" x14ac:dyDescent="0.25">
      <c r="A63" s="1"/>
      <c r="B63" s="1"/>
      <c r="C63" s="1"/>
      <c r="D63" s="1"/>
      <c r="E63" s="1"/>
    </row>
    <row r="64" spans="1:5" ht="15.75" customHeight="1" x14ac:dyDescent="0.25">
      <c r="A64" s="1"/>
      <c r="B64" s="1"/>
      <c r="C64" s="1"/>
      <c r="D64" s="1"/>
      <c r="E64" s="1"/>
    </row>
    <row r="65" spans="1:5" ht="15.75" customHeight="1" x14ac:dyDescent="0.25">
      <c r="A65" s="1"/>
      <c r="B65" s="1"/>
      <c r="C65" s="1"/>
      <c r="D65" s="1"/>
      <c r="E65" s="1"/>
    </row>
    <row r="66" spans="1:5" ht="15.75" customHeight="1" x14ac:dyDescent="0.25">
      <c r="A66" s="1"/>
      <c r="B66" s="1"/>
      <c r="C66" s="1"/>
      <c r="D66" s="1"/>
      <c r="E66" s="1"/>
    </row>
    <row r="67" spans="1:5" ht="15.75" customHeight="1" x14ac:dyDescent="0.25">
      <c r="A67" s="1"/>
      <c r="B67" s="1"/>
      <c r="C67" s="1"/>
      <c r="D67" s="1"/>
      <c r="E67" s="1"/>
    </row>
    <row r="68" spans="1:5" ht="15.75" customHeight="1" x14ac:dyDescent="0.25">
      <c r="A68" s="1"/>
      <c r="B68" s="1"/>
      <c r="C68" s="1"/>
      <c r="D68" s="1"/>
      <c r="E68" s="1"/>
    </row>
    <row r="69" spans="1:5" ht="15.75" customHeight="1" x14ac:dyDescent="0.25">
      <c r="A69" s="1"/>
      <c r="B69" s="1"/>
      <c r="C69" s="1"/>
      <c r="D69" s="1"/>
      <c r="E69" s="1"/>
    </row>
    <row r="70" spans="1:5" ht="15.75" customHeight="1" x14ac:dyDescent="0.25">
      <c r="A70" s="1"/>
      <c r="B70" s="1"/>
      <c r="C70" s="1"/>
      <c r="D70" s="1"/>
      <c r="E70" s="1"/>
    </row>
    <row r="71" spans="1:5" ht="15.75" customHeight="1" x14ac:dyDescent="0.25">
      <c r="A71" s="1"/>
      <c r="B71" s="1"/>
      <c r="C71" s="1"/>
      <c r="D71" s="1"/>
      <c r="E71" s="1"/>
    </row>
    <row r="72" spans="1:5" ht="15.75" customHeight="1" x14ac:dyDescent="0.25">
      <c r="A72" s="1"/>
      <c r="B72" s="1"/>
      <c r="C72" s="1"/>
      <c r="D72" s="1"/>
      <c r="E72" s="1"/>
    </row>
    <row r="73" spans="1:5" ht="15.75" customHeight="1" x14ac:dyDescent="0.25">
      <c r="A73" s="1"/>
      <c r="B73" s="1"/>
      <c r="C73" s="1"/>
      <c r="D73" s="1"/>
      <c r="E73" s="1"/>
    </row>
    <row r="74" spans="1:5" ht="15.75" customHeight="1" x14ac:dyDescent="0.25">
      <c r="A74" s="1"/>
      <c r="B74" s="1"/>
      <c r="C74" s="1"/>
      <c r="D74" s="1"/>
      <c r="E74" s="1"/>
    </row>
    <row r="75" spans="1:5" ht="15.75" customHeight="1" x14ac:dyDescent="0.25">
      <c r="A75" s="1"/>
      <c r="B75" s="1"/>
      <c r="C75" s="1"/>
      <c r="D75" s="1"/>
      <c r="E75" s="1"/>
    </row>
    <row r="76" spans="1:5" ht="15.75" customHeight="1" x14ac:dyDescent="0.25">
      <c r="A76" s="1"/>
      <c r="B76" s="1"/>
      <c r="C76" s="1"/>
      <c r="D76" s="1"/>
      <c r="E76" s="1"/>
    </row>
    <row r="77" spans="1:5" ht="15.75" customHeight="1" x14ac:dyDescent="0.25">
      <c r="A77" s="1"/>
      <c r="B77" s="1"/>
      <c r="C77" s="1"/>
      <c r="D77" s="1"/>
      <c r="E77" s="1"/>
    </row>
    <row r="78" spans="1:5" ht="15.75" customHeight="1" x14ac:dyDescent="0.25">
      <c r="A78" s="1"/>
      <c r="B78" s="1"/>
      <c r="C78" s="1"/>
      <c r="D78" s="1"/>
      <c r="E78" s="1"/>
    </row>
    <row r="79" spans="1:5" ht="15.75" customHeight="1" x14ac:dyDescent="0.25">
      <c r="A79" s="1"/>
      <c r="B79" s="1"/>
      <c r="C79" s="1"/>
      <c r="D79" s="1"/>
      <c r="E79" s="1"/>
    </row>
    <row r="80" spans="1:5" ht="15.75" customHeight="1" x14ac:dyDescent="0.25">
      <c r="A80" s="1"/>
      <c r="B80" s="1"/>
      <c r="C80" s="1"/>
      <c r="D80" s="1"/>
      <c r="E80" s="1"/>
    </row>
    <row r="81" spans="1:5" ht="15.75" customHeight="1" x14ac:dyDescent="0.25">
      <c r="A81" s="1"/>
      <c r="B81" s="1"/>
      <c r="C81" s="1"/>
      <c r="D81" s="1"/>
      <c r="E81" s="1"/>
    </row>
    <row r="82" spans="1:5" ht="15.75" customHeight="1" x14ac:dyDescent="0.25">
      <c r="A82" s="1"/>
      <c r="B82" s="1"/>
      <c r="C82" s="1"/>
      <c r="D82" s="1"/>
      <c r="E82" s="1"/>
    </row>
    <row r="83" spans="1:5" ht="15.75" customHeight="1" x14ac:dyDescent="0.25">
      <c r="A83" s="1"/>
      <c r="B83" s="1"/>
      <c r="C83" s="1"/>
      <c r="D83" s="1"/>
      <c r="E83" s="1"/>
    </row>
    <row r="84" spans="1:5" ht="15.75" customHeight="1" x14ac:dyDescent="0.25">
      <c r="A84" s="1"/>
      <c r="B84" s="1"/>
      <c r="C84" s="1"/>
      <c r="D84" s="1"/>
      <c r="E84" s="1"/>
    </row>
    <row r="85" spans="1:5" ht="15.75" customHeight="1" x14ac:dyDescent="0.25">
      <c r="A85" s="1"/>
      <c r="B85" s="1"/>
      <c r="C85" s="1"/>
      <c r="D85" s="1"/>
      <c r="E85" s="1"/>
    </row>
    <row r="86" spans="1:5" ht="15.75" customHeight="1" x14ac:dyDescent="0.25">
      <c r="A86" s="1"/>
      <c r="B86" s="1"/>
      <c r="C86" s="1"/>
      <c r="D86" s="1"/>
      <c r="E86" s="1"/>
    </row>
    <row r="87" spans="1:5" ht="15.75" customHeight="1" x14ac:dyDescent="0.25">
      <c r="A87" s="1"/>
      <c r="B87" s="1"/>
      <c r="C87" s="1"/>
      <c r="D87" s="1"/>
      <c r="E87" s="1"/>
    </row>
    <row r="88" spans="1:5" ht="15.75" customHeight="1" x14ac:dyDescent="0.25">
      <c r="A88" s="1"/>
      <c r="B88" s="1"/>
      <c r="C88" s="1"/>
      <c r="D88" s="1"/>
      <c r="E88" s="1"/>
    </row>
    <row r="89" spans="1:5" ht="15.75" customHeight="1" x14ac:dyDescent="0.25">
      <c r="A89" s="1"/>
      <c r="B89" s="1"/>
      <c r="C89" s="1"/>
      <c r="D89" s="1"/>
      <c r="E89" s="1"/>
    </row>
    <row r="90" spans="1:5" ht="15.75" customHeight="1" x14ac:dyDescent="0.25">
      <c r="A90" s="1"/>
      <c r="B90" s="1"/>
      <c r="C90" s="1"/>
      <c r="D90" s="1"/>
      <c r="E90" s="1"/>
    </row>
    <row r="91" spans="1:5" ht="15.75" customHeight="1" x14ac:dyDescent="0.25">
      <c r="A91" s="1"/>
      <c r="B91" s="1"/>
      <c r="C91" s="1"/>
      <c r="D91" s="1"/>
      <c r="E91" s="1"/>
    </row>
    <row r="92" spans="1:5" ht="15.75" customHeight="1" x14ac:dyDescent="0.25">
      <c r="A92" s="1"/>
      <c r="B92" s="1"/>
      <c r="C92" s="1"/>
      <c r="D92" s="1"/>
      <c r="E92" s="1"/>
    </row>
    <row r="93" spans="1:5" ht="15.75" customHeight="1" x14ac:dyDescent="0.25">
      <c r="A93" s="1"/>
      <c r="B93" s="1"/>
      <c r="C93" s="1"/>
      <c r="D93" s="1"/>
      <c r="E93" s="1"/>
    </row>
    <row r="94" spans="1:5" ht="15.75" customHeight="1" x14ac:dyDescent="0.25">
      <c r="A94" s="1"/>
      <c r="B94" s="1"/>
      <c r="C94" s="1"/>
      <c r="D94" s="1"/>
      <c r="E94" s="1"/>
    </row>
    <row r="95" spans="1:5" ht="15.75" customHeight="1" x14ac:dyDescent="0.25">
      <c r="A95" s="1"/>
      <c r="B95" s="1"/>
      <c r="C95" s="1"/>
      <c r="D95" s="1"/>
      <c r="E95" s="1"/>
    </row>
    <row r="96" spans="1:5" ht="15.75" customHeight="1" x14ac:dyDescent="0.25">
      <c r="A96" s="1"/>
      <c r="B96" s="1"/>
      <c r="C96" s="1"/>
      <c r="D96" s="1"/>
      <c r="E96" s="1"/>
    </row>
    <row r="97" spans="1:5" ht="15.75" customHeight="1" x14ac:dyDescent="0.25">
      <c r="A97" s="1"/>
      <c r="B97" s="1"/>
      <c r="C97" s="1"/>
      <c r="D97" s="1"/>
      <c r="E97" s="1"/>
    </row>
    <row r="98" spans="1:5" ht="15.75" customHeight="1" x14ac:dyDescent="0.25">
      <c r="A98" s="1"/>
      <c r="B98" s="1"/>
      <c r="C98" s="1"/>
      <c r="D98" s="1"/>
      <c r="E98" s="1"/>
    </row>
    <row r="99" spans="1:5" ht="15.75" customHeight="1" x14ac:dyDescent="0.25">
      <c r="A99" s="1"/>
      <c r="B99" s="1"/>
      <c r="C99" s="1"/>
      <c r="D99" s="1"/>
      <c r="E99" s="1"/>
    </row>
    <row r="100" spans="1:5" ht="15.75" customHeight="1" x14ac:dyDescent="0.25">
      <c r="A100" s="1"/>
      <c r="B100" s="1"/>
      <c r="C100" s="1"/>
      <c r="D100" s="1"/>
      <c r="E100" s="1"/>
    </row>
    <row r="101" spans="1:5" ht="15.75" customHeight="1" x14ac:dyDescent="0.25">
      <c r="A101" s="1"/>
      <c r="B101" s="1"/>
      <c r="C101" s="1"/>
      <c r="D101" s="1"/>
      <c r="E101" s="1"/>
    </row>
    <row r="102" spans="1:5" ht="15.75" customHeight="1" x14ac:dyDescent="0.25">
      <c r="A102" s="1"/>
      <c r="B102" s="1"/>
      <c r="C102" s="1"/>
      <c r="D102" s="1"/>
      <c r="E102" s="1"/>
    </row>
    <row r="103" spans="1:5" ht="15.75" customHeight="1" x14ac:dyDescent="0.25">
      <c r="A103" s="1"/>
      <c r="B103" s="1"/>
      <c r="C103" s="1"/>
      <c r="D103" s="1"/>
      <c r="E103" s="1"/>
    </row>
    <row r="104" spans="1:5" ht="15.75" customHeight="1" x14ac:dyDescent="0.25">
      <c r="A104" s="1"/>
      <c r="B104" s="1"/>
      <c r="C104" s="1"/>
      <c r="D104" s="1"/>
      <c r="E104" s="1"/>
    </row>
    <row r="105" spans="1:5" ht="15.75" customHeight="1" x14ac:dyDescent="0.25">
      <c r="A105" s="1"/>
      <c r="B105" s="1"/>
      <c r="C105" s="1"/>
      <c r="D105" s="1"/>
      <c r="E105" s="1"/>
    </row>
    <row r="106" spans="1:5" ht="15.75" customHeight="1" x14ac:dyDescent="0.25">
      <c r="A106" s="1"/>
      <c r="B106" s="1"/>
      <c r="C106" s="1"/>
      <c r="D106" s="1"/>
      <c r="E106" s="1"/>
    </row>
    <row r="107" spans="1:5" ht="15.75" customHeight="1" x14ac:dyDescent="0.25">
      <c r="A107" s="1"/>
      <c r="B107" s="1"/>
      <c r="C107" s="1"/>
      <c r="D107" s="1"/>
      <c r="E107" s="1"/>
    </row>
    <row r="108" spans="1:5" ht="15.75" customHeight="1" x14ac:dyDescent="0.25">
      <c r="A108" s="1"/>
      <c r="B108" s="1"/>
      <c r="C108" s="1"/>
      <c r="D108" s="1"/>
      <c r="E108" s="1"/>
    </row>
    <row r="109" spans="1:5" ht="15.75" customHeight="1" x14ac:dyDescent="0.25">
      <c r="A109" s="1"/>
      <c r="B109" s="1"/>
      <c r="C109" s="1"/>
      <c r="D109" s="1"/>
      <c r="E109" s="1"/>
    </row>
    <row r="110" spans="1:5" ht="15.75" customHeight="1" x14ac:dyDescent="0.25">
      <c r="A110" s="1"/>
      <c r="B110" s="1"/>
      <c r="C110" s="1"/>
      <c r="D110" s="1"/>
      <c r="E110" s="1"/>
    </row>
    <row r="111" spans="1:5" ht="15.75" customHeight="1" x14ac:dyDescent="0.25">
      <c r="A111" s="1"/>
      <c r="B111" s="1"/>
      <c r="C111" s="1"/>
      <c r="D111" s="1"/>
      <c r="E111" s="1"/>
    </row>
    <row r="112" spans="1:5" ht="15.75" customHeight="1" x14ac:dyDescent="0.25">
      <c r="A112" s="1"/>
      <c r="B112" s="1"/>
      <c r="C112" s="1"/>
      <c r="D112" s="1"/>
      <c r="E112" s="1"/>
    </row>
    <row r="113" spans="1:5" ht="15.75" customHeight="1" x14ac:dyDescent="0.25">
      <c r="A113" s="1"/>
      <c r="B113" s="1"/>
      <c r="C113" s="1"/>
      <c r="D113" s="1"/>
      <c r="E113" s="1"/>
    </row>
    <row r="114" spans="1:5" ht="15.75" customHeight="1" x14ac:dyDescent="0.25">
      <c r="A114" s="1"/>
      <c r="B114" s="1"/>
      <c r="C114" s="1"/>
      <c r="D114" s="1"/>
      <c r="E114" s="1"/>
    </row>
    <row r="115" spans="1:5" ht="15.75" customHeight="1" x14ac:dyDescent="0.25">
      <c r="A115" s="1"/>
      <c r="B115" s="1"/>
      <c r="C115" s="1"/>
      <c r="D115" s="1"/>
      <c r="E115" s="1"/>
    </row>
    <row r="116" spans="1:5" ht="15.75" customHeight="1" x14ac:dyDescent="0.25">
      <c r="A116" s="1"/>
      <c r="B116" s="1"/>
      <c r="C116" s="1"/>
      <c r="D116" s="1"/>
      <c r="E116" s="1"/>
    </row>
    <row r="117" spans="1:5" ht="15.75" customHeight="1" x14ac:dyDescent="0.25">
      <c r="A117" s="1"/>
      <c r="B117" s="1"/>
      <c r="C117" s="1"/>
      <c r="D117" s="1"/>
      <c r="E117" s="1"/>
    </row>
    <row r="118" spans="1:5" ht="15.75" customHeight="1" x14ac:dyDescent="0.25">
      <c r="A118" s="1"/>
      <c r="B118" s="1"/>
      <c r="C118" s="1"/>
      <c r="D118" s="1"/>
      <c r="E118" s="1"/>
    </row>
    <row r="119" spans="1:5" ht="15.75" customHeight="1" x14ac:dyDescent="0.25">
      <c r="A119" s="1"/>
      <c r="B119" s="1"/>
      <c r="C119" s="1"/>
      <c r="D119" s="1"/>
      <c r="E119" s="1"/>
    </row>
    <row r="120" spans="1:5" ht="15.75" customHeight="1" x14ac:dyDescent="0.25">
      <c r="A120" s="1"/>
      <c r="B120" s="1"/>
      <c r="C120" s="1"/>
      <c r="D120" s="1"/>
      <c r="E120" s="1"/>
    </row>
    <row r="121" spans="1:5" ht="15.75" customHeight="1" x14ac:dyDescent="0.25">
      <c r="A121" s="1"/>
      <c r="B121" s="1"/>
      <c r="C121" s="1"/>
      <c r="D121" s="1"/>
      <c r="E121" s="1"/>
    </row>
    <row r="122" spans="1:5" ht="15.75" customHeight="1" x14ac:dyDescent="0.25">
      <c r="A122" s="1"/>
      <c r="B122" s="1"/>
      <c r="C122" s="1"/>
      <c r="D122" s="1"/>
      <c r="E122" s="1"/>
    </row>
    <row r="123" spans="1:5" ht="15.75" customHeight="1" x14ac:dyDescent="0.25">
      <c r="A123" s="1"/>
      <c r="B123" s="1"/>
      <c r="C123" s="1"/>
      <c r="D123" s="1"/>
      <c r="E123" s="1"/>
    </row>
    <row r="124" spans="1:5" ht="15.75" customHeight="1" x14ac:dyDescent="0.25">
      <c r="A124" s="1"/>
      <c r="B124" s="1"/>
      <c r="C124" s="1"/>
      <c r="D124" s="1"/>
      <c r="E124" s="1"/>
    </row>
    <row r="125" spans="1:5" ht="15.75" customHeight="1" x14ac:dyDescent="0.25">
      <c r="A125" s="1"/>
      <c r="B125" s="1"/>
      <c r="C125" s="1"/>
      <c r="D125" s="1"/>
      <c r="E125" s="1"/>
    </row>
    <row r="126" spans="1:5" ht="15.75" customHeight="1" x14ac:dyDescent="0.25">
      <c r="A126" s="1"/>
      <c r="B126" s="1"/>
      <c r="C126" s="1"/>
      <c r="D126" s="1"/>
      <c r="E126" s="1"/>
    </row>
    <row r="127" spans="1:5" ht="15.75" customHeight="1" x14ac:dyDescent="0.25">
      <c r="A127" s="1"/>
      <c r="B127" s="1"/>
      <c r="C127" s="1"/>
      <c r="D127" s="1"/>
      <c r="E127" s="1"/>
    </row>
    <row r="128" spans="1:5" ht="15.75" customHeight="1" x14ac:dyDescent="0.25">
      <c r="A128" s="1"/>
      <c r="B128" s="1"/>
      <c r="C128" s="1"/>
      <c r="D128" s="1"/>
      <c r="E128" s="1"/>
    </row>
    <row r="129" spans="1:5" ht="15.75" customHeight="1" x14ac:dyDescent="0.25">
      <c r="A129" s="1"/>
      <c r="B129" s="1"/>
      <c r="C129" s="1"/>
      <c r="D129" s="1"/>
      <c r="E129" s="1"/>
    </row>
    <row r="130" spans="1:5" ht="15.75" customHeight="1" x14ac:dyDescent="0.25">
      <c r="A130" s="1"/>
      <c r="B130" s="1"/>
      <c r="C130" s="1"/>
      <c r="D130" s="1"/>
      <c r="E130" s="1"/>
    </row>
    <row r="131" spans="1:5" ht="15.75" customHeight="1" x14ac:dyDescent="0.25">
      <c r="A131" s="1"/>
      <c r="B131" s="1"/>
      <c r="C131" s="1"/>
      <c r="D131" s="1"/>
      <c r="E131" s="1"/>
    </row>
    <row r="132" spans="1:5" ht="15.75" customHeight="1" x14ac:dyDescent="0.25">
      <c r="A132" s="1"/>
      <c r="B132" s="1"/>
      <c r="C132" s="1"/>
      <c r="D132" s="1"/>
      <c r="E132" s="1"/>
    </row>
    <row r="133" spans="1:5" ht="15.75" customHeight="1" x14ac:dyDescent="0.25">
      <c r="A133" s="1"/>
      <c r="B133" s="1"/>
      <c r="C133" s="1"/>
      <c r="D133" s="1"/>
      <c r="E133" s="1"/>
    </row>
    <row r="134" spans="1:5" ht="15.75" customHeight="1" x14ac:dyDescent="0.25">
      <c r="A134" s="1"/>
      <c r="B134" s="1"/>
      <c r="C134" s="1"/>
      <c r="D134" s="1"/>
      <c r="E134" s="1"/>
    </row>
    <row r="135" spans="1:5" ht="15.75" customHeight="1" x14ac:dyDescent="0.25">
      <c r="A135" s="1"/>
      <c r="B135" s="1"/>
      <c r="C135" s="1"/>
      <c r="D135" s="1"/>
      <c r="E135" s="1"/>
    </row>
    <row r="136" spans="1:5" ht="15.75" customHeight="1" x14ac:dyDescent="0.25">
      <c r="A136" s="1"/>
      <c r="B136" s="1"/>
      <c r="C136" s="1"/>
      <c r="D136" s="1"/>
      <c r="E136" s="1"/>
    </row>
    <row r="137" spans="1:5" ht="15.75" customHeight="1" x14ac:dyDescent="0.25">
      <c r="A137" s="1"/>
      <c r="B137" s="1"/>
      <c r="C137" s="1"/>
      <c r="D137" s="1"/>
      <c r="E137" s="1"/>
    </row>
    <row r="138" spans="1:5" ht="15.75" customHeight="1" x14ac:dyDescent="0.25">
      <c r="A138" s="1"/>
      <c r="B138" s="1"/>
      <c r="C138" s="1"/>
      <c r="D138" s="1"/>
      <c r="E138" s="1"/>
    </row>
    <row r="139" spans="1:5" ht="15.75" customHeight="1" x14ac:dyDescent="0.25">
      <c r="A139" s="1"/>
      <c r="B139" s="1"/>
      <c r="C139" s="1"/>
      <c r="D139" s="1"/>
      <c r="E139" s="1"/>
    </row>
    <row r="140" spans="1:5" ht="15.75" customHeight="1" x14ac:dyDescent="0.25">
      <c r="A140" s="1"/>
      <c r="B140" s="1"/>
      <c r="C140" s="1"/>
      <c r="D140" s="1"/>
      <c r="E140" s="1"/>
    </row>
    <row r="141" spans="1:5" ht="15.75" customHeight="1" x14ac:dyDescent="0.25">
      <c r="A141" s="1"/>
      <c r="B141" s="1"/>
      <c r="C141" s="1"/>
      <c r="D141" s="1"/>
      <c r="E141" s="1"/>
    </row>
    <row r="142" spans="1:5" ht="15.75" customHeight="1" x14ac:dyDescent="0.25">
      <c r="A142" s="1"/>
      <c r="B142" s="1"/>
      <c r="C142" s="1"/>
      <c r="D142" s="1"/>
      <c r="E142" s="1"/>
    </row>
    <row r="143" spans="1:5" ht="15.75" customHeight="1" x14ac:dyDescent="0.25">
      <c r="A143" s="1"/>
      <c r="B143" s="1"/>
      <c r="C143" s="1"/>
      <c r="D143" s="1"/>
      <c r="E143" s="1"/>
    </row>
    <row r="144" spans="1:5" ht="15.75" customHeight="1" x14ac:dyDescent="0.25">
      <c r="A144" s="1"/>
      <c r="B144" s="1"/>
      <c r="C144" s="1"/>
      <c r="D144" s="1"/>
      <c r="E144" s="1"/>
    </row>
    <row r="145" spans="1:5" ht="15.75" customHeight="1" x14ac:dyDescent="0.25">
      <c r="A145" s="1"/>
      <c r="B145" s="1"/>
      <c r="C145" s="1"/>
      <c r="D145" s="1"/>
      <c r="E145" s="1"/>
    </row>
    <row r="146" spans="1:5" ht="15.75" customHeight="1" x14ac:dyDescent="0.25">
      <c r="A146" s="1"/>
      <c r="B146" s="1"/>
      <c r="C146" s="1"/>
      <c r="D146" s="1"/>
      <c r="E146" s="1"/>
    </row>
    <row r="147" spans="1:5" ht="15.75" customHeight="1" x14ac:dyDescent="0.25">
      <c r="A147" s="1"/>
      <c r="B147" s="1"/>
      <c r="C147" s="1"/>
      <c r="D147" s="1"/>
      <c r="E147" s="1"/>
    </row>
    <row r="148" spans="1:5" ht="15.75" customHeight="1" x14ac:dyDescent="0.25">
      <c r="A148" s="1"/>
      <c r="B148" s="1"/>
      <c r="C148" s="1"/>
      <c r="D148" s="1"/>
      <c r="E148" s="1"/>
    </row>
    <row r="149" spans="1:5" ht="15.75" customHeight="1" x14ac:dyDescent="0.25">
      <c r="A149" s="1"/>
      <c r="B149" s="1"/>
      <c r="C149" s="1"/>
      <c r="D149" s="1"/>
      <c r="E149" s="1"/>
    </row>
    <row r="150" spans="1:5" ht="15.75" customHeight="1" x14ac:dyDescent="0.25">
      <c r="A150" s="1"/>
      <c r="B150" s="1"/>
      <c r="C150" s="1"/>
      <c r="D150" s="1"/>
      <c r="E150" s="1"/>
    </row>
    <row r="151" spans="1:5" ht="15.75" customHeight="1" x14ac:dyDescent="0.25">
      <c r="A151" s="1"/>
      <c r="B151" s="1"/>
      <c r="C151" s="1"/>
      <c r="D151" s="1"/>
      <c r="E151" s="1"/>
    </row>
    <row r="152" spans="1:5" ht="15.75" customHeight="1" x14ac:dyDescent="0.25">
      <c r="A152" s="1"/>
      <c r="B152" s="1"/>
      <c r="C152" s="1"/>
      <c r="D152" s="1"/>
      <c r="E152" s="1"/>
    </row>
    <row r="153" spans="1:5" ht="15.75" customHeight="1" x14ac:dyDescent="0.25">
      <c r="A153" s="1"/>
      <c r="B153" s="1"/>
      <c r="C153" s="1"/>
      <c r="D153" s="1"/>
      <c r="E153" s="1"/>
    </row>
    <row r="154" spans="1:5" ht="15.75" customHeight="1" x14ac:dyDescent="0.25">
      <c r="A154" s="1"/>
      <c r="B154" s="1"/>
      <c r="C154" s="1"/>
      <c r="D154" s="1"/>
      <c r="E154" s="1"/>
    </row>
    <row r="155" spans="1:5" ht="15.75" customHeight="1" x14ac:dyDescent="0.25">
      <c r="A155" s="1"/>
      <c r="B155" s="1"/>
      <c r="C155" s="1"/>
      <c r="D155" s="1"/>
      <c r="E155" s="1"/>
    </row>
    <row r="156" spans="1:5" ht="15.75" customHeight="1" x14ac:dyDescent="0.25">
      <c r="A156" s="1"/>
      <c r="B156" s="1"/>
      <c r="C156" s="1"/>
      <c r="D156" s="1"/>
      <c r="E156" s="1"/>
    </row>
    <row r="157" spans="1:5" ht="15.75" customHeight="1" x14ac:dyDescent="0.25">
      <c r="A157" s="1"/>
      <c r="B157" s="1"/>
      <c r="C157" s="1"/>
      <c r="D157" s="1"/>
      <c r="E157" s="1"/>
    </row>
    <row r="158" spans="1:5" ht="15.75" customHeight="1" x14ac:dyDescent="0.25">
      <c r="A158" s="1"/>
      <c r="B158" s="1"/>
      <c r="C158" s="1"/>
      <c r="D158" s="1"/>
      <c r="E158" s="1"/>
    </row>
    <row r="159" spans="1:5" ht="15.75" customHeight="1" x14ac:dyDescent="0.25">
      <c r="A159" s="1"/>
      <c r="B159" s="1"/>
      <c r="C159" s="1"/>
      <c r="D159" s="1"/>
      <c r="E159" s="1"/>
    </row>
    <row r="160" spans="1:5" ht="15.75" customHeight="1" x14ac:dyDescent="0.25">
      <c r="A160" s="1"/>
      <c r="B160" s="1"/>
      <c r="C160" s="1"/>
      <c r="D160" s="1"/>
      <c r="E160" s="1"/>
    </row>
    <row r="161" spans="1:5" ht="15.75" customHeight="1" x14ac:dyDescent="0.25">
      <c r="A161" s="1"/>
      <c r="B161" s="1"/>
      <c r="C161" s="1"/>
      <c r="D161" s="1"/>
      <c r="E161" s="1"/>
    </row>
    <row r="162" spans="1:5" ht="15.75" customHeight="1" x14ac:dyDescent="0.25">
      <c r="A162" s="1"/>
      <c r="B162" s="1"/>
      <c r="C162" s="1"/>
      <c r="D162" s="1"/>
      <c r="E162" s="1"/>
    </row>
    <row r="163" spans="1:5" ht="15.75" customHeight="1" x14ac:dyDescent="0.25">
      <c r="A163" s="1"/>
      <c r="B163" s="1"/>
      <c r="C163" s="1"/>
      <c r="D163" s="1"/>
      <c r="E163" s="1"/>
    </row>
    <row r="164" spans="1:5" ht="15.75" customHeight="1" x14ac:dyDescent="0.25">
      <c r="A164" s="1"/>
      <c r="B164" s="1"/>
      <c r="C164" s="1"/>
      <c r="D164" s="1"/>
      <c r="E164" s="1"/>
    </row>
    <row r="165" spans="1:5" ht="15.75" customHeight="1" x14ac:dyDescent="0.25">
      <c r="A165" s="1"/>
      <c r="B165" s="1"/>
      <c r="C165" s="1"/>
      <c r="D165" s="1"/>
      <c r="E165" s="1"/>
    </row>
    <row r="166" spans="1:5" ht="15.75" customHeight="1" x14ac:dyDescent="0.25">
      <c r="A166" s="1"/>
      <c r="B166" s="1"/>
      <c r="C166" s="1"/>
      <c r="D166" s="1"/>
      <c r="E166" s="1"/>
    </row>
    <row r="167" spans="1:5" ht="15.75" customHeight="1" x14ac:dyDescent="0.25">
      <c r="A167" s="1"/>
      <c r="B167" s="1"/>
      <c r="C167" s="1"/>
      <c r="D167" s="1"/>
      <c r="E167" s="1"/>
    </row>
    <row r="168" spans="1:5" ht="15.75" customHeight="1" x14ac:dyDescent="0.25">
      <c r="A168" s="1"/>
      <c r="B168" s="1"/>
      <c r="C168" s="1"/>
      <c r="D168" s="1"/>
      <c r="E168" s="1"/>
    </row>
    <row r="169" spans="1:5" ht="15.75" customHeight="1" x14ac:dyDescent="0.25">
      <c r="A169" s="1"/>
      <c r="B169" s="1"/>
      <c r="C169" s="1"/>
      <c r="D169" s="1"/>
      <c r="E169" s="1"/>
    </row>
    <row r="170" spans="1:5" ht="15.75" customHeight="1" x14ac:dyDescent="0.25">
      <c r="A170" s="1"/>
      <c r="B170" s="1"/>
      <c r="C170" s="1"/>
      <c r="D170" s="1"/>
      <c r="E170" s="1"/>
    </row>
    <row r="171" spans="1:5" ht="15.75" customHeight="1" x14ac:dyDescent="0.25">
      <c r="A171" s="1"/>
      <c r="B171" s="1"/>
      <c r="C171" s="1"/>
      <c r="D171" s="1"/>
      <c r="E171" s="1"/>
    </row>
    <row r="172" spans="1:5" ht="15.75" customHeight="1" x14ac:dyDescent="0.25">
      <c r="A172" s="1"/>
      <c r="B172" s="1"/>
      <c r="C172" s="1"/>
      <c r="D172" s="1"/>
      <c r="E172" s="1"/>
    </row>
    <row r="173" spans="1:5" ht="15.75" customHeight="1" x14ac:dyDescent="0.25">
      <c r="A173" s="1"/>
      <c r="B173" s="1"/>
      <c r="C173" s="1"/>
      <c r="D173" s="1"/>
      <c r="E173" s="1"/>
    </row>
    <row r="174" spans="1:5" ht="15.75" customHeight="1" x14ac:dyDescent="0.25">
      <c r="A174" s="1"/>
      <c r="B174" s="1"/>
      <c r="C174" s="1"/>
      <c r="D174" s="1"/>
      <c r="E174" s="1"/>
    </row>
    <row r="175" spans="1:5" ht="15.75" customHeight="1" x14ac:dyDescent="0.25">
      <c r="A175" s="1"/>
      <c r="B175" s="1"/>
      <c r="C175" s="1"/>
      <c r="D175" s="1"/>
      <c r="E175" s="1"/>
    </row>
    <row r="176" spans="1:5" ht="15.75" customHeight="1" x14ac:dyDescent="0.25">
      <c r="A176" s="1"/>
      <c r="B176" s="1"/>
      <c r="C176" s="1"/>
      <c r="D176" s="1"/>
      <c r="E176" s="1"/>
    </row>
    <row r="177" spans="1:5" ht="15.75" customHeight="1" x14ac:dyDescent="0.25">
      <c r="A177" s="1"/>
      <c r="B177" s="1"/>
      <c r="C177" s="1"/>
      <c r="D177" s="1"/>
      <c r="E177" s="1"/>
    </row>
    <row r="178" spans="1:5" ht="15.75" customHeight="1" x14ac:dyDescent="0.25">
      <c r="A178" s="1"/>
      <c r="B178" s="1"/>
      <c r="C178" s="1"/>
      <c r="D178" s="1"/>
      <c r="E178" s="1"/>
    </row>
    <row r="179" spans="1:5" ht="15.75" customHeight="1" x14ac:dyDescent="0.25">
      <c r="A179" s="1"/>
      <c r="B179" s="1"/>
      <c r="C179" s="1"/>
      <c r="D179" s="1"/>
      <c r="E179" s="1"/>
    </row>
    <row r="180" spans="1:5" ht="15.75" customHeight="1" x14ac:dyDescent="0.25">
      <c r="A180" s="1"/>
      <c r="B180" s="1"/>
      <c r="C180" s="1"/>
      <c r="D180" s="1"/>
      <c r="E180" s="1"/>
    </row>
    <row r="181" spans="1:5" ht="15.75" customHeight="1" x14ac:dyDescent="0.25">
      <c r="A181" s="1"/>
      <c r="B181" s="1"/>
      <c r="C181" s="1"/>
      <c r="D181" s="1"/>
      <c r="E181" s="1"/>
    </row>
    <row r="182" spans="1:5" ht="15.75" customHeight="1" x14ac:dyDescent="0.25">
      <c r="A182" s="1"/>
      <c r="B182" s="1"/>
      <c r="C182" s="1"/>
      <c r="D182" s="1"/>
      <c r="E182" s="1"/>
    </row>
    <row r="183" spans="1:5" ht="15.75" customHeight="1" x14ac:dyDescent="0.25">
      <c r="A183" s="1"/>
      <c r="B183" s="1"/>
      <c r="C183" s="1"/>
      <c r="D183" s="1"/>
      <c r="E183" s="1"/>
    </row>
    <row r="184" spans="1:5" ht="15.75" customHeight="1" x14ac:dyDescent="0.25">
      <c r="A184" s="1"/>
      <c r="B184" s="1"/>
      <c r="C184" s="1"/>
      <c r="D184" s="1"/>
      <c r="E184" s="1"/>
    </row>
    <row r="185" spans="1:5" ht="15.75" customHeight="1" x14ac:dyDescent="0.25">
      <c r="A185" s="1"/>
      <c r="B185" s="1"/>
      <c r="C185" s="1"/>
      <c r="D185" s="1"/>
      <c r="E185" s="1"/>
    </row>
    <row r="186" spans="1:5" ht="15.75" customHeight="1" x14ac:dyDescent="0.25">
      <c r="A186" s="1"/>
      <c r="B186" s="1"/>
      <c r="C186" s="1"/>
      <c r="D186" s="1"/>
      <c r="E186" s="1"/>
    </row>
    <row r="187" spans="1:5" ht="15.75" customHeight="1" x14ac:dyDescent="0.25">
      <c r="A187" s="1"/>
      <c r="B187" s="1"/>
      <c r="C187" s="1"/>
      <c r="D187" s="1"/>
      <c r="E187" s="1"/>
    </row>
    <row r="188" spans="1:5" ht="15.75" customHeight="1" x14ac:dyDescent="0.25">
      <c r="A188" s="1"/>
      <c r="B188" s="1"/>
      <c r="C188" s="1"/>
      <c r="D188" s="1"/>
      <c r="E188" s="1"/>
    </row>
    <row r="189" spans="1:5" ht="15.75" customHeight="1" x14ac:dyDescent="0.25">
      <c r="A189" s="1"/>
      <c r="B189" s="1"/>
      <c r="C189" s="1"/>
      <c r="D189" s="1"/>
      <c r="E189" s="1"/>
    </row>
    <row r="190" spans="1:5" ht="15.75" customHeight="1" x14ac:dyDescent="0.25">
      <c r="A190" s="1"/>
      <c r="B190" s="1"/>
      <c r="C190" s="1"/>
      <c r="D190" s="1"/>
      <c r="E190" s="1"/>
    </row>
    <row r="191" spans="1:5" ht="15.75" customHeight="1" x14ac:dyDescent="0.25">
      <c r="A191" s="1"/>
      <c r="B191" s="1"/>
      <c r="C191" s="1"/>
      <c r="D191" s="1"/>
      <c r="E191" s="1"/>
    </row>
    <row r="192" spans="1:5" ht="15.75" customHeight="1" x14ac:dyDescent="0.25">
      <c r="A192" s="1"/>
      <c r="B192" s="1"/>
      <c r="C192" s="1"/>
      <c r="D192" s="1"/>
      <c r="E192" s="1"/>
    </row>
    <row r="193" spans="1:5" ht="15.75" customHeight="1" x14ac:dyDescent="0.25">
      <c r="A193" s="1"/>
      <c r="B193" s="1"/>
      <c r="C193" s="1"/>
      <c r="D193" s="1"/>
      <c r="E193" s="1"/>
    </row>
    <row r="194" spans="1:5" ht="15.75" customHeight="1" x14ac:dyDescent="0.25">
      <c r="A194" s="1"/>
      <c r="B194" s="1"/>
      <c r="C194" s="1"/>
      <c r="D194" s="1"/>
      <c r="E194" s="1"/>
    </row>
    <row r="195" spans="1:5" ht="15.75" customHeight="1" x14ac:dyDescent="0.25">
      <c r="A195" s="1"/>
      <c r="B195" s="1"/>
      <c r="C195" s="1"/>
      <c r="D195" s="1"/>
      <c r="E195" s="1"/>
    </row>
    <row r="196" spans="1:5" ht="15.75" customHeight="1" x14ac:dyDescent="0.25">
      <c r="A196" s="1"/>
      <c r="B196" s="1"/>
      <c r="C196" s="1"/>
      <c r="D196" s="1"/>
      <c r="E196" s="1"/>
    </row>
    <row r="197" spans="1:5" ht="15.75" customHeight="1" x14ac:dyDescent="0.25">
      <c r="A197" s="1"/>
      <c r="B197" s="1"/>
      <c r="C197" s="1"/>
      <c r="D197" s="1"/>
      <c r="E197" s="1"/>
    </row>
    <row r="198" spans="1:5" ht="15.75" customHeight="1" x14ac:dyDescent="0.25">
      <c r="A198" s="1"/>
      <c r="B198" s="1"/>
      <c r="C198" s="1"/>
      <c r="D198" s="1"/>
      <c r="E198" s="1"/>
    </row>
    <row r="199" spans="1:5" ht="15.75" customHeight="1" x14ac:dyDescent="0.25">
      <c r="A199" s="1"/>
      <c r="B199" s="1"/>
      <c r="C199" s="1"/>
      <c r="D199" s="1"/>
      <c r="E199" s="1"/>
    </row>
    <row r="200" spans="1:5" ht="15.75" customHeight="1" x14ac:dyDescent="0.25">
      <c r="A200" s="1"/>
      <c r="B200" s="1"/>
      <c r="C200" s="1"/>
      <c r="D200" s="1"/>
      <c r="E200" s="1"/>
    </row>
    <row r="201" spans="1:5" ht="15.75" customHeight="1" x14ac:dyDescent="0.25">
      <c r="A201" s="1"/>
      <c r="B201" s="1"/>
      <c r="C201" s="1"/>
      <c r="D201" s="1"/>
      <c r="E201" s="1"/>
    </row>
    <row r="202" spans="1:5" ht="15.75" customHeight="1" x14ac:dyDescent="0.25">
      <c r="A202" s="1"/>
      <c r="B202" s="1"/>
      <c r="C202" s="1"/>
      <c r="D202" s="1"/>
      <c r="E202" s="1"/>
    </row>
    <row r="203" spans="1:5" ht="15.75" customHeight="1" x14ac:dyDescent="0.25">
      <c r="A203" s="1"/>
      <c r="B203" s="1"/>
      <c r="C203" s="1"/>
      <c r="D203" s="1"/>
      <c r="E203" s="1"/>
    </row>
    <row r="204" spans="1:5" ht="15.75" customHeight="1" x14ac:dyDescent="0.25">
      <c r="A204" s="1"/>
      <c r="B204" s="1"/>
      <c r="C204" s="1"/>
      <c r="D204" s="1"/>
      <c r="E204" s="1"/>
    </row>
    <row r="205" spans="1:5" ht="15.75" customHeight="1" x14ac:dyDescent="0.25">
      <c r="A205" s="1"/>
      <c r="B205" s="1"/>
      <c r="C205" s="1"/>
      <c r="D205" s="1"/>
      <c r="E205" s="1"/>
    </row>
    <row r="206" spans="1:5" ht="15.75" customHeight="1" x14ac:dyDescent="0.25">
      <c r="A206" s="1"/>
      <c r="B206" s="1"/>
      <c r="C206" s="1"/>
      <c r="D206" s="1"/>
      <c r="E206" s="1"/>
    </row>
    <row r="207" spans="1:5" ht="15.75" customHeight="1" x14ac:dyDescent="0.25">
      <c r="A207" s="1"/>
      <c r="B207" s="1"/>
      <c r="C207" s="1"/>
      <c r="D207" s="1"/>
      <c r="E207" s="1"/>
    </row>
    <row r="208" spans="1:5" ht="15.75" customHeight="1" x14ac:dyDescent="0.25">
      <c r="A208" s="1"/>
      <c r="B208" s="1"/>
      <c r="C208" s="1"/>
      <c r="D208" s="1"/>
      <c r="E208" s="1"/>
    </row>
    <row r="209" spans="1:5" ht="15.75" customHeight="1" x14ac:dyDescent="0.25">
      <c r="A209" s="1"/>
      <c r="B209" s="1"/>
      <c r="C209" s="1"/>
      <c r="D209" s="1"/>
      <c r="E209" s="1"/>
    </row>
    <row r="210" spans="1:5" ht="15.75" customHeight="1" x14ac:dyDescent="0.25">
      <c r="A210" s="1"/>
      <c r="B210" s="1"/>
      <c r="C210" s="1"/>
      <c r="D210" s="1"/>
      <c r="E210" s="1"/>
    </row>
    <row r="211" spans="1:5" ht="15.75" customHeight="1" x14ac:dyDescent="0.25">
      <c r="A211" s="1"/>
      <c r="B211" s="1"/>
      <c r="C211" s="1"/>
      <c r="D211" s="1"/>
      <c r="E211" s="1"/>
    </row>
    <row r="212" spans="1:5" ht="15.75" customHeight="1" x14ac:dyDescent="0.25">
      <c r="A212" s="1"/>
      <c r="B212" s="1"/>
      <c r="C212" s="1"/>
      <c r="D212" s="1"/>
      <c r="E212" s="1"/>
    </row>
    <row r="213" spans="1:5" ht="15.75" customHeight="1" x14ac:dyDescent="0.25">
      <c r="A213" s="1"/>
      <c r="B213" s="1"/>
      <c r="C213" s="1"/>
      <c r="D213" s="1"/>
      <c r="E213" s="1"/>
    </row>
    <row r="214" spans="1:5" ht="15.75" customHeight="1" x14ac:dyDescent="0.25">
      <c r="A214" s="1"/>
      <c r="B214" s="1"/>
      <c r="C214" s="1"/>
      <c r="D214" s="1"/>
      <c r="E214" s="1"/>
    </row>
    <row r="215" spans="1:5" ht="15.75" customHeight="1" x14ac:dyDescent="0.25">
      <c r="A215" s="1"/>
      <c r="B215" s="1"/>
      <c r="C215" s="1"/>
      <c r="D215" s="1"/>
      <c r="E215" s="1"/>
    </row>
    <row r="216" spans="1:5" ht="15.75" customHeight="1" x14ac:dyDescent="0.25">
      <c r="A216" s="1"/>
      <c r="B216" s="1"/>
      <c r="C216" s="1"/>
      <c r="D216" s="1"/>
      <c r="E216" s="1"/>
    </row>
    <row r="217" spans="1:5" ht="15.75" customHeight="1" x14ac:dyDescent="0.25">
      <c r="A217" s="1"/>
      <c r="B217" s="1"/>
      <c r="C217" s="1"/>
      <c r="D217" s="1"/>
      <c r="E217" s="1"/>
    </row>
    <row r="218" spans="1:5" ht="15.75" customHeight="1" x14ac:dyDescent="0.25">
      <c r="A218" s="1"/>
      <c r="B218" s="1"/>
      <c r="C218" s="1"/>
      <c r="D218" s="1"/>
      <c r="E218" s="1"/>
    </row>
    <row r="219" spans="1:5" ht="15.75" customHeight="1" x14ac:dyDescent="0.25">
      <c r="A219" s="1"/>
      <c r="B219" s="1"/>
      <c r="C219" s="1"/>
      <c r="D219" s="1"/>
      <c r="E219" s="1"/>
    </row>
    <row r="220" spans="1:5" ht="15.75" customHeight="1" x14ac:dyDescent="0.25">
      <c r="A220" s="1"/>
      <c r="B220" s="1"/>
      <c r="C220" s="1"/>
      <c r="D220" s="1"/>
      <c r="E220" s="1"/>
    </row>
    <row r="221" spans="1:5" ht="15.75" customHeight="1" x14ac:dyDescent="0.25">
      <c r="A221" s="1"/>
      <c r="B221" s="1"/>
      <c r="C221" s="1"/>
      <c r="D221" s="1"/>
      <c r="E221" s="1"/>
    </row>
    <row r="222" spans="1:5" ht="15.75" customHeight="1" x14ac:dyDescent="0.25">
      <c r="A222" s="1"/>
      <c r="B222" s="1"/>
      <c r="C222" s="1"/>
      <c r="D222" s="1"/>
      <c r="E222" s="1"/>
    </row>
    <row r="223" spans="1:5" ht="15.75" customHeight="1" x14ac:dyDescent="0.25">
      <c r="A223" s="1"/>
      <c r="B223" s="1"/>
      <c r="C223" s="1"/>
      <c r="D223" s="1"/>
      <c r="E223" s="1"/>
    </row>
    <row r="224" spans="1:5" ht="15.75" customHeight="1" x14ac:dyDescent="0.25">
      <c r="A224" s="1"/>
      <c r="B224" s="1"/>
      <c r="C224" s="1"/>
      <c r="D224" s="1"/>
      <c r="E224" s="1"/>
    </row>
    <row r="225" spans="1:5" ht="15.75" customHeight="1" x14ac:dyDescent="0.25">
      <c r="A225" s="1"/>
      <c r="B225" s="1"/>
      <c r="C225" s="1"/>
      <c r="D225" s="1"/>
      <c r="E225" s="1"/>
    </row>
    <row r="226" spans="1:5" ht="15.75" customHeight="1" x14ac:dyDescent="0.25">
      <c r="A226" s="1"/>
      <c r="B226" s="1"/>
      <c r="C226" s="1"/>
      <c r="D226" s="1"/>
      <c r="E226" s="1"/>
    </row>
    <row r="227" spans="1:5" ht="15.75" customHeight="1" x14ac:dyDescent="0.25">
      <c r="A227" s="1"/>
      <c r="B227" s="1"/>
      <c r="C227" s="1"/>
      <c r="D227" s="1"/>
      <c r="E227" s="1"/>
    </row>
    <row r="228" spans="1:5" ht="15.75" customHeight="1" x14ac:dyDescent="0.25">
      <c r="A228" s="1"/>
      <c r="B228" s="1"/>
      <c r="C228" s="1"/>
      <c r="D228" s="1"/>
      <c r="E228" s="1"/>
    </row>
    <row r="229" spans="1:5" ht="15.75" customHeight="1" x14ac:dyDescent="0.25">
      <c r="A229" s="1"/>
      <c r="B229" s="1"/>
      <c r="C229" s="1"/>
      <c r="D229" s="1"/>
      <c r="E229" s="1"/>
    </row>
    <row r="230" spans="1:5" ht="15.75" customHeight="1" x14ac:dyDescent="0.25">
      <c r="A230" s="1"/>
      <c r="B230" s="1"/>
      <c r="C230" s="1"/>
      <c r="D230" s="1"/>
      <c r="E230" s="1"/>
    </row>
    <row r="231" spans="1:5" ht="15.75" customHeight="1" x14ac:dyDescent="0.25">
      <c r="A231" s="1"/>
      <c r="B231" s="1"/>
      <c r="C231" s="1"/>
      <c r="D231" s="1"/>
      <c r="E231" s="1"/>
    </row>
    <row r="232" spans="1:5" ht="15.75" customHeight="1" x14ac:dyDescent="0.25">
      <c r="A232" s="1"/>
      <c r="B232" s="1"/>
      <c r="C232" s="1"/>
      <c r="D232" s="1"/>
      <c r="E232" s="1"/>
    </row>
    <row r="233" spans="1:5" ht="15.75" customHeight="1" x14ac:dyDescent="0.25">
      <c r="A233" s="1"/>
      <c r="B233" s="1"/>
      <c r="C233" s="1"/>
      <c r="D233" s="1"/>
      <c r="E233" s="1"/>
    </row>
    <row r="234" spans="1:5" ht="15.75" customHeight="1" x14ac:dyDescent="0.25">
      <c r="A234" s="1"/>
      <c r="B234" s="1"/>
      <c r="C234" s="1"/>
      <c r="D234" s="1"/>
      <c r="E234" s="1"/>
    </row>
    <row r="235" spans="1:5" ht="15.75" customHeight="1" x14ac:dyDescent="0.25">
      <c r="A235" s="1"/>
      <c r="B235" s="1"/>
      <c r="C235" s="1"/>
      <c r="D235" s="1"/>
      <c r="E235" s="1"/>
    </row>
    <row r="236" spans="1:5" ht="15.75" customHeight="1" x14ac:dyDescent="0.25">
      <c r="A236" s="1"/>
      <c r="B236" s="1"/>
      <c r="C236" s="1"/>
      <c r="D236" s="1"/>
      <c r="E236" s="1"/>
    </row>
    <row r="237" spans="1:5" ht="15.75" customHeight="1" x14ac:dyDescent="0.25">
      <c r="A237" s="1"/>
      <c r="B237" s="1"/>
      <c r="C237" s="1"/>
      <c r="D237" s="1"/>
      <c r="E237" s="1"/>
    </row>
    <row r="238" spans="1:5" ht="15.75" customHeight="1" x14ac:dyDescent="0.25">
      <c r="A238" s="1"/>
      <c r="B238" s="1"/>
      <c r="C238" s="1"/>
      <c r="D238" s="1"/>
      <c r="E238" s="1"/>
    </row>
    <row r="239" spans="1:5" ht="15.75" customHeight="1" x14ac:dyDescent="0.25">
      <c r="A239" s="1"/>
      <c r="B239" s="1"/>
      <c r="C239" s="1"/>
      <c r="D239" s="1"/>
      <c r="E239" s="1"/>
    </row>
    <row r="240" spans="1:5" ht="15.75" customHeight="1" x14ac:dyDescent="0.25">
      <c r="A240" s="1"/>
      <c r="B240" s="1"/>
      <c r="C240" s="1"/>
      <c r="D240" s="1"/>
      <c r="E240" s="1"/>
    </row>
    <row r="241" spans="1:5" ht="15.75" customHeight="1" x14ac:dyDescent="0.25">
      <c r="A241" s="1"/>
      <c r="B241" s="1"/>
      <c r="C241" s="1"/>
      <c r="D241" s="1"/>
      <c r="E241" s="1"/>
    </row>
    <row r="242" spans="1:5" ht="15.75" customHeight="1" x14ac:dyDescent="0.25">
      <c r="A242" s="1"/>
      <c r="B242" s="1"/>
      <c r="C242" s="1"/>
      <c r="D242" s="1"/>
      <c r="E242" s="1"/>
    </row>
    <row r="243" spans="1:5" ht="15.75" customHeight="1" x14ac:dyDescent="0.25">
      <c r="A243" s="1"/>
      <c r="B243" s="1"/>
      <c r="C243" s="1"/>
      <c r="D243" s="1"/>
      <c r="E243" s="1"/>
    </row>
    <row r="244" spans="1:5" ht="15.75" customHeight="1" x14ac:dyDescent="0.25">
      <c r="A244" s="1"/>
      <c r="B244" s="1"/>
      <c r="C244" s="1"/>
      <c r="D244" s="1"/>
      <c r="E244" s="1"/>
    </row>
    <row r="245" spans="1:5" ht="15.75" customHeight="1" x14ac:dyDescent="0.25">
      <c r="A245" s="1"/>
      <c r="B245" s="1"/>
      <c r="C245" s="1"/>
      <c r="D245" s="1"/>
      <c r="E245" s="1"/>
    </row>
    <row r="246" spans="1:5" ht="15.75" customHeight="1" x14ac:dyDescent="0.25">
      <c r="A246" s="1"/>
      <c r="B246" s="1"/>
      <c r="C246" s="1"/>
      <c r="D246" s="1"/>
      <c r="E246" s="1"/>
    </row>
    <row r="247" spans="1:5" ht="15.75" customHeight="1" x14ac:dyDescent="0.25">
      <c r="A247" s="1"/>
      <c r="B247" s="1"/>
      <c r="C247" s="1"/>
      <c r="D247" s="1"/>
      <c r="E247" s="1"/>
    </row>
    <row r="248" spans="1:5" ht="15.75" customHeight="1" x14ac:dyDescent="0.25">
      <c r="A248" s="1"/>
      <c r="B248" s="1"/>
      <c r="C248" s="1"/>
      <c r="D248" s="1"/>
      <c r="E248" s="1"/>
    </row>
    <row r="249" spans="1:5" ht="15.75" customHeight="1" x14ac:dyDescent="0.25">
      <c r="A249" s="1"/>
      <c r="B249" s="1"/>
      <c r="C249" s="1"/>
      <c r="D249" s="1"/>
      <c r="E249" s="1"/>
    </row>
    <row r="250" spans="1:5" ht="15.75" customHeight="1" x14ac:dyDescent="0.25">
      <c r="A250" s="1"/>
      <c r="B250" s="1"/>
      <c r="C250" s="1"/>
      <c r="D250" s="1"/>
      <c r="E250" s="1"/>
    </row>
    <row r="251" spans="1:5" ht="15.75" customHeight="1" x14ac:dyDescent="0.25">
      <c r="A251" s="1"/>
      <c r="B251" s="1"/>
      <c r="C251" s="1"/>
      <c r="D251" s="1"/>
      <c r="E251" s="1"/>
    </row>
    <row r="252" spans="1:5" ht="15.75" customHeight="1" x14ac:dyDescent="0.25">
      <c r="A252" s="1"/>
      <c r="B252" s="1"/>
      <c r="C252" s="1"/>
      <c r="D252" s="1"/>
      <c r="E252" s="1"/>
    </row>
    <row r="253" spans="1:5" ht="15.75" customHeight="1" x14ac:dyDescent="0.25">
      <c r="A253" s="1"/>
      <c r="B253" s="1"/>
      <c r="C253" s="1"/>
      <c r="D253" s="1"/>
      <c r="E253" s="1"/>
    </row>
    <row r="254" spans="1:5" ht="15.75" customHeight="1" x14ac:dyDescent="0.25">
      <c r="A254" s="1"/>
      <c r="B254" s="1"/>
      <c r="C254" s="1"/>
      <c r="D254" s="1"/>
      <c r="E254" s="1"/>
    </row>
    <row r="255" spans="1:5" ht="15.75" customHeight="1" x14ac:dyDescent="0.25">
      <c r="A255" s="1"/>
      <c r="B255" s="1"/>
      <c r="C255" s="1"/>
      <c r="D255" s="1"/>
      <c r="E255" s="1"/>
    </row>
    <row r="256" spans="1:5" ht="15.75" customHeight="1" x14ac:dyDescent="0.25">
      <c r="A256" s="1"/>
      <c r="B256" s="1"/>
      <c r="C256" s="1"/>
      <c r="D256" s="1"/>
      <c r="E256" s="1"/>
    </row>
    <row r="257" spans="1:5" ht="15.75" customHeight="1" x14ac:dyDescent="0.25">
      <c r="A257" s="1"/>
      <c r="B257" s="1"/>
      <c r="C257" s="1"/>
      <c r="D257" s="1"/>
      <c r="E257" s="1"/>
    </row>
    <row r="258" spans="1:5" ht="15.75" customHeight="1" x14ac:dyDescent="0.25">
      <c r="A258" s="1"/>
      <c r="B258" s="1"/>
      <c r="C258" s="1"/>
      <c r="D258" s="1"/>
      <c r="E258" s="1"/>
    </row>
    <row r="259" spans="1:5" ht="15.75" customHeight="1" x14ac:dyDescent="0.25">
      <c r="A259" s="1"/>
      <c r="B259" s="1"/>
      <c r="C259" s="1"/>
      <c r="D259" s="1"/>
      <c r="E259" s="1"/>
    </row>
    <row r="260" spans="1:5" ht="15.75" customHeight="1" x14ac:dyDescent="0.25">
      <c r="A260" s="1"/>
      <c r="B260" s="1"/>
      <c r="C260" s="1"/>
      <c r="D260" s="1"/>
      <c r="E260" s="1"/>
    </row>
    <row r="261" spans="1:5" ht="15.75" customHeight="1" x14ac:dyDescent="0.25">
      <c r="A261" s="1"/>
      <c r="B261" s="1"/>
      <c r="C261" s="1"/>
      <c r="D261" s="1"/>
      <c r="E261" s="1"/>
    </row>
    <row r="262" spans="1:5" ht="15.75" customHeight="1" x14ac:dyDescent="0.25">
      <c r="A262" s="1"/>
      <c r="B262" s="1"/>
      <c r="C262" s="1"/>
      <c r="D262" s="1"/>
      <c r="E262" s="1"/>
    </row>
    <row r="263" spans="1:5" ht="15.75" customHeight="1" x14ac:dyDescent="0.25">
      <c r="A263" s="1"/>
      <c r="B263" s="1"/>
      <c r="C263" s="1"/>
      <c r="D263" s="1"/>
      <c r="E263" s="1"/>
    </row>
    <row r="264" spans="1:5" ht="15.75" customHeight="1" x14ac:dyDescent="0.25">
      <c r="A264" s="1"/>
      <c r="B264" s="1"/>
      <c r="C264" s="1"/>
      <c r="D264" s="1"/>
      <c r="E264" s="1"/>
    </row>
    <row r="265" spans="1:5" ht="15.75" customHeight="1" x14ac:dyDescent="0.25">
      <c r="A265" s="1"/>
      <c r="B265" s="1"/>
      <c r="C265" s="1"/>
      <c r="D265" s="1"/>
      <c r="E265" s="1"/>
    </row>
    <row r="266" spans="1:5" ht="15.75" customHeight="1" x14ac:dyDescent="0.25">
      <c r="A266" s="1"/>
      <c r="B266" s="1"/>
      <c r="C266" s="1"/>
      <c r="D266" s="1"/>
      <c r="E266" s="1"/>
    </row>
    <row r="267" spans="1:5" ht="15.75" customHeight="1" x14ac:dyDescent="0.25">
      <c r="A267" s="1"/>
      <c r="B267" s="1"/>
      <c r="C267" s="1"/>
      <c r="D267" s="1"/>
      <c r="E267" s="1"/>
    </row>
    <row r="268" spans="1:5" ht="15.75" customHeight="1" x14ac:dyDescent="0.25">
      <c r="A268" s="1"/>
      <c r="B268" s="1"/>
      <c r="C268" s="1"/>
      <c r="D268" s="1"/>
      <c r="E268" s="1"/>
    </row>
    <row r="269" spans="1:5" ht="15.75" customHeight="1" x14ac:dyDescent="0.25">
      <c r="A269" s="1"/>
      <c r="B269" s="1"/>
      <c r="C269" s="1"/>
      <c r="D269" s="1"/>
      <c r="E269" s="1"/>
    </row>
    <row r="270" spans="1:5" ht="15.75" customHeight="1" x14ac:dyDescent="0.25">
      <c r="A270" s="1"/>
      <c r="B270" s="1"/>
      <c r="C270" s="1"/>
      <c r="D270" s="1"/>
      <c r="E270" s="1"/>
    </row>
    <row r="271" spans="1:5" ht="15.75" customHeight="1" x14ac:dyDescent="0.25">
      <c r="A271" s="1"/>
      <c r="B271" s="1"/>
      <c r="C271" s="1"/>
      <c r="D271" s="1"/>
      <c r="E271" s="1"/>
    </row>
    <row r="272" spans="1:5" ht="15.75" customHeight="1" x14ac:dyDescent="0.25">
      <c r="A272" s="1"/>
      <c r="B272" s="1"/>
      <c r="C272" s="1"/>
      <c r="D272" s="1"/>
      <c r="E272" s="1"/>
    </row>
    <row r="273" spans="1:5" ht="15.75" customHeight="1" x14ac:dyDescent="0.25">
      <c r="A273" s="1"/>
      <c r="B273" s="1"/>
      <c r="C273" s="1"/>
      <c r="D273" s="1"/>
      <c r="E273" s="1"/>
    </row>
    <row r="274" spans="1:5" ht="15.75" customHeight="1" x14ac:dyDescent="0.25">
      <c r="A274" s="1"/>
      <c r="B274" s="1"/>
      <c r="C274" s="1"/>
      <c r="D274" s="1"/>
      <c r="E274" s="1"/>
    </row>
    <row r="275" spans="1:5" ht="15.75" customHeight="1" x14ac:dyDescent="0.25">
      <c r="A275" s="1"/>
      <c r="B275" s="1"/>
      <c r="C275" s="1"/>
      <c r="D275" s="1"/>
      <c r="E275" s="1"/>
    </row>
    <row r="276" spans="1:5" ht="15.75" customHeight="1" x14ac:dyDescent="0.25">
      <c r="A276" s="1"/>
      <c r="B276" s="1"/>
      <c r="C276" s="1"/>
      <c r="D276" s="1"/>
      <c r="E276" s="1"/>
    </row>
    <row r="277" spans="1:5" ht="15.75" customHeight="1" x14ac:dyDescent="0.25">
      <c r="A277" s="1"/>
      <c r="B277" s="1"/>
      <c r="C277" s="1"/>
      <c r="D277" s="1"/>
      <c r="E277" s="1"/>
    </row>
    <row r="278" spans="1:5" ht="15.75" customHeight="1" x14ac:dyDescent="0.25">
      <c r="A278" s="1"/>
      <c r="B278" s="1"/>
      <c r="C278" s="1"/>
      <c r="D278" s="1"/>
      <c r="E278" s="1"/>
    </row>
    <row r="279" spans="1:5" ht="15.75" customHeight="1" x14ac:dyDescent="0.25">
      <c r="A279" s="1"/>
      <c r="B279" s="1"/>
      <c r="C279" s="1"/>
      <c r="D279" s="1"/>
      <c r="E279" s="1"/>
    </row>
    <row r="280" spans="1:5" ht="15.75" customHeight="1" x14ac:dyDescent="0.25">
      <c r="A280" s="1"/>
      <c r="B280" s="1"/>
      <c r="C280" s="1"/>
      <c r="D280" s="1"/>
      <c r="E280" s="1"/>
    </row>
    <row r="281" spans="1:5" ht="15.75" customHeight="1" x14ac:dyDescent="0.25">
      <c r="A281" s="1"/>
      <c r="B281" s="1"/>
      <c r="C281" s="1"/>
      <c r="D281" s="1"/>
      <c r="E281" s="1"/>
    </row>
    <row r="282" spans="1:5" ht="15.75" customHeight="1" x14ac:dyDescent="0.25">
      <c r="A282" s="1"/>
      <c r="B282" s="1"/>
      <c r="C282" s="1"/>
      <c r="D282" s="1"/>
      <c r="E282" s="1"/>
    </row>
    <row r="283" spans="1:5" ht="15.75" customHeight="1" x14ac:dyDescent="0.25">
      <c r="A283" s="1"/>
      <c r="B283" s="1"/>
      <c r="C283" s="1"/>
      <c r="D283" s="1"/>
      <c r="E283" s="1"/>
    </row>
    <row r="284" spans="1:5" ht="15.75" customHeight="1" x14ac:dyDescent="0.25">
      <c r="A284" s="1"/>
      <c r="B284" s="1"/>
      <c r="C284" s="1"/>
      <c r="D284" s="1"/>
      <c r="E284" s="1"/>
    </row>
    <row r="285" spans="1:5" ht="15.75" customHeight="1" x14ac:dyDescent="0.25">
      <c r="A285" s="1"/>
      <c r="B285" s="1"/>
      <c r="C285" s="1"/>
      <c r="D285" s="1"/>
      <c r="E285" s="1"/>
    </row>
    <row r="286" spans="1:5" ht="15.75" customHeight="1" x14ac:dyDescent="0.25">
      <c r="A286" s="1"/>
      <c r="B286" s="1"/>
      <c r="C286" s="1"/>
      <c r="D286" s="1"/>
      <c r="E286" s="1"/>
    </row>
    <row r="287" spans="1:5" ht="15.75" customHeight="1" x14ac:dyDescent="0.25">
      <c r="A287" s="1"/>
      <c r="B287" s="1"/>
      <c r="C287" s="1"/>
      <c r="D287" s="1"/>
      <c r="E287" s="1"/>
    </row>
    <row r="288" spans="1:5" ht="15.75" customHeight="1" x14ac:dyDescent="0.25">
      <c r="A288" s="1"/>
      <c r="B288" s="1"/>
      <c r="C288" s="1"/>
      <c r="D288" s="1"/>
      <c r="E288" s="1"/>
    </row>
    <row r="289" spans="1:5" ht="15.75" customHeight="1" x14ac:dyDescent="0.25">
      <c r="A289" s="1"/>
      <c r="B289" s="1"/>
      <c r="C289" s="1"/>
      <c r="D289" s="1"/>
      <c r="E289" s="1"/>
    </row>
    <row r="290" spans="1:5" ht="15.75" customHeight="1" x14ac:dyDescent="0.25">
      <c r="A290" s="1"/>
      <c r="B290" s="1"/>
      <c r="C290" s="1"/>
      <c r="D290" s="1"/>
      <c r="E290" s="1"/>
    </row>
    <row r="291" spans="1:5" ht="15.75" customHeight="1" x14ac:dyDescent="0.25">
      <c r="A291" s="1"/>
      <c r="B291" s="1"/>
      <c r="C291" s="1"/>
      <c r="D291" s="1"/>
      <c r="E291" s="1"/>
    </row>
    <row r="292" spans="1:5" ht="15.75" customHeight="1" x14ac:dyDescent="0.25">
      <c r="A292" s="1"/>
      <c r="B292" s="1"/>
      <c r="C292" s="1"/>
      <c r="D292" s="1"/>
      <c r="E292" s="1"/>
    </row>
    <row r="293" spans="1:5" ht="15.75" customHeight="1" x14ac:dyDescent="0.25">
      <c r="A293" s="1"/>
      <c r="B293" s="1"/>
      <c r="C293" s="1"/>
      <c r="D293" s="1"/>
      <c r="E293" s="1"/>
    </row>
    <row r="294" spans="1:5" ht="15.75" customHeight="1" x14ac:dyDescent="0.25">
      <c r="A294" s="1"/>
      <c r="B294" s="1"/>
      <c r="C294" s="1"/>
      <c r="D294" s="1"/>
      <c r="E294" s="1"/>
    </row>
    <row r="295" spans="1:5" ht="15.75" customHeight="1" x14ac:dyDescent="0.25">
      <c r="A295" s="1"/>
      <c r="B295" s="1"/>
      <c r="C295" s="1"/>
      <c r="D295" s="1"/>
      <c r="E295" s="1"/>
    </row>
    <row r="296" spans="1:5" ht="15.75" customHeight="1" x14ac:dyDescent="0.25">
      <c r="A296" s="1"/>
      <c r="B296" s="1"/>
      <c r="C296" s="1"/>
      <c r="D296" s="1"/>
      <c r="E296" s="1"/>
    </row>
    <row r="297" spans="1:5" ht="15.75" customHeight="1" x14ac:dyDescent="0.25">
      <c r="A297" s="1"/>
      <c r="B297" s="1"/>
      <c r="C297" s="1"/>
      <c r="D297" s="1"/>
      <c r="E297" s="1"/>
    </row>
    <row r="298" spans="1:5" ht="15.75" customHeight="1" x14ac:dyDescent="0.25">
      <c r="A298" s="1"/>
      <c r="B298" s="1"/>
      <c r="C298" s="1"/>
      <c r="D298" s="1"/>
      <c r="E298" s="1"/>
    </row>
    <row r="299" spans="1:5" ht="15.75" customHeight="1" x14ac:dyDescent="0.25">
      <c r="A299" s="1"/>
      <c r="B299" s="1"/>
      <c r="C299" s="1"/>
      <c r="D299" s="1"/>
      <c r="E299" s="1"/>
    </row>
    <row r="300" spans="1:5" ht="15.75" customHeight="1" x14ac:dyDescent="0.25">
      <c r="A300" s="1"/>
      <c r="B300" s="1"/>
      <c r="C300" s="1"/>
      <c r="D300" s="1"/>
      <c r="E300" s="1"/>
    </row>
    <row r="301" spans="1:5" ht="15.75" customHeight="1" x14ac:dyDescent="0.25">
      <c r="A301" s="1"/>
      <c r="B301" s="1"/>
      <c r="C301" s="1"/>
      <c r="D301" s="1"/>
      <c r="E301" s="1"/>
    </row>
    <row r="302" spans="1:5" ht="15.75" customHeight="1" x14ac:dyDescent="0.25">
      <c r="A302" s="1"/>
      <c r="B302" s="1"/>
      <c r="C302" s="1"/>
      <c r="D302" s="1"/>
      <c r="E302" s="1"/>
    </row>
    <row r="303" spans="1:5" ht="15.75" customHeight="1" x14ac:dyDescent="0.25">
      <c r="A303" s="1"/>
      <c r="B303" s="1"/>
      <c r="C303" s="1"/>
      <c r="D303" s="1"/>
      <c r="E303" s="1"/>
    </row>
    <row r="304" spans="1:5" ht="15.75" customHeight="1" x14ac:dyDescent="0.25">
      <c r="A304" s="1"/>
      <c r="B304" s="1"/>
      <c r="C304" s="1"/>
      <c r="D304" s="1"/>
      <c r="E304" s="1"/>
    </row>
    <row r="305" spans="1:5" ht="15.75" customHeight="1" x14ac:dyDescent="0.25">
      <c r="A305" s="1"/>
      <c r="B305" s="1"/>
      <c r="C305" s="1"/>
      <c r="D305" s="1"/>
      <c r="E305" s="1"/>
    </row>
    <row r="306" spans="1:5" ht="15.75" customHeight="1" x14ac:dyDescent="0.25">
      <c r="A306" s="1"/>
      <c r="B306" s="1"/>
      <c r="C306" s="1"/>
      <c r="D306" s="1"/>
      <c r="E306" s="1"/>
    </row>
    <row r="307" spans="1:5" ht="15.75" customHeight="1" x14ac:dyDescent="0.25">
      <c r="A307" s="1"/>
      <c r="B307" s="1"/>
      <c r="C307" s="1"/>
      <c r="D307" s="1"/>
      <c r="E307" s="1"/>
    </row>
    <row r="308" spans="1:5" ht="15.75" customHeight="1" x14ac:dyDescent="0.25">
      <c r="A308" s="1"/>
      <c r="B308" s="1"/>
      <c r="C308" s="1"/>
      <c r="D308" s="1"/>
      <c r="E308" s="1"/>
    </row>
    <row r="309" spans="1:5" ht="15.75" customHeight="1" x14ac:dyDescent="0.25">
      <c r="A309" s="1"/>
      <c r="B309" s="1"/>
      <c r="C309" s="1"/>
      <c r="D309" s="1"/>
      <c r="E309" s="1"/>
    </row>
    <row r="310" spans="1:5" ht="15.75" customHeight="1" x14ac:dyDescent="0.25">
      <c r="A310" s="1"/>
      <c r="B310" s="1"/>
      <c r="C310" s="1"/>
      <c r="D310" s="1"/>
      <c r="E310" s="1"/>
    </row>
    <row r="311" spans="1:5" ht="15.75" customHeight="1" x14ac:dyDescent="0.25">
      <c r="A311" s="1"/>
      <c r="B311" s="1"/>
      <c r="C311" s="1"/>
      <c r="D311" s="1"/>
      <c r="E311" s="1"/>
    </row>
    <row r="312" spans="1:5" ht="15.75" customHeight="1" x14ac:dyDescent="0.25">
      <c r="A312" s="1"/>
      <c r="B312" s="1"/>
      <c r="C312" s="1"/>
      <c r="D312" s="1"/>
      <c r="E312" s="1"/>
    </row>
    <row r="313" spans="1:5" ht="15.75" customHeight="1" x14ac:dyDescent="0.25">
      <c r="A313" s="1"/>
      <c r="B313" s="1"/>
      <c r="C313" s="1"/>
      <c r="D313" s="1"/>
      <c r="E313" s="1"/>
    </row>
    <row r="314" spans="1:5" ht="15.75" customHeight="1" x14ac:dyDescent="0.25">
      <c r="A314" s="1"/>
      <c r="B314" s="1"/>
      <c r="C314" s="1"/>
      <c r="D314" s="1"/>
      <c r="E314" s="1"/>
    </row>
    <row r="315" spans="1:5" ht="15.75" customHeight="1" x14ac:dyDescent="0.25">
      <c r="A315" s="1"/>
      <c r="B315" s="1"/>
      <c r="C315" s="1"/>
      <c r="D315" s="1"/>
      <c r="E315" s="1"/>
    </row>
    <row r="316" spans="1:5" ht="15.75" customHeight="1" x14ac:dyDescent="0.25">
      <c r="A316" s="1"/>
      <c r="B316" s="1"/>
      <c r="C316" s="1"/>
      <c r="D316" s="1"/>
      <c r="E316" s="1"/>
    </row>
    <row r="317" spans="1:5" ht="15.75" customHeight="1" x14ac:dyDescent="0.25">
      <c r="A317" s="1"/>
      <c r="B317" s="1"/>
      <c r="C317" s="1"/>
      <c r="D317" s="1"/>
      <c r="E317" s="1"/>
    </row>
    <row r="318" spans="1:5" ht="15.75" customHeight="1" x14ac:dyDescent="0.25">
      <c r="A318" s="1"/>
      <c r="B318" s="1"/>
      <c r="C318" s="1"/>
      <c r="D318" s="1"/>
      <c r="E318" s="1"/>
    </row>
    <row r="319" spans="1:5" ht="15.75" customHeight="1" x14ac:dyDescent="0.25">
      <c r="A319" s="1"/>
      <c r="B319" s="1"/>
      <c r="C319" s="1"/>
      <c r="D319" s="1"/>
      <c r="E319" s="1"/>
    </row>
    <row r="320" spans="1:5" ht="15.75" customHeight="1" x14ac:dyDescent="0.25">
      <c r="A320" s="1"/>
      <c r="B320" s="1"/>
      <c r="C320" s="1"/>
      <c r="D320" s="1"/>
      <c r="E320" s="1"/>
    </row>
    <row r="321" spans="1:5" ht="15.75" customHeight="1" x14ac:dyDescent="0.25">
      <c r="A321" s="1"/>
      <c r="B321" s="1"/>
      <c r="C321" s="1"/>
      <c r="D321" s="1"/>
      <c r="E321" s="1"/>
    </row>
    <row r="322" spans="1:5" ht="15.75" customHeight="1" x14ac:dyDescent="0.25">
      <c r="A322" s="1"/>
      <c r="B322" s="1"/>
      <c r="C322" s="1"/>
      <c r="D322" s="1"/>
      <c r="E322" s="1"/>
    </row>
    <row r="323" spans="1:5" ht="15.75" customHeight="1" x14ac:dyDescent="0.25">
      <c r="A323" s="1"/>
      <c r="B323" s="1"/>
      <c r="C323" s="1"/>
      <c r="D323" s="1"/>
      <c r="E323" s="1"/>
    </row>
    <row r="324" spans="1:5" ht="15.75" customHeight="1" x14ac:dyDescent="0.25">
      <c r="A324" s="1"/>
      <c r="B324" s="1"/>
      <c r="C324" s="1"/>
      <c r="D324" s="1"/>
      <c r="E324" s="1"/>
    </row>
    <row r="325" spans="1:5" ht="15.75" customHeight="1" x14ac:dyDescent="0.25">
      <c r="A325" s="1"/>
      <c r="B325" s="1"/>
      <c r="C325" s="1"/>
      <c r="D325" s="1"/>
      <c r="E325" s="1"/>
    </row>
    <row r="326" spans="1:5" ht="15.75" customHeight="1" x14ac:dyDescent="0.25">
      <c r="A326" s="1"/>
      <c r="B326" s="1"/>
      <c r="C326" s="1"/>
      <c r="D326" s="1"/>
      <c r="E326" s="1"/>
    </row>
    <row r="327" spans="1:5" ht="15.75" customHeight="1" x14ac:dyDescent="0.25">
      <c r="A327" s="1"/>
      <c r="B327" s="1"/>
      <c r="C327" s="1"/>
      <c r="D327" s="1"/>
      <c r="E327" s="1"/>
    </row>
    <row r="328" spans="1:5" ht="15.75" customHeight="1" x14ac:dyDescent="0.25">
      <c r="A328" s="1"/>
      <c r="B328" s="1"/>
      <c r="C328" s="1"/>
      <c r="D328" s="1"/>
      <c r="E328" s="1"/>
    </row>
    <row r="329" spans="1:5" ht="15.75" customHeight="1" x14ac:dyDescent="0.25">
      <c r="A329" s="1"/>
      <c r="B329" s="1"/>
      <c r="C329" s="1"/>
      <c r="D329" s="1"/>
      <c r="E329" s="1"/>
    </row>
    <row r="330" spans="1:5" ht="15.75" customHeight="1" x14ac:dyDescent="0.25">
      <c r="A330" s="1"/>
      <c r="B330" s="1"/>
      <c r="C330" s="1"/>
      <c r="D330" s="1"/>
      <c r="E330" s="1"/>
    </row>
    <row r="331" spans="1:5" ht="15.75" customHeight="1" x14ac:dyDescent="0.25">
      <c r="A331" s="1"/>
      <c r="B331" s="1"/>
      <c r="C331" s="1"/>
      <c r="D331" s="1"/>
      <c r="E331" s="1"/>
    </row>
    <row r="332" spans="1:5" ht="15.75" customHeight="1" x14ac:dyDescent="0.25">
      <c r="A332" s="1"/>
      <c r="B332" s="1"/>
      <c r="C332" s="1"/>
      <c r="D332" s="1"/>
      <c r="E332" s="1"/>
    </row>
    <row r="333" spans="1:5" ht="15.75" customHeight="1" x14ac:dyDescent="0.25">
      <c r="A333" s="1"/>
      <c r="B333" s="1"/>
      <c r="C333" s="1"/>
      <c r="D333" s="1"/>
      <c r="E333" s="1"/>
    </row>
    <row r="334" spans="1:5" ht="15.75" customHeight="1" x14ac:dyDescent="0.25">
      <c r="A334" s="1"/>
      <c r="B334" s="1"/>
      <c r="C334" s="1"/>
      <c r="D334" s="1"/>
      <c r="E334" s="1"/>
    </row>
    <row r="335" spans="1:5" ht="15.75" customHeight="1" x14ac:dyDescent="0.25">
      <c r="A335" s="1"/>
      <c r="B335" s="1"/>
      <c r="C335" s="1"/>
      <c r="D335" s="1"/>
      <c r="E335" s="1"/>
    </row>
    <row r="336" spans="1:5" ht="15.75" customHeight="1" x14ac:dyDescent="0.25">
      <c r="A336" s="1"/>
      <c r="B336" s="1"/>
      <c r="C336" s="1"/>
      <c r="D336" s="1"/>
      <c r="E336" s="1"/>
    </row>
    <row r="337" spans="1:5" ht="15.75" customHeight="1" x14ac:dyDescent="0.25">
      <c r="A337" s="1"/>
      <c r="B337" s="1"/>
      <c r="C337" s="1"/>
      <c r="D337" s="1"/>
      <c r="E337" s="1"/>
    </row>
    <row r="338" spans="1:5" ht="15.75" customHeight="1" x14ac:dyDescent="0.25">
      <c r="A338" s="1"/>
      <c r="B338" s="1"/>
      <c r="C338" s="1"/>
      <c r="D338" s="1"/>
      <c r="E338" s="1"/>
    </row>
    <row r="339" spans="1:5" ht="15.75" customHeight="1" x14ac:dyDescent="0.25">
      <c r="A339" s="1"/>
      <c r="B339" s="1"/>
      <c r="C339" s="1"/>
      <c r="D339" s="1"/>
      <c r="E339" s="1"/>
    </row>
    <row r="340" spans="1:5" ht="15.75" customHeight="1" x14ac:dyDescent="0.25">
      <c r="A340" s="1"/>
      <c r="B340" s="1"/>
      <c r="C340" s="1"/>
      <c r="D340" s="1"/>
      <c r="E340" s="1"/>
    </row>
    <row r="341" spans="1:5" ht="15.75" customHeight="1" x14ac:dyDescent="0.25">
      <c r="A341" s="1"/>
      <c r="B341" s="1"/>
      <c r="C341" s="1"/>
      <c r="D341" s="1"/>
      <c r="E341" s="1"/>
    </row>
    <row r="342" spans="1:5" ht="15.75" customHeight="1" x14ac:dyDescent="0.25">
      <c r="A342" s="1"/>
      <c r="B342" s="1"/>
      <c r="C342" s="1"/>
      <c r="D342" s="1"/>
      <c r="E342" s="1"/>
    </row>
    <row r="343" spans="1:5" ht="15.75" customHeight="1" x14ac:dyDescent="0.25">
      <c r="A343" s="1"/>
      <c r="B343" s="1"/>
      <c r="C343" s="1"/>
      <c r="D343" s="1"/>
      <c r="E343" s="1"/>
    </row>
    <row r="344" spans="1:5" ht="15.75" customHeight="1" x14ac:dyDescent="0.25">
      <c r="A344" s="1"/>
      <c r="B344" s="1"/>
      <c r="C344" s="1"/>
      <c r="D344" s="1"/>
      <c r="E344" s="1"/>
    </row>
    <row r="345" spans="1:5" ht="15.75" customHeight="1" x14ac:dyDescent="0.25">
      <c r="A345" s="1"/>
      <c r="B345" s="1"/>
      <c r="C345" s="1"/>
      <c r="D345" s="1"/>
      <c r="E345" s="1"/>
    </row>
    <row r="346" spans="1:5" ht="15.75" customHeight="1" x14ac:dyDescent="0.25">
      <c r="A346" s="1"/>
      <c r="B346" s="1"/>
      <c r="C346" s="1"/>
      <c r="D346" s="1"/>
      <c r="E346" s="1"/>
    </row>
    <row r="347" spans="1:5" ht="15.75" customHeight="1" x14ac:dyDescent="0.25">
      <c r="A347" s="1"/>
      <c r="B347" s="1"/>
      <c r="C347" s="1"/>
      <c r="D347" s="1"/>
      <c r="E347" s="1"/>
    </row>
    <row r="348" spans="1:5" ht="15.75" customHeight="1" x14ac:dyDescent="0.25">
      <c r="A348" s="1"/>
      <c r="B348" s="1"/>
      <c r="C348" s="1"/>
      <c r="D348" s="1"/>
      <c r="E348" s="1"/>
    </row>
    <row r="349" spans="1:5" ht="15.75" customHeight="1" x14ac:dyDescent="0.25">
      <c r="A349" s="1"/>
      <c r="B349" s="1"/>
      <c r="C349" s="1"/>
      <c r="D349" s="1"/>
      <c r="E349" s="1"/>
    </row>
    <row r="350" spans="1:5" ht="15.75" customHeight="1" x14ac:dyDescent="0.25">
      <c r="A350" s="1"/>
      <c r="B350" s="1"/>
      <c r="C350" s="1"/>
      <c r="D350" s="1"/>
      <c r="E350" s="1"/>
    </row>
    <row r="351" spans="1:5" ht="15.75" customHeight="1" x14ac:dyDescent="0.25">
      <c r="A351" s="1"/>
      <c r="B351" s="1"/>
      <c r="C351" s="1"/>
      <c r="D351" s="1"/>
      <c r="E351" s="1"/>
    </row>
    <row r="352" spans="1:5" ht="15.75" customHeight="1" x14ac:dyDescent="0.25">
      <c r="A352" s="1"/>
      <c r="B352" s="1"/>
      <c r="C352" s="1"/>
      <c r="D352" s="1"/>
      <c r="E352" s="1"/>
    </row>
    <row r="353" spans="1:5" ht="15.75" customHeight="1" x14ac:dyDescent="0.25">
      <c r="A353" s="1"/>
      <c r="B353" s="1"/>
      <c r="C353" s="1"/>
      <c r="D353" s="1"/>
      <c r="E353" s="1"/>
    </row>
    <row r="354" spans="1:5" ht="15.75" customHeight="1" x14ac:dyDescent="0.25">
      <c r="A354" s="1"/>
      <c r="B354" s="1"/>
      <c r="C354" s="1"/>
      <c r="D354" s="1"/>
      <c r="E354" s="1"/>
    </row>
    <row r="355" spans="1:5" ht="15.75" customHeight="1" x14ac:dyDescent="0.25">
      <c r="A355" s="1"/>
      <c r="B355" s="1"/>
      <c r="C355" s="1"/>
      <c r="D355" s="1"/>
      <c r="E355" s="1"/>
    </row>
    <row r="356" spans="1:5" ht="15.75" customHeight="1" x14ac:dyDescent="0.25">
      <c r="A356" s="1"/>
      <c r="B356" s="1"/>
      <c r="C356" s="1"/>
      <c r="D356" s="1"/>
      <c r="E356" s="1"/>
    </row>
    <row r="357" spans="1:5" ht="15.75" customHeight="1" x14ac:dyDescent="0.25">
      <c r="A357" s="1"/>
      <c r="B357" s="1"/>
      <c r="C357" s="1"/>
      <c r="D357" s="1"/>
      <c r="E357" s="1"/>
    </row>
    <row r="358" spans="1:5" ht="15.75" customHeight="1" x14ac:dyDescent="0.25">
      <c r="A358" s="1"/>
      <c r="B358" s="1"/>
      <c r="C358" s="1"/>
      <c r="D358" s="1"/>
      <c r="E358" s="1"/>
    </row>
    <row r="359" spans="1:5" ht="15.75" customHeight="1" x14ac:dyDescent="0.25">
      <c r="A359" s="1"/>
      <c r="B359" s="1"/>
      <c r="C359" s="1"/>
      <c r="D359" s="1"/>
      <c r="E359" s="1"/>
    </row>
    <row r="360" spans="1:5" ht="15.75" customHeight="1" x14ac:dyDescent="0.25">
      <c r="A360" s="1"/>
      <c r="B360" s="1"/>
      <c r="C360" s="1"/>
      <c r="D360" s="1"/>
      <c r="E360" s="1"/>
    </row>
    <row r="361" spans="1:5" ht="15.75" customHeight="1" x14ac:dyDescent="0.25">
      <c r="A361" s="1"/>
      <c r="B361" s="1"/>
      <c r="C361" s="1"/>
      <c r="D361" s="1"/>
      <c r="E361" s="1"/>
    </row>
    <row r="362" spans="1:5" ht="15.75" customHeight="1" x14ac:dyDescent="0.25">
      <c r="A362" s="1"/>
      <c r="B362" s="1"/>
      <c r="C362" s="1"/>
      <c r="D362" s="1"/>
      <c r="E362" s="1"/>
    </row>
    <row r="363" spans="1:5" ht="15.75" customHeight="1" x14ac:dyDescent="0.25">
      <c r="A363" s="1"/>
      <c r="B363" s="1"/>
      <c r="C363" s="1"/>
      <c r="D363" s="1"/>
      <c r="E363" s="1"/>
    </row>
    <row r="364" spans="1:5" ht="15.75" customHeight="1" x14ac:dyDescent="0.25">
      <c r="A364" s="1"/>
      <c r="B364" s="1"/>
      <c r="C364" s="1"/>
      <c r="D364" s="1"/>
      <c r="E364" s="1"/>
    </row>
    <row r="365" spans="1:5" ht="15.75" customHeight="1" x14ac:dyDescent="0.25">
      <c r="A365" s="1"/>
      <c r="B365" s="1"/>
      <c r="C365" s="1"/>
      <c r="D365" s="1"/>
      <c r="E365" s="1"/>
    </row>
    <row r="366" spans="1:5" ht="15.75" customHeight="1" x14ac:dyDescent="0.25">
      <c r="A366" s="1"/>
      <c r="B366" s="1"/>
      <c r="C366" s="1"/>
      <c r="D366" s="1"/>
      <c r="E366" s="1"/>
    </row>
    <row r="367" spans="1:5" ht="15.75" customHeight="1" x14ac:dyDescent="0.25">
      <c r="A367" s="1"/>
      <c r="B367" s="1"/>
      <c r="C367" s="1"/>
      <c r="D367" s="1"/>
      <c r="E367" s="1"/>
    </row>
    <row r="368" spans="1:5" ht="15.75" customHeight="1" x14ac:dyDescent="0.25">
      <c r="A368" s="1"/>
      <c r="B368" s="1"/>
      <c r="C368" s="1"/>
      <c r="D368" s="1"/>
      <c r="E368" s="1"/>
    </row>
    <row r="369" spans="1:5" ht="15.75" customHeight="1" x14ac:dyDescent="0.25">
      <c r="A369" s="1"/>
      <c r="B369" s="1"/>
      <c r="C369" s="1"/>
      <c r="D369" s="1"/>
      <c r="E369" s="1"/>
    </row>
    <row r="370" spans="1:5" ht="15.75" customHeight="1" x14ac:dyDescent="0.25">
      <c r="A370" s="1"/>
      <c r="B370" s="1"/>
      <c r="C370" s="1"/>
      <c r="D370" s="1"/>
      <c r="E370" s="1"/>
    </row>
    <row r="371" spans="1:5" ht="15.75" customHeight="1" x14ac:dyDescent="0.25">
      <c r="A371" s="1"/>
      <c r="B371" s="1"/>
      <c r="C371" s="1"/>
      <c r="D371" s="1"/>
      <c r="E371" s="1"/>
    </row>
    <row r="372" spans="1:5" ht="15.75" customHeight="1" x14ac:dyDescent="0.25">
      <c r="A372" s="1"/>
      <c r="B372" s="1"/>
      <c r="C372" s="1"/>
      <c r="D372" s="1"/>
      <c r="E372" s="1"/>
    </row>
    <row r="373" spans="1:5" ht="15.75" customHeight="1" x14ac:dyDescent="0.25">
      <c r="A373" s="1"/>
      <c r="B373" s="1"/>
      <c r="C373" s="1"/>
      <c r="D373" s="1"/>
      <c r="E373" s="1"/>
    </row>
    <row r="374" spans="1:5" ht="15.75" customHeight="1" x14ac:dyDescent="0.25">
      <c r="A374" s="1"/>
      <c r="B374" s="1"/>
      <c r="C374" s="1"/>
      <c r="D374" s="1"/>
      <c r="E374" s="1"/>
    </row>
    <row r="375" spans="1:5" ht="15.75" customHeight="1" x14ac:dyDescent="0.25">
      <c r="A375" s="1"/>
      <c r="B375" s="1"/>
      <c r="C375" s="1"/>
      <c r="D375" s="1"/>
      <c r="E375" s="1"/>
    </row>
    <row r="376" spans="1:5" ht="15.75" customHeight="1" x14ac:dyDescent="0.25">
      <c r="A376" s="1"/>
      <c r="B376" s="1"/>
      <c r="C376" s="1"/>
      <c r="D376" s="1"/>
      <c r="E376" s="1"/>
    </row>
    <row r="377" spans="1:5" ht="15.75" customHeight="1" x14ac:dyDescent="0.25">
      <c r="A377" s="1"/>
      <c r="B377" s="1"/>
      <c r="C377" s="1"/>
      <c r="D377" s="1"/>
      <c r="E377" s="1"/>
    </row>
    <row r="378" spans="1:5" ht="15.75" customHeight="1" x14ac:dyDescent="0.25">
      <c r="A378" s="1"/>
      <c r="B378" s="1"/>
      <c r="C378" s="1"/>
      <c r="D378" s="1"/>
      <c r="E378" s="1"/>
    </row>
    <row r="379" spans="1:5" ht="15.75" customHeight="1" x14ac:dyDescent="0.25">
      <c r="A379" s="1"/>
      <c r="B379" s="1"/>
      <c r="C379" s="1"/>
      <c r="D379" s="1"/>
      <c r="E379" s="1"/>
    </row>
    <row r="380" spans="1:5" ht="15.75" customHeight="1" x14ac:dyDescent="0.25">
      <c r="A380" s="1"/>
      <c r="B380" s="1"/>
      <c r="C380" s="1"/>
      <c r="D380" s="1"/>
      <c r="E380" s="1"/>
    </row>
    <row r="381" spans="1:5" ht="15.75" customHeight="1" x14ac:dyDescent="0.25">
      <c r="A381" s="1"/>
      <c r="B381" s="1"/>
      <c r="C381" s="1"/>
      <c r="D381" s="1"/>
      <c r="E381" s="1"/>
    </row>
    <row r="382" spans="1:5" ht="15.75" customHeight="1" x14ac:dyDescent="0.25">
      <c r="A382" s="1"/>
      <c r="B382" s="1"/>
      <c r="C382" s="1"/>
      <c r="D382" s="1"/>
      <c r="E382" s="1"/>
    </row>
    <row r="383" spans="1:5" ht="15.75" customHeight="1" x14ac:dyDescent="0.25">
      <c r="A383" s="1"/>
      <c r="B383" s="1"/>
      <c r="C383" s="1"/>
      <c r="D383" s="1"/>
      <c r="E383" s="1"/>
    </row>
    <row r="384" spans="1:5" ht="15.75" customHeight="1" x14ac:dyDescent="0.25">
      <c r="A384" s="1"/>
      <c r="B384" s="1"/>
      <c r="C384" s="1"/>
      <c r="D384" s="1"/>
      <c r="E384" s="1"/>
    </row>
    <row r="385" spans="1:5" ht="15.75" customHeight="1" x14ac:dyDescent="0.25">
      <c r="A385" s="1"/>
      <c r="B385" s="1"/>
      <c r="C385" s="1"/>
      <c r="D385" s="1"/>
      <c r="E385" s="1"/>
    </row>
    <row r="386" spans="1:5" ht="15.75" customHeight="1" x14ac:dyDescent="0.25">
      <c r="A386" s="1"/>
      <c r="B386" s="1"/>
      <c r="C386" s="1"/>
      <c r="D386" s="1"/>
      <c r="E386" s="1"/>
    </row>
    <row r="387" spans="1:5" ht="15.75" customHeight="1" x14ac:dyDescent="0.25">
      <c r="A387" s="1"/>
      <c r="B387" s="1"/>
      <c r="C387" s="1"/>
      <c r="D387" s="1"/>
      <c r="E387" s="1"/>
    </row>
    <row r="388" spans="1:5" ht="15.75" customHeight="1" x14ac:dyDescent="0.25">
      <c r="A388" s="1"/>
      <c r="B388" s="1"/>
      <c r="C388" s="1"/>
      <c r="D388" s="1"/>
      <c r="E388" s="1"/>
    </row>
    <row r="389" spans="1:5" ht="15.75" customHeight="1" x14ac:dyDescent="0.25">
      <c r="A389" s="1"/>
      <c r="B389" s="1"/>
      <c r="C389" s="1"/>
      <c r="D389" s="1"/>
      <c r="E389" s="1"/>
    </row>
    <row r="390" spans="1:5" ht="15.75" customHeight="1" x14ac:dyDescent="0.25">
      <c r="A390" s="1"/>
      <c r="B390" s="1"/>
      <c r="C390" s="1"/>
      <c r="D390" s="1"/>
      <c r="E390" s="1"/>
    </row>
    <row r="391" spans="1:5" ht="15.75" customHeight="1" x14ac:dyDescent="0.25">
      <c r="A391" s="1"/>
      <c r="B391" s="1"/>
      <c r="C391" s="1"/>
      <c r="D391" s="1"/>
      <c r="E391" s="1"/>
    </row>
    <row r="392" spans="1:5" ht="15.75" customHeight="1" x14ac:dyDescent="0.25">
      <c r="A392" s="1"/>
      <c r="B392" s="1"/>
      <c r="C392" s="1"/>
      <c r="D392" s="1"/>
      <c r="E392" s="1"/>
    </row>
    <row r="393" spans="1:5" ht="15.75" customHeight="1" x14ac:dyDescent="0.25">
      <c r="A393" s="1"/>
      <c r="B393" s="1"/>
      <c r="C393" s="1"/>
      <c r="D393" s="1"/>
      <c r="E393" s="1"/>
    </row>
    <row r="394" spans="1:5" ht="15.75" customHeight="1" x14ac:dyDescent="0.25">
      <c r="A394" s="1"/>
      <c r="B394" s="1"/>
      <c r="C394" s="1"/>
      <c r="D394" s="1"/>
      <c r="E394" s="1"/>
    </row>
    <row r="395" spans="1:5" ht="15.75" customHeight="1" x14ac:dyDescent="0.25">
      <c r="A395" s="1"/>
      <c r="B395" s="1"/>
      <c r="C395" s="1"/>
      <c r="D395" s="1"/>
      <c r="E395" s="1"/>
    </row>
    <row r="396" spans="1:5" ht="15.75" customHeight="1" x14ac:dyDescent="0.25">
      <c r="A396" s="1"/>
      <c r="B396" s="1"/>
      <c r="C396" s="1"/>
      <c r="D396" s="1"/>
      <c r="E396" s="1"/>
    </row>
    <row r="397" spans="1:5" ht="15.75" customHeight="1" x14ac:dyDescent="0.25">
      <c r="A397" s="1"/>
      <c r="B397" s="1"/>
      <c r="C397" s="1"/>
      <c r="D397" s="1"/>
      <c r="E397" s="1"/>
    </row>
    <row r="398" spans="1:5" ht="15.75" customHeight="1" x14ac:dyDescent="0.25">
      <c r="A398" s="1"/>
      <c r="B398" s="1"/>
      <c r="C398" s="1"/>
      <c r="D398" s="1"/>
      <c r="E398" s="1"/>
    </row>
    <row r="399" spans="1:5" ht="15.75" customHeight="1" x14ac:dyDescent="0.25">
      <c r="A399" s="1"/>
      <c r="B399" s="1"/>
      <c r="C399" s="1"/>
      <c r="D399" s="1"/>
      <c r="E399" s="1"/>
    </row>
    <row r="400" spans="1:5" ht="15.75" customHeight="1" x14ac:dyDescent="0.25">
      <c r="A400" s="1"/>
      <c r="B400" s="1"/>
      <c r="C400" s="1"/>
      <c r="D400" s="1"/>
      <c r="E400" s="1"/>
    </row>
    <row r="401" spans="1:5" ht="15.75" customHeight="1" x14ac:dyDescent="0.25">
      <c r="A401" s="1"/>
      <c r="B401" s="1"/>
      <c r="C401" s="1"/>
      <c r="D401" s="1"/>
      <c r="E401" s="1"/>
    </row>
    <row r="402" spans="1:5" ht="15.75" customHeight="1" x14ac:dyDescent="0.25">
      <c r="A402" s="1"/>
      <c r="B402" s="1"/>
      <c r="C402" s="1"/>
      <c r="D402" s="1"/>
      <c r="E402" s="1"/>
    </row>
    <row r="403" spans="1:5" ht="15.75" customHeight="1" x14ac:dyDescent="0.25">
      <c r="A403" s="1"/>
      <c r="B403" s="1"/>
      <c r="C403" s="1"/>
      <c r="D403" s="1"/>
      <c r="E403" s="1"/>
    </row>
    <row r="404" spans="1:5" ht="15.75" customHeight="1" x14ac:dyDescent="0.25">
      <c r="A404" s="1"/>
      <c r="B404" s="1"/>
      <c r="C404" s="1"/>
      <c r="D404" s="1"/>
      <c r="E404" s="1"/>
    </row>
    <row r="405" spans="1:5" ht="15.75" customHeight="1" x14ac:dyDescent="0.25">
      <c r="A405" s="1"/>
      <c r="B405" s="1"/>
      <c r="C405" s="1"/>
      <c r="D405" s="1"/>
      <c r="E405" s="1"/>
    </row>
    <row r="406" spans="1:5" ht="15.75" customHeight="1" x14ac:dyDescent="0.25">
      <c r="A406" s="1"/>
      <c r="B406" s="1"/>
      <c r="C406" s="1"/>
      <c r="D406" s="1"/>
      <c r="E406" s="1"/>
    </row>
    <row r="407" spans="1:5" ht="15.75" customHeight="1" x14ac:dyDescent="0.25">
      <c r="A407" s="1"/>
      <c r="B407" s="1"/>
      <c r="C407" s="1"/>
      <c r="D407" s="1"/>
      <c r="E407" s="1"/>
    </row>
    <row r="408" spans="1:5" ht="15.75" customHeight="1" x14ac:dyDescent="0.25">
      <c r="A408" s="1"/>
      <c r="B408" s="1"/>
      <c r="C408" s="1"/>
      <c r="D408" s="1"/>
      <c r="E408" s="1"/>
    </row>
    <row r="409" spans="1:5" ht="15.75" customHeight="1" x14ac:dyDescent="0.25">
      <c r="A409" s="1"/>
      <c r="B409" s="1"/>
      <c r="C409" s="1"/>
      <c r="D409" s="1"/>
      <c r="E409" s="1"/>
    </row>
    <row r="410" spans="1:5" ht="15.75" customHeight="1" x14ac:dyDescent="0.25">
      <c r="A410" s="1"/>
      <c r="B410" s="1"/>
      <c r="C410" s="1"/>
      <c r="D410" s="1"/>
      <c r="E410" s="1"/>
    </row>
    <row r="411" spans="1:5" ht="15.75" customHeight="1" x14ac:dyDescent="0.25">
      <c r="A411" s="1"/>
      <c r="B411" s="1"/>
      <c r="C411" s="1"/>
      <c r="D411" s="1"/>
      <c r="E411" s="1"/>
    </row>
    <row r="412" spans="1:5" ht="15.75" customHeight="1" x14ac:dyDescent="0.25">
      <c r="A412" s="1"/>
      <c r="B412" s="1"/>
      <c r="C412" s="1"/>
      <c r="D412" s="1"/>
      <c r="E412" s="1"/>
    </row>
    <row r="413" spans="1:5" ht="15.75" customHeight="1" x14ac:dyDescent="0.25">
      <c r="A413" s="1"/>
      <c r="B413" s="1"/>
      <c r="C413" s="1"/>
      <c r="D413" s="1"/>
      <c r="E413" s="1"/>
    </row>
    <row r="414" spans="1:5" ht="15.75" customHeight="1" x14ac:dyDescent="0.25">
      <c r="A414" s="1"/>
      <c r="B414" s="1"/>
      <c r="C414" s="1"/>
      <c r="D414" s="1"/>
      <c r="E414" s="1"/>
    </row>
    <row r="415" spans="1:5" ht="15.75" customHeight="1" x14ac:dyDescent="0.25">
      <c r="A415" s="1"/>
      <c r="B415" s="1"/>
      <c r="C415" s="1"/>
      <c r="D415" s="1"/>
      <c r="E415" s="1"/>
    </row>
    <row r="416" spans="1:5" ht="15.75" customHeight="1" x14ac:dyDescent="0.25">
      <c r="A416" s="1"/>
      <c r="B416" s="1"/>
      <c r="C416" s="1"/>
      <c r="D416" s="1"/>
      <c r="E416" s="1"/>
    </row>
    <row r="417" spans="1:5" ht="15.75" customHeight="1" x14ac:dyDescent="0.25">
      <c r="A417" s="1"/>
      <c r="B417" s="1"/>
      <c r="C417" s="1"/>
      <c r="D417" s="1"/>
      <c r="E417" s="1"/>
    </row>
    <row r="418" spans="1:5" ht="15.75" customHeight="1" x14ac:dyDescent="0.25">
      <c r="A418" s="1"/>
      <c r="B418" s="1"/>
      <c r="C418" s="1"/>
      <c r="D418" s="1"/>
      <c r="E418" s="1"/>
    </row>
    <row r="419" spans="1:5" ht="15.75" customHeight="1" x14ac:dyDescent="0.25"/>
    <row r="420" spans="1:5" ht="15.75" customHeight="1" x14ac:dyDescent="0.25"/>
    <row r="421" spans="1:5" ht="15.75" customHeight="1" x14ac:dyDescent="0.25"/>
    <row r="422" spans="1:5" ht="15.75" customHeight="1" x14ac:dyDescent="0.25"/>
    <row r="423" spans="1:5" ht="15.75" customHeight="1" x14ac:dyDescent="0.25"/>
    <row r="424" spans="1:5" ht="15.75" customHeight="1" x14ac:dyDescent="0.25"/>
    <row r="425" spans="1:5" ht="15.75" customHeight="1" x14ac:dyDescent="0.25"/>
    <row r="426" spans="1:5" ht="15.75" customHeight="1" x14ac:dyDescent="0.25"/>
    <row r="427" spans="1:5" ht="15.75" customHeight="1" x14ac:dyDescent="0.25"/>
    <row r="428" spans="1:5" ht="15.75" customHeight="1" x14ac:dyDescent="0.25"/>
    <row r="429" spans="1:5" ht="15.75" customHeight="1" x14ac:dyDescent="0.25"/>
    <row r="430" spans="1:5" ht="15.75" customHeight="1" x14ac:dyDescent="0.25"/>
    <row r="431" spans="1:5" ht="15.75" customHeight="1" x14ac:dyDescent="0.25"/>
    <row r="432" spans="1:5"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sqref="A1:U1"/>
    </sheetView>
  </sheetViews>
  <sheetFormatPr defaultColWidth="14.42578125" defaultRowHeight="15" customHeight="1" x14ac:dyDescent="0.25"/>
  <cols>
    <col min="1" max="1" width="15.5703125" customWidth="1"/>
    <col min="2" max="26" width="11.42578125" customWidth="1"/>
  </cols>
  <sheetData>
    <row r="1" spans="1:21" ht="26.25" customHeight="1" x14ac:dyDescent="0.25">
      <c r="A1" s="9" t="s">
        <v>145</v>
      </c>
      <c r="B1" s="10"/>
      <c r="C1" s="10"/>
      <c r="D1" s="10"/>
      <c r="E1" s="10"/>
      <c r="F1" s="10"/>
      <c r="G1" s="10"/>
      <c r="H1" s="10"/>
      <c r="I1" s="10"/>
      <c r="J1" s="10"/>
      <c r="K1" s="10"/>
      <c r="L1" s="10"/>
      <c r="M1" s="10"/>
      <c r="N1" s="10"/>
      <c r="O1" s="10"/>
      <c r="P1" s="10"/>
      <c r="Q1" s="10"/>
      <c r="R1" s="10"/>
      <c r="S1" s="10"/>
      <c r="T1" s="10"/>
      <c r="U1" s="11"/>
    </row>
    <row r="2" spans="1:21" x14ac:dyDescent="0.25">
      <c r="A2" s="1" t="s">
        <v>74</v>
      </c>
      <c r="B2" s="1" t="s">
        <v>125</v>
      </c>
      <c r="C2" s="1" t="s">
        <v>126</v>
      </c>
      <c r="D2" s="1" t="s">
        <v>127</v>
      </c>
      <c r="E2" s="1" t="s">
        <v>67</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sqref="A1:S1"/>
    </sheetView>
  </sheetViews>
  <sheetFormatPr defaultColWidth="14.42578125" defaultRowHeight="15" customHeight="1" x14ac:dyDescent="0.25"/>
  <cols>
    <col min="1" max="26" width="11.42578125" customWidth="1"/>
  </cols>
  <sheetData>
    <row r="1" spans="1:19" ht="33.75" customHeight="1" x14ac:dyDescent="0.25">
      <c r="A1" s="9" t="s">
        <v>190</v>
      </c>
      <c r="B1" s="10"/>
      <c r="C1" s="10"/>
      <c r="D1" s="10"/>
      <c r="E1" s="10"/>
      <c r="F1" s="10"/>
      <c r="G1" s="10"/>
      <c r="H1" s="10"/>
      <c r="I1" s="10"/>
      <c r="J1" s="10"/>
      <c r="K1" s="10"/>
      <c r="L1" s="10"/>
      <c r="M1" s="10"/>
      <c r="N1" s="10"/>
      <c r="O1" s="10"/>
      <c r="P1" s="10"/>
      <c r="Q1" s="10"/>
      <c r="R1" s="10"/>
      <c r="S1" s="11"/>
    </row>
    <row r="2" spans="1:19" x14ac:dyDescent="0.25">
      <c r="A2" s="1" t="s">
        <v>191</v>
      </c>
      <c r="B2" s="1" t="s">
        <v>192</v>
      </c>
      <c r="C2" s="1" t="s">
        <v>193</v>
      </c>
      <c r="D2" s="1" t="s">
        <v>194</v>
      </c>
      <c r="E2" s="1" t="s">
        <v>42</v>
      </c>
      <c r="F2" s="1" t="s">
        <v>124</v>
      </c>
      <c r="G2" s="1" t="s">
        <v>74</v>
      </c>
      <c r="H2" s="1" t="s">
        <v>125</v>
      </c>
      <c r="I2" s="1" t="s">
        <v>126</v>
      </c>
      <c r="J2" s="1" t="s">
        <v>127</v>
      </c>
      <c r="K2" s="1" t="s">
        <v>128</v>
      </c>
      <c r="L2" s="1" t="s">
        <v>129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1000"/>
  <sheetViews>
    <sheetView tabSelected="1" workbookViewId="0">
      <selection activeCell="D6" sqref="D6"/>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14" t="s">
        <v>320</v>
      </c>
      <c r="B1" s="15"/>
      <c r="C1" s="15"/>
      <c r="D1" s="15"/>
      <c r="E1" s="15"/>
      <c r="F1" s="15"/>
      <c r="G1" s="15"/>
      <c r="H1" s="15"/>
      <c r="I1" s="15"/>
      <c r="J1" s="15"/>
      <c r="K1" s="15"/>
      <c r="L1" s="15"/>
      <c r="M1" s="15"/>
      <c r="N1" s="15"/>
      <c r="O1" s="15"/>
      <c r="P1" s="15"/>
      <c r="Q1" s="15"/>
      <c r="R1" s="15"/>
      <c r="S1" s="15"/>
    </row>
    <row r="2" spans="1:46" ht="15" customHeight="1" x14ac:dyDescent="0.25">
      <c r="A2" t="s">
        <v>321</v>
      </c>
      <c r="B2">
        <v>0</v>
      </c>
    </row>
    <row r="3" spans="1:46" x14ac:dyDescent="0.25">
      <c r="A3" t="s">
        <v>322</v>
      </c>
      <c r="B3">
        <v>0.95</v>
      </c>
    </row>
    <row r="4" spans="1:46" ht="15" customHeight="1" x14ac:dyDescent="0.25">
      <c r="A4" t="s">
        <v>323</v>
      </c>
      <c r="B4">
        <v>0.05</v>
      </c>
    </row>
    <row r="5" spans="1:46" ht="15" customHeight="1" x14ac:dyDescent="0.25">
      <c r="A5" t="s">
        <v>324</v>
      </c>
      <c r="B5">
        <v>2</v>
      </c>
    </row>
    <row r="6" spans="1:46" ht="15" customHeight="1" x14ac:dyDescent="0.25">
      <c r="A6" t="s">
        <v>325</v>
      </c>
      <c r="B6">
        <v>0.7</v>
      </c>
      <c r="C6">
        <v>1</v>
      </c>
    </row>
    <row r="7" spans="1:46" ht="15" customHeight="1" x14ac:dyDescent="0.25">
      <c r="A7" t="s">
        <v>326</v>
      </c>
      <c r="B7">
        <v>1</v>
      </c>
      <c r="C7">
        <v>1</v>
      </c>
    </row>
    <row r="8" spans="1:46" ht="15" customHeight="1" x14ac:dyDescent="0.25">
      <c r="A8" t="s">
        <v>327</v>
      </c>
      <c r="B8">
        <v>2</v>
      </c>
    </row>
    <row r="9" spans="1:46" ht="15" customHeight="1" x14ac:dyDescent="0.25">
      <c r="A9" t="s">
        <v>328</v>
      </c>
      <c r="B9">
        <v>2</v>
      </c>
    </row>
    <row r="11" spans="1:46" ht="15" customHeight="1" x14ac:dyDescent="0.25">
      <c r="A11" t="s">
        <v>329</v>
      </c>
    </row>
    <row r="12" spans="1:46" ht="15" customHeight="1" x14ac:dyDescent="0.25">
      <c r="A12" t="s">
        <v>196</v>
      </c>
      <c r="B12" t="s">
        <v>330</v>
      </c>
      <c r="C12" t="s">
        <v>217</v>
      </c>
      <c r="D12" t="s">
        <v>198</v>
      </c>
      <c r="E12" t="s">
        <v>331</v>
      </c>
      <c r="F12" t="s">
        <v>332</v>
      </c>
      <c r="G12" t="s">
        <v>333</v>
      </c>
      <c r="H12" t="s">
        <v>334</v>
      </c>
      <c r="I12" t="s">
        <v>335</v>
      </c>
      <c r="J12" t="s">
        <v>336</v>
      </c>
      <c r="K12" t="s">
        <v>337</v>
      </c>
      <c r="L12" t="s">
        <v>338</v>
      </c>
      <c r="M12" t="s">
        <v>339</v>
      </c>
      <c r="N12" t="s">
        <v>340</v>
      </c>
      <c r="O12" t="s">
        <v>341</v>
      </c>
      <c r="P12" t="s">
        <v>342</v>
      </c>
      <c r="Q12" t="s">
        <v>343</v>
      </c>
      <c r="R12" t="s">
        <v>344</v>
      </c>
      <c r="S12" t="s">
        <v>345</v>
      </c>
      <c r="T12" t="s">
        <v>346</v>
      </c>
      <c r="U12" t="s">
        <v>347</v>
      </c>
      <c r="V12" t="s">
        <v>348</v>
      </c>
      <c r="W12" t="s">
        <v>349</v>
      </c>
      <c r="X12" t="s">
        <v>350</v>
      </c>
      <c r="Y12" t="s">
        <v>351</v>
      </c>
      <c r="Z12" t="s">
        <v>352</v>
      </c>
      <c r="AA12" t="s">
        <v>353</v>
      </c>
      <c r="AB12" t="s">
        <v>354</v>
      </c>
      <c r="AC12" t="s">
        <v>355</v>
      </c>
      <c r="AD12" t="s">
        <v>356</v>
      </c>
      <c r="AE12" t="s">
        <v>357</v>
      </c>
      <c r="AF12" t="s">
        <v>358</v>
      </c>
      <c r="AG12" t="s">
        <v>359</v>
      </c>
      <c r="AH12" t="s">
        <v>360</v>
      </c>
      <c r="AI12" t="s">
        <v>361</v>
      </c>
      <c r="AJ12" t="s">
        <v>362</v>
      </c>
      <c r="AK12" t="s">
        <v>363</v>
      </c>
      <c r="AL12" t="s">
        <v>364</v>
      </c>
      <c r="AM12" t="s">
        <v>365</v>
      </c>
      <c r="AN12" t="s">
        <v>366</v>
      </c>
      <c r="AO12" t="s">
        <v>367</v>
      </c>
      <c r="AP12" t="s">
        <v>368</v>
      </c>
      <c r="AQ12" t="s">
        <v>369</v>
      </c>
      <c r="AR12" t="s">
        <v>370</v>
      </c>
      <c r="AS12" t="s">
        <v>371</v>
      </c>
      <c r="AT12" t="s">
        <v>372</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6"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6"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6" ht="15.75" customHeight="1" x14ac:dyDescent="0.25">
      <c r="A35">
        <v>1</v>
      </c>
      <c r="B35">
        <v>2</v>
      </c>
      <c r="C35">
        <v>2001</v>
      </c>
      <c r="D35">
        <v>1</v>
      </c>
      <c r="E35">
        <v>11</v>
      </c>
      <c r="F35">
        <v>0</v>
      </c>
      <c r="G35">
        <v>0</v>
      </c>
      <c r="H35">
        <v>0</v>
      </c>
      <c r="I35">
        <v>1</v>
      </c>
      <c r="J35">
        <v>0</v>
      </c>
      <c r="K35">
        <v>0</v>
      </c>
      <c r="L35">
        <v>0</v>
      </c>
      <c r="M35">
        <v>0</v>
      </c>
      <c r="N35">
        <v>0</v>
      </c>
      <c r="O35">
        <v>0</v>
      </c>
      <c r="P35">
        <v>0</v>
      </c>
      <c r="Q35">
        <v>0</v>
      </c>
      <c r="R35">
        <v>0</v>
      </c>
      <c r="S35">
        <v>0</v>
      </c>
      <c r="T35">
        <v>0</v>
      </c>
      <c r="U35">
        <v>0</v>
      </c>
      <c r="V35">
        <v>0</v>
      </c>
      <c r="W35">
        <v>0</v>
      </c>
      <c r="X35">
        <v>0</v>
      </c>
      <c r="Y35">
        <v>0</v>
      </c>
      <c r="Z35">
        <v>0</v>
      </c>
      <c r="AA35">
        <v>0</v>
      </c>
      <c r="AB35">
        <v>0</v>
      </c>
      <c r="AC35">
        <v>0</v>
      </c>
      <c r="AD35">
        <v>3</v>
      </c>
      <c r="AE35">
        <v>1</v>
      </c>
      <c r="AF35">
        <v>0</v>
      </c>
      <c r="AG35">
        <v>1</v>
      </c>
      <c r="AH35">
        <v>3</v>
      </c>
      <c r="AI35">
        <v>0</v>
      </c>
      <c r="AJ35">
        <v>0</v>
      </c>
      <c r="AK35">
        <v>0</v>
      </c>
      <c r="AL35">
        <v>0</v>
      </c>
      <c r="AM35">
        <v>1</v>
      </c>
      <c r="AN35">
        <v>1</v>
      </c>
      <c r="AO35">
        <v>0</v>
      </c>
      <c r="AP35">
        <v>0</v>
      </c>
      <c r="AQ35">
        <v>0</v>
      </c>
      <c r="AR35">
        <v>0</v>
      </c>
      <c r="AS35">
        <v>0</v>
      </c>
      <c r="AT35">
        <v>0</v>
      </c>
    </row>
    <row r="36" spans="1:46" ht="15.75" customHeight="1" x14ac:dyDescent="0.25">
      <c r="A36">
        <v>1</v>
      </c>
      <c r="B36">
        <v>2</v>
      </c>
      <c r="C36">
        <v>2003</v>
      </c>
      <c r="D36">
        <v>5</v>
      </c>
      <c r="E36">
        <v>243</v>
      </c>
      <c r="F36">
        <v>0</v>
      </c>
      <c r="G36">
        <v>0</v>
      </c>
      <c r="H36">
        <v>0</v>
      </c>
      <c r="I36">
        <v>0</v>
      </c>
      <c r="J36">
        <v>0</v>
      </c>
      <c r="K36">
        <v>0</v>
      </c>
      <c r="L36">
        <v>1</v>
      </c>
      <c r="M36">
        <v>25</v>
      </c>
      <c r="N36">
        <v>30</v>
      </c>
      <c r="O36">
        <v>34</v>
      </c>
      <c r="P36">
        <v>36</v>
      </c>
      <c r="Q36">
        <v>35</v>
      </c>
      <c r="R36">
        <v>35</v>
      </c>
      <c r="S36">
        <v>25</v>
      </c>
      <c r="T36">
        <v>13</v>
      </c>
      <c r="U36">
        <v>5</v>
      </c>
      <c r="V36">
        <v>1</v>
      </c>
      <c r="W36">
        <v>1</v>
      </c>
      <c r="X36">
        <v>0</v>
      </c>
      <c r="Y36">
        <v>2</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row>
    <row r="37" spans="1:46" ht="15.75" customHeight="1" x14ac:dyDescent="0.25">
      <c r="A37">
        <v>1</v>
      </c>
      <c r="B37">
        <v>2</v>
      </c>
      <c r="C37">
        <v>2004</v>
      </c>
      <c r="D37">
        <v>6</v>
      </c>
      <c r="E37">
        <v>215</v>
      </c>
      <c r="F37">
        <v>0</v>
      </c>
      <c r="G37">
        <v>0</v>
      </c>
      <c r="H37">
        <v>0</v>
      </c>
      <c r="I37">
        <v>0</v>
      </c>
      <c r="J37">
        <v>0</v>
      </c>
      <c r="K37">
        <v>0</v>
      </c>
      <c r="L37">
        <v>0</v>
      </c>
      <c r="M37">
        <v>0</v>
      </c>
      <c r="N37">
        <v>3</v>
      </c>
      <c r="O37">
        <v>13</v>
      </c>
      <c r="P37">
        <v>50</v>
      </c>
      <c r="Q37">
        <v>54</v>
      </c>
      <c r="R37">
        <v>95</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row>
    <row r="38" spans="1:46" ht="15.75" customHeight="1" x14ac:dyDescent="0.25">
      <c r="A38">
        <v>1</v>
      </c>
      <c r="B38">
        <v>2</v>
      </c>
      <c r="C38">
        <v>2005</v>
      </c>
      <c r="D38">
        <v>5</v>
      </c>
      <c r="E38">
        <v>194</v>
      </c>
      <c r="F38">
        <v>0</v>
      </c>
      <c r="G38">
        <v>0</v>
      </c>
      <c r="H38">
        <v>0</v>
      </c>
      <c r="I38">
        <v>0</v>
      </c>
      <c r="J38">
        <v>0</v>
      </c>
      <c r="K38">
        <v>0</v>
      </c>
      <c r="L38">
        <v>2</v>
      </c>
      <c r="M38">
        <v>23</v>
      </c>
      <c r="N38">
        <v>21</v>
      </c>
      <c r="O38">
        <v>18</v>
      </c>
      <c r="P38">
        <v>22</v>
      </c>
      <c r="Q38">
        <v>27</v>
      </c>
      <c r="R38">
        <v>36</v>
      </c>
      <c r="S38">
        <v>26</v>
      </c>
      <c r="T38">
        <v>13</v>
      </c>
      <c r="U38">
        <v>1</v>
      </c>
      <c r="V38">
        <v>1</v>
      </c>
      <c r="W38">
        <v>1</v>
      </c>
      <c r="X38">
        <v>1</v>
      </c>
      <c r="Y38">
        <v>0</v>
      </c>
      <c r="Z38">
        <v>2</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row>
    <row r="39" spans="1:46" ht="15.75" customHeight="1" x14ac:dyDescent="0.25">
      <c r="A39">
        <v>1</v>
      </c>
      <c r="B39">
        <v>2</v>
      </c>
      <c r="C39">
        <v>2006</v>
      </c>
      <c r="D39">
        <v>5</v>
      </c>
      <c r="E39">
        <v>2</v>
      </c>
      <c r="F39">
        <v>0</v>
      </c>
      <c r="G39">
        <v>0</v>
      </c>
      <c r="H39">
        <v>0</v>
      </c>
      <c r="I39">
        <v>0</v>
      </c>
      <c r="J39">
        <v>0</v>
      </c>
      <c r="K39">
        <v>0</v>
      </c>
      <c r="L39">
        <v>0</v>
      </c>
      <c r="M39">
        <v>0</v>
      </c>
      <c r="N39">
        <v>0</v>
      </c>
      <c r="O39">
        <v>0</v>
      </c>
      <c r="P39">
        <v>0</v>
      </c>
      <c r="Q39">
        <v>0</v>
      </c>
      <c r="R39">
        <v>0</v>
      </c>
      <c r="S39">
        <v>0</v>
      </c>
      <c r="T39">
        <v>1</v>
      </c>
      <c r="U39">
        <v>0</v>
      </c>
      <c r="V39">
        <v>0</v>
      </c>
      <c r="W39">
        <v>0</v>
      </c>
      <c r="X39">
        <v>0</v>
      </c>
      <c r="Y39">
        <v>0</v>
      </c>
      <c r="Z39">
        <v>1</v>
      </c>
      <c r="AA39">
        <v>0</v>
      </c>
      <c r="AB39">
        <v>0</v>
      </c>
      <c r="AC39">
        <v>0</v>
      </c>
      <c r="AD39">
        <v>0</v>
      </c>
      <c r="AE39">
        <v>0</v>
      </c>
      <c r="AF39">
        <v>0</v>
      </c>
      <c r="AG39">
        <v>0</v>
      </c>
      <c r="AH39">
        <v>0</v>
      </c>
      <c r="AI39">
        <v>0</v>
      </c>
      <c r="AJ39">
        <v>0</v>
      </c>
      <c r="AK39">
        <v>0</v>
      </c>
      <c r="AL39">
        <v>0</v>
      </c>
      <c r="AM39">
        <v>0</v>
      </c>
      <c r="AN39">
        <v>0</v>
      </c>
      <c r="AO39">
        <v>0</v>
      </c>
      <c r="AP39">
        <v>0</v>
      </c>
      <c r="AQ39">
        <v>0</v>
      </c>
      <c r="AR39">
        <v>0</v>
      </c>
      <c r="AS39">
        <v>0</v>
      </c>
      <c r="AT39">
        <v>0</v>
      </c>
    </row>
    <row r="40" spans="1:46" ht="15.75" customHeight="1" x14ac:dyDescent="0.25">
      <c r="A40">
        <v>1</v>
      </c>
      <c r="B40">
        <v>2</v>
      </c>
      <c r="C40">
        <v>2007</v>
      </c>
      <c r="D40">
        <v>6</v>
      </c>
      <c r="E40">
        <v>6</v>
      </c>
      <c r="F40">
        <v>0</v>
      </c>
      <c r="G40">
        <v>0</v>
      </c>
      <c r="H40">
        <v>0</v>
      </c>
      <c r="I40">
        <v>0</v>
      </c>
      <c r="J40">
        <v>0</v>
      </c>
      <c r="K40">
        <v>0</v>
      </c>
      <c r="L40">
        <v>0</v>
      </c>
      <c r="M40">
        <v>0</v>
      </c>
      <c r="N40">
        <v>0</v>
      </c>
      <c r="O40">
        <v>0</v>
      </c>
      <c r="P40">
        <v>2</v>
      </c>
      <c r="Q40">
        <v>2</v>
      </c>
      <c r="R40">
        <v>2</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row>
    <row r="41" spans="1:46" ht="15.75" customHeight="1" x14ac:dyDescent="0.25">
      <c r="A41">
        <v>1</v>
      </c>
      <c r="B41">
        <v>2</v>
      </c>
      <c r="C41">
        <v>2008</v>
      </c>
      <c r="D41">
        <v>5</v>
      </c>
      <c r="E41">
        <v>9</v>
      </c>
      <c r="F41">
        <v>0</v>
      </c>
      <c r="G41">
        <v>0</v>
      </c>
      <c r="H41">
        <v>0</v>
      </c>
      <c r="I41">
        <v>0</v>
      </c>
      <c r="J41">
        <v>0</v>
      </c>
      <c r="K41">
        <v>0</v>
      </c>
      <c r="L41">
        <v>0</v>
      </c>
      <c r="M41">
        <v>0</v>
      </c>
      <c r="N41">
        <v>1</v>
      </c>
      <c r="O41">
        <v>0</v>
      </c>
      <c r="P41">
        <v>1</v>
      </c>
      <c r="Q41">
        <v>2</v>
      </c>
      <c r="R41">
        <v>3</v>
      </c>
      <c r="S41">
        <v>2</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row>
    <row r="42" spans="1:46" ht="15.75" customHeight="1" x14ac:dyDescent="0.25">
      <c r="A42">
        <v>1</v>
      </c>
      <c r="B42">
        <v>2</v>
      </c>
      <c r="C42">
        <v>2009</v>
      </c>
      <c r="D42">
        <v>5</v>
      </c>
      <c r="E42">
        <v>769</v>
      </c>
      <c r="F42">
        <v>0</v>
      </c>
      <c r="G42">
        <v>0</v>
      </c>
      <c r="H42">
        <v>1</v>
      </c>
      <c r="I42">
        <v>0</v>
      </c>
      <c r="J42">
        <v>4</v>
      </c>
      <c r="K42">
        <v>6</v>
      </c>
      <c r="L42">
        <v>3</v>
      </c>
      <c r="M42">
        <v>13</v>
      </c>
      <c r="N42">
        <v>19</v>
      </c>
      <c r="O42">
        <v>13</v>
      </c>
      <c r="P42">
        <v>24</v>
      </c>
      <c r="Q42">
        <v>24</v>
      </c>
      <c r="R42">
        <v>21</v>
      </c>
      <c r="S42">
        <v>26</v>
      </c>
      <c r="T42">
        <v>24</v>
      </c>
      <c r="U42">
        <v>34</v>
      </c>
      <c r="V42">
        <v>40</v>
      </c>
      <c r="W42">
        <v>36</v>
      </c>
      <c r="X42">
        <v>47</v>
      </c>
      <c r="Y42">
        <v>52</v>
      </c>
      <c r="Z42">
        <v>64</v>
      </c>
      <c r="AA42">
        <v>60</v>
      </c>
      <c r="AB42">
        <v>57</v>
      </c>
      <c r="AC42">
        <v>40</v>
      </c>
      <c r="AD42">
        <v>39</v>
      </c>
      <c r="AE42">
        <v>22</v>
      </c>
      <c r="AF42">
        <v>18</v>
      </c>
      <c r="AG42">
        <v>26</v>
      </c>
      <c r="AH42">
        <v>16</v>
      </c>
      <c r="AI42">
        <v>16</v>
      </c>
      <c r="AJ42">
        <v>9</v>
      </c>
      <c r="AK42">
        <v>6</v>
      </c>
      <c r="AL42">
        <v>5</v>
      </c>
      <c r="AM42">
        <v>2</v>
      </c>
      <c r="AN42">
        <v>0</v>
      </c>
      <c r="AO42">
        <v>2</v>
      </c>
      <c r="AP42">
        <v>0</v>
      </c>
      <c r="AQ42">
        <v>0</v>
      </c>
      <c r="AR42">
        <v>0</v>
      </c>
      <c r="AS42">
        <v>0</v>
      </c>
      <c r="AT42">
        <v>0</v>
      </c>
    </row>
    <row r="43" spans="1:46" ht="15.75" customHeight="1" x14ac:dyDescent="0.25">
      <c r="A43">
        <v>1</v>
      </c>
      <c r="B43">
        <v>2</v>
      </c>
      <c r="C43">
        <v>2010</v>
      </c>
      <c r="D43">
        <v>5</v>
      </c>
      <c r="E43">
        <v>1394</v>
      </c>
      <c r="F43">
        <v>0</v>
      </c>
      <c r="G43">
        <v>0</v>
      </c>
      <c r="H43">
        <v>0</v>
      </c>
      <c r="I43">
        <v>2</v>
      </c>
      <c r="J43">
        <v>7</v>
      </c>
      <c r="K43">
        <v>7</v>
      </c>
      <c r="L43">
        <v>4</v>
      </c>
      <c r="M43">
        <v>14</v>
      </c>
      <c r="N43">
        <v>19</v>
      </c>
      <c r="O43">
        <v>22</v>
      </c>
      <c r="P43">
        <v>40</v>
      </c>
      <c r="Q43">
        <v>53</v>
      </c>
      <c r="R43">
        <v>80</v>
      </c>
      <c r="S43">
        <v>82</v>
      </c>
      <c r="T43">
        <v>77</v>
      </c>
      <c r="U43">
        <v>101</v>
      </c>
      <c r="V43">
        <v>68</v>
      </c>
      <c r="W43">
        <v>77</v>
      </c>
      <c r="X43">
        <v>60</v>
      </c>
      <c r="Y43">
        <v>70</v>
      </c>
      <c r="Z43">
        <v>68</v>
      </c>
      <c r="AA43">
        <v>64</v>
      </c>
      <c r="AB43">
        <v>68</v>
      </c>
      <c r="AC43">
        <v>53</v>
      </c>
      <c r="AD43">
        <v>52</v>
      </c>
      <c r="AE43">
        <v>52</v>
      </c>
      <c r="AF43">
        <v>51</v>
      </c>
      <c r="AG43">
        <v>35</v>
      </c>
      <c r="AH43">
        <v>36</v>
      </c>
      <c r="AI43">
        <v>35</v>
      </c>
      <c r="AJ43">
        <v>25</v>
      </c>
      <c r="AK43">
        <v>14</v>
      </c>
      <c r="AL43">
        <v>12</v>
      </c>
      <c r="AM43">
        <v>16</v>
      </c>
      <c r="AN43">
        <v>4</v>
      </c>
      <c r="AO43">
        <v>26</v>
      </c>
      <c r="AP43">
        <v>0</v>
      </c>
      <c r="AQ43">
        <v>0</v>
      </c>
      <c r="AR43">
        <v>0</v>
      </c>
      <c r="AS43">
        <v>0</v>
      </c>
      <c r="AT43">
        <v>0</v>
      </c>
    </row>
    <row r="44" spans="1:46" ht="15.75" customHeight="1" x14ac:dyDescent="0.25">
      <c r="A44">
        <v>1</v>
      </c>
      <c r="B44">
        <v>2</v>
      </c>
      <c r="C44">
        <v>2011</v>
      </c>
      <c r="D44">
        <v>5</v>
      </c>
      <c r="E44">
        <v>2589</v>
      </c>
      <c r="F44">
        <v>0</v>
      </c>
      <c r="G44">
        <v>0</v>
      </c>
      <c r="H44">
        <v>0</v>
      </c>
      <c r="I44">
        <v>1</v>
      </c>
      <c r="J44">
        <v>1</v>
      </c>
      <c r="K44">
        <v>0</v>
      </c>
      <c r="L44">
        <v>7</v>
      </c>
      <c r="M44">
        <v>4</v>
      </c>
      <c r="N44">
        <v>15</v>
      </c>
      <c r="O44">
        <v>22</v>
      </c>
      <c r="P44">
        <v>24</v>
      </c>
      <c r="Q44">
        <v>40</v>
      </c>
      <c r="R44">
        <v>65</v>
      </c>
      <c r="S44">
        <v>79</v>
      </c>
      <c r="T44">
        <v>74</v>
      </c>
      <c r="U44">
        <v>102</v>
      </c>
      <c r="V44">
        <v>103</v>
      </c>
      <c r="W44">
        <v>181</v>
      </c>
      <c r="X44">
        <v>195</v>
      </c>
      <c r="Y44">
        <v>197</v>
      </c>
      <c r="Z44">
        <v>206</v>
      </c>
      <c r="AA44">
        <v>181</v>
      </c>
      <c r="AB44">
        <v>216</v>
      </c>
      <c r="AC44">
        <v>172</v>
      </c>
      <c r="AD44">
        <v>140</v>
      </c>
      <c r="AE44">
        <v>110</v>
      </c>
      <c r="AF44">
        <v>102</v>
      </c>
      <c r="AG44">
        <v>87</v>
      </c>
      <c r="AH44">
        <v>61</v>
      </c>
      <c r="AI44">
        <v>46</v>
      </c>
      <c r="AJ44">
        <v>33</v>
      </c>
      <c r="AK44">
        <v>30</v>
      </c>
      <c r="AL44">
        <v>30</v>
      </c>
      <c r="AM44">
        <v>26</v>
      </c>
      <c r="AN44">
        <v>8</v>
      </c>
      <c r="AO44">
        <v>31</v>
      </c>
      <c r="AP44">
        <v>0</v>
      </c>
      <c r="AQ44">
        <v>0</v>
      </c>
      <c r="AR44">
        <v>0</v>
      </c>
      <c r="AS44">
        <v>0</v>
      </c>
      <c r="AT44">
        <v>0</v>
      </c>
    </row>
    <row r="45" spans="1:46" ht="15.75" customHeight="1" x14ac:dyDescent="0.25">
      <c r="A45">
        <v>1</v>
      </c>
      <c r="B45">
        <v>2</v>
      </c>
      <c r="C45">
        <v>2012</v>
      </c>
      <c r="D45">
        <v>4</v>
      </c>
      <c r="E45">
        <v>442</v>
      </c>
      <c r="F45">
        <v>1</v>
      </c>
      <c r="G45">
        <v>0</v>
      </c>
      <c r="H45">
        <v>0</v>
      </c>
      <c r="I45">
        <v>1</v>
      </c>
      <c r="J45">
        <v>0</v>
      </c>
      <c r="K45">
        <v>4</v>
      </c>
      <c r="L45">
        <v>6</v>
      </c>
      <c r="M45">
        <v>4</v>
      </c>
      <c r="N45">
        <v>6</v>
      </c>
      <c r="O45">
        <v>6</v>
      </c>
      <c r="P45">
        <v>2</v>
      </c>
      <c r="Q45">
        <v>2</v>
      </c>
      <c r="R45">
        <v>5</v>
      </c>
      <c r="S45">
        <v>6</v>
      </c>
      <c r="T45">
        <v>22</v>
      </c>
      <c r="U45">
        <v>19</v>
      </c>
      <c r="V45">
        <v>28</v>
      </c>
      <c r="W45">
        <v>32</v>
      </c>
      <c r="X45">
        <v>31</v>
      </c>
      <c r="Y45">
        <v>32</v>
      </c>
      <c r="Z45">
        <v>40</v>
      </c>
      <c r="AA45">
        <v>33</v>
      </c>
      <c r="AB45">
        <v>29</v>
      </c>
      <c r="AC45">
        <v>33</v>
      </c>
      <c r="AD45">
        <v>26</v>
      </c>
      <c r="AE45">
        <v>21</v>
      </c>
      <c r="AF45">
        <v>14</v>
      </c>
      <c r="AG45">
        <v>15</v>
      </c>
      <c r="AH45">
        <v>10</v>
      </c>
      <c r="AI45">
        <v>1</v>
      </c>
      <c r="AJ45">
        <v>5</v>
      </c>
      <c r="AK45">
        <v>5</v>
      </c>
      <c r="AL45">
        <v>1</v>
      </c>
      <c r="AM45">
        <v>1</v>
      </c>
      <c r="AN45">
        <v>0</v>
      </c>
      <c r="AO45">
        <v>1</v>
      </c>
      <c r="AP45">
        <v>0</v>
      </c>
      <c r="AQ45">
        <v>0</v>
      </c>
      <c r="AR45">
        <v>0</v>
      </c>
      <c r="AS45">
        <v>0</v>
      </c>
      <c r="AT45">
        <v>0</v>
      </c>
    </row>
    <row r="46" spans="1:46" ht="15.75" customHeight="1" x14ac:dyDescent="0.25">
      <c r="A46">
        <v>1</v>
      </c>
      <c r="B46">
        <v>2</v>
      </c>
      <c r="C46">
        <v>2012</v>
      </c>
      <c r="D46">
        <v>5</v>
      </c>
      <c r="E46">
        <v>1350</v>
      </c>
      <c r="F46">
        <v>0</v>
      </c>
      <c r="G46">
        <v>0</v>
      </c>
      <c r="H46">
        <v>1</v>
      </c>
      <c r="I46">
        <v>1</v>
      </c>
      <c r="J46">
        <v>4</v>
      </c>
      <c r="K46">
        <v>3</v>
      </c>
      <c r="L46">
        <v>13</v>
      </c>
      <c r="M46">
        <v>19</v>
      </c>
      <c r="N46">
        <v>14</v>
      </c>
      <c r="O46">
        <v>17</v>
      </c>
      <c r="P46">
        <v>17</v>
      </c>
      <c r="Q46">
        <v>17</v>
      </c>
      <c r="R46">
        <v>23</v>
      </c>
      <c r="S46">
        <v>34</v>
      </c>
      <c r="T46">
        <v>36</v>
      </c>
      <c r="U46">
        <v>27</v>
      </c>
      <c r="V46">
        <v>51</v>
      </c>
      <c r="W46">
        <v>69</v>
      </c>
      <c r="X46">
        <v>51</v>
      </c>
      <c r="Y46">
        <v>69</v>
      </c>
      <c r="Z46">
        <v>79</v>
      </c>
      <c r="AA46">
        <v>80</v>
      </c>
      <c r="AB46">
        <v>92</v>
      </c>
      <c r="AC46">
        <v>81</v>
      </c>
      <c r="AD46">
        <v>102</v>
      </c>
      <c r="AE46">
        <v>90</v>
      </c>
      <c r="AF46">
        <v>77</v>
      </c>
      <c r="AG46">
        <v>69</v>
      </c>
      <c r="AH46">
        <v>50</v>
      </c>
      <c r="AI46">
        <v>42</v>
      </c>
      <c r="AJ46">
        <v>38</v>
      </c>
      <c r="AK46">
        <v>24</v>
      </c>
      <c r="AL46">
        <v>14</v>
      </c>
      <c r="AM46">
        <v>13</v>
      </c>
      <c r="AN46">
        <v>9</v>
      </c>
      <c r="AO46">
        <v>24</v>
      </c>
      <c r="AP46">
        <v>0</v>
      </c>
      <c r="AQ46">
        <v>0</v>
      </c>
      <c r="AR46">
        <v>0</v>
      </c>
      <c r="AS46">
        <v>0</v>
      </c>
      <c r="AT46">
        <v>0</v>
      </c>
    </row>
    <row r="47" spans="1:46" ht="15.75" customHeight="1" x14ac:dyDescent="0.25">
      <c r="A47">
        <v>1</v>
      </c>
      <c r="B47">
        <v>2</v>
      </c>
      <c r="C47">
        <v>2013</v>
      </c>
      <c r="D47">
        <v>5</v>
      </c>
      <c r="E47">
        <v>865</v>
      </c>
      <c r="F47">
        <v>0</v>
      </c>
      <c r="G47">
        <v>0</v>
      </c>
      <c r="H47">
        <v>0</v>
      </c>
      <c r="I47">
        <v>1</v>
      </c>
      <c r="J47">
        <v>1</v>
      </c>
      <c r="K47">
        <v>1</v>
      </c>
      <c r="L47">
        <v>5</v>
      </c>
      <c r="M47">
        <v>3</v>
      </c>
      <c r="N47">
        <v>4</v>
      </c>
      <c r="O47">
        <v>8</v>
      </c>
      <c r="P47">
        <v>8</v>
      </c>
      <c r="Q47">
        <v>14</v>
      </c>
      <c r="R47">
        <v>12</v>
      </c>
      <c r="S47">
        <v>16</v>
      </c>
      <c r="T47">
        <v>25</v>
      </c>
      <c r="U47">
        <v>30</v>
      </c>
      <c r="V47">
        <v>57</v>
      </c>
      <c r="W47">
        <v>45</v>
      </c>
      <c r="X47">
        <v>45</v>
      </c>
      <c r="Y47">
        <v>39</v>
      </c>
      <c r="Z47">
        <v>48</v>
      </c>
      <c r="AA47">
        <v>56</v>
      </c>
      <c r="AB47">
        <v>40</v>
      </c>
      <c r="AC47">
        <v>53</v>
      </c>
      <c r="AD47">
        <v>46</v>
      </c>
      <c r="AE47">
        <v>60</v>
      </c>
      <c r="AF47">
        <v>46</v>
      </c>
      <c r="AG47">
        <v>52</v>
      </c>
      <c r="AH47">
        <v>58</v>
      </c>
      <c r="AI47">
        <v>30</v>
      </c>
      <c r="AJ47">
        <v>24</v>
      </c>
      <c r="AK47">
        <v>14</v>
      </c>
      <c r="AL47">
        <v>13</v>
      </c>
      <c r="AM47">
        <v>6</v>
      </c>
      <c r="AN47">
        <v>1</v>
      </c>
      <c r="AO47">
        <v>4</v>
      </c>
      <c r="AP47">
        <v>0</v>
      </c>
      <c r="AQ47">
        <v>0</v>
      </c>
      <c r="AR47">
        <v>0</v>
      </c>
      <c r="AS47">
        <v>0</v>
      </c>
      <c r="AT47">
        <v>0</v>
      </c>
    </row>
    <row r="48" spans="1:46" ht="15.75" customHeight="1" x14ac:dyDescent="0.25">
      <c r="A48">
        <v>1</v>
      </c>
      <c r="B48">
        <v>2</v>
      </c>
      <c r="C48">
        <v>2014</v>
      </c>
      <c r="D48">
        <v>4</v>
      </c>
      <c r="E48">
        <v>102</v>
      </c>
      <c r="F48">
        <v>0</v>
      </c>
      <c r="G48">
        <v>0</v>
      </c>
      <c r="H48">
        <v>0</v>
      </c>
      <c r="I48">
        <v>0</v>
      </c>
      <c r="J48">
        <v>0</v>
      </c>
      <c r="K48">
        <v>0</v>
      </c>
      <c r="L48">
        <v>0</v>
      </c>
      <c r="M48">
        <v>0</v>
      </c>
      <c r="N48">
        <v>0</v>
      </c>
      <c r="O48">
        <v>0</v>
      </c>
      <c r="P48">
        <v>0</v>
      </c>
      <c r="Q48">
        <v>11</v>
      </c>
      <c r="R48">
        <v>35</v>
      </c>
      <c r="S48">
        <v>4</v>
      </c>
      <c r="T48">
        <v>3</v>
      </c>
      <c r="U48">
        <v>3</v>
      </c>
      <c r="V48">
        <v>4</v>
      </c>
      <c r="W48">
        <v>2</v>
      </c>
      <c r="X48">
        <v>6</v>
      </c>
      <c r="Y48">
        <v>5</v>
      </c>
      <c r="Z48">
        <v>6</v>
      </c>
      <c r="AA48">
        <v>7</v>
      </c>
      <c r="AB48">
        <v>3</v>
      </c>
      <c r="AC48">
        <v>6</v>
      </c>
      <c r="AD48">
        <v>1</v>
      </c>
      <c r="AE48">
        <v>1</v>
      </c>
      <c r="AF48">
        <v>1</v>
      </c>
      <c r="AG48">
        <v>1</v>
      </c>
      <c r="AH48">
        <v>0</v>
      </c>
      <c r="AI48">
        <v>0</v>
      </c>
      <c r="AJ48">
        <v>2</v>
      </c>
      <c r="AK48">
        <v>1</v>
      </c>
      <c r="AL48">
        <v>0</v>
      </c>
      <c r="AM48">
        <v>0</v>
      </c>
      <c r="AN48">
        <v>0</v>
      </c>
      <c r="AO48">
        <v>0</v>
      </c>
      <c r="AP48">
        <v>0</v>
      </c>
      <c r="AQ48">
        <v>0</v>
      </c>
      <c r="AR48">
        <v>0</v>
      </c>
      <c r="AS48">
        <v>0</v>
      </c>
      <c r="AT48">
        <v>0</v>
      </c>
    </row>
    <row r="49" spans="1:46" ht="15.75" customHeight="1" x14ac:dyDescent="0.25">
      <c r="A49">
        <v>1</v>
      </c>
      <c r="B49">
        <v>2</v>
      </c>
      <c r="C49">
        <v>2014</v>
      </c>
      <c r="D49">
        <v>5</v>
      </c>
      <c r="E49">
        <v>661</v>
      </c>
      <c r="F49">
        <v>0</v>
      </c>
      <c r="G49">
        <v>0</v>
      </c>
      <c r="H49">
        <v>1</v>
      </c>
      <c r="I49">
        <v>1</v>
      </c>
      <c r="J49">
        <v>5</v>
      </c>
      <c r="K49">
        <v>8</v>
      </c>
      <c r="L49">
        <v>20</v>
      </c>
      <c r="M49">
        <v>13</v>
      </c>
      <c r="N49">
        <v>27</v>
      </c>
      <c r="O49">
        <v>37</v>
      </c>
      <c r="P49">
        <v>42</v>
      </c>
      <c r="Q49">
        <v>47</v>
      </c>
      <c r="R49">
        <v>83</v>
      </c>
      <c r="S49">
        <v>29</v>
      </c>
      <c r="T49">
        <v>22</v>
      </c>
      <c r="U49">
        <v>28</v>
      </c>
      <c r="V49">
        <v>22</v>
      </c>
      <c r="W49">
        <v>22</v>
      </c>
      <c r="X49">
        <v>27</v>
      </c>
      <c r="Y49">
        <v>15</v>
      </c>
      <c r="Z49">
        <v>21</v>
      </c>
      <c r="AA49">
        <v>33</v>
      </c>
      <c r="AB49">
        <v>32</v>
      </c>
      <c r="AC49">
        <v>29</v>
      </c>
      <c r="AD49">
        <v>32</v>
      </c>
      <c r="AE49">
        <v>18</v>
      </c>
      <c r="AF49">
        <v>9</v>
      </c>
      <c r="AG49">
        <v>12</v>
      </c>
      <c r="AH49">
        <v>9</v>
      </c>
      <c r="AI49">
        <v>3</v>
      </c>
      <c r="AJ49">
        <v>3</v>
      </c>
      <c r="AK49">
        <v>4</v>
      </c>
      <c r="AL49">
        <v>1</v>
      </c>
      <c r="AM49">
        <v>1</v>
      </c>
      <c r="AN49">
        <v>3</v>
      </c>
      <c r="AO49">
        <v>2</v>
      </c>
      <c r="AP49">
        <v>0</v>
      </c>
      <c r="AQ49">
        <v>0</v>
      </c>
      <c r="AR49">
        <v>0</v>
      </c>
      <c r="AS49">
        <v>0</v>
      </c>
      <c r="AT49">
        <v>0</v>
      </c>
    </row>
    <row r="50" spans="1:46" ht="15.75" customHeight="1" x14ac:dyDescent="0.25">
      <c r="A50">
        <v>1</v>
      </c>
      <c r="B50">
        <v>2</v>
      </c>
      <c r="C50">
        <v>2015</v>
      </c>
      <c r="D50">
        <v>1</v>
      </c>
      <c r="E50">
        <v>2</v>
      </c>
      <c r="F50">
        <v>0</v>
      </c>
      <c r="G50">
        <v>0</v>
      </c>
      <c r="H50">
        <v>0</v>
      </c>
      <c r="I50">
        <v>0</v>
      </c>
      <c r="J50">
        <v>0</v>
      </c>
      <c r="K50">
        <v>0</v>
      </c>
      <c r="L50">
        <v>0</v>
      </c>
      <c r="M50">
        <v>0</v>
      </c>
      <c r="N50">
        <v>0</v>
      </c>
      <c r="O50">
        <v>0</v>
      </c>
      <c r="P50">
        <v>0</v>
      </c>
      <c r="Q50">
        <v>0</v>
      </c>
      <c r="R50">
        <v>0</v>
      </c>
      <c r="S50">
        <v>0</v>
      </c>
      <c r="T50">
        <v>0</v>
      </c>
      <c r="U50">
        <v>0</v>
      </c>
      <c r="V50">
        <v>0</v>
      </c>
      <c r="W50">
        <v>0</v>
      </c>
      <c r="X50">
        <v>0</v>
      </c>
      <c r="Y50">
        <v>0</v>
      </c>
      <c r="Z50">
        <v>1</v>
      </c>
      <c r="AA50">
        <v>0</v>
      </c>
      <c r="AB50">
        <v>0</v>
      </c>
      <c r="AC50">
        <v>0</v>
      </c>
      <c r="AD50">
        <v>0</v>
      </c>
      <c r="AE50">
        <v>0</v>
      </c>
      <c r="AF50">
        <v>0</v>
      </c>
      <c r="AG50">
        <v>0</v>
      </c>
      <c r="AH50">
        <v>0</v>
      </c>
      <c r="AI50">
        <v>0</v>
      </c>
      <c r="AJ50">
        <v>0</v>
      </c>
      <c r="AK50">
        <v>0</v>
      </c>
      <c r="AL50">
        <v>0</v>
      </c>
      <c r="AM50">
        <v>0</v>
      </c>
      <c r="AN50">
        <v>0</v>
      </c>
      <c r="AO50">
        <v>1</v>
      </c>
      <c r="AP50">
        <v>0</v>
      </c>
      <c r="AQ50">
        <v>0</v>
      </c>
      <c r="AR50">
        <v>0</v>
      </c>
      <c r="AS50">
        <v>0</v>
      </c>
      <c r="AT50">
        <v>0</v>
      </c>
    </row>
    <row r="51" spans="1:46" ht="15.75" customHeight="1" x14ac:dyDescent="0.25">
      <c r="A51">
        <v>1</v>
      </c>
      <c r="B51">
        <v>2</v>
      </c>
      <c r="C51">
        <v>2015</v>
      </c>
      <c r="D51">
        <v>3</v>
      </c>
      <c r="E51">
        <v>5</v>
      </c>
      <c r="F51">
        <v>0</v>
      </c>
      <c r="G51">
        <v>0</v>
      </c>
      <c r="H51">
        <v>0</v>
      </c>
      <c r="I51">
        <v>0</v>
      </c>
      <c r="J51">
        <v>0</v>
      </c>
      <c r="K51">
        <v>0</v>
      </c>
      <c r="L51">
        <v>0</v>
      </c>
      <c r="M51">
        <v>0</v>
      </c>
      <c r="N51">
        <v>0</v>
      </c>
      <c r="O51">
        <v>0</v>
      </c>
      <c r="P51">
        <v>0</v>
      </c>
      <c r="Q51">
        <v>0</v>
      </c>
      <c r="R51">
        <v>2</v>
      </c>
      <c r="S51">
        <v>0</v>
      </c>
      <c r="T51">
        <v>0</v>
      </c>
      <c r="U51">
        <v>0</v>
      </c>
      <c r="V51">
        <v>0</v>
      </c>
      <c r="W51">
        <v>0</v>
      </c>
      <c r="X51">
        <v>0</v>
      </c>
      <c r="Y51">
        <v>0</v>
      </c>
      <c r="Z51">
        <v>0</v>
      </c>
      <c r="AA51">
        <v>0</v>
      </c>
      <c r="AB51">
        <v>0</v>
      </c>
      <c r="AC51">
        <v>0</v>
      </c>
      <c r="AD51">
        <v>0</v>
      </c>
      <c r="AE51">
        <v>0</v>
      </c>
      <c r="AF51">
        <v>1</v>
      </c>
      <c r="AG51">
        <v>1</v>
      </c>
      <c r="AH51">
        <v>1</v>
      </c>
      <c r="AI51">
        <v>0</v>
      </c>
      <c r="AJ51">
        <v>0</v>
      </c>
      <c r="AK51">
        <v>0</v>
      </c>
      <c r="AL51">
        <v>0</v>
      </c>
      <c r="AM51">
        <v>0</v>
      </c>
      <c r="AN51">
        <v>0</v>
      </c>
      <c r="AO51">
        <v>0</v>
      </c>
      <c r="AP51">
        <v>0</v>
      </c>
      <c r="AQ51">
        <v>0</v>
      </c>
      <c r="AR51">
        <v>0</v>
      </c>
      <c r="AS51">
        <v>0</v>
      </c>
      <c r="AT51">
        <v>0</v>
      </c>
    </row>
    <row r="52" spans="1:46" ht="15.75" customHeight="1" x14ac:dyDescent="0.25">
      <c r="A52">
        <v>1</v>
      </c>
      <c r="B52">
        <v>2</v>
      </c>
      <c r="C52">
        <v>2015</v>
      </c>
      <c r="D52">
        <v>4</v>
      </c>
      <c r="E52">
        <v>4</v>
      </c>
      <c r="F52">
        <v>0</v>
      </c>
      <c r="G52">
        <v>0</v>
      </c>
      <c r="H52">
        <v>0</v>
      </c>
      <c r="I52">
        <v>0</v>
      </c>
      <c r="J52">
        <v>0</v>
      </c>
      <c r="K52">
        <v>0</v>
      </c>
      <c r="L52">
        <v>0</v>
      </c>
      <c r="M52">
        <v>0</v>
      </c>
      <c r="N52">
        <v>0</v>
      </c>
      <c r="O52">
        <v>0</v>
      </c>
      <c r="P52">
        <v>0</v>
      </c>
      <c r="Q52">
        <v>0</v>
      </c>
      <c r="R52">
        <v>0</v>
      </c>
      <c r="S52">
        <v>0</v>
      </c>
      <c r="T52">
        <v>0</v>
      </c>
      <c r="U52">
        <v>0</v>
      </c>
      <c r="V52">
        <v>0</v>
      </c>
      <c r="W52">
        <v>1</v>
      </c>
      <c r="X52">
        <v>0</v>
      </c>
      <c r="Y52">
        <v>2</v>
      </c>
      <c r="Z52">
        <v>1</v>
      </c>
      <c r="AA52">
        <v>0</v>
      </c>
      <c r="AB52">
        <v>0</v>
      </c>
      <c r="AC52">
        <v>0</v>
      </c>
      <c r="AD52">
        <v>0</v>
      </c>
      <c r="AE52">
        <v>0</v>
      </c>
      <c r="AF52">
        <v>0</v>
      </c>
      <c r="AG52">
        <v>0</v>
      </c>
      <c r="AH52">
        <v>0</v>
      </c>
      <c r="AI52">
        <v>0</v>
      </c>
      <c r="AJ52">
        <v>0</v>
      </c>
      <c r="AK52">
        <v>0</v>
      </c>
      <c r="AL52">
        <v>0</v>
      </c>
      <c r="AM52">
        <v>0</v>
      </c>
      <c r="AN52">
        <v>0</v>
      </c>
      <c r="AO52">
        <v>0</v>
      </c>
      <c r="AP52">
        <v>0</v>
      </c>
      <c r="AQ52">
        <v>0</v>
      </c>
      <c r="AR52">
        <v>0</v>
      </c>
      <c r="AS52">
        <v>0</v>
      </c>
      <c r="AT52">
        <v>0</v>
      </c>
    </row>
    <row r="53" spans="1:46" ht="15.75" customHeight="1" x14ac:dyDescent="0.25">
      <c r="A53">
        <v>1</v>
      </c>
      <c r="B53">
        <v>2</v>
      </c>
      <c r="C53">
        <v>2015</v>
      </c>
      <c r="D53">
        <v>5</v>
      </c>
      <c r="E53">
        <v>1532</v>
      </c>
      <c r="F53">
        <v>0</v>
      </c>
      <c r="G53">
        <v>0</v>
      </c>
      <c r="H53">
        <v>0</v>
      </c>
      <c r="I53">
        <v>1</v>
      </c>
      <c r="J53">
        <v>2</v>
      </c>
      <c r="K53">
        <v>6</v>
      </c>
      <c r="L53">
        <v>11</v>
      </c>
      <c r="M53">
        <v>12</v>
      </c>
      <c r="N53">
        <v>13</v>
      </c>
      <c r="O53">
        <v>16</v>
      </c>
      <c r="P53">
        <v>32</v>
      </c>
      <c r="Q53">
        <v>45</v>
      </c>
      <c r="R53">
        <v>58</v>
      </c>
      <c r="S53">
        <v>36</v>
      </c>
      <c r="T53">
        <v>77</v>
      </c>
      <c r="U53">
        <v>67</v>
      </c>
      <c r="V53">
        <v>77</v>
      </c>
      <c r="W53">
        <v>58</v>
      </c>
      <c r="X53">
        <v>96</v>
      </c>
      <c r="Y53">
        <v>96</v>
      </c>
      <c r="Z53">
        <v>86</v>
      </c>
      <c r="AA53">
        <v>105</v>
      </c>
      <c r="AB53">
        <v>99</v>
      </c>
      <c r="AC53">
        <v>96</v>
      </c>
      <c r="AD53">
        <v>92</v>
      </c>
      <c r="AE53">
        <v>99</v>
      </c>
      <c r="AF53">
        <v>67</v>
      </c>
      <c r="AG53">
        <v>53</v>
      </c>
      <c r="AH53">
        <v>42</v>
      </c>
      <c r="AI53">
        <v>25</v>
      </c>
      <c r="AJ53">
        <v>21</v>
      </c>
      <c r="AK53">
        <v>10</v>
      </c>
      <c r="AL53">
        <v>15</v>
      </c>
      <c r="AM53">
        <v>6</v>
      </c>
      <c r="AN53">
        <v>2</v>
      </c>
      <c r="AO53">
        <v>11</v>
      </c>
      <c r="AP53">
        <v>0</v>
      </c>
      <c r="AQ53">
        <v>0</v>
      </c>
      <c r="AR53">
        <v>0</v>
      </c>
      <c r="AS53">
        <v>0</v>
      </c>
      <c r="AT53">
        <v>0</v>
      </c>
    </row>
    <row r="54" spans="1:46" ht="15.75" customHeight="1" x14ac:dyDescent="0.25">
      <c r="A54">
        <v>1</v>
      </c>
      <c r="B54">
        <v>2</v>
      </c>
      <c r="C54">
        <v>2015</v>
      </c>
      <c r="D54">
        <v>6</v>
      </c>
      <c r="E54">
        <v>347</v>
      </c>
      <c r="F54">
        <v>0</v>
      </c>
      <c r="G54">
        <v>1</v>
      </c>
      <c r="H54">
        <v>0</v>
      </c>
      <c r="I54">
        <v>0</v>
      </c>
      <c r="J54">
        <v>0</v>
      </c>
      <c r="K54">
        <v>3</v>
      </c>
      <c r="L54">
        <v>3</v>
      </c>
      <c r="M54">
        <v>7</v>
      </c>
      <c r="N54">
        <v>3</v>
      </c>
      <c r="O54">
        <v>14</v>
      </c>
      <c r="P54">
        <v>8</v>
      </c>
      <c r="Q54">
        <v>13</v>
      </c>
      <c r="R54">
        <v>8</v>
      </c>
      <c r="S54">
        <v>2</v>
      </c>
      <c r="T54">
        <v>1</v>
      </c>
      <c r="U54">
        <v>9</v>
      </c>
      <c r="V54">
        <v>10</v>
      </c>
      <c r="W54">
        <v>12</v>
      </c>
      <c r="X54">
        <v>28</v>
      </c>
      <c r="Y54">
        <v>15</v>
      </c>
      <c r="Z54">
        <v>24</v>
      </c>
      <c r="AA54">
        <v>20</v>
      </c>
      <c r="AB54">
        <v>29</v>
      </c>
      <c r="AC54">
        <v>22</v>
      </c>
      <c r="AD54">
        <v>22</v>
      </c>
      <c r="AE54">
        <v>17</v>
      </c>
      <c r="AF54">
        <v>10</v>
      </c>
      <c r="AG54">
        <v>23</v>
      </c>
      <c r="AH54">
        <v>17</v>
      </c>
      <c r="AI54">
        <v>9</v>
      </c>
      <c r="AJ54">
        <v>6</v>
      </c>
      <c r="AK54">
        <v>3</v>
      </c>
      <c r="AL54">
        <v>3</v>
      </c>
      <c r="AM54">
        <v>3</v>
      </c>
      <c r="AN54">
        <v>0</v>
      </c>
      <c r="AO54">
        <v>2</v>
      </c>
      <c r="AP54">
        <v>0</v>
      </c>
      <c r="AQ54">
        <v>0</v>
      </c>
      <c r="AR54">
        <v>0</v>
      </c>
      <c r="AS54">
        <v>0</v>
      </c>
      <c r="AT54">
        <v>0</v>
      </c>
    </row>
    <row r="55" spans="1:46" ht="15.75" customHeight="1" x14ac:dyDescent="0.25">
      <c r="A55">
        <v>1</v>
      </c>
      <c r="B55">
        <v>2</v>
      </c>
      <c r="C55">
        <v>2016</v>
      </c>
      <c r="D55">
        <v>1</v>
      </c>
      <c r="E55">
        <v>106</v>
      </c>
      <c r="F55">
        <v>0</v>
      </c>
      <c r="G55">
        <v>0</v>
      </c>
      <c r="H55">
        <v>0</v>
      </c>
      <c r="I55">
        <v>0</v>
      </c>
      <c r="J55">
        <v>0</v>
      </c>
      <c r="K55">
        <v>0</v>
      </c>
      <c r="L55">
        <v>0</v>
      </c>
      <c r="M55">
        <v>0</v>
      </c>
      <c r="N55">
        <v>0</v>
      </c>
      <c r="O55">
        <v>0</v>
      </c>
      <c r="P55">
        <v>0</v>
      </c>
      <c r="Q55">
        <v>0</v>
      </c>
      <c r="R55">
        <v>0</v>
      </c>
      <c r="S55">
        <v>0</v>
      </c>
      <c r="T55">
        <v>0</v>
      </c>
      <c r="U55">
        <v>0</v>
      </c>
      <c r="V55">
        <v>1</v>
      </c>
      <c r="W55">
        <v>2</v>
      </c>
      <c r="X55">
        <v>3</v>
      </c>
      <c r="Y55">
        <v>4</v>
      </c>
      <c r="Z55">
        <v>2</v>
      </c>
      <c r="AA55">
        <v>4</v>
      </c>
      <c r="AB55">
        <v>8</v>
      </c>
      <c r="AC55">
        <v>14</v>
      </c>
      <c r="AD55">
        <v>11</v>
      </c>
      <c r="AE55">
        <v>16</v>
      </c>
      <c r="AF55">
        <v>9</v>
      </c>
      <c r="AG55">
        <v>12</v>
      </c>
      <c r="AH55">
        <v>8</v>
      </c>
      <c r="AI55">
        <v>7</v>
      </c>
      <c r="AJ55">
        <v>2</v>
      </c>
      <c r="AK55">
        <v>3</v>
      </c>
      <c r="AL55">
        <v>0</v>
      </c>
      <c r="AM55">
        <v>0</v>
      </c>
      <c r="AN55">
        <v>0</v>
      </c>
      <c r="AO55">
        <v>0</v>
      </c>
      <c r="AP55">
        <v>0</v>
      </c>
      <c r="AQ55">
        <v>0</v>
      </c>
      <c r="AR55">
        <v>0</v>
      </c>
      <c r="AS55">
        <v>0</v>
      </c>
      <c r="AT55">
        <v>0</v>
      </c>
    </row>
    <row r="56" spans="1:46" ht="15.75" customHeight="1" x14ac:dyDescent="0.25">
      <c r="A56">
        <v>1</v>
      </c>
      <c r="B56">
        <v>2</v>
      </c>
      <c r="C56">
        <v>2016</v>
      </c>
      <c r="D56">
        <v>2</v>
      </c>
      <c r="E56">
        <v>301</v>
      </c>
      <c r="F56">
        <v>0</v>
      </c>
      <c r="G56">
        <v>0</v>
      </c>
      <c r="H56">
        <v>0</v>
      </c>
      <c r="I56">
        <v>0</v>
      </c>
      <c r="J56">
        <v>0</v>
      </c>
      <c r="K56">
        <v>0</v>
      </c>
      <c r="L56">
        <v>0</v>
      </c>
      <c r="M56">
        <v>0</v>
      </c>
      <c r="N56">
        <v>2</v>
      </c>
      <c r="O56">
        <v>11</v>
      </c>
      <c r="P56">
        <v>23</v>
      </c>
      <c r="Q56">
        <v>102</v>
      </c>
      <c r="R56">
        <v>93</v>
      </c>
      <c r="S56">
        <v>42</v>
      </c>
      <c r="T56">
        <v>10</v>
      </c>
      <c r="U56">
        <v>6</v>
      </c>
      <c r="V56">
        <v>4</v>
      </c>
      <c r="W56">
        <v>2</v>
      </c>
      <c r="X56">
        <v>1</v>
      </c>
      <c r="Y56">
        <v>3</v>
      </c>
      <c r="Z56">
        <v>0</v>
      </c>
      <c r="AA56">
        <v>1</v>
      </c>
      <c r="AB56">
        <v>0</v>
      </c>
      <c r="AC56">
        <v>1</v>
      </c>
      <c r="AD56">
        <v>0</v>
      </c>
      <c r="AE56">
        <v>0</v>
      </c>
      <c r="AF56">
        <v>0</v>
      </c>
      <c r="AG56">
        <v>0</v>
      </c>
      <c r="AH56">
        <v>0</v>
      </c>
      <c r="AI56">
        <v>0</v>
      </c>
      <c r="AJ56">
        <v>0</v>
      </c>
      <c r="AK56">
        <v>0</v>
      </c>
      <c r="AL56">
        <v>0</v>
      </c>
      <c r="AM56">
        <v>0</v>
      </c>
      <c r="AN56">
        <v>0</v>
      </c>
      <c r="AO56">
        <v>0</v>
      </c>
      <c r="AP56">
        <v>0</v>
      </c>
      <c r="AQ56">
        <v>0</v>
      </c>
      <c r="AR56">
        <v>0</v>
      </c>
      <c r="AS56">
        <v>0</v>
      </c>
      <c r="AT56">
        <v>0</v>
      </c>
    </row>
    <row r="57" spans="1:46" ht="15.75" customHeight="1" x14ac:dyDescent="0.25">
      <c r="A57">
        <v>1</v>
      </c>
      <c r="B57">
        <v>2</v>
      </c>
      <c r="C57">
        <v>2016</v>
      </c>
      <c r="D57">
        <v>4</v>
      </c>
      <c r="E57">
        <v>146</v>
      </c>
      <c r="F57">
        <v>0</v>
      </c>
      <c r="G57">
        <v>0</v>
      </c>
      <c r="H57">
        <v>0</v>
      </c>
      <c r="I57">
        <v>0</v>
      </c>
      <c r="J57">
        <v>0</v>
      </c>
      <c r="K57">
        <v>0</v>
      </c>
      <c r="L57">
        <v>0</v>
      </c>
      <c r="M57">
        <v>1</v>
      </c>
      <c r="N57">
        <v>2</v>
      </c>
      <c r="O57">
        <v>7</v>
      </c>
      <c r="P57">
        <v>5</v>
      </c>
      <c r="Q57">
        <v>9</v>
      </c>
      <c r="R57">
        <v>9</v>
      </c>
      <c r="S57">
        <v>4</v>
      </c>
      <c r="T57">
        <v>10</v>
      </c>
      <c r="U57">
        <v>17</v>
      </c>
      <c r="V57">
        <v>7</v>
      </c>
      <c r="W57">
        <v>11</v>
      </c>
      <c r="X57">
        <v>10</v>
      </c>
      <c r="Y57">
        <v>5</v>
      </c>
      <c r="Z57">
        <v>10</v>
      </c>
      <c r="AA57">
        <v>8</v>
      </c>
      <c r="AB57">
        <v>8</v>
      </c>
      <c r="AC57">
        <v>10</v>
      </c>
      <c r="AD57">
        <v>3</v>
      </c>
      <c r="AE57">
        <v>2</v>
      </c>
      <c r="AF57">
        <v>2</v>
      </c>
      <c r="AG57">
        <v>0</v>
      </c>
      <c r="AH57">
        <v>2</v>
      </c>
      <c r="AI57">
        <v>0</v>
      </c>
      <c r="AJ57">
        <v>4</v>
      </c>
      <c r="AK57">
        <v>0</v>
      </c>
      <c r="AL57">
        <v>0</v>
      </c>
      <c r="AM57">
        <v>0</v>
      </c>
      <c r="AN57">
        <v>0</v>
      </c>
      <c r="AO57">
        <v>0</v>
      </c>
      <c r="AP57">
        <v>0</v>
      </c>
      <c r="AQ57">
        <v>0</v>
      </c>
      <c r="AR57">
        <v>0</v>
      </c>
      <c r="AS57">
        <v>0</v>
      </c>
      <c r="AT57">
        <v>0</v>
      </c>
    </row>
    <row r="58" spans="1:46" ht="15.75" customHeight="1" x14ac:dyDescent="0.25">
      <c r="A58">
        <v>1</v>
      </c>
      <c r="B58">
        <v>2</v>
      </c>
      <c r="C58">
        <v>2016</v>
      </c>
      <c r="D58">
        <v>5</v>
      </c>
      <c r="E58">
        <v>1176</v>
      </c>
      <c r="F58">
        <v>0</v>
      </c>
      <c r="G58">
        <v>1</v>
      </c>
      <c r="H58">
        <v>1</v>
      </c>
      <c r="I58">
        <v>1</v>
      </c>
      <c r="J58">
        <v>1</v>
      </c>
      <c r="K58">
        <v>8</v>
      </c>
      <c r="L58">
        <v>18</v>
      </c>
      <c r="M58">
        <v>20</v>
      </c>
      <c r="N58">
        <v>30</v>
      </c>
      <c r="O58">
        <v>52</v>
      </c>
      <c r="P58">
        <v>43</v>
      </c>
      <c r="Q58">
        <v>61</v>
      </c>
      <c r="R58">
        <v>51</v>
      </c>
      <c r="S58">
        <v>34</v>
      </c>
      <c r="T58">
        <v>31</v>
      </c>
      <c r="U58">
        <v>33</v>
      </c>
      <c r="V58">
        <v>35</v>
      </c>
      <c r="W58">
        <v>35</v>
      </c>
      <c r="X58">
        <v>45</v>
      </c>
      <c r="Y58">
        <v>46</v>
      </c>
      <c r="Z58">
        <v>56</v>
      </c>
      <c r="AA58">
        <v>67</v>
      </c>
      <c r="AB58">
        <v>77</v>
      </c>
      <c r="AC58">
        <v>95</v>
      </c>
      <c r="AD58">
        <v>61</v>
      </c>
      <c r="AE58">
        <v>50</v>
      </c>
      <c r="AF58">
        <v>67</v>
      </c>
      <c r="AG58">
        <v>62</v>
      </c>
      <c r="AH58">
        <v>31</v>
      </c>
      <c r="AI58">
        <v>19</v>
      </c>
      <c r="AJ58">
        <v>16</v>
      </c>
      <c r="AK58">
        <v>13</v>
      </c>
      <c r="AL58">
        <v>6</v>
      </c>
      <c r="AM58">
        <v>5</v>
      </c>
      <c r="AN58">
        <v>0</v>
      </c>
      <c r="AO58">
        <v>5</v>
      </c>
      <c r="AP58">
        <v>0</v>
      </c>
      <c r="AQ58">
        <v>0</v>
      </c>
      <c r="AR58">
        <v>0</v>
      </c>
      <c r="AS58">
        <v>0</v>
      </c>
      <c r="AT58">
        <v>0</v>
      </c>
    </row>
    <row r="59" spans="1:46" ht="15.75" customHeight="1" x14ac:dyDescent="0.25">
      <c r="A59">
        <v>1</v>
      </c>
      <c r="B59">
        <v>2</v>
      </c>
      <c r="C59">
        <v>2017</v>
      </c>
      <c r="D59">
        <v>4</v>
      </c>
      <c r="E59">
        <v>507</v>
      </c>
      <c r="F59">
        <v>0</v>
      </c>
      <c r="G59">
        <v>1</v>
      </c>
      <c r="H59">
        <v>0</v>
      </c>
      <c r="I59">
        <v>0</v>
      </c>
      <c r="J59">
        <v>0</v>
      </c>
      <c r="K59">
        <v>0</v>
      </c>
      <c r="L59">
        <v>4</v>
      </c>
      <c r="M59">
        <v>2</v>
      </c>
      <c r="N59">
        <v>1</v>
      </c>
      <c r="O59">
        <v>1</v>
      </c>
      <c r="P59">
        <v>3</v>
      </c>
      <c r="Q59">
        <v>7</v>
      </c>
      <c r="R59">
        <v>9</v>
      </c>
      <c r="S59">
        <v>23</v>
      </c>
      <c r="T59">
        <v>26</v>
      </c>
      <c r="U59">
        <v>37</v>
      </c>
      <c r="V59">
        <v>35</v>
      </c>
      <c r="W59">
        <v>34</v>
      </c>
      <c r="X59">
        <v>49</v>
      </c>
      <c r="Y59">
        <v>38</v>
      </c>
      <c r="Z59">
        <v>37</v>
      </c>
      <c r="AA59">
        <v>34</v>
      </c>
      <c r="AB59">
        <v>26</v>
      </c>
      <c r="AC59">
        <v>21</v>
      </c>
      <c r="AD59">
        <v>21</v>
      </c>
      <c r="AE59">
        <v>22</v>
      </c>
      <c r="AF59">
        <v>13</v>
      </c>
      <c r="AG59">
        <v>23</v>
      </c>
      <c r="AH59">
        <v>9</v>
      </c>
      <c r="AI59">
        <v>7</v>
      </c>
      <c r="AJ59">
        <v>4</v>
      </c>
      <c r="AK59">
        <v>7</v>
      </c>
      <c r="AL59">
        <v>3</v>
      </c>
      <c r="AM59">
        <v>2</v>
      </c>
      <c r="AN59">
        <v>4</v>
      </c>
      <c r="AO59">
        <v>4</v>
      </c>
      <c r="AP59">
        <v>0</v>
      </c>
      <c r="AQ59">
        <v>0</v>
      </c>
      <c r="AR59">
        <v>0</v>
      </c>
      <c r="AS59">
        <v>0</v>
      </c>
      <c r="AT59">
        <v>0</v>
      </c>
    </row>
    <row r="60" spans="1:46" ht="15.75" customHeight="1" x14ac:dyDescent="0.25">
      <c r="A60">
        <v>1</v>
      </c>
      <c r="B60">
        <v>2</v>
      </c>
      <c r="C60">
        <v>2017</v>
      </c>
      <c r="D60">
        <v>5</v>
      </c>
      <c r="E60">
        <v>633</v>
      </c>
      <c r="F60">
        <v>0</v>
      </c>
      <c r="G60">
        <v>0</v>
      </c>
      <c r="H60">
        <v>0</v>
      </c>
      <c r="I60">
        <v>0</v>
      </c>
      <c r="J60">
        <v>1</v>
      </c>
      <c r="K60">
        <v>6</v>
      </c>
      <c r="L60">
        <v>6</v>
      </c>
      <c r="M60">
        <v>4</v>
      </c>
      <c r="N60">
        <v>10</v>
      </c>
      <c r="O60">
        <v>8</v>
      </c>
      <c r="P60">
        <v>5</v>
      </c>
      <c r="Q60">
        <v>12</v>
      </c>
      <c r="R60">
        <v>11</v>
      </c>
      <c r="S60">
        <v>33</v>
      </c>
      <c r="T60">
        <v>55</v>
      </c>
      <c r="U60">
        <v>41</v>
      </c>
      <c r="V60">
        <v>38</v>
      </c>
      <c r="W60">
        <v>25</v>
      </c>
      <c r="X60">
        <v>32</v>
      </c>
      <c r="Y60">
        <v>39</v>
      </c>
      <c r="Z60">
        <v>36</v>
      </c>
      <c r="AA60">
        <v>36</v>
      </c>
      <c r="AB60">
        <v>46</v>
      </c>
      <c r="AC60">
        <v>32</v>
      </c>
      <c r="AD60">
        <v>16</v>
      </c>
      <c r="AE60">
        <v>32</v>
      </c>
      <c r="AF60">
        <v>12</v>
      </c>
      <c r="AG60">
        <v>28</v>
      </c>
      <c r="AH60">
        <v>22</v>
      </c>
      <c r="AI60">
        <v>16</v>
      </c>
      <c r="AJ60">
        <v>8</v>
      </c>
      <c r="AK60">
        <v>7</v>
      </c>
      <c r="AL60">
        <v>7</v>
      </c>
      <c r="AM60">
        <v>3</v>
      </c>
      <c r="AN60">
        <v>1</v>
      </c>
      <c r="AO60">
        <v>5</v>
      </c>
      <c r="AP60">
        <v>0</v>
      </c>
      <c r="AQ60">
        <v>0</v>
      </c>
      <c r="AR60">
        <v>0</v>
      </c>
      <c r="AS60">
        <v>0</v>
      </c>
      <c r="AT60">
        <v>0</v>
      </c>
    </row>
    <row r="61" spans="1:46" ht="15.75" customHeight="1" x14ac:dyDescent="0.25">
      <c r="A61">
        <v>1</v>
      </c>
      <c r="B61">
        <v>2</v>
      </c>
      <c r="C61">
        <v>2017</v>
      </c>
      <c r="D61">
        <v>6</v>
      </c>
      <c r="E61">
        <v>250</v>
      </c>
      <c r="F61">
        <v>0</v>
      </c>
      <c r="G61">
        <v>0</v>
      </c>
      <c r="H61">
        <v>0</v>
      </c>
      <c r="I61">
        <v>0</v>
      </c>
      <c r="J61">
        <v>0</v>
      </c>
      <c r="K61">
        <v>1</v>
      </c>
      <c r="L61">
        <v>0</v>
      </c>
      <c r="M61">
        <v>1</v>
      </c>
      <c r="N61">
        <v>0</v>
      </c>
      <c r="O61">
        <v>0</v>
      </c>
      <c r="P61">
        <v>0</v>
      </c>
      <c r="Q61">
        <v>1</v>
      </c>
      <c r="R61">
        <v>4</v>
      </c>
      <c r="S61">
        <v>6</v>
      </c>
      <c r="T61">
        <v>5</v>
      </c>
      <c r="U61">
        <v>9</v>
      </c>
      <c r="V61">
        <v>9</v>
      </c>
      <c r="W61">
        <v>10</v>
      </c>
      <c r="X61">
        <v>11</v>
      </c>
      <c r="Y61">
        <v>13</v>
      </c>
      <c r="Z61">
        <v>14</v>
      </c>
      <c r="AA61">
        <v>19</v>
      </c>
      <c r="AB61">
        <v>22</v>
      </c>
      <c r="AC61">
        <v>20</v>
      </c>
      <c r="AD61">
        <v>14</v>
      </c>
      <c r="AE61">
        <v>22</v>
      </c>
      <c r="AF61">
        <v>16</v>
      </c>
      <c r="AG61">
        <v>11</v>
      </c>
      <c r="AH61">
        <v>16</v>
      </c>
      <c r="AI61">
        <v>9</v>
      </c>
      <c r="AJ61">
        <v>8</v>
      </c>
      <c r="AK61">
        <v>4</v>
      </c>
      <c r="AL61">
        <v>0</v>
      </c>
      <c r="AM61">
        <v>1</v>
      </c>
      <c r="AN61">
        <v>2</v>
      </c>
      <c r="AO61">
        <v>2</v>
      </c>
      <c r="AP61">
        <v>0</v>
      </c>
      <c r="AQ61">
        <v>0</v>
      </c>
      <c r="AR61">
        <v>0</v>
      </c>
      <c r="AS61">
        <v>0</v>
      </c>
      <c r="AT61">
        <v>0</v>
      </c>
    </row>
    <row r="62" spans="1:46" ht="15.75" customHeight="1" x14ac:dyDescent="0.25">
      <c r="A62">
        <v>1</v>
      </c>
      <c r="B62">
        <v>2</v>
      </c>
      <c r="C62">
        <v>2018</v>
      </c>
      <c r="D62">
        <v>4</v>
      </c>
      <c r="E62">
        <v>499</v>
      </c>
      <c r="F62">
        <v>0</v>
      </c>
      <c r="G62">
        <v>0</v>
      </c>
      <c r="H62">
        <v>0</v>
      </c>
      <c r="I62">
        <v>0</v>
      </c>
      <c r="J62">
        <v>0</v>
      </c>
      <c r="K62">
        <v>0</v>
      </c>
      <c r="L62">
        <v>3</v>
      </c>
      <c r="M62">
        <v>2</v>
      </c>
      <c r="N62">
        <v>3</v>
      </c>
      <c r="O62">
        <v>6</v>
      </c>
      <c r="P62">
        <v>16</v>
      </c>
      <c r="Q62">
        <v>27</v>
      </c>
      <c r="R62">
        <v>16</v>
      </c>
      <c r="S62">
        <v>27</v>
      </c>
      <c r="T62">
        <v>32</v>
      </c>
      <c r="U62">
        <v>39</v>
      </c>
      <c r="V62">
        <v>39</v>
      </c>
      <c r="W62">
        <v>33</v>
      </c>
      <c r="X62">
        <v>40</v>
      </c>
      <c r="Y62">
        <v>33</v>
      </c>
      <c r="Z62">
        <v>29</v>
      </c>
      <c r="AA62">
        <v>15</v>
      </c>
      <c r="AB62">
        <v>16</v>
      </c>
      <c r="AC62">
        <v>10</v>
      </c>
      <c r="AD62">
        <v>16</v>
      </c>
      <c r="AE62">
        <v>10</v>
      </c>
      <c r="AF62">
        <v>12</v>
      </c>
      <c r="AG62">
        <v>15</v>
      </c>
      <c r="AH62">
        <v>13</v>
      </c>
      <c r="AI62">
        <v>9</v>
      </c>
      <c r="AJ62">
        <v>14</v>
      </c>
      <c r="AK62">
        <v>10</v>
      </c>
      <c r="AL62">
        <v>4</v>
      </c>
      <c r="AM62">
        <v>3</v>
      </c>
      <c r="AN62">
        <v>3</v>
      </c>
      <c r="AO62">
        <v>4</v>
      </c>
      <c r="AP62">
        <v>0</v>
      </c>
      <c r="AQ62">
        <v>0</v>
      </c>
      <c r="AR62">
        <v>0</v>
      </c>
      <c r="AS62">
        <v>0</v>
      </c>
      <c r="AT62">
        <v>0</v>
      </c>
    </row>
    <row r="63" spans="1:46" ht="15.75" customHeight="1" x14ac:dyDescent="0.25">
      <c r="A63">
        <v>2</v>
      </c>
      <c r="B63">
        <v>1</v>
      </c>
      <c r="C63">
        <v>1991</v>
      </c>
      <c r="D63">
        <v>2</v>
      </c>
      <c r="E63">
        <v>719</v>
      </c>
      <c r="F63">
        <v>4</v>
      </c>
      <c r="G63">
        <v>2</v>
      </c>
      <c r="H63">
        <v>4</v>
      </c>
      <c r="I63">
        <v>13</v>
      </c>
      <c r="J63">
        <v>24</v>
      </c>
      <c r="K63">
        <v>33</v>
      </c>
      <c r="L63">
        <v>42</v>
      </c>
      <c r="M63">
        <v>66</v>
      </c>
      <c r="N63">
        <v>89</v>
      </c>
      <c r="O63">
        <v>71</v>
      </c>
      <c r="P63">
        <v>69</v>
      </c>
      <c r="Q63">
        <v>63</v>
      </c>
      <c r="R63">
        <v>47</v>
      </c>
      <c r="S63">
        <v>32</v>
      </c>
      <c r="T63">
        <v>24</v>
      </c>
      <c r="U63">
        <v>21</v>
      </c>
      <c r="V63">
        <v>11</v>
      </c>
      <c r="W63">
        <v>17</v>
      </c>
      <c r="X63">
        <v>13</v>
      </c>
      <c r="Y63">
        <v>4</v>
      </c>
      <c r="Z63">
        <v>4</v>
      </c>
      <c r="AA63">
        <v>6</v>
      </c>
      <c r="AB63">
        <v>5</v>
      </c>
      <c r="AC63">
        <v>4</v>
      </c>
      <c r="AD63">
        <v>5</v>
      </c>
      <c r="AE63">
        <v>9</v>
      </c>
      <c r="AF63">
        <v>6</v>
      </c>
      <c r="AG63">
        <v>4</v>
      </c>
      <c r="AH63">
        <v>1</v>
      </c>
      <c r="AI63">
        <v>3</v>
      </c>
      <c r="AJ63">
        <v>1</v>
      </c>
      <c r="AK63">
        <v>1</v>
      </c>
      <c r="AL63">
        <v>2</v>
      </c>
      <c r="AM63">
        <v>4</v>
      </c>
      <c r="AN63">
        <v>4</v>
      </c>
      <c r="AO63">
        <v>11</v>
      </c>
      <c r="AP63">
        <v>0</v>
      </c>
      <c r="AQ63">
        <v>0</v>
      </c>
      <c r="AR63">
        <v>0</v>
      </c>
      <c r="AS63">
        <v>0</v>
      </c>
      <c r="AT63">
        <v>0</v>
      </c>
    </row>
    <row r="64" spans="1:46" ht="15.75" customHeight="1" x14ac:dyDescent="0.25">
      <c r="A64">
        <v>2</v>
      </c>
      <c r="B64">
        <v>1</v>
      </c>
      <c r="C64">
        <v>1991</v>
      </c>
      <c r="D64">
        <v>5</v>
      </c>
      <c r="E64">
        <v>157</v>
      </c>
      <c r="F64">
        <v>0</v>
      </c>
      <c r="G64">
        <v>0</v>
      </c>
      <c r="H64">
        <v>3</v>
      </c>
      <c r="I64">
        <v>2</v>
      </c>
      <c r="J64">
        <v>9</v>
      </c>
      <c r="K64">
        <v>9</v>
      </c>
      <c r="L64">
        <v>6</v>
      </c>
      <c r="M64">
        <v>8</v>
      </c>
      <c r="N64">
        <v>9</v>
      </c>
      <c r="O64">
        <v>7</v>
      </c>
      <c r="P64">
        <v>15</v>
      </c>
      <c r="Q64">
        <v>20</v>
      </c>
      <c r="R64">
        <v>25</v>
      </c>
      <c r="S64">
        <v>24</v>
      </c>
      <c r="T64">
        <v>7</v>
      </c>
      <c r="U64">
        <v>1</v>
      </c>
      <c r="V64">
        <v>6</v>
      </c>
      <c r="W64">
        <v>0</v>
      </c>
      <c r="X64">
        <v>2</v>
      </c>
      <c r="Y64">
        <v>1</v>
      </c>
      <c r="Z64">
        <v>1</v>
      </c>
      <c r="AA64">
        <v>1</v>
      </c>
      <c r="AB64">
        <v>1</v>
      </c>
      <c r="AC64">
        <v>0</v>
      </c>
      <c r="AD64">
        <v>0</v>
      </c>
      <c r="AE64">
        <v>0</v>
      </c>
      <c r="AF64">
        <v>0</v>
      </c>
      <c r="AG64">
        <v>0</v>
      </c>
      <c r="AH64">
        <v>0</v>
      </c>
      <c r="AI64">
        <v>0</v>
      </c>
      <c r="AJ64">
        <v>0</v>
      </c>
      <c r="AK64">
        <v>0</v>
      </c>
      <c r="AL64">
        <v>0</v>
      </c>
      <c r="AM64">
        <v>0</v>
      </c>
      <c r="AN64">
        <v>0</v>
      </c>
      <c r="AO64">
        <v>0</v>
      </c>
      <c r="AP64">
        <v>0</v>
      </c>
      <c r="AQ64">
        <v>0</v>
      </c>
      <c r="AR64">
        <v>0</v>
      </c>
      <c r="AS64">
        <v>0</v>
      </c>
      <c r="AT64">
        <v>0</v>
      </c>
    </row>
    <row r="65" spans="1:46" ht="15.75" customHeight="1" x14ac:dyDescent="0.25">
      <c r="A65">
        <v>2</v>
      </c>
      <c r="B65">
        <v>1</v>
      </c>
      <c r="C65">
        <v>1992</v>
      </c>
      <c r="D65">
        <v>5</v>
      </c>
      <c r="E65">
        <v>6474</v>
      </c>
      <c r="F65">
        <v>8</v>
      </c>
      <c r="G65">
        <v>21</v>
      </c>
      <c r="H65">
        <v>24</v>
      </c>
      <c r="I65">
        <v>39</v>
      </c>
      <c r="J65">
        <v>77</v>
      </c>
      <c r="K65">
        <v>169</v>
      </c>
      <c r="L65">
        <v>253</v>
      </c>
      <c r="M65">
        <v>459</v>
      </c>
      <c r="N65">
        <v>613</v>
      </c>
      <c r="O65">
        <v>908</v>
      </c>
      <c r="P65">
        <v>1050</v>
      </c>
      <c r="Q65">
        <v>1148</v>
      </c>
      <c r="R65">
        <v>867</v>
      </c>
      <c r="S65">
        <v>348</v>
      </c>
      <c r="T65">
        <v>117</v>
      </c>
      <c r="U65">
        <v>75</v>
      </c>
      <c r="V65">
        <v>67</v>
      </c>
      <c r="W65">
        <v>42</v>
      </c>
      <c r="X65">
        <v>24</v>
      </c>
      <c r="Y65">
        <v>36</v>
      </c>
      <c r="Z65">
        <v>22</v>
      </c>
      <c r="AA65">
        <v>14</v>
      </c>
      <c r="AB65">
        <v>11</v>
      </c>
      <c r="AC65">
        <v>5</v>
      </c>
      <c r="AD65">
        <v>0</v>
      </c>
      <c r="AE65">
        <v>6</v>
      </c>
      <c r="AF65">
        <v>6</v>
      </c>
      <c r="AG65">
        <v>9</v>
      </c>
      <c r="AH65">
        <v>2</v>
      </c>
      <c r="AI65">
        <v>6</v>
      </c>
      <c r="AJ65">
        <v>6</v>
      </c>
      <c r="AK65">
        <v>4</v>
      </c>
      <c r="AL65">
        <v>2</v>
      </c>
      <c r="AM65">
        <v>4</v>
      </c>
      <c r="AN65">
        <v>4</v>
      </c>
      <c r="AO65">
        <v>28</v>
      </c>
      <c r="AP65">
        <v>0</v>
      </c>
      <c r="AQ65">
        <v>0</v>
      </c>
      <c r="AR65">
        <v>0</v>
      </c>
      <c r="AS65">
        <v>0</v>
      </c>
      <c r="AT65">
        <v>0</v>
      </c>
    </row>
    <row r="66" spans="1:46" ht="15.75" customHeight="1" x14ac:dyDescent="0.25">
      <c r="A66">
        <v>2</v>
      </c>
      <c r="B66">
        <v>1</v>
      </c>
      <c r="C66">
        <v>1992</v>
      </c>
      <c r="D66">
        <v>6</v>
      </c>
      <c r="E66">
        <v>10649</v>
      </c>
      <c r="F66">
        <v>12</v>
      </c>
      <c r="G66">
        <v>13</v>
      </c>
      <c r="H66">
        <v>26</v>
      </c>
      <c r="I66">
        <v>28</v>
      </c>
      <c r="J66">
        <v>46</v>
      </c>
      <c r="K66">
        <v>94</v>
      </c>
      <c r="L66">
        <v>100</v>
      </c>
      <c r="M66">
        <v>181</v>
      </c>
      <c r="N66">
        <v>287</v>
      </c>
      <c r="O66">
        <v>896</v>
      </c>
      <c r="P66">
        <v>3000</v>
      </c>
      <c r="Q66">
        <v>5918</v>
      </c>
      <c r="R66">
        <v>26</v>
      </c>
      <c r="S66">
        <v>10</v>
      </c>
      <c r="T66">
        <v>6</v>
      </c>
      <c r="U66">
        <v>4</v>
      </c>
      <c r="V66">
        <v>2</v>
      </c>
      <c r="W66">
        <v>0</v>
      </c>
      <c r="X66">
        <v>0</v>
      </c>
      <c r="Y66">
        <v>0</v>
      </c>
      <c r="Z66">
        <v>0</v>
      </c>
      <c r="AA66">
        <v>0</v>
      </c>
      <c r="AB66">
        <v>0</v>
      </c>
      <c r="AC66">
        <v>0</v>
      </c>
      <c r="AD66">
        <v>0</v>
      </c>
      <c r="AE66">
        <v>0</v>
      </c>
      <c r="AF66">
        <v>0</v>
      </c>
      <c r="AG66">
        <v>0</v>
      </c>
      <c r="AH66">
        <v>0</v>
      </c>
      <c r="AI66">
        <v>0</v>
      </c>
      <c r="AJ66">
        <v>0</v>
      </c>
      <c r="AK66">
        <v>0</v>
      </c>
      <c r="AL66">
        <v>0</v>
      </c>
      <c r="AM66">
        <v>0</v>
      </c>
      <c r="AN66">
        <v>0</v>
      </c>
      <c r="AO66">
        <v>0</v>
      </c>
      <c r="AP66">
        <v>0</v>
      </c>
      <c r="AQ66">
        <v>0</v>
      </c>
      <c r="AR66">
        <v>0</v>
      </c>
      <c r="AS66">
        <v>0</v>
      </c>
      <c r="AT66">
        <v>0</v>
      </c>
    </row>
    <row r="67" spans="1:46" ht="15.75" customHeight="1" x14ac:dyDescent="0.25">
      <c r="A67">
        <v>2</v>
      </c>
      <c r="B67">
        <v>1</v>
      </c>
      <c r="C67">
        <v>1993</v>
      </c>
      <c r="D67">
        <v>5</v>
      </c>
      <c r="E67">
        <v>7821</v>
      </c>
      <c r="F67">
        <v>8</v>
      </c>
      <c r="G67">
        <v>18</v>
      </c>
      <c r="H67">
        <v>14</v>
      </c>
      <c r="I67">
        <v>50</v>
      </c>
      <c r="J67">
        <v>136</v>
      </c>
      <c r="K67">
        <v>292</v>
      </c>
      <c r="L67">
        <v>350</v>
      </c>
      <c r="M67">
        <v>516</v>
      </c>
      <c r="N67">
        <v>731</v>
      </c>
      <c r="O67">
        <v>873</v>
      </c>
      <c r="P67">
        <v>1039</v>
      </c>
      <c r="Q67">
        <v>1032</v>
      </c>
      <c r="R67">
        <v>789</v>
      </c>
      <c r="S67">
        <v>466</v>
      </c>
      <c r="T67">
        <v>340</v>
      </c>
      <c r="U67">
        <v>279</v>
      </c>
      <c r="V67">
        <v>178</v>
      </c>
      <c r="W67">
        <v>186</v>
      </c>
      <c r="X67">
        <v>110</v>
      </c>
      <c r="Y67">
        <v>84</v>
      </c>
      <c r="Z67">
        <v>64</v>
      </c>
      <c r="AA67">
        <v>30</v>
      </c>
      <c r="AB67">
        <v>58</v>
      </c>
      <c r="AC67">
        <v>36</v>
      </c>
      <c r="AD67">
        <v>30</v>
      </c>
      <c r="AE67">
        <v>12</v>
      </c>
      <c r="AF67">
        <v>30</v>
      </c>
      <c r="AG67">
        <v>14</v>
      </c>
      <c r="AH67">
        <v>22</v>
      </c>
      <c r="AI67">
        <v>6</v>
      </c>
      <c r="AJ67">
        <v>6</v>
      </c>
      <c r="AK67">
        <v>2</v>
      </c>
      <c r="AL67">
        <v>2</v>
      </c>
      <c r="AM67">
        <v>0</v>
      </c>
      <c r="AN67">
        <v>6</v>
      </c>
      <c r="AO67">
        <v>12</v>
      </c>
      <c r="AP67">
        <v>0</v>
      </c>
      <c r="AQ67">
        <v>0</v>
      </c>
      <c r="AR67">
        <v>0</v>
      </c>
      <c r="AS67">
        <v>0</v>
      </c>
      <c r="AT67">
        <v>0</v>
      </c>
    </row>
    <row r="68" spans="1:46" ht="15.75" customHeight="1" x14ac:dyDescent="0.25">
      <c r="A68">
        <v>2</v>
      </c>
      <c r="B68">
        <v>1</v>
      </c>
      <c r="C68">
        <v>1994</v>
      </c>
      <c r="D68">
        <v>5</v>
      </c>
      <c r="E68">
        <v>4555</v>
      </c>
      <c r="F68">
        <v>6</v>
      </c>
      <c r="G68">
        <v>18</v>
      </c>
      <c r="H68">
        <v>24</v>
      </c>
      <c r="I68">
        <v>24</v>
      </c>
      <c r="J68">
        <v>48</v>
      </c>
      <c r="K68">
        <v>98</v>
      </c>
      <c r="L68">
        <v>135</v>
      </c>
      <c r="M68">
        <v>186</v>
      </c>
      <c r="N68">
        <v>260</v>
      </c>
      <c r="O68">
        <v>368</v>
      </c>
      <c r="P68">
        <v>384</v>
      </c>
      <c r="Q68">
        <v>440</v>
      </c>
      <c r="R68">
        <v>377</v>
      </c>
      <c r="S68">
        <v>295</v>
      </c>
      <c r="T68">
        <v>243</v>
      </c>
      <c r="U68">
        <v>206</v>
      </c>
      <c r="V68">
        <v>260</v>
      </c>
      <c r="W68">
        <v>283</v>
      </c>
      <c r="X68">
        <v>194</v>
      </c>
      <c r="Y68">
        <v>176</v>
      </c>
      <c r="Z68">
        <v>106</v>
      </c>
      <c r="AA68">
        <v>84</v>
      </c>
      <c r="AB68">
        <v>64</v>
      </c>
      <c r="AC68">
        <v>60</v>
      </c>
      <c r="AD68">
        <v>32</v>
      </c>
      <c r="AE68">
        <v>48</v>
      </c>
      <c r="AF68">
        <v>14</v>
      </c>
      <c r="AG68">
        <v>12</v>
      </c>
      <c r="AH68">
        <v>12</v>
      </c>
      <c r="AI68">
        <v>28</v>
      </c>
      <c r="AJ68">
        <v>16</v>
      </c>
      <c r="AK68">
        <v>10</v>
      </c>
      <c r="AL68">
        <v>16</v>
      </c>
      <c r="AM68">
        <v>10</v>
      </c>
      <c r="AN68">
        <v>2</v>
      </c>
      <c r="AO68">
        <v>16</v>
      </c>
      <c r="AP68">
        <v>0</v>
      </c>
      <c r="AQ68">
        <v>0</v>
      </c>
      <c r="AR68">
        <v>0</v>
      </c>
      <c r="AS68">
        <v>0</v>
      </c>
      <c r="AT68">
        <v>0</v>
      </c>
    </row>
    <row r="69" spans="1:46" ht="15.75" customHeight="1" x14ac:dyDescent="0.25">
      <c r="A69">
        <v>2</v>
      </c>
      <c r="B69">
        <v>1</v>
      </c>
      <c r="C69">
        <v>1995</v>
      </c>
      <c r="D69">
        <v>5</v>
      </c>
      <c r="E69">
        <v>5959</v>
      </c>
      <c r="F69">
        <v>22</v>
      </c>
      <c r="G69">
        <v>35</v>
      </c>
      <c r="H69">
        <v>79</v>
      </c>
      <c r="I69">
        <v>121</v>
      </c>
      <c r="J69">
        <v>259</v>
      </c>
      <c r="K69">
        <v>325</v>
      </c>
      <c r="L69">
        <v>374</v>
      </c>
      <c r="M69">
        <v>373</v>
      </c>
      <c r="N69">
        <v>418</v>
      </c>
      <c r="O69">
        <v>492</v>
      </c>
      <c r="P69">
        <v>584</v>
      </c>
      <c r="Q69">
        <v>622</v>
      </c>
      <c r="R69">
        <v>545</v>
      </c>
      <c r="S69">
        <v>273</v>
      </c>
      <c r="T69">
        <v>153</v>
      </c>
      <c r="U69">
        <v>152</v>
      </c>
      <c r="V69">
        <v>179</v>
      </c>
      <c r="W69">
        <v>192</v>
      </c>
      <c r="X69">
        <v>147</v>
      </c>
      <c r="Y69">
        <v>108</v>
      </c>
      <c r="Z69">
        <v>81</v>
      </c>
      <c r="AA69">
        <v>81</v>
      </c>
      <c r="AB69">
        <v>67</v>
      </c>
      <c r="AC69">
        <v>56</v>
      </c>
      <c r="AD69">
        <v>52</v>
      </c>
      <c r="AE69">
        <v>45</v>
      </c>
      <c r="AF69">
        <v>33</v>
      </c>
      <c r="AG69">
        <v>17</v>
      </c>
      <c r="AH69">
        <v>18</v>
      </c>
      <c r="AI69">
        <v>19</v>
      </c>
      <c r="AJ69">
        <v>8</v>
      </c>
      <c r="AK69">
        <v>3</v>
      </c>
      <c r="AL69">
        <v>7</v>
      </c>
      <c r="AM69">
        <v>3</v>
      </c>
      <c r="AN69">
        <v>6</v>
      </c>
      <c r="AO69">
        <v>10</v>
      </c>
      <c r="AP69">
        <v>0</v>
      </c>
      <c r="AQ69">
        <v>0</v>
      </c>
      <c r="AR69">
        <v>0</v>
      </c>
      <c r="AS69">
        <v>0</v>
      </c>
      <c r="AT69">
        <v>0</v>
      </c>
    </row>
    <row r="70" spans="1:46" ht="15.75" customHeight="1" x14ac:dyDescent="0.25">
      <c r="A70">
        <v>2</v>
      </c>
      <c r="B70">
        <v>1</v>
      </c>
      <c r="C70">
        <v>1996</v>
      </c>
      <c r="D70">
        <v>5</v>
      </c>
      <c r="E70">
        <v>7365</v>
      </c>
      <c r="F70">
        <v>60</v>
      </c>
      <c r="G70">
        <v>61</v>
      </c>
      <c r="H70">
        <v>87</v>
      </c>
      <c r="I70">
        <v>129</v>
      </c>
      <c r="J70">
        <v>249</v>
      </c>
      <c r="K70">
        <v>478</v>
      </c>
      <c r="L70">
        <v>604</v>
      </c>
      <c r="M70">
        <v>660</v>
      </c>
      <c r="N70">
        <v>742</v>
      </c>
      <c r="O70">
        <v>805</v>
      </c>
      <c r="P70">
        <v>865</v>
      </c>
      <c r="Q70">
        <v>831</v>
      </c>
      <c r="R70">
        <v>647</v>
      </c>
      <c r="S70">
        <v>270</v>
      </c>
      <c r="T70">
        <v>97</v>
      </c>
      <c r="U70">
        <v>97</v>
      </c>
      <c r="V70">
        <v>113</v>
      </c>
      <c r="W70">
        <v>89</v>
      </c>
      <c r="X70">
        <v>63</v>
      </c>
      <c r="Y70">
        <v>64</v>
      </c>
      <c r="Z70">
        <v>62</v>
      </c>
      <c r="AA70">
        <v>47</v>
      </c>
      <c r="AB70">
        <v>44</v>
      </c>
      <c r="AC70">
        <v>32</v>
      </c>
      <c r="AD70">
        <v>32</v>
      </c>
      <c r="AE70">
        <v>26</v>
      </c>
      <c r="AF70">
        <v>27</v>
      </c>
      <c r="AG70">
        <v>15</v>
      </c>
      <c r="AH70">
        <v>14</v>
      </c>
      <c r="AI70">
        <v>12</v>
      </c>
      <c r="AJ70">
        <v>12</v>
      </c>
      <c r="AK70">
        <v>4</v>
      </c>
      <c r="AL70">
        <v>5</v>
      </c>
      <c r="AM70">
        <v>5</v>
      </c>
      <c r="AN70">
        <v>2</v>
      </c>
      <c r="AO70">
        <v>15</v>
      </c>
      <c r="AP70">
        <v>0</v>
      </c>
      <c r="AQ70">
        <v>0</v>
      </c>
      <c r="AR70">
        <v>0</v>
      </c>
      <c r="AS70">
        <v>0</v>
      </c>
      <c r="AT70">
        <v>0</v>
      </c>
    </row>
    <row r="71" spans="1:46" ht="15.75" customHeight="1" x14ac:dyDescent="0.25">
      <c r="A71">
        <v>2</v>
      </c>
      <c r="B71">
        <v>1</v>
      </c>
      <c r="C71">
        <v>1996</v>
      </c>
      <c r="D71">
        <v>6</v>
      </c>
      <c r="E71">
        <v>4598</v>
      </c>
      <c r="F71">
        <v>3</v>
      </c>
      <c r="G71">
        <v>2</v>
      </c>
      <c r="H71">
        <v>0</v>
      </c>
      <c r="I71">
        <v>0</v>
      </c>
      <c r="J71">
        <v>1</v>
      </c>
      <c r="K71">
        <v>4</v>
      </c>
      <c r="L71">
        <v>12</v>
      </c>
      <c r="M71">
        <v>14</v>
      </c>
      <c r="N71">
        <v>23</v>
      </c>
      <c r="O71">
        <v>80</v>
      </c>
      <c r="P71">
        <v>394</v>
      </c>
      <c r="Q71">
        <v>1565</v>
      </c>
      <c r="R71">
        <v>2432</v>
      </c>
      <c r="S71">
        <v>35</v>
      </c>
      <c r="T71">
        <v>4</v>
      </c>
      <c r="U71">
        <v>3</v>
      </c>
      <c r="V71">
        <v>9</v>
      </c>
      <c r="W71">
        <v>3</v>
      </c>
      <c r="X71">
        <v>2</v>
      </c>
      <c r="Y71">
        <v>3</v>
      </c>
      <c r="Z71">
        <v>4</v>
      </c>
      <c r="AA71">
        <v>1</v>
      </c>
      <c r="AB71">
        <v>2</v>
      </c>
      <c r="AC71">
        <v>1</v>
      </c>
      <c r="AD71">
        <v>0</v>
      </c>
      <c r="AE71">
        <v>0</v>
      </c>
      <c r="AF71">
        <v>0</v>
      </c>
      <c r="AG71">
        <v>0</v>
      </c>
      <c r="AH71">
        <v>0</v>
      </c>
      <c r="AI71">
        <v>0</v>
      </c>
      <c r="AJ71">
        <v>0</v>
      </c>
      <c r="AK71">
        <v>0</v>
      </c>
      <c r="AL71">
        <v>1</v>
      </c>
      <c r="AM71">
        <v>0</v>
      </c>
      <c r="AN71">
        <v>0</v>
      </c>
      <c r="AO71">
        <v>0</v>
      </c>
      <c r="AP71">
        <v>0</v>
      </c>
      <c r="AQ71">
        <v>0</v>
      </c>
      <c r="AR71">
        <v>0</v>
      </c>
      <c r="AS71">
        <v>0</v>
      </c>
      <c r="AT71">
        <v>0</v>
      </c>
    </row>
    <row r="72" spans="1:46" ht="15.75" customHeight="1" x14ac:dyDescent="0.25">
      <c r="A72">
        <v>2</v>
      </c>
      <c r="B72">
        <v>1</v>
      </c>
      <c r="C72">
        <v>1997</v>
      </c>
      <c r="D72">
        <v>5</v>
      </c>
      <c r="E72">
        <v>5036</v>
      </c>
      <c r="F72">
        <v>43</v>
      </c>
      <c r="G72">
        <v>54</v>
      </c>
      <c r="H72">
        <v>77</v>
      </c>
      <c r="I72">
        <v>74</v>
      </c>
      <c r="J72">
        <v>187</v>
      </c>
      <c r="K72">
        <v>296</v>
      </c>
      <c r="L72">
        <v>347</v>
      </c>
      <c r="M72">
        <v>387</v>
      </c>
      <c r="N72">
        <v>507</v>
      </c>
      <c r="O72">
        <v>491</v>
      </c>
      <c r="P72">
        <v>547</v>
      </c>
      <c r="Q72">
        <v>491</v>
      </c>
      <c r="R72">
        <v>438</v>
      </c>
      <c r="S72">
        <v>186</v>
      </c>
      <c r="T72">
        <v>101</v>
      </c>
      <c r="U72">
        <v>100</v>
      </c>
      <c r="V72">
        <v>102</v>
      </c>
      <c r="W72">
        <v>101</v>
      </c>
      <c r="X72">
        <v>58</v>
      </c>
      <c r="Y72">
        <v>63</v>
      </c>
      <c r="Z72">
        <v>48</v>
      </c>
      <c r="AA72">
        <v>45</v>
      </c>
      <c r="AB72">
        <v>41</v>
      </c>
      <c r="AC72">
        <v>34</v>
      </c>
      <c r="AD72">
        <v>19</v>
      </c>
      <c r="AE72">
        <v>30</v>
      </c>
      <c r="AF72">
        <v>21</v>
      </c>
      <c r="AG72">
        <v>15</v>
      </c>
      <c r="AH72">
        <v>16</v>
      </c>
      <c r="AI72">
        <v>27</v>
      </c>
      <c r="AJ72">
        <v>17</v>
      </c>
      <c r="AK72">
        <v>12</v>
      </c>
      <c r="AL72">
        <v>7</v>
      </c>
      <c r="AM72">
        <v>12</v>
      </c>
      <c r="AN72">
        <v>10</v>
      </c>
      <c r="AO72">
        <v>32</v>
      </c>
      <c r="AP72">
        <v>0</v>
      </c>
      <c r="AQ72">
        <v>0</v>
      </c>
      <c r="AR72">
        <v>0</v>
      </c>
      <c r="AS72">
        <v>0</v>
      </c>
      <c r="AT72">
        <v>0</v>
      </c>
    </row>
    <row r="73" spans="1:46" ht="15.75" customHeight="1" x14ac:dyDescent="0.25">
      <c r="A73">
        <v>2</v>
      </c>
      <c r="B73">
        <v>1</v>
      </c>
      <c r="C73">
        <v>1997</v>
      </c>
      <c r="D73">
        <v>6</v>
      </c>
      <c r="E73">
        <v>3276</v>
      </c>
      <c r="F73">
        <v>0</v>
      </c>
      <c r="G73">
        <v>0</v>
      </c>
      <c r="H73">
        <v>1</v>
      </c>
      <c r="I73">
        <v>0</v>
      </c>
      <c r="J73">
        <v>1</v>
      </c>
      <c r="K73">
        <v>5</v>
      </c>
      <c r="L73">
        <v>12</v>
      </c>
      <c r="M73">
        <v>30</v>
      </c>
      <c r="N73">
        <v>54</v>
      </c>
      <c r="O73">
        <v>127</v>
      </c>
      <c r="P73">
        <v>398</v>
      </c>
      <c r="Q73">
        <v>1304</v>
      </c>
      <c r="R73">
        <v>1342</v>
      </c>
      <c r="S73">
        <v>2</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v>0</v>
      </c>
      <c r="AO73">
        <v>0</v>
      </c>
      <c r="AP73">
        <v>0</v>
      </c>
      <c r="AQ73">
        <v>0</v>
      </c>
      <c r="AR73">
        <v>0</v>
      </c>
      <c r="AS73">
        <v>0</v>
      </c>
      <c r="AT73">
        <v>0</v>
      </c>
    </row>
    <row r="74" spans="1:46" ht="15.75" customHeight="1" x14ac:dyDescent="0.25">
      <c r="A74">
        <v>2</v>
      </c>
      <c r="B74">
        <v>1</v>
      </c>
      <c r="C74">
        <v>2000</v>
      </c>
      <c r="D74">
        <v>5</v>
      </c>
      <c r="E74">
        <v>84</v>
      </c>
      <c r="F74">
        <v>0</v>
      </c>
      <c r="G74">
        <v>0</v>
      </c>
      <c r="H74">
        <v>0</v>
      </c>
      <c r="I74">
        <v>0</v>
      </c>
      <c r="J74">
        <v>0</v>
      </c>
      <c r="K74">
        <v>0</v>
      </c>
      <c r="L74">
        <v>0</v>
      </c>
      <c r="M74">
        <v>0</v>
      </c>
      <c r="N74">
        <v>0</v>
      </c>
      <c r="O74">
        <v>0</v>
      </c>
      <c r="P74">
        <v>1</v>
      </c>
      <c r="Q74">
        <v>0</v>
      </c>
      <c r="R74">
        <v>0</v>
      </c>
      <c r="S74">
        <v>0</v>
      </c>
      <c r="T74">
        <v>4</v>
      </c>
      <c r="U74">
        <v>7</v>
      </c>
      <c r="V74">
        <v>6</v>
      </c>
      <c r="W74">
        <v>6</v>
      </c>
      <c r="X74">
        <v>4</v>
      </c>
      <c r="Y74">
        <v>3</v>
      </c>
      <c r="Z74">
        <v>5</v>
      </c>
      <c r="AA74">
        <v>2</v>
      </c>
      <c r="AB74">
        <v>2</v>
      </c>
      <c r="AC74">
        <v>1</v>
      </c>
      <c r="AD74">
        <v>0</v>
      </c>
      <c r="AE74">
        <v>1</v>
      </c>
      <c r="AF74">
        <v>1</v>
      </c>
      <c r="AG74">
        <v>2</v>
      </c>
      <c r="AH74">
        <v>3</v>
      </c>
      <c r="AI74">
        <v>4</v>
      </c>
      <c r="AJ74">
        <v>7</v>
      </c>
      <c r="AK74">
        <v>3</v>
      </c>
      <c r="AL74">
        <v>5</v>
      </c>
      <c r="AM74">
        <v>5</v>
      </c>
      <c r="AN74">
        <v>3</v>
      </c>
      <c r="AO74">
        <v>9</v>
      </c>
      <c r="AP74">
        <v>0</v>
      </c>
      <c r="AQ74">
        <v>0</v>
      </c>
      <c r="AR74">
        <v>0</v>
      </c>
      <c r="AS74">
        <v>0</v>
      </c>
      <c r="AT74">
        <v>0</v>
      </c>
    </row>
    <row r="75" spans="1:46" ht="15.75" customHeight="1" x14ac:dyDescent="0.25">
      <c r="A75">
        <v>2</v>
      </c>
      <c r="B75">
        <v>2</v>
      </c>
      <c r="C75">
        <v>2001</v>
      </c>
      <c r="D75">
        <v>1</v>
      </c>
      <c r="E75">
        <v>120</v>
      </c>
      <c r="F75">
        <v>0</v>
      </c>
      <c r="G75">
        <v>0</v>
      </c>
      <c r="H75">
        <v>0</v>
      </c>
      <c r="I75">
        <v>0</v>
      </c>
      <c r="J75">
        <v>0</v>
      </c>
      <c r="K75">
        <v>0</v>
      </c>
      <c r="L75">
        <v>0</v>
      </c>
      <c r="M75">
        <v>0</v>
      </c>
      <c r="N75">
        <v>0</v>
      </c>
      <c r="O75">
        <v>0</v>
      </c>
      <c r="P75">
        <v>0</v>
      </c>
      <c r="Q75">
        <v>0</v>
      </c>
      <c r="R75">
        <v>0</v>
      </c>
      <c r="S75">
        <v>0</v>
      </c>
      <c r="T75">
        <v>0</v>
      </c>
      <c r="U75">
        <v>0</v>
      </c>
      <c r="V75">
        <v>0</v>
      </c>
      <c r="W75">
        <v>0</v>
      </c>
      <c r="X75">
        <v>2</v>
      </c>
      <c r="Y75">
        <v>3</v>
      </c>
      <c r="Z75">
        <v>7</v>
      </c>
      <c r="AA75">
        <v>4</v>
      </c>
      <c r="AB75">
        <v>13</v>
      </c>
      <c r="AC75">
        <v>5</v>
      </c>
      <c r="AD75">
        <v>6</v>
      </c>
      <c r="AE75">
        <v>2</v>
      </c>
      <c r="AF75">
        <v>4</v>
      </c>
      <c r="AG75">
        <v>4</v>
      </c>
      <c r="AH75">
        <v>6</v>
      </c>
      <c r="AI75">
        <v>10</v>
      </c>
      <c r="AJ75">
        <v>5</v>
      </c>
      <c r="AK75">
        <v>9</v>
      </c>
      <c r="AL75">
        <v>6</v>
      </c>
      <c r="AM75">
        <v>4</v>
      </c>
      <c r="AN75">
        <v>8</v>
      </c>
      <c r="AO75">
        <v>22</v>
      </c>
      <c r="AP75">
        <v>0</v>
      </c>
      <c r="AQ75">
        <v>0</v>
      </c>
      <c r="AR75">
        <v>0</v>
      </c>
      <c r="AS75">
        <v>0</v>
      </c>
      <c r="AT75">
        <v>0</v>
      </c>
    </row>
    <row r="76" spans="1:46" ht="15.75" customHeight="1" x14ac:dyDescent="0.25">
      <c r="A76">
        <v>2</v>
      </c>
      <c r="B76">
        <v>2</v>
      </c>
      <c r="C76">
        <v>2005</v>
      </c>
      <c r="D76">
        <v>5</v>
      </c>
      <c r="E76">
        <v>3</v>
      </c>
      <c r="F76">
        <v>0</v>
      </c>
      <c r="G76">
        <v>0</v>
      </c>
      <c r="H76">
        <v>0</v>
      </c>
      <c r="I76">
        <v>0</v>
      </c>
      <c r="J76">
        <v>0</v>
      </c>
      <c r="K76">
        <v>0</v>
      </c>
      <c r="L76">
        <v>1</v>
      </c>
      <c r="M76">
        <v>0</v>
      </c>
      <c r="N76">
        <v>0</v>
      </c>
      <c r="O76">
        <v>0</v>
      </c>
      <c r="P76">
        <v>1</v>
      </c>
      <c r="Q76">
        <v>0</v>
      </c>
      <c r="R76">
        <v>1</v>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v>0</v>
      </c>
      <c r="AO76">
        <v>0</v>
      </c>
      <c r="AP76">
        <v>0</v>
      </c>
      <c r="AQ76">
        <v>0</v>
      </c>
      <c r="AR76">
        <v>0</v>
      </c>
      <c r="AS76">
        <v>0</v>
      </c>
      <c r="AT76">
        <v>0</v>
      </c>
    </row>
    <row r="77" spans="1:46" ht="15.75" customHeight="1" x14ac:dyDescent="0.25">
      <c r="A77">
        <v>2</v>
      </c>
      <c r="B77">
        <v>2</v>
      </c>
      <c r="C77">
        <v>2006</v>
      </c>
      <c r="D77">
        <v>2</v>
      </c>
      <c r="E77">
        <v>8</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v>2</v>
      </c>
      <c r="AM77">
        <v>0</v>
      </c>
      <c r="AN77">
        <v>2</v>
      </c>
      <c r="AO77">
        <v>4</v>
      </c>
      <c r="AP77">
        <v>0</v>
      </c>
      <c r="AQ77">
        <v>0</v>
      </c>
      <c r="AR77">
        <v>0</v>
      </c>
      <c r="AS77">
        <v>0</v>
      </c>
      <c r="AT77">
        <v>0</v>
      </c>
    </row>
    <row r="78" spans="1:46" ht="15.75" customHeight="1" x14ac:dyDescent="0.25">
      <c r="A78">
        <v>2</v>
      </c>
      <c r="B78">
        <v>2</v>
      </c>
      <c r="C78">
        <v>2006</v>
      </c>
      <c r="D78">
        <v>5</v>
      </c>
      <c r="E78">
        <v>1</v>
      </c>
      <c r="F78">
        <v>0</v>
      </c>
      <c r="G78">
        <v>0</v>
      </c>
      <c r="H78">
        <v>0</v>
      </c>
      <c r="I78">
        <v>0</v>
      </c>
      <c r="J78">
        <v>0</v>
      </c>
      <c r="K78">
        <v>0</v>
      </c>
      <c r="L78">
        <v>0</v>
      </c>
      <c r="M78">
        <v>0</v>
      </c>
      <c r="N78">
        <v>0</v>
      </c>
      <c r="O78">
        <v>0</v>
      </c>
      <c r="P78">
        <v>0</v>
      </c>
      <c r="Q78">
        <v>0</v>
      </c>
      <c r="R78">
        <v>0</v>
      </c>
      <c r="S78">
        <v>0</v>
      </c>
      <c r="T78">
        <v>0</v>
      </c>
      <c r="U78">
        <v>0</v>
      </c>
      <c r="V78">
        <v>0</v>
      </c>
      <c r="W78">
        <v>1</v>
      </c>
      <c r="X78">
        <v>0</v>
      </c>
      <c r="Y78">
        <v>0</v>
      </c>
      <c r="Z78">
        <v>0</v>
      </c>
      <c r="AA78">
        <v>0</v>
      </c>
      <c r="AB78">
        <v>0</v>
      </c>
      <c r="AC78">
        <v>0</v>
      </c>
      <c r="AD78">
        <v>0</v>
      </c>
      <c r="AE78">
        <v>0</v>
      </c>
      <c r="AF78">
        <v>0</v>
      </c>
      <c r="AG78">
        <v>0</v>
      </c>
      <c r="AH78">
        <v>0</v>
      </c>
      <c r="AI78">
        <v>0</v>
      </c>
      <c r="AJ78">
        <v>0</v>
      </c>
      <c r="AK78">
        <v>0</v>
      </c>
      <c r="AL78">
        <v>0</v>
      </c>
      <c r="AM78">
        <v>0</v>
      </c>
      <c r="AN78">
        <v>0</v>
      </c>
      <c r="AO78">
        <v>0</v>
      </c>
      <c r="AP78">
        <v>0</v>
      </c>
      <c r="AQ78">
        <v>0</v>
      </c>
      <c r="AR78">
        <v>0</v>
      </c>
      <c r="AS78">
        <v>0</v>
      </c>
      <c r="AT78">
        <v>0</v>
      </c>
    </row>
    <row r="79" spans="1:46" ht="15.75" customHeight="1" x14ac:dyDescent="0.25">
      <c r="A79">
        <v>2</v>
      </c>
      <c r="B79">
        <v>2</v>
      </c>
      <c r="C79">
        <v>2006</v>
      </c>
      <c r="D79">
        <v>6</v>
      </c>
      <c r="E79">
        <v>2</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1</v>
      </c>
      <c r="AH79">
        <v>0</v>
      </c>
      <c r="AI79">
        <v>0</v>
      </c>
      <c r="AJ79">
        <v>1</v>
      </c>
      <c r="AK79">
        <v>0</v>
      </c>
      <c r="AL79">
        <v>0</v>
      </c>
      <c r="AM79">
        <v>0</v>
      </c>
      <c r="AN79">
        <v>0</v>
      </c>
      <c r="AO79">
        <v>0</v>
      </c>
      <c r="AP79">
        <v>0</v>
      </c>
      <c r="AQ79">
        <v>0</v>
      </c>
      <c r="AR79">
        <v>0</v>
      </c>
      <c r="AS79">
        <v>0</v>
      </c>
      <c r="AT79">
        <v>0</v>
      </c>
    </row>
    <row r="80" spans="1:46" ht="15.75" customHeight="1" x14ac:dyDescent="0.25">
      <c r="A80">
        <v>2</v>
      </c>
      <c r="B80">
        <v>2</v>
      </c>
      <c r="C80">
        <v>2007</v>
      </c>
      <c r="D80">
        <v>1</v>
      </c>
      <c r="E80">
        <v>3</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1</v>
      </c>
      <c r="AN80">
        <v>1</v>
      </c>
      <c r="AO80">
        <v>1</v>
      </c>
      <c r="AP80">
        <v>0</v>
      </c>
      <c r="AQ80">
        <v>0</v>
      </c>
      <c r="AR80">
        <v>0</v>
      </c>
      <c r="AS80">
        <v>0</v>
      </c>
      <c r="AT80">
        <v>0</v>
      </c>
    </row>
    <row r="81" spans="1:46" ht="15.75" customHeight="1" x14ac:dyDescent="0.25">
      <c r="A81">
        <v>2</v>
      </c>
      <c r="B81">
        <v>2</v>
      </c>
      <c r="C81">
        <v>2007</v>
      </c>
      <c r="D81">
        <v>2</v>
      </c>
      <c r="E81">
        <v>7</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1</v>
      </c>
      <c r="AH81">
        <v>2</v>
      </c>
      <c r="AI81">
        <v>0</v>
      </c>
      <c r="AJ81">
        <v>1</v>
      </c>
      <c r="AK81">
        <v>1</v>
      </c>
      <c r="AL81">
        <v>0</v>
      </c>
      <c r="AM81">
        <v>1</v>
      </c>
      <c r="AN81">
        <v>0</v>
      </c>
      <c r="AO81">
        <v>1</v>
      </c>
      <c r="AP81">
        <v>0</v>
      </c>
      <c r="AQ81">
        <v>0</v>
      </c>
      <c r="AR81">
        <v>0</v>
      </c>
      <c r="AS81">
        <v>0</v>
      </c>
      <c r="AT81">
        <v>0</v>
      </c>
    </row>
    <row r="82" spans="1:46" ht="15.75" customHeight="1" x14ac:dyDescent="0.25">
      <c r="A82">
        <v>2</v>
      </c>
      <c r="B82">
        <v>2</v>
      </c>
      <c r="C82">
        <v>2007</v>
      </c>
      <c r="D82">
        <v>3</v>
      </c>
      <c r="E82">
        <v>31</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2</v>
      </c>
      <c r="AG82">
        <v>6</v>
      </c>
      <c r="AH82">
        <v>9</v>
      </c>
      <c r="AI82">
        <v>1</v>
      </c>
      <c r="AJ82">
        <v>1</v>
      </c>
      <c r="AK82">
        <v>2</v>
      </c>
      <c r="AL82">
        <v>4</v>
      </c>
      <c r="AM82">
        <v>1</v>
      </c>
      <c r="AN82">
        <v>1</v>
      </c>
      <c r="AO82">
        <v>4</v>
      </c>
      <c r="AP82">
        <v>0</v>
      </c>
      <c r="AQ82">
        <v>0</v>
      </c>
      <c r="AR82">
        <v>0</v>
      </c>
      <c r="AS82">
        <v>0</v>
      </c>
      <c r="AT82">
        <v>0</v>
      </c>
    </row>
    <row r="83" spans="1:46" ht="15.75" customHeight="1" x14ac:dyDescent="0.25">
      <c r="A83">
        <v>2</v>
      </c>
      <c r="B83">
        <v>2</v>
      </c>
      <c r="C83">
        <v>2007</v>
      </c>
      <c r="D83">
        <v>6</v>
      </c>
      <c r="E83">
        <v>18</v>
      </c>
      <c r="F83">
        <v>0</v>
      </c>
      <c r="G83">
        <v>0</v>
      </c>
      <c r="H83">
        <v>0</v>
      </c>
      <c r="I83">
        <v>0</v>
      </c>
      <c r="J83">
        <v>0</v>
      </c>
      <c r="K83">
        <v>0</v>
      </c>
      <c r="L83">
        <v>0</v>
      </c>
      <c r="M83">
        <v>0</v>
      </c>
      <c r="N83">
        <v>0</v>
      </c>
      <c r="O83">
        <v>0</v>
      </c>
      <c r="P83">
        <v>0</v>
      </c>
      <c r="Q83">
        <v>4</v>
      </c>
      <c r="R83">
        <v>14</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v>0</v>
      </c>
      <c r="AO83">
        <v>0</v>
      </c>
      <c r="AP83">
        <v>0</v>
      </c>
      <c r="AQ83">
        <v>0</v>
      </c>
      <c r="AR83">
        <v>0</v>
      </c>
      <c r="AS83">
        <v>0</v>
      </c>
      <c r="AT83">
        <v>0</v>
      </c>
    </row>
    <row r="84" spans="1:46" ht="15.75" customHeight="1" x14ac:dyDescent="0.25">
      <c r="A84">
        <v>2</v>
      </c>
      <c r="B84">
        <v>2</v>
      </c>
      <c r="C84">
        <v>2008</v>
      </c>
      <c r="D84">
        <v>5</v>
      </c>
      <c r="E84">
        <v>12</v>
      </c>
      <c r="F84">
        <v>0</v>
      </c>
      <c r="G84">
        <v>0</v>
      </c>
      <c r="H84">
        <v>0</v>
      </c>
      <c r="I84">
        <v>0</v>
      </c>
      <c r="J84">
        <v>0</v>
      </c>
      <c r="K84">
        <v>0</v>
      </c>
      <c r="L84">
        <v>1</v>
      </c>
      <c r="M84">
        <v>1</v>
      </c>
      <c r="N84">
        <v>2</v>
      </c>
      <c r="O84">
        <v>2</v>
      </c>
      <c r="P84">
        <v>2</v>
      </c>
      <c r="Q84">
        <v>2</v>
      </c>
      <c r="R84">
        <v>2</v>
      </c>
      <c r="S84">
        <v>0</v>
      </c>
      <c r="T84">
        <v>0</v>
      </c>
      <c r="U84">
        <v>0</v>
      </c>
      <c r="V84">
        <v>0</v>
      </c>
      <c r="W84">
        <v>0</v>
      </c>
      <c r="X84">
        <v>0</v>
      </c>
      <c r="Y84">
        <v>0</v>
      </c>
      <c r="Z84">
        <v>0</v>
      </c>
      <c r="AA84">
        <v>0</v>
      </c>
      <c r="AB84">
        <v>0</v>
      </c>
      <c r="AC84">
        <v>0</v>
      </c>
      <c r="AD84">
        <v>0</v>
      </c>
      <c r="AE84">
        <v>0</v>
      </c>
      <c r="AF84">
        <v>0</v>
      </c>
      <c r="AG84">
        <v>0</v>
      </c>
      <c r="AH84">
        <v>0</v>
      </c>
      <c r="AI84">
        <v>0</v>
      </c>
      <c r="AJ84">
        <v>0</v>
      </c>
      <c r="AK84">
        <v>0</v>
      </c>
      <c r="AL84">
        <v>0</v>
      </c>
      <c r="AM84">
        <v>0</v>
      </c>
      <c r="AN84">
        <v>0</v>
      </c>
      <c r="AO84">
        <v>0</v>
      </c>
      <c r="AP84">
        <v>0</v>
      </c>
      <c r="AQ84">
        <v>0</v>
      </c>
      <c r="AR84">
        <v>0</v>
      </c>
      <c r="AS84">
        <v>0</v>
      </c>
      <c r="AT84">
        <v>0</v>
      </c>
    </row>
    <row r="85" spans="1:46" ht="15.75" customHeight="1" x14ac:dyDescent="0.25">
      <c r="A85">
        <v>2</v>
      </c>
      <c r="B85">
        <v>2</v>
      </c>
      <c r="C85">
        <v>2009</v>
      </c>
      <c r="D85">
        <v>5</v>
      </c>
      <c r="E85">
        <v>403</v>
      </c>
      <c r="F85">
        <v>0</v>
      </c>
      <c r="G85">
        <v>0</v>
      </c>
      <c r="H85">
        <v>2</v>
      </c>
      <c r="I85">
        <v>4</v>
      </c>
      <c r="J85">
        <v>6</v>
      </c>
      <c r="K85">
        <v>7</v>
      </c>
      <c r="L85">
        <v>12</v>
      </c>
      <c r="M85">
        <v>21</v>
      </c>
      <c r="N85">
        <v>23</v>
      </c>
      <c r="O85">
        <v>39</v>
      </c>
      <c r="P85">
        <v>74</v>
      </c>
      <c r="Q85">
        <v>67</v>
      </c>
      <c r="R85">
        <v>52</v>
      </c>
      <c r="S85">
        <v>29</v>
      </c>
      <c r="T85">
        <v>9</v>
      </c>
      <c r="U85">
        <v>10</v>
      </c>
      <c r="V85">
        <v>4</v>
      </c>
      <c r="W85">
        <v>7</v>
      </c>
      <c r="X85">
        <v>8</v>
      </c>
      <c r="Y85">
        <v>7</v>
      </c>
      <c r="Z85">
        <v>5</v>
      </c>
      <c r="AA85">
        <v>5</v>
      </c>
      <c r="AB85">
        <v>4</v>
      </c>
      <c r="AC85">
        <v>5</v>
      </c>
      <c r="AD85">
        <v>1</v>
      </c>
      <c r="AE85">
        <v>2</v>
      </c>
      <c r="AF85">
        <v>0</v>
      </c>
      <c r="AG85">
        <v>0</v>
      </c>
      <c r="AH85">
        <v>0</v>
      </c>
      <c r="AI85">
        <v>0</v>
      </c>
      <c r="AJ85">
        <v>0</v>
      </c>
      <c r="AK85">
        <v>0</v>
      </c>
      <c r="AL85">
        <v>0</v>
      </c>
      <c r="AM85">
        <v>0</v>
      </c>
      <c r="AN85">
        <v>0</v>
      </c>
      <c r="AO85">
        <v>0</v>
      </c>
      <c r="AP85">
        <v>0</v>
      </c>
      <c r="AQ85">
        <v>0</v>
      </c>
      <c r="AR85">
        <v>0</v>
      </c>
      <c r="AS85">
        <v>0</v>
      </c>
      <c r="AT85">
        <v>0</v>
      </c>
    </row>
    <row r="86" spans="1:46" ht="15.75" customHeight="1" x14ac:dyDescent="0.25">
      <c r="A86">
        <v>2</v>
      </c>
      <c r="B86">
        <v>2</v>
      </c>
      <c r="C86">
        <v>2010</v>
      </c>
      <c r="D86">
        <v>5</v>
      </c>
      <c r="E86">
        <v>70</v>
      </c>
      <c r="F86">
        <v>1</v>
      </c>
      <c r="G86">
        <v>3</v>
      </c>
      <c r="H86">
        <v>1</v>
      </c>
      <c r="I86">
        <v>0</v>
      </c>
      <c r="J86">
        <v>2</v>
      </c>
      <c r="K86">
        <v>1</v>
      </c>
      <c r="L86">
        <v>1</v>
      </c>
      <c r="M86">
        <v>2</v>
      </c>
      <c r="N86">
        <v>4</v>
      </c>
      <c r="O86">
        <v>3</v>
      </c>
      <c r="P86">
        <v>3</v>
      </c>
      <c r="Q86">
        <v>11</v>
      </c>
      <c r="R86">
        <v>11</v>
      </c>
      <c r="S86">
        <v>13</v>
      </c>
      <c r="T86">
        <v>2</v>
      </c>
      <c r="U86">
        <v>3</v>
      </c>
      <c r="V86">
        <v>0</v>
      </c>
      <c r="W86">
        <v>1</v>
      </c>
      <c r="X86">
        <v>0</v>
      </c>
      <c r="Y86">
        <v>0</v>
      </c>
      <c r="Z86">
        <v>1</v>
      </c>
      <c r="AA86">
        <v>0</v>
      </c>
      <c r="AB86">
        <v>1</v>
      </c>
      <c r="AC86">
        <v>1</v>
      </c>
      <c r="AD86">
        <v>1</v>
      </c>
      <c r="AE86">
        <v>1</v>
      </c>
      <c r="AF86">
        <v>0</v>
      </c>
      <c r="AG86">
        <v>0</v>
      </c>
      <c r="AH86">
        <v>1</v>
      </c>
      <c r="AI86">
        <v>0</v>
      </c>
      <c r="AJ86">
        <v>0</v>
      </c>
      <c r="AK86">
        <v>1</v>
      </c>
      <c r="AL86">
        <v>1</v>
      </c>
      <c r="AM86">
        <v>0</v>
      </c>
      <c r="AN86">
        <v>0</v>
      </c>
      <c r="AO86">
        <v>0</v>
      </c>
      <c r="AP86">
        <v>0</v>
      </c>
      <c r="AQ86">
        <v>0</v>
      </c>
      <c r="AR86">
        <v>0</v>
      </c>
      <c r="AS86">
        <v>0</v>
      </c>
      <c r="AT86">
        <v>0</v>
      </c>
    </row>
    <row r="87" spans="1:46" ht="15.75" customHeight="1" x14ac:dyDescent="0.25">
      <c r="A87">
        <v>2</v>
      </c>
      <c r="B87">
        <v>2</v>
      </c>
      <c r="C87">
        <v>2011</v>
      </c>
      <c r="D87">
        <v>5</v>
      </c>
      <c r="E87">
        <v>20</v>
      </c>
      <c r="F87">
        <v>0</v>
      </c>
      <c r="G87">
        <v>0</v>
      </c>
      <c r="H87">
        <v>0</v>
      </c>
      <c r="I87">
        <v>0</v>
      </c>
      <c r="J87">
        <v>0</v>
      </c>
      <c r="K87">
        <v>0</v>
      </c>
      <c r="L87">
        <v>0</v>
      </c>
      <c r="M87">
        <v>0</v>
      </c>
      <c r="N87">
        <v>0</v>
      </c>
      <c r="O87">
        <v>0</v>
      </c>
      <c r="P87">
        <v>1</v>
      </c>
      <c r="Q87">
        <v>0</v>
      </c>
      <c r="R87">
        <v>0</v>
      </c>
      <c r="S87">
        <v>0</v>
      </c>
      <c r="T87">
        <v>3</v>
      </c>
      <c r="U87">
        <v>2</v>
      </c>
      <c r="V87">
        <v>4</v>
      </c>
      <c r="W87">
        <v>0</v>
      </c>
      <c r="X87">
        <v>2</v>
      </c>
      <c r="Y87">
        <v>3</v>
      </c>
      <c r="Z87">
        <v>0</v>
      </c>
      <c r="AA87">
        <v>1</v>
      </c>
      <c r="AB87">
        <v>0</v>
      </c>
      <c r="AC87">
        <v>0</v>
      </c>
      <c r="AD87">
        <v>0</v>
      </c>
      <c r="AE87">
        <v>0</v>
      </c>
      <c r="AF87">
        <v>1</v>
      </c>
      <c r="AG87">
        <v>0</v>
      </c>
      <c r="AH87">
        <v>0</v>
      </c>
      <c r="AI87">
        <v>1</v>
      </c>
      <c r="AJ87">
        <v>1</v>
      </c>
      <c r="AK87">
        <v>1</v>
      </c>
      <c r="AL87">
        <v>0</v>
      </c>
      <c r="AM87">
        <v>0</v>
      </c>
      <c r="AN87">
        <v>0</v>
      </c>
      <c r="AO87">
        <v>0</v>
      </c>
      <c r="AP87">
        <v>0</v>
      </c>
      <c r="AQ87">
        <v>0</v>
      </c>
      <c r="AR87">
        <v>0</v>
      </c>
      <c r="AS87">
        <v>0</v>
      </c>
      <c r="AT87">
        <v>0</v>
      </c>
    </row>
    <row r="88" spans="1:46" ht="15.75" customHeight="1" x14ac:dyDescent="0.25">
      <c r="A88">
        <v>2</v>
      </c>
      <c r="B88">
        <v>2</v>
      </c>
      <c r="C88">
        <v>2012</v>
      </c>
      <c r="D88">
        <v>4</v>
      </c>
      <c r="E88">
        <v>5</v>
      </c>
      <c r="F88">
        <v>0</v>
      </c>
      <c r="G88">
        <v>0</v>
      </c>
      <c r="H88">
        <v>0</v>
      </c>
      <c r="I88">
        <v>0</v>
      </c>
      <c r="J88">
        <v>0</v>
      </c>
      <c r="K88">
        <v>0</v>
      </c>
      <c r="L88">
        <v>0</v>
      </c>
      <c r="M88">
        <v>0</v>
      </c>
      <c r="N88">
        <v>0</v>
      </c>
      <c r="O88">
        <v>0</v>
      </c>
      <c r="P88">
        <v>0</v>
      </c>
      <c r="Q88">
        <v>0</v>
      </c>
      <c r="R88">
        <v>0</v>
      </c>
      <c r="S88">
        <v>0</v>
      </c>
      <c r="T88">
        <v>1</v>
      </c>
      <c r="U88">
        <v>1</v>
      </c>
      <c r="V88">
        <v>1</v>
      </c>
      <c r="W88">
        <v>0</v>
      </c>
      <c r="X88">
        <v>0</v>
      </c>
      <c r="Y88">
        <v>1</v>
      </c>
      <c r="Z88">
        <v>0</v>
      </c>
      <c r="AA88">
        <v>0</v>
      </c>
      <c r="AB88">
        <v>0</v>
      </c>
      <c r="AC88">
        <v>0</v>
      </c>
      <c r="AD88">
        <v>0</v>
      </c>
      <c r="AE88">
        <v>0</v>
      </c>
      <c r="AF88">
        <v>0</v>
      </c>
      <c r="AG88">
        <v>1</v>
      </c>
      <c r="AH88">
        <v>0</v>
      </c>
      <c r="AI88">
        <v>0</v>
      </c>
      <c r="AJ88">
        <v>0</v>
      </c>
      <c r="AK88">
        <v>0</v>
      </c>
      <c r="AL88">
        <v>0</v>
      </c>
      <c r="AM88">
        <v>0</v>
      </c>
      <c r="AN88">
        <v>0</v>
      </c>
      <c r="AO88">
        <v>0</v>
      </c>
      <c r="AP88">
        <v>0</v>
      </c>
      <c r="AQ88">
        <v>0</v>
      </c>
      <c r="AR88">
        <v>0</v>
      </c>
      <c r="AS88">
        <v>0</v>
      </c>
      <c r="AT88">
        <v>0</v>
      </c>
    </row>
    <row r="89" spans="1:46" ht="15.75" customHeight="1" x14ac:dyDescent="0.25">
      <c r="A89">
        <v>2</v>
      </c>
      <c r="B89">
        <v>2</v>
      </c>
      <c r="C89">
        <v>2012</v>
      </c>
      <c r="D89">
        <v>5</v>
      </c>
      <c r="E89">
        <v>13</v>
      </c>
      <c r="F89">
        <v>0</v>
      </c>
      <c r="G89">
        <v>0</v>
      </c>
      <c r="H89">
        <v>0</v>
      </c>
      <c r="I89">
        <v>0</v>
      </c>
      <c r="J89">
        <v>1</v>
      </c>
      <c r="K89">
        <v>1</v>
      </c>
      <c r="L89">
        <v>0</v>
      </c>
      <c r="M89">
        <v>2</v>
      </c>
      <c r="N89">
        <v>1</v>
      </c>
      <c r="O89">
        <v>0</v>
      </c>
      <c r="P89">
        <v>0</v>
      </c>
      <c r="Q89">
        <v>0</v>
      </c>
      <c r="R89">
        <v>1</v>
      </c>
      <c r="S89">
        <v>0</v>
      </c>
      <c r="T89">
        <v>0</v>
      </c>
      <c r="U89">
        <v>0</v>
      </c>
      <c r="V89">
        <v>0</v>
      </c>
      <c r="W89">
        <v>0</v>
      </c>
      <c r="X89">
        <v>0</v>
      </c>
      <c r="Y89">
        <v>0</v>
      </c>
      <c r="Z89">
        <v>0</v>
      </c>
      <c r="AA89">
        <v>1</v>
      </c>
      <c r="AB89">
        <v>1</v>
      </c>
      <c r="AC89">
        <v>2</v>
      </c>
      <c r="AD89">
        <v>0</v>
      </c>
      <c r="AE89">
        <v>0</v>
      </c>
      <c r="AF89">
        <v>0</v>
      </c>
      <c r="AG89">
        <v>0</v>
      </c>
      <c r="AH89">
        <v>1</v>
      </c>
      <c r="AI89">
        <v>0</v>
      </c>
      <c r="AJ89">
        <v>0</v>
      </c>
      <c r="AK89">
        <v>0</v>
      </c>
      <c r="AL89">
        <v>0</v>
      </c>
      <c r="AM89">
        <v>0</v>
      </c>
      <c r="AN89">
        <v>0</v>
      </c>
      <c r="AO89">
        <v>2</v>
      </c>
      <c r="AP89">
        <v>0</v>
      </c>
      <c r="AQ89">
        <v>0</v>
      </c>
      <c r="AR89">
        <v>0</v>
      </c>
      <c r="AS89">
        <v>0</v>
      </c>
      <c r="AT89">
        <v>0</v>
      </c>
    </row>
    <row r="90" spans="1:46" ht="15.75" customHeight="1" x14ac:dyDescent="0.25">
      <c r="A90">
        <v>2</v>
      </c>
      <c r="B90">
        <v>2</v>
      </c>
      <c r="C90">
        <v>2013</v>
      </c>
      <c r="D90">
        <v>5</v>
      </c>
      <c r="E90">
        <v>3</v>
      </c>
      <c r="F90">
        <v>0</v>
      </c>
      <c r="G90">
        <v>0</v>
      </c>
      <c r="H90">
        <v>0</v>
      </c>
      <c r="I90">
        <v>0</v>
      </c>
      <c r="J90">
        <v>0</v>
      </c>
      <c r="K90">
        <v>1</v>
      </c>
      <c r="L90">
        <v>1</v>
      </c>
      <c r="M90">
        <v>1</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row>
    <row r="91" spans="1:46" ht="15.75" customHeight="1" x14ac:dyDescent="0.25">
      <c r="A91">
        <v>2</v>
      </c>
      <c r="B91">
        <v>2</v>
      </c>
      <c r="C91">
        <v>2014</v>
      </c>
      <c r="D91">
        <v>4</v>
      </c>
      <c r="E91">
        <v>899</v>
      </c>
      <c r="F91">
        <v>0</v>
      </c>
      <c r="G91">
        <v>0</v>
      </c>
      <c r="H91">
        <v>0</v>
      </c>
      <c r="I91">
        <v>0</v>
      </c>
      <c r="J91">
        <v>0</v>
      </c>
      <c r="K91">
        <v>0</v>
      </c>
      <c r="L91">
        <v>0</v>
      </c>
      <c r="M91">
        <v>0</v>
      </c>
      <c r="N91">
        <v>1</v>
      </c>
      <c r="O91">
        <v>5</v>
      </c>
      <c r="P91">
        <v>19</v>
      </c>
      <c r="Q91">
        <v>77</v>
      </c>
      <c r="R91">
        <v>132</v>
      </c>
      <c r="S91">
        <v>90</v>
      </c>
      <c r="T91">
        <v>105</v>
      </c>
      <c r="U91">
        <v>126</v>
      </c>
      <c r="V91">
        <v>137</v>
      </c>
      <c r="W91">
        <v>85</v>
      </c>
      <c r="X91">
        <v>60</v>
      </c>
      <c r="Y91">
        <v>30</v>
      </c>
      <c r="Z91">
        <v>15</v>
      </c>
      <c r="AA91">
        <v>5</v>
      </c>
      <c r="AB91">
        <v>7</v>
      </c>
      <c r="AC91">
        <v>3</v>
      </c>
      <c r="AD91">
        <v>2</v>
      </c>
      <c r="AE91">
        <v>0</v>
      </c>
      <c r="AF91">
        <v>0</v>
      </c>
      <c r="AG91">
        <v>0</v>
      </c>
      <c r="AH91">
        <v>0</v>
      </c>
      <c r="AI91">
        <v>0</v>
      </c>
      <c r="AJ91">
        <v>0</v>
      </c>
      <c r="AK91">
        <v>0</v>
      </c>
      <c r="AL91">
        <v>0</v>
      </c>
      <c r="AM91">
        <v>0</v>
      </c>
      <c r="AN91">
        <v>0</v>
      </c>
      <c r="AO91">
        <v>0</v>
      </c>
      <c r="AP91">
        <v>0</v>
      </c>
      <c r="AQ91">
        <v>0</v>
      </c>
      <c r="AR91">
        <v>0</v>
      </c>
      <c r="AS91">
        <v>0</v>
      </c>
      <c r="AT91">
        <v>0</v>
      </c>
    </row>
    <row r="92" spans="1:46" ht="15.75" customHeight="1" x14ac:dyDescent="0.25">
      <c r="A92">
        <v>2</v>
      </c>
      <c r="B92">
        <v>2</v>
      </c>
      <c r="C92">
        <v>2014</v>
      </c>
      <c r="D92">
        <v>5</v>
      </c>
      <c r="E92">
        <v>3053</v>
      </c>
      <c r="F92">
        <v>0</v>
      </c>
      <c r="G92">
        <v>0</v>
      </c>
      <c r="H92">
        <v>0</v>
      </c>
      <c r="I92">
        <v>2</v>
      </c>
      <c r="J92">
        <v>3</v>
      </c>
      <c r="K92">
        <v>6</v>
      </c>
      <c r="L92">
        <v>18</v>
      </c>
      <c r="M92">
        <v>20</v>
      </c>
      <c r="N92">
        <v>44</v>
      </c>
      <c r="O92">
        <v>81</v>
      </c>
      <c r="P92">
        <v>95</v>
      </c>
      <c r="Q92">
        <v>146</v>
      </c>
      <c r="R92">
        <v>209</v>
      </c>
      <c r="S92">
        <v>166</v>
      </c>
      <c r="T92">
        <v>209</v>
      </c>
      <c r="U92">
        <v>230</v>
      </c>
      <c r="V92">
        <v>227</v>
      </c>
      <c r="W92">
        <v>246</v>
      </c>
      <c r="X92">
        <v>215</v>
      </c>
      <c r="Y92">
        <v>157</v>
      </c>
      <c r="Z92">
        <v>162</v>
      </c>
      <c r="AA92">
        <v>119</v>
      </c>
      <c r="AB92">
        <v>101</v>
      </c>
      <c r="AC92">
        <v>90</v>
      </c>
      <c r="AD92">
        <v>71</v>
      </c>
      <c r="AE92">
        <v>74</v>
      </c>
      <c r="AF92">
        <v>70</v>
      </c>
      <c r="AG92">
        <v>66</v>
      </c>
      <c r="AH92">
        <v>67</v>
      </c>
      <c r="AI92">
        <v>50</v>
      </c>
      <c r="AJ92">
        <v>41</v>
      </c>
      <c r="AK92">
        <v>26</v>
      </c>
      <c r="AL92">
        <v>11</v>
      </c>
      <c r="AM92">
        <v>15</v>
      </c>
      <c r="AN92">
        <v>6</v>
      </c>
      <c r="AO92">
        <v>10</v>
      </c>
      <c r="AP92">
        <v>0</v>
      </c>
      <c r="AQ92">
        <v>0</v>
      </c>
      <c r="AR92">
        <v>0</v>
      </c>
      <c r="AS92">
        <v>0</v>
      </c>
      <c r="AT92">
        <v>0</v>
      </c>
    </row>
    <row r="93" spans="1:46" ht="15.75" customHeight="1" x14ac:dyDescent="0.25">
      <c r="A93">
        <v>2</v>
      </c>
      <c r="B93">
        <v>2</v>
      </c>
      <c r="C93">
        <v>2015</v>
      </c>
      <c r="D93">
        <v>1</v>
      </c>
      <c r="E93">
        <v>8</v>
      </c>
      <c r="F93">
        <v>0</v>
      </c>
      <c r="G93">
        <v>0</v>
      </c>
      <c r="H93">
        <v>0</v>
      </c>
      <c r="I93">
        <v>0</v>
      </c>
      <c r="J93">
        <v>0</v>
      </c>
      <c r="K93">
        <v>0</v>
      </c>
      <c r="L93">
        <v>0</v>
      </c>
      <c r="M93">
        <v>0</v>
      </c>
      <c r="N93">
        <v>0</v>
      </c>
      <c r="O93">
        <v>0</v>
      </c>
      <c r="P93">
        <v>0</v>
      </c>
      <c r="Q93">
        <v>0</v>
      </c>
      <c r="R93">
        <v>0</v>
      </c>
      <c r="S93">
        <v>0</v>
      </c>
      <c r="T93">
        <v>0</v>
      </c>
      <c r="U93">
        <v>1</v>
      </c>
      <c r="V93">
        <v>0</v>
      </c>
      <c r="W93">
        <v>0</v>
      </c>
      <c r="X93">
        <v>0</v>
      </c>
      <c r="Y93">
        <v>0</v>
      </c>
      <c r="Z93">
        <v>0</v>
      </c>
      <c r="AA93">
        <v>0</v>
      </c>
      <c r="AB93">
        <v>2</v>
      </c>
      <c r="AC93">
        <v>0</v>
      </c>
      <c r="AD93">
        <v>1</v>
      </c>
      <c r="AE93">
        <v>0</v>
      </c>
      <c r="AF93">
        <v>1</v>
      </c>
      <c r="AG93">
        <v>0</v>
      </c>
      <c r="AH93">
        <v>1</v>
      </c>
      <c r="AI93">
        <v>1</v>
      </c>
      <c r="AJ93">
        <v>0</v>
      </c>
      <c r="AK93">
        <v>1</v>
      </c>
      <c r="AL93">
        <v>0</v>
      </c>
      <c r="AM93">
        <v>0</v>
      </c>
      <c r="AN93">
        <v>0</v>
      </c>
      <c r="AO93">
        <v>0</v>
      </c>
      <c r="AP93">
        <v>0</v>
      </c>
      <c r="AQ93">
        <v>0</v>
      </c>
      <c r="AR93">
        <v>0</v>
      </c>
      <c r="AS93">
        <v>0</v>
      </c>
      <c r="AT93">
        <v>0</v>
      </c>
    </row>
    <row r="94" spans="1:46" ht="15.75" customHeight="1" x14ac:dyDescent="0.25">
      <c r="A94">
        <v>2</v>
      </c>
      <c r="B94">
        <v>2</v>
      </c>
      <c r="C94">
        <v>2015</v>
      </c>
      <c r="D94">
        <v>2</v>
      </c>
      <c r="E94">
        <v>3</v>
      </c>
      <c r="F94">
        <v>0</v>
      </c>
      <c r="G94">
        <v>0</v>
      </c>
      <c r="H94">
        <v>0</v>
      </c>
      <c r="I94">
        <v>0</v>
      </c>
      <c r="J94">
        <v>0</v>
      </c>
      <c r="K94">
        <v>0</v>
      </c>
      <c r="L94">
        <v>0</v>
      </c>
      <c r="M94">
        <v>0</v>
      </c>
      <c r="N94">
        <v>0</v>
      </c>
      <c r="O94">
        <v>0</v>
      </c>
      <c r="P94">
        <v>0</v>
      </c>
      <c r="Q94">
        <v>0</v>
      </c>
      <c r="R94">
        <v>0</v>
      </c>
      <c r="S94">
        <v>0</v>
      </c>
      <c r="T94">
        <v>0</v>
      </c>
      <c r="U94">
        <v>0</v>
      </c>
      <c r="V94">
        <v>0</v>
      </c>
      <c r="W94">
        <v>0</v>
      </c>
      <c r="X94">
        <v>1</v>
      </c>
      <c r="Y94">
        <v>1</v>
      </c>
      <c r="Z94">
        <v>0</v>
      </c>
      <c r="AA94">
        <v>0</v>
      </c>
      <c r="AB94">
        <v>0</v>
      </c>
      <c r="AC94">
        <v>0</v>
      </c>
      <c r="AD94">
        <v>0</v>
      </c>
      <c r="AE94">
        <v>0</v>
      </c>
      <c r="AF94">
        <v>0</v>
      </c>
      <c r="AG94">
        <v>0</v>
      </c>
      <c r="AH94">
        <v>0</v>
      </c>
      <c r="AI94">
        <v>0</v>
      </c>
      <c r="AJ94">
        <v>0</v>
      </c>
      <c r="AK94">
        <v>0</v>
      </c>
      <c r="AL94">
        <v>0</v>
      </c>
      <c r="AM94">
        <v>0</v>
      </c>
      <c r="AN94">
        <v>1</v>
      </c>
      <c r="AO94">
        <v>0</v>
      </c>
      <c r="AP94">
        <v>0</v>
      </c>
      <c r="AQ94">
        <v>0</v>
      </c>
      <c r="AR94">
        <v>0</v>
      </c>
      <c r="AS94">
        <v>0</v>
      </c>
      <c r="AT94">
        <v>0</v>
      </c>
    </row>
    <row r="95" spans="1:46" ht="15.75" customHeight="1" x14ac:dyDescent="0.25">
      <c r="A95">
        <v>2</v>
      </c>
      <c r="B95">
        <v>2</v>
      </c>
      <c r="C95">
        <v>2015</v>
      </c>
      <c r="D95">
        <v>3</v>
      </c>
      <c r="E95">
        <v>177</v>
      </c>
      <c r="F95">
        <v>0</v>
      </c>
      <c r="G95">
        <v>0</v>
      </c>
      <c r="H95">
        <v>0</v>
      </c>
      <c r="I95">
        <v>0</v>
      </c>
      <c r="J95">
        <v>0</v>
      </c>
      <c r="K95">
        <v>0</v>
      </c>
      <c r="L95">
        <v>0</v>
      </c>
      <c r="M95">
        <v>0</v>
      </c>
      <c r="N95">
        <v>1</v>
      </c>
      <c r="O95">
        <v>1</v>
      </c>
      <c r="P95">
        <v>2</v>
      </c>
      <c r="Q95">
        <v>1</v>
      </c>
      <c r="R95">
        <v>3</v>
      </c>
      <c r="S95">
        <v>3</v>
      </c>
      <c r="T95">
        <v>9</v>
      </c>
      <c r="U95">
        <v>5</v>
      </c>
      <c r="V95">
        <v>10</v>
      </c>
      <c r="W95">
        <v>11</v>
      </c>
      <c r="X95">
        <v>8</v>
      </c>
      <c r="Y95">
        <v>8</v>
      </c>
      <c r="Z95">
        <v>10</v>
      </c>
      <c r="AA95">
        <v>4</v>
      </c>
      <c r="AB95">
        <v>1</v>
      </c>
      <c r="AC95">
        <v>1</v>
      </c>
      <c r="AD95">
        <v>5</v>
      </c>
      <c r="AE95">
        <v>5</v>
      </c>
      <c r="AF95">
        <v>7</v>
      </c>
      <c r="AG95">
        <v>11</v>
      </c>
      <c r="AH95">
        <v>8</v>
      </c>
      <c r="AI95">
        <v>12</v>
      </c>
      <c r="AJ95">
        <v>17</v>
      </c>
      <c r="AK95">
        <v>10</v>
      </c>
      <c r="AL95">
        <v>7</v>
      </c>
      <c r="AM95">
        <v>5</v>
      </c>
      <c r="AN95">
        <v>7</v>
      </c>
      <c r="AO95">
        <v>5</v>
      </c>
      <c r="AP95">
        <v>0</v>
      </c>
      <c r="AQ95">
        <v>0</v>
      </c>
      <c r="AR95">
        <v>0</v>
      </c>
      <c r="AS95">
        <v>0</v>
      </c>
      <c r="AT95">
        <v>0</v>
      </c>
    </row>
    <row r="96" spans="1:46" ht="15.75" customHeight="1" x14ac:dyDescent="0.25">
      <c r="A96">
        <v>2</v>
      </c>
      <c r="B96">
        <v>2</v>
      </c>
      <c r="C96">
        <v>2015</v>
      </c>
      <c r="D96">
        <v>4</v>
      </c>
      <c r="E96">
        <v>133</v>
      </c>
      <c r="F96">
        <v>0</v>
      </c>
      <c r="G96">
        <v>0</v>
      </c>
      <c r="H96">
        <v>0</v>
      </c>
      <c r="I96">
        <v>0</v>
      </c>
      <c r="J96">
        <v>0</v>
      </c>
      <c r="K96">
        <v>0</v>
      </c>
      <c r="L96">
        <v>0</v>
      </c>
      <c r="M96">
        <v>0</v>
      </c>
      <c r="N96">
        <v>0</v>
      </c>
      <c r="O96">
        <v>0</v>
      </c>
      <c r="P96">
        <v>0</v>
      </c>
      <c r="Q96">
        <v>0</v>
      </c>
      <c r="R96">
        <v>2</v>
      </c>
      <c r="S96">
        <v>2</v>
      </c>
      <c r="T96">
        <v>3</v>
      </c>
      <c r="U96">
        <v>7</v>
      </c>
      <c r="V96">
        <v>8</v>
      </c>
      <c r="W96">
        <v>10</v>
      </c>
      <c r="X96">
        <v>15</v>
      </c>
      <c r="Y96">
        <v>12</v>
      </c>
      <c r="Z96">
        <v>17</v>
      </c>
      <c r="AA96">
        <v>10</v>
      </c>
      <c r="AB96">
        <v>11</v>
      </c>
      <c r="AC96">
        <v>9</v>
      </c>
      <c r="AD96">
        <v>7</v>
      </c>
      <c r="AE96">
        <v>8</v>
      </c>
      <c r="AF96">
        <v>7</v>
      </c>
      <c r="AG96">
        <v>4</v>
      </c>
      <c r="AH96">
        <v>1</v>
      </c>
      <c r="AI96">
        <v>0</v>
      </c>
      <c r="AJ96">
        <v>0</v>
      </c>
      <c r="AK96">
        <v>0</v>
      </c>
      <c r="AL96">
        <v>0</v>
      </c>
      <c r="AM96">
        <v>0</v>
      </c>
      <c r="AN96">
        <v>0</v>
      </c>
      <c r="AO96">
        <v>0</v>
      </c>
      <c r="AP96">
        <v>0</v>
      </c>
      <c r="AQ96">
        <v>0</v>
      </c>
      <c r="AR96">
        <v>0</v>
      </c>
      <c r="AS96">
        <v>0</v>
      </c>
      <c r="AT96">
        <v>0</v>
      </c>
    </row>
    <row r="97" spans="1:48" ht="15.75" customHeight="1" x14ac:dyDescent="0.25">
      <c r="A97">
        <v>2</v>
      </c>
      <c r="B97">
        <v>2</v>
      </c>
      <c r="C97">
        <v>2015</v>
      </c>
      <c r="D97">
        <v>5</v>
      </c>
      <c r="E97">
        <v>4392</v>
      </c>
      <c r="F97">
        <v>0</v>
      </c>
      <c r="G97">
        <v>1</v>
      </c>
      <c r="H97">
        <v>0</v>
      </c>
      <c r="I97">
        <v>0</v>
      </c>
      <c r="J97">
        <v>4</v>
      </c>
      <c r="K97">
        <v>4</v>
      </c>
      <c r="L97">
        <v>16</v>
      </c>
      <c r="M97">
        <v>15</v>
      </c>
      <c r="N97">
        <v>25</v>
      </c>
      <c r="O97">
        <v>49</v>
      </c>
      <c r="P97">
        <v>69</v>
      </c>
      <c r="Q97">
        <v>130</v>
      </c>
      <c r="R97">
        <v>255</v>
      </c>
      <c r="S97">
        <v>299</v>
      </c>
      <c r="T97">
        <v>329</v>
      </c>
      <c r="U97">
        <v>423</v>
      </c>
      <c r="V97">
        <v>455</v>
      </c>
      <c r="W97">
        <v>468</v>
      </c>
      <c r="X97">
        <v>381</v>
      </c>
      <c r="Y97">
        <v>314</v>
      </c>
      <c r="Z97">
        <v>241</v>
      </c>
      <c r="AA97">
        <v>192</v>
      </c>
      <c r="AB97">
        <v>139</v>
      </c>
      <c r="AC97">
        <v>130</v>
      </c>
      <c r="AD97">
        <v>103</v>
      </c>
      <c r="AE97">
        <v>80</v>
      </c>
      <c r="AF97">
        <v>63</v>
      </c>
      <c r="AG97">
        <v>60</v>
      </c>
      <c r="AH97">
        <v>41</v>
      </c>
      <c r="AI97">
        <v>39</v>
      </c>
      <c r="AJ97">
        <v>24</v>
      </c>
      <c r="AK97">
        <v>13</v>
      </c>
      <c r="AL97">
        <v>11</v>
      </c>
      <c r="AM97">
        <v>7</v>
      </c>
      <c r="AN97">
        <v>4</v>
      </c>
      <c r="AO97">
        <v>8</v>
      </c>
      <c r="AP97">
        <v>0</v>
      </c>
      <c r="AQ97">
        <v>0</v>
      </c>
      <c r="AR97">
        <v>0</v>
      </c>
      <c r="AS97">
        <v>0</v>
      </c>
      <c r="AT97">
        <v>0</v>
      </c>
    </row>
    <row r="98" spans="1:48" ht="15.75" customHeight="1" x14ac:dyDescent="0.25">
      <c r="A98">
        <v>2</v>
      </c>
      <c r="B98">
        <v>2</v>
      </c>
      <c r="C98">
        <v>2015</v>
      </c>
      <c r="D98">
        <v>6</v>
      </c>
      <c r="E98">
        <v>765</v>
      </c>
      <c r="F98">
        <v>0</v>
      </c>
      <c r="G98">
        <v>1</v>
      </c>
      <c r="H98">
        <v>0</v>
      </c>
      <c r="I98">
        <v>1</v>
      </c>
      <c r="J98">
        <v>0</v>
      </c>
      <c r="K98">
        <v>5</v>
      </c>
      <c r="L98">
        <v>7</v>
      </c>
      <c r="M98">
        <v>10</v>
      </c>
      <c r="N98">
        <v>8</v>
      </c>
      <c r="O98">
        <v>30</v>
      </c>
      <c r="P98">
        <v>31</v>
      </c>
      <c r="Q98">
        <v>31</v>
      </c>
      <c r="R98">
        <v>37</v>
      </c>
      <c r="S98">
        <v>63</v>
      </c>
      <c r="T98">
        <v>74</v>
      </c>
      <c r="U98">
        <v>81</v>
      </c>
      <c r="V98">
        <v>74</v>
      </c>
      <c r="W98">
        <v>71</v>
      </c>
      <c r="X98">
        <v>49</v>
      </c>
      <c r="Y98">
        <v>46</v>
      </c>
      <c r="Z98">
        <v>31</v>
      </c>
      <c r="AA98">
        <v>23</v>
      </c>
      <c r="AB98">
        <v>20</v>
      </c>
      <c r="AC98">
        <v>24</v>
      </c>
      <c r="AD98">
        <v>12</v>
      </c>
      <c r="AE98">
        <v>13</v>
      </c>
      <c r="AF98">
        <v>12</v>
      </c>
      <c r="AG98">
        <v>4</v>
      </c>
      <c r="AH98">
        <v>2</v>
      </c>
      <c r="AI98">
        <v>1</v>
      </c>
      <c r="AJ98">
        <v>3</v>
      </c>
      <c r="AK98">
        <v>1</v>
      </c>
      <c r="AL98">
        <v>0</v>
      </c>
      <c r="AM98">
        <v>0</v>
      </c>
      <c r="AN98">
        <v>0</v>
      </c>
      <c r="AO98">
        <v>0</v>
      </c>
      <c r="AP98">
        <v>0</v>
      </c>
      <c r="AQ98">
        <v>0</v>
      </c>
      <c r="AR98">
        <v>0</v>
      </c>
      <c r="AS98">
        <v>0</v>
      </c>
      <c r="AT98">
        <v>0</v>
      </c>
    </row>
    <row r="99" spans="1:48" ht="15.75" customHeight="1" x14ac:dyDescent="0.25">
      <c r="A99">
        <v>2</v>
      </c>
      <c r="B99">
        <v>2</v>
      </c>
      <c r="C99">
        <v>2016</v>
      </c>
      <c r="D99">
        <v>1</v>
      </c>
      <c r="E99">
        <v>45</v>
      </c>
      <c r="F99">
        <v>0</v>
      </c>
      <c r="G99">
        <v>0</v>
      </c>
      <c r="H99">
        <v>0</v>
      </c>
      <c r="I99">
        <v>0</v>
      </c>
      <c r="J99">
        <v>0</v>
      </c>
      <c r="K99">
        <v>0</v>
      </c>
      <c r="L99">
        <v>0</v>
      </c>
      <c r="M99">
        <v>0</v>
      </c>
      <c r="N99">
        <v>0</v>
      </c>
      <c r="O99">
        <v>0</v>
      </c>
      <c r="P99">
        <v>0</v>
      </c>
      <c r="Q99">
        <v>3</v>
      </c>
      <c r="R99">
        <v>3</v>
      </c>
      <c r="S99">
        <v>0</v>
      </c>
      <c r="T99">
        <v>1</v>
      </c>
      <c r="U99">
        <v>5</v>
      </c>
      <c r="V99">
        <v>4</v>
      </c>
      <c r="W99">
        <v>5</v>
      </c>
      <c r="X99">
        <v>5</v>
      </c>
      <c r="Y99">
        <v>2</v>
      </c>
      <c r="Z99">
        <v>3</v>
      </c>
      <c r="AA99">
        <v>2</v>
      </c>
      <c r="AB99">
        <v>1</v>
      </c>
      <c r="AC99">
        <v>4</v>
      </c>
      <c r="AD99">
        <v>3</v>
      </c>
      <c r="AE99">
        <v>3</v>
      </c>
      <c r="AF99">
        <v>0</v>
      </c>
      <c r="AG99">
        <v>1</v>
      </c>
      <c r="AH99">
        <v>0</v>
      </c>
      <c r="AI99">
        <v>0</v>
      </c>
      <c r="AJ99">
        <v>0</v>
      </c>
      <c r="AK99">
        <v>0</v>
      </c>
      <c r="AL99">
        <v>0</v>
      </c>
      <c r="AM99">
        <v>0</v>
      </c>
      <c r="AN99">
        <v>0</v>
      </c>
      <c r="AO99">
        <v>0</v>
      </c>
      <c r="AP99">
        <v>0</v>
      </c>
      <c r="AQ99">
        <v>0</v>
      </c>
      <c r="AR99">
        <v>0</v>
      </c>
      <c r="AS99">
        <v>0</v>
      </c>
      <c r="AT99">
        <v>0</v>
      </c>
    </row>
    <row r="100" spans="1:48" ht="15.75" customHeight="1" x14ac:dyDescent="0.25">
      <c r="A100">
        <v>2</v>
      </c>
      <c r="B100">
        <v>2</v>
      </c>
      <c r="C100">
        <v>2016</v>
      </c>
      <c r="D100">
        <v>2</v>
      </c>
      <c r="E100">
        <v>1836</v>
      </c>
      <c r="F100">
        <v>0</v>
      </c>
      <c r="G100">
        <v>0</v>
      </c>
      <c r="H100">
        <v>0</v>
      </c>
      <c r="I100">
        <v>0</v>
      </c>
      <c r="J100">
        <v>0</v>
      </c>
      <c r="K100">
        <v>0</v>
      </c>
      <c r="L100">
        <v>1</v>
      </c>
      <c r="M100">
        <v>8</v>
      </c>
      <c r="N100">
        <v>59</v>
      </c>
      <c r="O100">
        <v>158</v>
      </c>
      <c r="P100">
        <v>331</v>
      </c>
      <c r="Q100">
        <v>641</v>
      </c>
      <c r="R100">
        <v>357</v>
      </c>
      <c r="S100">
        <v>83</v>
      </c>
      <c r="T100">
        <v>48</v>
      </c>
      <c r="U100">
        <v>41</v>
      </c>
      <c r="V100">
        <v>43</v>
      </c>
      <c r="W100">
        <v>30</v>
      </c>
      <c r="X100">
        <v>23</v>
      </c>
      <c r="Y100">
        <v>6</v>
      </c>
      <c r="Z100">
        <v>5</v>
      </c>
      <c r="AA100">
        <v>0</v>
      </c>
      <c r="AB100">
        <v>0</v>
      </c>
      <c r="AC100">
        <v>2</v>
      </c>
      <c r="AD100">
        <v>0</v>
      </c>
      <c r="AE100">
        <v>0</v>
      </c>
      <c r="AF100">
        <v>0</v>
      </c>
      <c r="AG100">
        <v>0</v>
      </c>
      <c r="AH100">
        <v>0</v>
      </c>
      <c r="AI100">
        <v>0</v>
      </c>
      <c r="AJ100">
        <v>0</v>
      </c>
      <c r="AK100">
        <v>0</v>
      </c>
      <c r="AL100">
        <v>0</v>
      </c>
      <c r="AM100">
        <v>0</v>
      </c>
      <c r="AN100">
        <v>0</v>
      </c>
      <c r="AO100">
        <v>0</v>
      </c>
      <c r="AP100">
        <v>0</v>
      </c>
      <c r="AQ100">
        <v>0</v>
      </c>
      <c r="AR100">
        <v>0</v>
      </c>
      <c r="AS100">
        <v>0</v>
      </c>
      <c r="AT100">
        <v>0</v>
      </c>
    </row>
    <row r="101" spans="1:48" ht="15.75" customHeight="1" x14ac:dyDescent="0.25">
      <c r="A101">
        <v>2</v>
      </c>
      <c r="B101">
        <v>2</v>
      </c>
      <c r="C101">
        <v>2016</v>
      </c>
      <c r="D101">
        <v>4</v>
      </c>
      <c r="E101">
        <v>1241</v>
      </c>
      <c r="F101">
        <v>1</v>
      </c>
      <c r="G101">
        <v>1</v>
      </c>
      <c r="H101">
        <v>1</v>
      </c>
      <c r="I101">
        <v>0</v>
      </c>
      <c r="J101">
        <v>0</v>
      </c>
      <c r="K101">
        <v>0</v>
      </c>
      <c r="L101">
        <v>3</v>
      </c>
      <c r="M101">
        <v>3</v>
      </c>
      <c r="N101">
        <v>5</v>
      </c>
      <c r="O101">
        <v>6</v>
      </c>
      <c r="P101">
        <v>12</v>
      </c>
      <c r="Q101">
        <v>22</v>
      </c>
      <c r="R101">
        <v>44</v>
      </c>
      <c r="S101">
        <v>58</v>
      </c>
      <c r="T101">
        <v>76</v>
      </c>
      <c r="U101">
        <v>92</v>
      </c>
      <c r="V101">
        <v>138</v>
      </c>
      <c r="W101">
        <v>117</v>
      </c>
      <c r="X101">
        <v>130</v>
      </c>
      <c r="Y101">
        <v>121</v>
      </c>
      <c r="Z101">
        <v>77</v>
      </c>
      <c r="AA101">
        <v>70</v>
      </c>
      <c r="AB101">
        <v>55</v>
      </c>
      <c r="AC101">
        <v>48</v>
      </c>
      <c r="AD101">
        <v>56</v>
      </c>
      <c r="AE101">
        <v>34</v>
      </c>
      <c r="AF101">
        <v>24</v>
      </c>
      <c r="AG101">
        <v>14</v>
      </c>
      <c r="AH101">
        <v>10</v>
      </c>
      <c r="AI101">
        <v>8</v>
      </c>
      <c r="AJ101">
        <v>9</v>
      </c>
      <c r="AK101">
        <v>2</v>
      </c>
      <c r="AL101">
        <v>1</v>
      </c>
      <c r="AM101">
        <v>3</v>
      </c>
      <c r="AN101">
        <v>0</v>
      </c>
      <c r="AO101">
        <v>0</v>
      </c>
      <c r="AP101">
        <v>0</v>
      </c>
      <c r="AQ101">
        <v>0</v>
      </c>
      <c r="AR101">
        <v>0</v>
      </c>
      <c r="AS101">
        <v>0</v>
      </c>
      <c r="AT101">
        <v>0</v>
      </c>
    </row>
    <row r="102" spans="1:48" ht="15.75" customHeight="1" x14ac:dyDescent="0.25">
      <c r="A102">
        <v>2</v>
      </c>
      <c r="B102">
        <v>2</v>
      </c>
      <c r="C102">
        <v>2016</v>
      </c>
      <c r="D102">
        <v>5</v>
      </c>
      <c r="E102">
        <v>4682</v>
      </c>
      <c r="F102">
        <v>1</v>
      </c>
      <c r="G102">
        <v>1</v>
      </c>
      <c r="H102">
        <v>0</v>
      </c>
      <c r="I102">
        <v>3</v>
      </c>
      <c r="J102">
        <v>5</v>
      </c>
      <c r="K102">
        <v>20</v>
      </c>
      <c r="L102">
        <v>23</v>
      </c>
      <c r="M102">
        <v>44</v>
      </c>
      <c r="N102">
        <v>46</v>
      </c>
      <c r="O102">
        <v>76</v>
      </c>
      <c r="P102">
        <v>168</v>
      </c>
      <c r="Q102">
        <v>235</v>
      </c>
      <c r="R102">
        <v>322</v>
      </c>
      <c r="S102">
        <v>330</v>
      </c>
      <c r="T102">
        <v>390</v>
      </c>
      <c r="U102">
        <v>452</v>
      </c>
      <c r="V102">
        <v>468</v>
      </c>
      <c r="W102">
        <v>449</v>
      </c>
      <c r="X102">
        <v>388</v>
      </c>
      <c r="Y102">
        <v>340</v>
      </c>
      <c r="Z102">
        <v>246</v>
      </c>
      <c r="AA102">
        <v>184</v>
      </c>
      <c r="AB102">
        <v>154</v>
      </c>
      <c r="AC102">
        <v>99</v>
      </c>
      <c r="AD102">
        <v>83</v>
      </c>
      <c r="AE102">
        <v>57</v>
      </c>
      <c r="AF102">
        <v>38</v>
      </c>
      <c r="AG102">
        <v>20</v>
      </c>
      <c r="AH102">
        <v>16</v>
      </c>
      <c r="AI102">
        <v>7</v>
      </c>
      <c r="AJ102">
        <v>6</v>
      </c>
      <c r="AK102">
        <v>7</v>
      </c>
      <c r="AL102">
        <v>3</v>
      </c>
      <c r="AM102">
        <v>0</v>
      </c>
      <c r="AN102">
        <v>1</v>
      </c>
      <c r="AO102">
        <v>0</v>
      </c>
      <c r="AP102">
        <v>0</v>
      </c>
      <c r="AQ102">
        <v>0</v>
      </c>
      <c r="AR102">
        <v>0</v>
      </c>
      <c r="AS102">
        <v>0</v>
      </c>
      <c r="AT102">
        <v>0</v>
      </c>
    </row>
    <row r="103" spans="1:48" ht="15.75" customHeight="1" x14ac:dyDescent="0.25">
      <c r="A103">
        <v>2</v>
      </c>
      <c r="B103">
        <v>2</v>
      </c>
      <c r="C103">
        <v>2017</v>
      </c>
      <c r="D103">
        <v>4</v>
      </c>
      <c r="E103">
        <v>1067</v>
      </c>
      <c r="F103">
        <v>0</v>
      </c>
      <c r="G103">
        <v>0</v>
      </c>
      <c r="H103">
        <v>0</v>
      </c>
      <c r="I103">
        <v>0</v>
      </c>
      <c r="J103">
        <v>1</v>
      </c>
      <c r="K103">
        <v>5</v>
      </c>
      <c r="L103">
        <v>2</v>
      </c>
      <c r="M103">
        <v>3</v>
      </c>
      <c r="N103">
        <v>4</v>
      </c>
      <c r="O103">
        <v>7</v>
      </c>
      <c r="P103">
        <v>15</v>
      </c>
      <c r="Q103">
        <v>51</v>
      </c>
      <c r="R103">
        <v>70</v>
      </c>
      <c r="S103">
        <v>81</v>
      </c>
      <c r="T103">
        <v>94</v>
      </c>
      <c r="U103">
        <v>130</v>
      </c>
      <c r="V103">
        <v>116</v>
      </c>
      <c r="W103">
        <v>110</v>
      </c>
      <c r="X103">
        <v>101</v>
      </c>
      <c r="Y103">
        <v>96</v>
      </c>
      <c r="Z103">
        <v>62</v>
      </c>
      <c r="AA103">
        <v>54</v>
      </c>
      <c r="AB103">
        <v>21</v>
      </c>
      <c r="AC103">
        <v>26</v>
      </c>
      <c r="AD103">
        <v>10</v>
      </c>
      <c r="AE103">
        <v>4</v>
      </c>
      <c r="AF103">
        <v>3</v>
      </c>
      <c r="AG103">
        <v>0</v>
      </c>
      <c r="AH103">
        <v>0</v>
      </c>
      <c r="AI103">
        <v>1</v>
      </c>
      <c r="AJ103">
        <v>0</v>
      </c>
      <c r="AK103">
        <v>0</v>
      </c>
      <c r="AL103">
        <v>0</v>
      </c>
      <c r="AM103">
        <v>0</v>
      </c>
      <c r="AN103">
        <v>0</v>
      </c>
      <c r="AO103">
        <v>0</v>
      </c>
      <c r="AP103">
        <v>0</v>
      </c>
      <c r="AQ103">
        <v>0</v>
      </c>
      <c r="AR103">
        <v>0</v>
      </c>
      <c r="AS103">
        <v>0</v>
      </c>
      <c r="AT103">
        <v>0</v>
      </c>
    </row>
    <row r="104" spans="1:48" ht="15.75" customHeight="1" x14ac:dyDescent="0.25">
      <c r="A104">
        <v>2</v>
      </c>
      <c r="B104">
        <v>2</v>
      </c>
      <c r="C104">
        <v>2017</v>
      </c>
      <c r="D104">
        <v>5</v>
      </c>
      <c r="E104">
        <v>1192</v>
      </c>
      <c r="F104">
        <v>0</v>
      </c>
      <c r="G104">
        <v>0</v>
      </c>
      <c r="H104">
        <v>0</v>
      </c>
      <c r="I104">
        <v>3</v>
      </c>
      <c r="J104">
        <v>4</v>
      </c>
      <c r="K104">
        <v>5</v>
      </c>
      <c r="L104">
        <v>7</v>
      </c>
      <c r="M104">
        <v>4</v>
      </c>
      <c r="N104">
        <v>5</v>
      </c>
      <c r="O104">
        <v>14</v>
      </c>
      <c r="P104">
        <v>37</v>
      </c>
      <c r="Q104">
        <v>55</v>
      </c>
      <c r="R104">
        <v>83</v>
      </c>
      <c r="S104">
        <v>99</v>
      </c>
      <c r="T104">
        <v>115</v>
      </c>
      <c r="U104">
        <v>139</v>
      </c>
      <c r="V104">
        <v>132</v>
      </c>
      <c r="W104">
        <v>136</v>
      </c>
      <c r="X104">
        <v>105</v>
      </c>
      <c r="Y104">
        <v>83</v>
      </c>
      <c r="Z104">
        <v>76</v>
      </c>
      <c r="AA104">
        <v>35</v>
      </c>
      <c r="AB104">
        <v>31</v>
      </c>
      <c r="AC104">
        <v>8</v>
      </c>
      <c r="AD104">
        <v>9</v>
      </c>
      <c r="AE104">
        <v>5</v>
      </c>
      <c r="AF104">
        <v>1</v>
      </c>
      <c r="AG104">
        <v>0</v>
      </c>
      <c r="AH104">
        <v>0</v>
      </c>
      <c r="AI104">
        <v>1</v>
      </c>
      <c r="AJ104">
        <v>0</v>
      </c>
      <c r="AK104">
        <v>0</v>
      </c>
      <c r="AL104">
        <v>0</v>
      </c>
      <c r="AM104">
        <v>0</v>
      </c>
      <c r="AN104">
        <v>0</v>
      </c>
      <c r="AO104">
        <v>0</v>
      </c>
      <c r="AP104">
        <v>0</v>
      </c>
      <c r="AQ104">
        <v>0</v>
      </c>
      <c r="AR104">
        <v>0</v>
      </c>
      <c r="AS104">
        <v>0</v>
      </c>
      <c r="AT104">
        <v>0</v>
      </c>
    </row>
    <row r="105" spans="1:48" ht="15.75" customHeight="1" x14ac:dyDescent="0.25">
      <c r="A105">
        <v>2</v>
      </c>
      <c r="B105">
        <v>2</v>
      </c>
      <c r="C105">
        <v>2017</v>
      </c>
      <c r="D105">
        <v>6</v>
      </c>
      <c r="E105">
        <v>232</v>
      </c>
      <c r="F105">
        <v>0</v>
      </c>
      <c r="G105">
        <v>0</v>
      </c>
      <c r="H105">
        <v>0</v>
      </c>
      <c r="I105">
        <v>0</v>
      </c>
      <c r="J105">
        <v>0</v>
      </c>
      <c r="K105">
        <v>0</v>
      </c>
      <c r="L105">
        <v>0</v>
      </c>
      <c r="M105">
        <v>1</v>
      </c>
      <c r="N105">
        <v>1</v>
      </c>
      <c r="O105">
        <v>3</v>
      </c>
      <c r="P105">
        <v>6</v>
      </c>
      <c r="Q105">
        <v>12</v>
      </c>
      <c r="R105">
        <v>17</v>
      </c>
      <c r="S105">
        <v>26</v>
      </c>
      <c r="T105">
        <v>25</v>
      </c>
      <c r="U105">
        <v>23</v>
      </c>
      <c r="V105">
        <v>23</v>
      </c>
      <c r="W105">
        <v>20</v>
      </c>
      <c r="X105">
        <v>25</v>
      </c>
      <c r="Y105">
        <v>17</v>
      </c>
      <c r="Z105">
        <v>15</v>
      </c>
      <c r="AA105">
        <v>13</v>
      </c>
      <c r="AB105">
        <v>2</v>
      </c>
      <c r="AC105">
        <v>2</v>
      </c>
      <c r="AD105">
        <v>0</v>
      </c>
      <c r="AE105">
        <v>1</v>
      </c>
      <c r="AF105">
        <v>0</v>
      </c>
      <c r="AG105">
        <v>0</v>
      </c>
      <c r="AH105">
        <v>0</v>
      </c>
      <c r="AI105">
        <v>0</v>
      </c>
      <c r="AJ105">
        <v>0</v>
      </c>
      <c r="AK105">
        <v>0</v>
      </c>
      <c r="AL105">
        <v>0</v>
      </c>
      <c r="AM105">
        <v>0</v>
      </c>
      <c r="AN105">
        <v>0</v>
      </c>
      <c r="AO105">
        <v>0</v>
      </c>
      <c r="AP105">
        <v>0</v>
      </c>
      <c r="AQ105">
        <v>0</v>
      </c>
      <c r="AR105">
        <v>0</v>
      </c>
      <c r="AS105">
        <v>0</v>
      </c>
      <c r="AT105">
        <v>0</v>
      </c>
    </row>
    <row r="106" spans="1:48" ht="15.75" customHeight="1" x14ac:dyDescent="0.25">
      <c r="A106">
        <v>2</v>
      </c>
      <c r="B106">
        <v>2</v>
      </c>
      <c r="C106">
        <v>2018</v>
      </c>
      <c r="D106">
        <v>4</v>
      </c>
      <c r="E106">
        <v>2368</v>
      </c>
      <c r="F106">
        <v>0</v>
      </c>
      <c r="G106">
        <v>0</v>
      </c>
      <c r="H106">
        <v>0</v>
      </c>
      <c r="I106">
        <v>0</v>
      </c>
      <c r="J106">
        <v>1</v>
      </c>
      <c r="K106">
        <v>1</v>
      </c>
      <c r="L106">
        <v>2</v>
      </c>
      <c r="M106">
        <v>5</v>
      </c>
      <c r="N106">
        <v>13</v>
      </c>
      <c r="O106">
        <v>43</v>
      </c>
      <c r="P106">
        <v>105</v>
      </c>
      <c r="Q106">
        <v>144</v>
      </c>
      <c r="R106">
        <v>142</v>
      </c>
      <c r="S106">
        <v>162</v>
      </c>
      <c r="T106">
        <v>225</v>
      </c>
      <c r="U106">
        <v>281</v>
      </c>
      <c r="V106">
        <v>290</v>
      </c>
      <c r="W106">
        <v>277</v>
      </c>
      <c r="X106">
        <v>210</v>
      </c>
      <c r="Y106">
        <v>174</v>
      </c>
      <c r="Z106">
        <v>119</v>
      </c>
      <c r="AA106">
        <v>78</v>
      </c>
      <c r="AB106">
        <v>46</v>
      </c>
      <c r="AC106">
        <v>26</v>
      </c>
      <c r="AD106">
        <v>15</v>
      </c>
      <c r="AE106">
        <v>5</v>
      </c>
      <c r="AF106">
        <v>1</v>
      </c>
      <c r="AG106">
        <v>0</v>
      </c>
      <c r="AH106">
        <v>1</v>
      </c>
      <c r="AI106">
        <v>2</v>
      </c>
      <c r="AJ106">
        <v>0</v>
      </c>
      <c r="AK106">
        <v>0</v>
      </c>
      <c r="AL106">
        <v>0</v>
      </c>
      <c r="AM106">
        <v>0</v>
      </c>
      <c r="AN106">
        <v>0</v>
      </c>
      <c r="AO106">
        <v>0</v>
      </c>
      <c r="AP106">
        <v>0</v>
      </c>
      <c r="AQ106">
        <v>0</v>
      </c>
      <c r="AR106">
        <v>0</v>
      </c>
      <c r="AS106">
        <v>0</v>
      </c>
      <c r="AT106">
        <v>0</v>
      </c>
    </row>
    <row r="107" spans="1:48" ht="15.75" customHeight="1" x14ac:dyDescent="0.25"/>
    <row r="108" spans="1:48" ht="15.75" customHeight="1" x14ac:dyDescent="0.25">
      <c r="A108" t="s">
        <v>373</v>
      </c>
    </row>
    <row r="109" spans="1:48" ht="15.75" customHeight="1" x14ac:dyDescent="0.25">
      <c r="A109" t="s">
        <v>196</v>
      </c>
      <c r="B109" t="s">
        <v>330</v>
      </c>
      <c r="C109" t="s">
        <v>374</v>
      </c>
      <c r="D109" t="s">
        <v>375</v>
      </c>
      <c r="E109" t="s">
        <v>217</v>
      </c>
      <c r="F109" t="s">
        <v>198</v>
      </c>
      <c r="G109" t="s">
        <v>331</v>
      </c>
      <c r="H109" t="s">
        <v>376</v>
      </c>
      <c r="I109" t="s">
        <v>377</v>
      </c>
      <c r="J109" t="s">
        <v>378</v>
      </c>
      <c r="K109" t="s">
        <v>379</v>
      </c>
      <c r="L109" t="s">
        <v>380</v>
      </c>
      <c r="M109" t="s">
        <v>381</v>
      </c>
      <c r="N109" t="s">
        <v>382</v>
      </c>
      <c r="O109" t="s">
        <v>383</v>
      </c>
      <c r="P109" t="s">
        <v>384</v>
      </c>
      <c r="Q109" t="s">
        <v>385</v>
      </c>
      <c r="R109" t="s">
        <v>386</v>
      </c>
      <c r="S109" t="s">
        <v>387</v>
      </c>
      <c r="T109" t="s">
        <v>388</v>
      </c>
      <c r="U109" t="s">
        <v>389</v>
      </c>
      <c r="V109" t="s">
        <v>390</v>
      </c>
      <c r="W109" t="s">
        <v>391</v>
      </c>
      <c r="X109" t="s">
        <v>392</v>
      </c>
      <c r="Y109" t="s">
        <v>393</v>
      </c>
      <c r="Z109" t="s">
        <v>394</v>
      </c>
      <c r="AA109" t="s">
        <v>395</v>
      </c>
      <c r="AB109" t="s">
        <v>396</v>
      </c>
      <c r="AC109" t="s">
        <v>397</v>
      </c>
      <c r="AD109" t="s">
        <v>398</v>
      </c>
      <c r="AE109" t="s">
        <v>399</v>
      </c>
      <c r="AF109" t="s">
        <v>400</v>
      </c>
      <c r="AG109" t="s">
        <v>401</v>
      </c>
      <c r="AH109" t="s">
        <v>402</v>
      </c>
      <c r="AI109" t="s">
        <v>403</v>
      </c>
      <c r="AJ109" t="s">
        <v>404</v>
      </c>
      <c r="AK109" t="s">
        <v>405</v>
      </c>
      <c r="AL109" t="s">
        <v>406</v>
      </c>
      <c r="AM109" t="s">
        <v>407</v>
      </c>
      <c r="AN109" t="s">
        <v>408</v>
      </c>
      <c r="AO109" t="s">
        <v>409</v>
      </c>
      <c r="AP109" t="s">
        <v>410</v>
      </c>
      <c r="AQ109" t="s">
        <v>411</v>
      </c>
      <c r="AR109" t="s">
        <v>412</v>
      </c>
      <c r="AS109" t="s">
        <v>413</v>
      </c>
      <c r="AT109" t="s">
        <v>414</v>
      </c>
      <c r="AU109" t="s">
        <v>415</v>
      </c>
      <c r="AV109" t="s">
        <v>416</v>
      </c>
    </row>
    <row r="110" spans="1:48" ht="15.75" customHeight="1" x14ac:dyDescent="0.25">
      <c r="A110">
        <v>1</v>
      </c>
      <c r="B110">
        <v>1</v>
      </c>
      <c r="C110">
        <v>1</v>
      </c>
      <c r="D110">
        <v>1</v>
      </c>
      <c r="E110">
        <v>1991</v>
      </c>
      <c r="F110">
        <v>6</v>
      </c>
      <c r="G110">
        <v>2</v>
      </c>
      <c r="H110">
        <v>0</v>
      </c>
      <c r="I110">
        <v>0</v>
      </c>
      <c r="J110">
        <v>0</v>
      </c>
      <c r="K110">
        <v>0</v>
      </c>
      <c r="L110">
        <v>0</v>
      </c>
      <c r="M110">
        <v>0</v>
      </c>
      <c r="N110">
        <v>0</v>
      </c>
      <c r="O110">
        <v>0</v>
      </c>
      <c r="P110">
        <v>0</v>
      </c>
      <c r="Q110">
        <v>0</v>
      </c>
      <c r="R110">
        <v>0</v>
      </c>
      <c r="S110">
        <v>0</v>
      </c>
      <c r="T110">
        <v>0</v>
      </c>
      <c r="U110">
        <v>0</v>
      </c>
      <c r="V110">
        <v>0</v>
      </c>
      <c r="W110">
        <v>1</v>
      </c>
      <c r="X110">
        <v>0</v>
      </c>
      <c r="Y110">
        <v>0</v>
      </c>
      <c r="Z110">
        <v>1</v>
      </c>
      <c r="AA110">
        <v>0</v>
      </c>
      <c r="AB110">
        <v>0</v>
      </c>
      <c r="AC110">
        <v>0</v>
      </c>
      <c r="AD110">
        <v>0</v>
      </c>
      <c r="AE110">
        <v>0</v>
      </c>
      <c r="AF110">
        <v>0</v>
      </c>
      <c r="AG110">
        <v>0</v>
      </c>
      <c r="AH110">
        <v>0</v>
      </c>
      <c r="AI110">
        <v>0</v>
      </c>
      <c r="AJ110">
        <v>0</v>
      </c>
      <c r="AK110">
        <v>0</v>
      </c>
      <c r="AL110">
        <v>0</v>
      </c>
      <c r="AM110">
        <v>0</v>
      </c>
      <c r="AN110">
        <v>0</v>
      </c>
      <c r="AO110">
        <v>0</v>
      </c>
      <c r="AP110">
        <v>0</v>
      </c>
      <c r="AQ110">
        <v>0</v>
      </c>
      <c r="AR110">
        <v>0</v>
      </c>
      <c r="AS110">
        <v>0</v>
      </c>
      <c r="AT110">
        <v>0</v>
      </c>
      <c r="AU110">
        <v>0</v>
      </c>
      <c r="AV110">
        <v>0</v>
      </c>
    </row>
    <row r="111" spans="1:48" ht="15.75" customHeight="1" x14ac:dyDescent="0.25">
      <c r="A111">
        <v>1</v>
      </c>
      <c r="B111">
        <v>1</v>
      </c>
      <c r="C111">
        <v>1</v>
      </c>
      <c r="D111">
        <v>1</v>
      </c>
      <c r="E111">
        <v>1992</v>
      </c>
      <c r="F111">
        <v>1</v>
      </c>
      <c r="G111">
        <v>10</v>
      </c>
      <c r="H111">
        <v>0</v>
      </c>
      <c r="I111">
        <v>0</v>
      </c>
      <c r="J111">
        <v>0</v>
      </c>
      <c r="K111">
        <v>0</v>
      </c>
      <c r="L111">
        <v>0</v>
      </c>
      <c r="M111">
        <v>0</v>
      </c>
      <c r="N111">
        <v>0</v>
      </c>
      <c r="O111">
        <v>0</v>
      </c>
      <c r="P111">
        <v>0</v>
      </c>
      <c r="Q111">
        <v>0</v>
      </c>
      <c r="R111">
        <v>0</v>
      </c>
      <c r="S111">
        <v>0</v>
      </c>
      <c r="T111">
        <v>0</v>
      </c>
      <c r="U111">
        <v>0</v>
      </c>
      <c r="V111">
        <v>3</v>
      </c>
      <c r="W111">
        <v>3</v>
      </c>
      <c r="X111">
        <v>2</v>
      </c>
      <c r="Y111">
        <v>0</v>
      </c>
      <c r="Z111">
        <v>0</v>
      </c>
      <c r="AA111">
        <v>2</v>
      </c>
      <c r="AB111">
        <v>0</v>
      </c>
      <c r="AC111">
        <v>0</v>
      </c>
      <c r="AD111">
        <v>0</v>
      </c>
      <c r="AE111">
        <v>0</v>
      </c>
      <c r="AF111">
        <v>0</v>
      </c>
      <c r="AG111">
        <v>0</v>
      </c>
      <c r="AH111">
        <v>0</v>
      </c>
      <c r="AI111">
        <v>0</v>
      </c>
      <c r="AJ111">
        <v>0</v>
      </c>
      <c r="AK111">
        <v>0</v>
      </c>
      <c r="AL111">
        <v>0</v>
      </c>
      <c r="AM111">
        <v>0</v>
      </c>
      <c r="AN111">
        <v>0</v>
      </c>
      <c r="AO111">
        <v>0</v>
      </c>
      <c r="AP111">
        <v>0</v>
      </c>
      <c r="AQ111">
        <v>0</v>
      </c>
      <c r="AR111">
        <v>0</v>
      </c>
      <c r="AS111">
        <v>0</v>
      </c>
      <c r="AT111">
        <v>0</v>
      </c>
      <c r="AU111">
        <v>0</v>
      </c>
      <c r="AV111">
        <v>0</v>
      </c>
    </row>
    <row r="112" spans="1:48" ht="15.75" customHeight="1" x14ac:dyDescent="0.25">
      <c r="A112">
        <v>1</v>
      </c>
      <c r="B112">
        <v>1</v>
      </c>
      <c r="C112">
        <v>1</v>
      </c>
      <c r="D112">
        <v>1</v>
      </c>
      <c r="E112">
        <v>1992</v>
      </c>
      <c r="F112">
        <v>2</v>
      </c>
      <c r="G112">
        <v>6</v>
      </c>
      <c r="H112">
        <v>0</v>
      </c>
      <c r="I112">
        <v>0</v>
      </c>
      <c r="J112">
        <v>0</v>
      </c>
      <c r="K112">
        <v>0</v>
      </c>
      <c r="L112">
        <v>0</v>
      </c>
      <c r="M112">
        <v>0</v>
      </c>
      <c r="N112">
        <v>0</v>
      </c>
      <c r="O112">
        <v>0</v>
      </c>
      <c r="P112">
        <v>0</v>
      </c>
      <c r="Q112">
        <v>0</v>
      </c>
      <c r="R112">
        <v>0</v>
      </c>
      <c r="S112">
        <v>0</v>
      </c>
      <c r="T112">
        <v>1</v>
      </c>
      <c r="U112">
        <v>1</v>
      </c>
      <c r="V112">
        <v>2</v>
      </c>
      <c r="W112">
        <v>0</v>
      </c>
      <c r="X112">
        <v>1</v>
      </c>
      <c r="Y112">
        <v>1</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c r="AV112">
        <v>0</v>
      </c>
    </row>
    <row r="113" spans="1:48" ht="15.75" customHeight="1" x14ac:dyDescent="0.25">
      <c r="A113">
        <v>1</v>
      </c>
      <c r="B113">
        <v>1</v>
      </c>
      <c r="C113">
        <v>1</v>
      </c>
      <c r="D113">
        <v>1</v>
      </c>
      <c r="E113">
        <v>1992</v>
      </c>
      <c r="F113">
        <v>3</v>
      </c>
      <c r="G113">
        <v>3</v>
      </c>
      <c r="H113">
        <v>0</v>
      </c>
      <c r="I113">
        <v>0</v>
      </c>
      <c r="J113">
        <v>0</v>
      </c>
      <c r="K113">
        <v>0</v>
      </c>
      <c r="L113">
        <v>0</v>
      </c>
      <c r="M113">
        <v>0</v>
      </c>
      <c r="N113">
        <v>0</v>
      </c>
      <c r="O113">
        <v>0</v>
      </c>
      <c r="P113">
        <v>0</v>
      </c>
      <c r="Q113">
        <v>0</v>
      </c>
      <c r="R113">
        <v>0</v>
      </c>
      <c r="S113">
        <v>0</v>
      </c>
      <c r="T113">
        <v>0</v>
      </c>
      <c r="U113">
        <v>0</v>
      </c>
      <c r="V113">
        <v>0</v>
      </c>
      <c r="W113">
        <v>1</v>
      </c>
      <c r="X113">
        <v>0</v>
      </c>
      <c r="Y113">
        <v>0</v>
      </c>
      <c r="Z113">
        <v>0</v>
      </c>
      <c r="AA113">
        <v>0</v>
      </c>
      <c r="AB113">
        <v>0</v>
      </c>
      <c r="AC113">
        <v>1</v>
      </c>
      <c r="AD113">
        <v>1</v>
      </c>
      <c r="AE113">
        <v>0</v>
      </c>
      <c r="AF113">
        <v>0</v>
      </c>
      <c r="AG113">
        <v>0</v>
      </c>
      <c r="AH113">
        <v>0</v>
      </c>
      <c r="AI113">
        <v>0</v>
      </c>
      <c r="AJ113">
        <v>0</v>
      </c>
      <c r="AK113">
        <v>0</v>
      </c>
      <c r="AL113">
        <v>0</v>
      </c>
      <c r="AM113">
        <v>0</v>
      </c>
      <c r="AN113">
        <v>0</v>
      </c>
      <c r="AO113">
        <v>0</v>
      </c>
      <c r="AP113">
        <v>0</v>
      </c>
      <c r="AQ113">
        <v>0</v>
      </c>
      <c r="AR113">
        <v>0</v>
      </c>
      <c r="AS113">
        <v>0</v>
      </c>
      <c r="AT113">
        <v>0</v>
      </c>
      <c r="AU113">
        <v>0</v>
      </c>
      <c r="AV113">
        <v>0</v>
      </c>
    </row>
    <row r="114" spans="1:48" ht="15.75" customHeight="1" x14ac:dyDescent="0.25">
      <c r="A114">
        <v>1</v>
      </c>
      <c r="B114">
        <v>1</v>
      </c>
      <c r="C114">
        <v>1</v>
      </c>
      <c r="D114">
        <v>1</v>
      </c>
      <c r="E114">
        <v>1993</v>
      </c>
      <c r="F114">
        <v>1</v>
      </c>
      <c r="G114">
        <v>1</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1</v>
      </c>
      <c r="AD114">
        <v>0</v>
      </c>
      <c r="AE114">
        <v>0</v>
      </c>
      <c r="AF114">
        <v>0</v>
      </c>
      <c r="AG114">
        <v>0</v>
      </c>
      <c r="AH114">
        <v>0</v>
      </c>
      <c r="AI114">
        <v>0</v>
      </c>
      <c r="AJ114">
        <v>0</v>
      </c>
      <c r="AK114">
        <v>0</v>
      </c>
      <c r="AL114">
        <v>0</v>
      </c>
      <c r="AM114">
        <v>0</v>
      </c>
      <c r="AN114">
        <v>0</v>
      </c>
      <c r="AO114">
        <v>0</v>
      </c>
      <c r="AP114">
        <v>0</v>
      </c>
      <c r="AQ114">
        <v>0</v>
      </c>
      <c r="AR114">
        <v>0</v>
      </c>
      <c r="AS114">
        <v>0</v>
      </c>
      <c r="AT114">
        <v>0</v>
      </c>
      <c r="AU114">
        <v>0</v>
      </c>
      <c r="AV114">
        <v>0</v>
      </c>
    </row>
    <row r="115" spans="1:48" ht="15.75" customHeight="1" x14ac:dyDescent="0.25">
      <c r="A115">
        <v>1</v>
      </c>
      <c r="B115">
        <v>1</v>
      </c>
      <c r="C115">
        <v>1</v>
      </c>
      <c r="D115">
        <v>1</v>
      </c>
      <c r="E115">
        <v>1993</v>
      </c>
      <c r="F115">
        <v>2</v>
      </c>
      <c r="G115">
        <v>3</v>
      </c>
      <c r="H115">
        <v>0</v>
      </c>
      <c r="I115">
        <v>0</v>
      </c>
      <c r="J115">
        <v>0</v>
      </c>
      <c r="K115">
        <v>0</v>
      </c>
      <c r="L115">
        <v>0</v>
      </c>
      <c r="M115">
        <v>0</v>
      </c>
      <c r="N115">
        <v>0</v>
      </c>
      <c r="O115">
        <v>0</v>
      </c>
      <c r="P115">
        <v>0</v>
      </c>
      <c r="Q115">
        <v>0</v>
      </c>
      <c r="R115">
        <v>0</v>
      </c>
      <c r="S115">
        <v>0</v>
      </c>
      <c r="T115">
        <v>2</v>
      </c>
      <c r="U115">
        <v>1</v>
      </c>
      <c r="V115">
        <v>0</v>
      </c>
      <c r="W115">
        <v>0</v>
      </c>
      <c r="X115">
        <v>0</v>
      </c>
      <c r="Y115">
        <v>0</v>
      </c>
      <c r="Z115">
        <v>0</v>
      </c>
      <c r="AA115">
        <v>0</v>
      </c>
      <c r="AB115">
        <v>0</v>
      </c>
      <c r="AC115">
        <v>0</v>
      </c>
      <c r="AD115">
        <v>0</v>
      </c>
      <c r="AE115">
        <v>0</v>
      </c>
      <c r="AF115">
        <v>0</v>
      </c>
      <c r="AG115">
        <v>0</v>
      </c>
      <c r="AH115">
        <v>0</v>
      </c>
      <c r="AI115">
        <v>0</v>
      </c>
      <c r="AJ115">
        <v>0</v>
      </c>
      <c r="AK115">
        <v>0</v>
      </c>
      <c r="AL115">
        <v>0</v>
      </c>
      <c r="AM115">
        <v>0</v>
      </c>
      <c r="AN115">
        <v>0</v>
      </c>
      <c r="AO115">
        <v>0</v>
      </c>
      <c r="AP115">
        <v>0</v>
      </c>
      <c r="AQ115">
        <v>0</v>
      </c>
      <c r="AR115">
        <v>0</v>
      </c>
      <c r="AS115">
        <v>0</v>
      </c>
      <c r="AT115">
        <v>0</v>
      </c>
      <c r="AU115">
        <v>0</v>
      </c>
      <c r="AV115">
        <v>0</v>
      </c>
    </row>
    <row r="116" spans="1:48" ht="15.75" customHeight="1" x14ac:dyDescent="0.25">
      <c r="A116">
        <v>1</v>
      </c>
      <c r="B116">
        <v>1</v>
      </c>
      <c r="C116">
        <v>1</v>
      </c>
      <c r="D116">
        <v>1</v>
      </c>
      <c r="E116">
        <v>1993</v>
      </c>
      <c r="F116">
        <v>3</v>
      </c>
      <c r="G116">
        <v>79</v>
      </c>
      <c r="H116">
        <v>0</v>
      </c>
      <c r="I116">
        <v>0</v>
      </c>
      <c r="J116">
        <v>0</v>
      </c>
      <c r="K116">
        <v>0</v>
      </c>
      <c r="L116">
        <v>0</v>
      </c>
      <c r="M116">
        <v>0</v>
      </c>
      <c r="N116">
        <v>0</v>
      </c>
      <c r="O116">
        <v>0</v>
      </c>
      <c r="P116">
        <v>0</v>
      </c>
      <c r="Q116">
        <v>0</v>
      </c>
      <c r="R116">
        <v>0</v>
      </c>
      <c r="S116">
        <v>0</v>
      </c>
      <c r="T116">
        <v>11</v>
      </c>
      <c r="U116">
        <v>24</v>
      </c>
      <c r="V116">
        <v>20</v>
      </c>
      <c r="W116">
        <v>12</v>
      </c>
      <c r="X116">
        <v>1</v>
      </c>
      <c r="Y116">
        <v>4</v>
      </c>
      <c r="Z116">
        <v>0</v>
      </c>
      <c r="AA116">
        <v>1</v>
      </c>
      <c r="AB116">
        <v>0</v>
      </c>
      <c r="AC116">
        <v>2</v>
      </c>
      <c r="AD116">
        <v>0</v>
      </c>
      <c r="AE116">
        <v>0</v>
      </c>
      <c r="AF116">
        <v>2</v>
      </c>
      <c r="AG116">
        <v>0</v>
      </c>
      <c r="AH116">
        <v>2</v>
      </c>
      <c r="AI116">
        <v>0</v>
      </c>
      <c r="AJ116">
        <v>0</v>
      </c>
      <c r="AK116">
        <v>0</v>
      </c>
      <c r="AL116">
        <v>0</v>
      </c>
      <c r="AM116">
        <v>0</v>
      </c>
      <c r="AN116">
        <v>0</v>
      </c>
      <c r="AO116">
        <v>0</v>
      </c>
      <c r="AP116">
        <v>0</v>
      </c>
      <c r="AQ116">
        <v>0</v>
      </c>
      <c r="AR116">
        <v>0</v>
      </c>
      <c r="AS116">
        <v>0</v>
      </c>
      <c r="AT116">
        <v>0</v>
      </c>
      <c r="AU116">
        <v>0</v>
      </c>
      <c r="AV116">
        <v>0</v>
      </c>
    </row>
    <row r="117" spans="1:48" ht="15.75" customHeight="1" x14ac:dyDescent="0.25">
      <c r="A117">
        <v>1</v>
      </c>
      <c r="B117">
        <v>1</v>
      </c>
      <c r="C117">
        <v>1</v>
      </c>
      <c r="D117">
        <v>1</v>
      </c>
      <c r="E117">
        <v>1993</v>
      </c>
      <c r="F117">
        <v>6</v>
      </c>
      <c r="G117">
        <v>106</v>
      </c>
      <c r="H117">
        <v>0</v>
      </c>
      <c r="I117">
        <v>0</v>
      </c>
      <c r="J117">
        <v>0</v>
      </c>
      <c r="K117">
        <v>0</v>
      </c>
      <c r="L117">
        <v>0</v>
      </c>
      <c r="M117">
        <v>0</v>
      </c>
      <c r="N117">
        <v>0</v>
      </c>
      <c r="O117">
        <v>0</v>
      </c>
      <c r="P117">
        <v>0</v>
      </c>
      <c r="Q117">
        <v>0</v>
      </c>
      <c r="R117">
        <v>0</v>
      </c>
      <c r="S117">
        <v>0</v>
      </c>
      <c r="T117">
        <v>12</v>
      </c>
      <c r="U117">
        <v>22</v>
      </c>
      <c r="V117">
        <v>32</v>
      </c>
      <c r="W117">
        <v>20</v>
      </c>
      <c r="X117">
        <v>18</v>
      </c>
      <c r="Y117">
        <v>2</v>
      </c>
      <c r="Z117">
        <v>0</v>
      </c>
      <c r="AA117">
        <v>0</v>
      </c>
      <c r="AB117">
        <v>0</v>
      </c>
      <c r="AC117">
        <v>0</v>
      </c>
      <c r="AD117">
        <v>0</v>
      </c>
      <c r="AE117">
        <v>0</v>
      </c>
      <c r="AF117">
        <v>0</v>
      </c>
      <c r="AG117">
        <v>0</v>
      </c>
      <c r="AH117">
        <v>0</v>
      </c>
      <c r="AI117">
        <v>0</v>
      </c>
      <c r="AJ117">
        <v>0</v>
      </c>
      <c r="AK117">
        <v>0</v>
      </c>
      <c r="AL117">
        <v>0</v>
      </c>
      <c r="AM117">
        <v>0</v>
      </c>
      <c r="AN117">
        <v>0</v>
      </c>
      <c r="AO117">
        <v>0</v>
      </c>
      <c r="AP117">
        <v>0</v>
      </c>
      <c r="AQ117">
        <v>0</v>
      </c>
      <c r="AR117">
        <v>0</v>
      </c>
      <c r="AS117">
        <v>0</v>
      </c>
      <c r="AT117">
        <v>0</v>
      </c>
      <c r="AU117">
        <v>0</v>
      </c>
      <c r="AV117">
        <v>0</v>
      </c>
    </row>
    <row r="118" spans="1:48" ht="15.75" customHeight="1" x14ac:dyDescent="0.25">
      <c r="A118">
        <v>1</v>
      </c>
      <c r="B118">
        <v>1</v>
      </c>
      <c r="C118">
        <v>1</v>
      </c>
      <c r="D118">
        <v>1</v>
      </c>
      <c r="E118">
        <v>1994</v>
      </c>
      <c r="F118">
        <v>1</v>
      </c>
      <c r="G118">
        <v>16</v>
      </c>
      <c r="H118">
        <v>0</v>
      </c>
      <c r="I118">
        <v>0</v>
      </c>
      <c r="J118">
        <v>0</v>
      </c>
      <c r="K118">
        <v>0</v>
      </c>
      <c r="L118">
        <v>0</v>
      </c>
      <c r="M118">
        <v>0</v>
      </c>
      <c r="N118">
        <v>0</v>
      </c>
      <c r="O118">
        <v>0</v>
      </c>
      <c r="P118">
        <v>0</v>
      </c>
      <c r="Q118">
        <v>0</v>
      </c>
      <c r="R118">
        <v>0</v>
      </c>
      <c r="S118">
        <v>0</v>
      </c>
      <c r="T118">
        <v>2</v>
      </c>
      <c r="U118">
        <v>2</v>
      </c>
      <c r="V118">
        <v>6</v>
      </c>
      <c r="W118">
        <v>2</v>
      </c>
      <c r="X118">
        <v>2</v>
      </c>
      <c r="Y118">
        <v>0</v>
      </c>
      <c r="Z118">
        <v>0</v>
      </c>
      <c r="AA118">
        <v>0</v>
      </c>
      <c r="AB118">
        <v>0</v>
      </c>
      <c r="AC118">
        <v>0</v>
      </c>
      <c r="AD118">
        <v>0</v>
      </c>
      <c r="AE118">
        <v>0</v>
      </c>
      <c r="AF118">
        <v>2</v>
      </c>
      <c r="AG118">
        <v>0</v>
      </c>
      <c r="AH118">
        <v>0</v>
      </c>
      <c r="AI118">
        <v>0</v>
      </c>
      <c r="AJ118">
        <v>0</v>
      </c>
      <c r="AK118">
        <v>0</v>
      </c>
      <c r="AL118">
        <v>0</v>
      </c>
      <c r="AM118">
        <v>0</v>
      </c>
      <c r="AN118">
        <v>0</v>
      </c>
      <c r="AO118">
        <v>0</v>
      </c>
      <c r="AP118">
        <v>0</v>
      </c>
      <c r="AQ118">
        <v>0</v>
      </c>
      <c r="AR118">
        <v>0</v>
      </c>
      <c r="AS118">
        <v>0</v>
      </c>
      <c r="AT118">
        <v>0</v>
      </c>
      <c r="AU118">
        <v>0</v>
      </c>
      <c r="AV118">
        <v>0</v>
      </c>
    </row>
    <row r="119" spans="1:48" ht="15.75" customHeight="1" x14ac:dyDescent="0.25">
      <c r="A119">
        <v>1</v>
      </c>
      <c r="B119">
        <v>1</v>
      </c>
      <c r="C119">
        <v>1</v>
      </c>
      <c r="D119">
        <v>1</v>
      </c>
      <c r="E119">
        <v>1994</v>
      </c>
      <c r="F119">
        <v>2</v>
      </c>
      <c r="G119">
        <v>75</v>
      </c>
      <c r="H119">
        <v>0</v>
      </c>
      <c r="I119">
        <v>0</v>
      </c>
      <c r="J119">
        <v>0</v>
      </c>
      <c r="K119">
        <v>0</v>
      </c>
      <c r="L119">
        <v>0</v>
      </c>
      <c r="M119">
        <v>0</v>
      </c>
      <c r="N119">
        <v>0</v>
      </c>
      <c r="O119">
        <v>0</v>
      </c>
      <c r="P119">
        <v>0</v>
      </c>
      <c r="Q119">
        <v>0</v>
      </c>
      <c r="R119">
        <v>0</v>
      </c>
      <c r="S119">
        <v>0</v>
      </c>
      <c r="T119">
        <v>9</v>
      </c>
      <c r="U119">
        <v>15</v>
      </c>
      <c r="V119">
        <v>6</v>
      </c>
      <c r="W119">
        <v>10</v>
      </c>
      <c r="X119">
        <v>11</v>
      </c>
      <c r="Y119">
        <v>9</v>
      </c>
      <c r="Z119">
        <v>7</v>
      </c>
      <c r="AA119">
        <v>1</v>
      </c>
      <c r="AB119">
        <v>5</v>
      </c>
      <c r="AC119">
        <v>0</v>
      </c>
      <c r="AD119">
        <v>0</v>
      </c>
      <c r="AE119">
        <v>0</v>
      </c>
      <c r="AF119">
        <v>0</v>
      </c>
      <c r="AG119">
        <v>0</v>
      </c>
      <c r="AH119">
        <v>2</v>
      </c>
      <c r="AI119">
        <v>0</v>
      </c>
      <c r="AJ119">
        <v>0</v>
      </c>
      <c r="AK119">
        <v>0</v>
      </c>
      <c r="AL119">
        <v>0</v>
      </c>
      <c r="AM119">
        <v>0</v>
      </c>
      <c r="AN119">
        <v>0</v>
      </c>
      <c r="AO119">
        <v>0</v>
      </c>
      <c r="AP119">
        <v>0</v>
      </c>
      <c r="AQ119">
        <v>0</v>
      </c>
      <c r="AR119">
        <v>0</v>
      </c>
      <c r="AS119">
        <v>0</v>
      </c>
      <c r="AT119">
        <v>0</v>
      </c>
      <c r="AU119">
        <v>0</v>
      </c>
      <c r="AV119">
        <v>0</v>
      </c>
    </row>
    <row r="120" spans="1:48" ht="15.75" customHeight="1" x14ac:dyDescent="0.25">
      <c r="A120">
        <v>1</v>
      </c>
      <c r="B120">
        <v>1</v>
      </c>
      <c r="C120">
        <v>1</v>
      </c>
      <c r="D120">
        <v>1</v>
      </c>
      <c r="E120">
        <v>1994</v>
      </c>
      <c r="F120">
        <v>3</v>
      </c>
      <c r="G120">
        <v>66</v>
      </c>
      <c r="H120">
        <v>0</v>
      </c>
      <c r="I120">
        <v>0</v>
      </c>
      <c r="J120">
        <v>0</v>
      </c>
      <c r="K120">
        <v>0</v>
      </c>
      <c r="L120">
        <v>0</v>
      </c>
      <c r="M120">
        <v>0</v>
      </c>
      <c r="N120">
        <v>0</v>
      </c>
      <c r="O120">
        <v>0</v>
      </c>
      <c r="P120">
        <v>0</v>
      </c>
      <c r="Q120">
        <v>0</v>
      </c>
      <c r="R120">
        <v>0</v>
      </c>
      <c r="S120">
        <v>0</v>
      </c>
      <c r="T120">
        <v>12</v>
      </c>
      <c r="U120">
        <v>26</v>
      </c>
      <c r="V120">
        <v>10</v>
      </c>
      <c r="W120">
        <v>6</v>
      </c>
      <c r="X120">
        <v>0</v>
      </c>
      <c r="Y120">
        <v>2</v>
      </c>
      <c r="Z120">
        <v>6</v>
      </c>
      <c r="AA120">
        <v>0</v>
      </c>
      <c r="AB120">
        <v>0</v>
      </c>
      <c r="AC120">
        <v>0</v>
      </c>
      <c r="AD120">
        <v>0</v>
      </c>
      <c r="AE120">
        <v>0</v>
      </c>
      <c r="AF120">
        <v>2</v>
      </c>
      <c r="AG120">
        <v>2</v>
      </c>
      <c r="AH120">
        <v>0</v>
      </c>
      <c r="AI120">
        <v>0</v>
      </c>
      <c r="AJ120">
        <v>0</v>
      </c>
      <c r="AK120">
        <v>0</v>
      </c>
      <c r="AL120">
        <v>0</v>
      </c>
      <c r="AM120">
        <v>0</v>
      </c>
      <c r="AN120">
        <v>0</v>
      </c>
      <c r="AO120">
        <v>0</v>
      </c>
      <c r="AP120">
        <v>0</v>
      </c>
      <c r="AQ120">
        <v>0</v>
      </c>
      <c r="AR120">
        <v>0</v>
      </c>
      <c r="AS120">
        <v>0</v>
      </c>
      <c r="AT120">
        <v>0</v>
      </c>
      <c r="AU120">
        <v>0</v>
      </c>
      <c r="AV120">
        <v>0</v>
      </c>
    </row>
    <row r="121" spans="1:48" ht="15.75" customHeight="1" x14ac:dyDescent="0.25">
      <c r="A121">
        <v>1</v>
      </c>
      <c r="B121">
        <v>1</v>
      </c>
      <c r="C121">
        <v>1</v>
      </c>
      <c r="D121">
        <v>1</v>
      </c>
      <c r="E121">
        <v>1994</v>
      </c>
      <c r="F121">
        <v>6</v>
      </c>
      <c r="G121">
        <v>34</v>
      </c>
      <c r="H121">
        <v>0</v>
      </c>
      <c r="I121">
        <v>0</v>
      </c>
      <c r="J121">
        <v>0</v>
      </c>
      <c r="K121">
        <v>0</v>
      </c>
      <c r="L121">
        <v>0</v>
      </c>
      <c r="M121">
        <v>0</v>
      </c>
      <c r="N121">
        <v>0</v>
      </c>
      <c r="O121">
        <v>0</v>
      </c>
      <c r="P121">
        <v>0</v>
      </c>
      <c r="Q121">
        <v>0</v>
      </c>
      <c r="R121">
        <v>0</v>
      </c>
      <c r="S121">
        <v>0</v>
      </c>
      <c r="T121">
        <v>2</v>
      </c>
      <c r="U121">
        <v>2</v>
      </c>
      <c r="V121">
        <v>6</v>
      </c>
      <c r="W121">
        <v>4</v>
      </c>
      <c r="X121">
        <v>2</v>
      </c>
      <c r="Y121">
        <v>0</v>
      </c>
      <c r="Z121">
        <v>2</v>
      </c>
      <c r="AA121">
        <v>4</v>
      </c>
      <c r="AB121">
        <v>0</v>
      </c>
      <c r="AC121">
        <v>2</v>
      </c>
      <c r="AD121">
        <v>0</v>
      </c>
      <c r="AE121">
        <v>6</v>
      </c>
      <c r="AF121">
        <v>2</v>
      </c>
      <c r="AG121">
        <v>0</v>
      </c>
      <c r="AH121">
        <v>0</v>
      </c>
      <c r="AI121">
        <v>2</v>
      </c>
      <c r="AJ121">
        <v>0</v>
      </c>
      <c r="AK121">
        <v>0</v>
      </c>
      <c r="AL121">
        <v>0</v>
      </c>
      <c r="AM121">
        <v>0</v>
      </c>
      <c r="AN121">
        <v>0</v>
      </c>
      <c r="AO121">
        <v>0</v>
      </c>
      <c r="AP121">
        <v>0</v>
      </c>
      <c r="AQ121">
        <v>0</v>
      </c>
      <c r="AR121">
        <v>0</v>
      </c>
      <c r="AS121">
        <v>0</v>
      </c>
      <c r="AT121">
        <v>0</v>
      </c>
      <c r="AU121">
        <v>0</v>
      </c>
      <c r="AV121">
        <v>0</v>
      </c>
    </row>
    <row r="122" spans="1:48" ht="15.75" customHeight="1" x14ac:dyDescent="0.25">
      <c r="A122">
        <v>1</v>
      </c>
      <c r="B122">
        <v>1</v>
      </c>
      <c r="C122">
        <v>1</v>
      </c>
      <c r="D122">
        <v>1</v>
      </c>
      <c r="E122">
        <v>1995</v>
      </c>
      <c r="F122">
        <v>1</v>
      </c>
      <c r="G122">
        <v>7</v>
      </c>
      <c r="H122">
        <v>0</v>
      </c>
      <c r="I122">
        <v>0</v>
      </c>
      <c r="J122">
        <v>0</v>
      </c>
      <c r="K122">
        <v>0</v>
      </c>
      <c r="L122">
        <v>0</v>
      </c>
      <c r="M122">
        <v>0</v>
      </c>
      <c r="N122">
        <v>0</v>
      </c>
      <c r="O122">
        <v>0</v>
      </c>
      <c r="P122">
        <v>0</v>
      </c>
      <c r="Q122">
        <v>0</v>
      </c>
      <c r="R122">
        <v>0</v>
      </c>
      <c r="S122">
        <v>0</v>
      </c>
      <c r="T122">
        <v>0</v>
      </c>
      <c r="U122">
        <v>1</v>
      </c>
      <c r="V122">
        <v>0</v>
      </c>
      <c r="W122">
        <v>4</v>
      </c>
      <c r="X122">
        <v>0</v>
      </c>
      <c r="Y122">
        <v>0</v>
      </c>
      <c r="Z122">
        <v>0</v>
      </c>
      <c r="AA122">
        <v>0</v>
      </c>
      <c r="AB122">
        <v>0</v>
      </c>
      <c r="AC122">
        <v>0</v>
      </c>
      <c r="AD122">
        <v>0</v>
      </c>
      <c r="AE122">
        <v>0</v>
      </c>
      <c r="AF122">
        <v>2</v>
      </c>
      <c r="AG122">
        <v>0</v>
      </c>
      <c r="AH122">
        <v>0</v>
      </c>
      <c r="AI122">
        <v>0</v>
      </c>
      <c r="AJ122">
        <v>0</v>
      </c>
      <c r="AK122">
        <v>0</v>
      </c>
      <c r="AL122">
        <v>0</v>
      </c>
      <c r="AM122">
        <v>0</v>
      </c>
      <c r="AN122">
        <v>0</v>
      </c>
      <c r="AO122">
        <v>0</v>
      </c>
      <c r="AP122">
        <v>0</v>
      </c>
      <c r="AQ122">
        <v>0</v>
      </c>
      <c r="AR122">
        <v>0</v>
      </c>
      <c r="AS122">
        <v>0</v>
      </c>
      <c r="AT122">
        <v>0</v>
      </c>
      <c r="AU122">
        <v>0</v>
      </c>
      <c r="AV122">
        <v>0</v>
      </c>
    </row>
    <row r="123" spans="1:48" ht="15.75" customHeight="1" x14ac:dyDescent="0.25">
      <c r="A123">
        <v>1</v>
      </c>
      <c r="B123">
        <v>1</v>
      </c>
      <c r="C123">
        <v>1</v>
      </c>
      <c r="D123">
        <v>1</v>
      </c>
      <c r="E123">
        <v>1995</v>
      </c>
      <c r="F123">
        <v>2</v>
      </c>
      <c r="G123">
        <v>68</v>
      </c>
      <c r="H123">
        <v>0</v>
      </c>
      <c r="I123">
        <v>0</v>
      </c>
      <c r="J123">
        <v>0</v>
      </c>
      <c r="K123">
        <v>0</v>
      </c>
      <c r="L123">
        <v>0</v>
      </c>
      <c r="M123">
        <v>0</v>
      </c>
      <c r="N123">
        <v>0</v>
      </c>
      <c r="O123">
        <v>0</v>
      </c>
      <c r="P123">
        <v>0</v>
      </c>
      <c r="Q123">
        <v>0</v>
      </c>
      <c r="R123">
        <v>0</v>
      </c>
      <c r="S123">
        <v>0</v>
      </c>
      <c r="T123">
        <v>4</v>
      </c>
      <c r="U123">
        <v>3</v>
      </c>
      <c r="V123">
        <v>8</v>
      </c>
      <c r="W123">
        <v>4</v>
      </c>
      <c r="X123">
        <v>2</v>
      </c>
      <c r="Y123">
        <v>0</v>
      </c>
      <c r="Z123">
        <v>12</v>
      </c>
      <c r="AA123">
        <v>4</v>
      </c>
      <c r="AB123">
        <v>5</v>
      </c>
      <c r="AC123">
        <v>2</v>
      </c>
      <c r="AD123">
        <v>0</v>
      </c>
      <c r="AE123">
        <v>4</v>
      </c>
      <c r="AF123">
        <v>2</v>
      </c>
      <c r="AG123">
        <v>2</v>
      </c>
      <c r="AH123">
        <v>0</v>
      </c>
      <c r="AI123">
        <v>4</v>
      </c>
      <c r="AJ123">
        <v>0</v>
      </c>
      <c r="AK123">
        <v>2</v>
      </c>
      <c r="AL123">
        <v>6</v>
      </c>
      <c r="AM123">
        <v>2</v>
      </c>
      <c r="AN123">
        <v>2</v>
      </c>
      <c r="AO123">
        <v>0</v>
      </c>
      <c r="AP123">
        <v>0</v>
      </c>
      <c r="AQ123">
        <v>0</v>
      </c>
      <c r="AR123">
        <v>0</v>
      </c>
      <c r="AS123">
        <v>0</v>
      </c>
      <c r="AT123">
        <v>0</v>
      </c>
      <c r="AU123">
        <v>0</v>
      </c>
      <c r="AV123">
        <v>0</v>
      </c>
    </row>
    <row r="124" spans="1:48" ht="15.75" customHeight="1" x14ac:dyDescent="0.25">
      <c r="A124">
        <v>1</v>
      </c>
      <c r="B124">
        <v>1</v>
      </c>
      <c r="C124">
        <v>1</v>
      </c>
      <c r="D124">
        <v>1</v>
      </c>
      <c r="E124">
        <v>1995</v>
      </c>
      <c r="F124">
        <v>3</v>
      </c>
      <c r="G124">
        <v>30</v>
      </c>
      <c r="H124">
        <v>0</v>
      </c>
      <c r="I124">
        <v>0</v>
      </c>
      <c r="J124">
        <v>0</v>
      </c>
      <c r="K124">
        <v>0</v>
      </c>
      <c r="L124">
        <v>0</v>
      </c>
      <c r="M124">
        <v>0</v>
      </c>
      <c r="N124">
        <v>0</v>
      </c>
      <c r="O124">
        <v>0</v>
      </c>
      <c r="P124">
        <v>0</v>
      </c>
      <c r="Q124">
        <v>0</v>
      </c>
      <c r="R124">
        <v>0</v>
      </c>
      <c r="S124">
        <v>0</v>
      </c>
      <c r="T124">
        <v>10</v>
      </c>
      <c r="U124">
        <v>6</v>
      </c>
      <c r="V124">
        <v>0</v>
      </c>
      <c r="W124">
        <v>0</v>
      </c>
      <c r="X124">
        <v>2</v>
      </c>
      <c r="Y124">
        <v>2</v>
      </c>
      <c r="Z124">
        <v>4</v>
      </c>
      <c r="AA124">
        <v>0</v>
      </c>
      <c r="AB124">
        <v>0</v>
      </c>
      <c r="AC124">
        <v>0</v>
      </c>
      <c r="AD124">
        <v>0</v>
      </c>
      <c r="AE124">
        <v>2</v>
      </c>
      <c r="AF124">
        <v>0</v>
      </c>
      <c r="AG124">
        <v>0</v>
      </c>
      <c r="AH124">
        <v>2</v>
      </c>
      <c r="AI124">
        <v>0</v>
      </c>
      <c r="AJ124">
        <v>2</v>
      </c>
      <c r="AK124">
        <v>0</v>
      </c>
      <c r="AL124">
        <v>0</v>
      </c>
      <c r="AM124">
        <v>0</v>
      </c>
      <c r="AN124">
        <v>0</v>
      </c>
      <c r="AO124">
        <v>0</v>
      </c>
      <c r="AP124">
        <v>0</v>
      </c>
      <c r="AQ124">
        <v>0</v>
      </c>
      <c r="AR124">
        <v>0</v>
      </c>
      <c r="AS124">
        <v>0</v>
      </c>
      <c r="AT124">
        <v>0</v>
      </c>
      <c r="AU124">
        <v>0</v>
      </c>
      <c r="AV124">
        <v>0</v>
      </c>
    </row>
    <row r="125" spans="1:48" ht="15.75" customHeight="1" x14ac:dyDescent="0.25">
      <c r="A125">
        <v>1</v>
      </c>
      <c r="B125">
        <v>1</v>
      </c>
      <c r="C125">
        <v>1</v>
      </c>
      <c r="D125">
        <v>1</v>
      </c>
      <c r="E125">
        <v>1996</v>
      </c>
      <c r="F125">
        <v>1</v>
      </c>
      <c r="G125">
        <v>4</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2</v>
      </c>
      <c r="AI125">
        <v>2</v>
      </c>
      <c r="AJ125">
        <v>0</v>
      </c>
      <c r="AK125">
        <v>0</v>
      </c>
      <c r="AL125">
        <v>0</v>
      </c>
      <c r="AM125">
        <v>0</v>
      </c>
      <c r="AN125">
        <v>0</v>
      </c>
      <c r="AO125">
        <v>0</v>
      </c>
      <c r="AP125">
        <v>0</v>
      </c>
      <c r="AQ125">
        <v>0</v>
      </c>
      <c r="AR125">
        <v>0</v>
      </c>
      <c r="AS125">
        <v>0</v>
      </c>
      <c r="AT125">
        <v>0</v>
      </c>
      <c r="AU125">
        <v>0</v>
      </c>
      <c r="AV125">
        <v>0</v>
      </c>
    </row>
    <row r="126" spans="1:48" ht="15.75" customHeight="1" x14ac:dyDescent="0.25">
      <c r="A126">
        <v>1</v>
      </c>
      <c r="B126">
        <v>1</v>
      </c>
      <c r="C126">
        <v>1</v>
      </c>
      <c r="D126">
        <v>1</v>
      </c>
      <c r="E126">
        <v>1996</v>
      </c>
      <c r="F126">
        <v>2</v>
      </c>
      <c r="G126">
        <v>72</v>
      </c>
      <c r="H126">
        <v>0</v>
      </c>
      <c r="I126">
        <v>0</v>
      </c>
      <c r="J126">
        <v>0</v>
      </c>
      <c r="K126">
        <v>0</v>
      </c>
      <c r="L126">
        <v>0</v>
      </c>
      <c r="M126">
        <v>0</v>
      </c>
      <c r="N126">
        <v>0</v>
      </c>
      <c r="O126">
        <v>0</v>
      </c>
      <c r="P126">
        <v>0</v>
      </c>
      <c r="Q126">
        <v>0</v>
      </c>
      <c r="R126">
        <v>0</v>
      </c>
      <c r="S126">
        <v>0</v>
      </c>
      <c r="T126">
        <v>8</v>
      </c>
      <c r="U126">
        <v>1</v>
      </c>
      <c r="V126">
        <v>3</v>
      </c>
      <c r="W126">
        <v>4</v>
      </c>
      <c r="X126">
        <v>6</v>
      </c>
      <c r="Y126">
        <v>6</v>
      </c>
      <c r="Z126">
        <v>9</v>
      </c>
      <c r="AA126">
        <v>1</v>
      </c>
      <c r="AB126">
        <v>2</v>
      </c>
      <c r="AC126">
        <v>7</v>
      </c>
      <c r="AD126">
        <v>2</v>
      </c>
      <c r="AE126">
        <v>1</v>
      </c>
      <c r="AF126">
        <v>1</v>
      </c>
      <c r="AG126">
        <v>1</v>
      </c>
      <c r="AH126">
        <v>2</v>
      </c>
      <c r="AI126">
        <v>1</v>
      </c>
      <c r="AJ126">
        <v>2</v>
      </c>
      <c r="AK126">
        <v>3</v>
      </c>
      <c r="AL126">
        <v>0</v>
      </c>
      <c r="AM126">
        <v>2</v>
      </c>
      <c r="AN126">
        <v>2</v>
      </c>
      <c r="AO126">
        <v>0</v>
      </c>
      <c r="AP126">
        <v>0</v>
      </c>
      <c r="AQ126">
        <v>8</v>
      </c>
      <c r="AR126">
        <v>0</v>
      </c>
      <c r="AS126">
        <v>0</v>
      </c>
      <c r="AT126">
        <v>0</v>
      </c>
      <c r="AU126">
        <v>0</v>
      </c>
      <c r="AV126">
        <v>0</v>
      </c>
    </row>
    <row r="127" spans="1:48" ht="15.75" customHeight="1" x14ac:dyDescent="0.25">
      <c r="A127">
        <v>1</v>
      </c>
      <c r="B127">
        <v>1</v>
      </c>
      <c r="C127">
        <v>1</v>
      </c>
      <c r="D127">
        <v>1</v>
      </c>
      <c r="E127">
        <v>1996</v>
      </c>
      <c r="F127">
        <v>3</v>
      </c>
      <c r="G127">
        <v>58</v>
      </c>
      <c r="H127">
        <v>0</v>
      </c>
      <c r="I127">
        <v>0</v>
      </c>
      <c r="J127">
        <v>0</v>
      </c>
      <c r="K127">
        <v>0</v>
      </c>
      <c r="L127">
        <v>0</v>
      </c>
      <c r="M127">
        <v>0</v>
      </c>
      <c r="N127">
        <v>0</v>
      </c>
      <c r="O127">
        <v>0</v>
      </c>
      <c r="P127">
        <v>0</v>
      </c>
      <c r="Q127">
        <v>0</v>
      </c>
      <c r="R127">
        <v>0</v>
      </c>
      <c r="S127">
        <v>0</v>
      </c>
      <c r="T127">
        <v>10</v>
      </c>
      <c r="U127">
        <v>20</v>
      </c>
      <c r="V127">
        <v>6</v>
      </c>
      <c r="W127">
        <v>10</v>
      </c>
      <c r="X127">
        <v>1</v>
      </c>
      <c r="Y127">
        <v>0</v>
      </c>
      <c r="Z127">
        <v>1</v>
      </c>
      <c r="AA127">
        <v>1</v>
      </c>
      <c r="AB127">
        <v>3</v>
      </c>
      <c r="AC127">
        <v>0</v>
      </c>
      <c r="AD127">
        <v>0</v>
      </c>
      <c r="AE127">
        <v>0</v>
      </c>
      <c r="AF127">
        <v>0</v>
      </c>
      <c r="AG127">
        <v>0</v>
      </c>
      <c r="AH127">
        <v>0</v>
      </c>
      <c r="AI127">
        <v>0</v>
      </c>
      <c r="AJ127">
        <v>0</v>
      </c>
      <c r="AK127">
        <v>0</v>
      </c>
      <c r="AL127">
        <v>0</v>
      </c>
      <c r="AM127">
        <v>0</v>
      </c>
      <c r="AN127">
        <v>0</v>
      </c>
      <c r="AO127">
        <v>0</v>
      </c>
      <c r="AP127">
        <v>0</v>
      </c>
      <c r="AQ127">
        <v>6</v>
      </c>
      <c r="AR127">
        <v>0</v>
      </c>
      <c r="AS127">
        <v>0</v>
      </c>
      <c r="AT127">
        <v>0</v>
      </c>
      <c r="AU127">
        <v>0</v>
      </c>
      <c r="AV127">
        <v>0</v>
      </c>
    </row>
    <row r="128" spans="1:48" ht="15.75" customHeight="1" x14ac:dyDescent="0.25">
      <c r="A128">
        <v>1</v>
      </c>
      <c r="B128">
        <v>1</v>
      </c>
      <c r="C128">
        <v>1</v>
      </c>
      <c r="D128">
        <v>1</v>
      </c>
      <c r="E128">
        <v>1996</v>
      </c>
      <c r="F128">
        <v>6</v>
      </c>
      <c r="G128">
        <v>43</v>
      </c>
      <c r="H128">
        <v>0</v>
      </c>
      <c r="I128">
        <v>0</v>
      </c>
      <c r="J128">
        <v>0</v>
      </c>
      <c r="K128">
        <v>0</v>
      </c>
      <c r="L128">
        <v>0</v>
      </c>
      <c r="M128">
        <v>0</v>
      </c>
      <c r="N128">
        <v>0</v>
      </c>
      <c r="O128">
        <v>0</v>
      </c>
      <c r="P128">
        <v>0</v>
      </c>
      <c r="Q128">
        <v>0</v>
      </c>
      <c r="R128">
        <v>0</v>
      </c>
      <c r="S128">
        <v>0</v>
      </c>
      <c r="T128">
        <v>2</v>
      </c>
      <c r="U128">
        <v>8</v>
      </c>
      <c r="V128">
        <v>15</v>
      </c>
      <c r="W128">
        <v>8</v>
      </c>
      <c r="X128">
        <v>4</v>
      </c>
      <c r="Y128">
        <v>1</v>
      </c>
      <c r="Z128">
        <v>1</v>
      </c>
      <c r="AA128">
        <v>0</v>
      </c>
      <c r="AB128">
        <v>0</v>
      </c>
      <c r="AC128">
        <v>0</v>
      </c>
      <c r="AD128">
        <v>0</v>
      </c>
      <c r="AE128">
        <v>0</v>
      </c>
      <c r="AF128">
        <v>0</v>
      </c>
      <c r="AG128">
        <v>0</v>
      </c>
      <c r="AH128">
        <v>0</v>
      </c>
      <c r="AI128">
        <v>0</v>
      </c>
      <c r="AJ128">
        <v>0</v>
      </c>
      <c r="AK128">
        <v>0</v>
      </c>
      <c r="AL128">
        <v>0</v>
      </c>
      <c r="AM128">
        <v>0</v>
      </c>
      <c r="AN128">
        <v>0</v>
      </c>
      <c r="AO128">
        <v>0</v>
      </c>
      <c r="AP128">
        <v>2</v>
      </c>
      <c r="AQ128">
        <v>2</v>
      </c>
      <c r="AR128">
        <v>0</v>
      </c>
      <c r="AS128">
        <v>0</v>
      </c>
      <c r="AT128">
        <v>0</v>
      </c>
      <c r="AU128">
        <v>0</v>
      </c>
      <c r="AV128">
        <v>0</v>
      </c>
    </row>
    <row r="129" spans="1:48" ht="15.75" customHeight="1" x14ac:dyDescent="0.25">
      <c r="A129">
        <v>1</v>
      </c>
      <c r="B129">
        <v>1</v>
      </c>
      <c r="C129">
        <v>1</v>
      </c>
      <c r="D129">
        <v>1</v>
      </c>
      <c r="E129">
        <v>1997</v>
      </c>
      <c r="F129">
        <v>1</v>
      </c>
      <c r="G129">
        <v>25</v>
      </c>
      <c r="H129">
        <v>0</v>
      </c>
      <c r="I129">
        <v>0</v>
      </c>
      <c r="J129">
        <v>0</v>
      </c>
      <c r="K129">
        <v>0</v>
      </c>
      <c r="L129">
        <v>0</v>
      </c>
      <c r="M129">
        <v>0</v>
      </c>
      <c r="N129">
        <v>0</v>
      </c>
      <c r="O129">
        <v>0</v>
      </c>
      <c r="P129">
        <v>0</v>
      </c>
      <c r="Q129">
        <v>0</v>
      </c>
      <c r="R129">
        <v>0</v>
      </c>
      <c r="S129">
        <v>0</v>
      </c>
      <c r="T129">
        <v>3</v>
      </c>
      <c r="U129">
        <v>5</v>
      </c>
      <c r="V129">
        <v>4</v>
      </c>
      <c r="W129">
        <v>3</v>
      </c>
      <c r="X129">
        <v>0</v>
      </c>
      <c r="Y129">
        <v>2</v>
      </c>
      <c r="Z129">
        <v>3</v>
      </c>
      <c r="AA129">
        <v>1</v>
      </c>
      <c r="AB129">
        <v>0</v>
      </c>
      <c r="AC129">
        <v>0</v>
      </c>
      <c r="AD129">
        <v>0</v>
      </c>
      <c r="AE129">
        <v>0</v>
      </c>
      <c r="AF129">
        <v>1</v>
      </c>
      <c r="AG129">
        <v>0</v>
      </c>
      <c r="AH129">
        <v>0</v>
      </c>
      <c r="AI129">
        <v>0</v>
      </c>
      <c r="AJ129">
        <v>0</v>
      </c>
      <c r="AK129">
        <v>0</v>
      </c>
      <c r="AL129">
        <v>0</v>
      </c>
      <c r="AM129">
        <v>1</v>
      </c>
      <c r="AN129">
        <v>0</v>
      </c>
      <c r="AO129">
        <v>0</v>
      </c>
      <c r="AP129">
        <v>0</v>
      </c>
      <c r="AQ129">
        <v>2</v>
      </c>
      <c r="AR129">
        <v>0</v>
      </c>
      <c r="AS129">
        <v>0</v>
      </c>
      <c r="AT129">
        <v>0</v>
      </c>
      <c r="AU129">
        <v>0</v>
      </c>
      <c r="AV129">
        <v>0</v>
      </c>
    </row>
    <row r="130" spans="1:48" ht="15.75" customHeight="1" x14ac:dyDescent="0.25">
      <c r="A130">
        <v>1</v>
      </c>
      <c r="B130">
        <v>1</v>
      </c>
      <c r="C130">
        <v>1</v>
      </c>
      <c r="D130">
        <v>1</v>
      </c>
      <c r="E130">
        <v>1997</v>
      </c>
      <c r="F130">
        <v>2</v>
      </c>
      <c r="G130">
        <v>58</v>
      </c>
      <c r="H130">
        <v>0</v>
      </c>
      <c r="I130">
        <v>0</v>
      </c>
      <c r="J130">
        <v>0</v>
      </c>
      <c r="K130">
        <v>0</v>
      </c>
      <c r="L130">
        <v>0</v>
      </c>
      <c r="M130">
        <v>0</v>
      </c>
      <c r="N130">
        <v>0</v>
      </c>
      <c r="O130">
        <v>0</v>
      </c>
      <c r="P130">
        <v>0</v>
      </c>
      <c r="Q130">
        <v>0</v>
      </c>
      <c r="R130">
        <v>0</v>
      </c>
      <c r="S130">
        <v>0</v>
      </c>
      <c r="T130">
        <v>3</v>
      </c>
      <c r="U130">
        <v>16</v>
      </c>
      <c r="V130">
        <v>8</v>
      </c>
      <c r="W130">
        <v>3</v>
      </c>
      <c r="X130">
        <v>2</v>
      </c>
      <c r="Y130">
        <v>5</v>
      </c>
      <c r="Z130">
        <v>3</v>
      </c>
      <c r="AA130">
        <v>4</v>
      </c>
      <c r="AB130">
        <v>0</v>
      </c>
      <c r="AC130">
        <v>2</v>
      </c>
      <c r="AD130">
        <v>0</v>
      </c>
      <c r="AE130">
        <v>1</v>
      </c>
      <c r="AF130">
        <v>1</v>
      </c>
      <c r="AG130">
        <v>2</v>
      </c>
      <c r="AH130">
        <v>1</v>
      </c>
      <c r="AI130">
        <v>0</v>
      </c>
      <c r="AJ130">
        <v>0</v>
      </c>
      <c r="AK130">
        <v>1</v>
      </c>
      <c r="AL130">
        <v>0</v>
      </c>
      <c r="AM130">
        <v>1</v>
      </c>
      <c r="AN130">
        <v>1</v>
      </c>
      <c r="AO130">
        <v>1</v>
      </c>
      <c r="AP130">
        <v>3</v>
      </c>
      <c r="AQ130">
        <v>0</v>
      </c>
      <c r="AR130">
        <v>0</v>
      </c>
      <c r="AS130">
        <v>0</v>
      </c>
      <c r="AT130">
        <v>0</v>
      </c>
      <c r="AU130">
        <v>0</v>
      </c>
      <c r="AV130">
        <v>0</v>
      </c>
    </row>
    <row r="131" spans="1:48" ht="15.75" customHeight="1" x14ac:dyDescent="0.25">
      <c r="A131">
        <v>1</v>
      </c>
      <c r="B131">
        <v>1</v>
      </c>
      <c r="C131">
        <v>1</v>
      </c>
      <c r="D131">
        <v>1</v>
      </c>
      <c r="E131">
        <v>1997</v>
      </c>
      <c r="F131">
        <v>3</v>
      </c>
      <c r="G131">
        <v>89</v>
      </c>
      <c r="H131">
        <v>0</v>
      </c>
      <c r="I131">
        <v>0</v>
      </c>
      <c r="J131">
        <v>0</v>
      </c>
      <c r="K131">
        <v>0</v>
      </c>
      <c r="L131">
        <v>0</v>
      </c>
      <c r="M131">
        <v>0</v>
      </c>
      <c r="N131">
        <v>0</v>
      </c>
      <c r="O131">
        <v>0</v>
      </c>
      <c r="P131">
        <v>0</v>
      </c>
      <c r="Q131">
        <v>0</v>
      </c>
      <c r="R131">
        <v>0</v>
      </c>
      <c r="S131">
        <v>0</v>
      </c>
      <c r="T131">
        <v>25</v>
      </c>
      <c r="U131">
        <v>24</v>
      </c>
      <c r="V131">
        <v>12</v>
      </c>
      <c r="W131">
        <v>3</v>
      </c>
      <c r="X131">
        <v>6</v>
      </c>
      <c r="Y131">
        <v>2</v>
      </c>
      <c r="Z131">
        <v>6</v>
      </c>
      <c r="AA131">
        <v>5</v>
      </c>
      <c r="AB131">
        <v>5</v>
      </c>
      <c r="AC131">
        <v>0</v>
      </c>
      <c r="AD131">
        <v>0</v>
      </c>
      <c r="AE131">
        <v>0</v>
      </c>
      <c r="AF131">
        <v>1</v>
      </c>
      <c r="AG131">
        <v>0</v>
      </c>
      <c r="AH131">
        <v>0</v>
      </c>
      <c r="AI131">
        <v>0</v>
      </c>
      <c r="AJ131">
        <v>0</v>
      </c>
      <c r="AK131">
        <v>0</v>
      </c>
      <c r="AL131">
        <v>0</v>
      </c>
      <c r="AM131">
        <v>0</v>
      </c>
      <c r="AN131">
        <v>0</v>
      </c>
      <c r="AO131">
        <v>0</v>
      </c>
      <c r="AP131">
        <v>0</v>
      </c>
      <c r="AQ131">
        <v>0</v>
      </c>
      <c r="AR131">
        <v>0</v>
      </c>
      <c r="AS131">
        <v>0</v>
      </c>
      <c r="AT131">
        <v>0</v>
      </c>
      <c r="AU131">
        <v>0</v>
      </c>
      <c r="AV131">
        <v>0</v>
      </c>
    </row>
    <row r="132" spans="1:48" ht="15.75" customHeight="1" x14ac:dyDescent="0.25">
      <c r="A132">
        <v>1</v>
      </c>
      <c r="B132">
        <v>1</v>
      </c>
      <c r="C132">
        <v>1</v>
      </c>
      <c r="D132">
        <v>1</v>
      </c>
      <c r="E132">
        <v>1997</v>
      </c>
      <c r="F132">
        <v>6</v>
      </c>
      <c r="G132">
        <v>31</v>
      </c>
      <c r="H132">
        <v>0</v>
      </c>
      <c r="I132">
        <v>0</v>
      </c>
      <c r="J132">
        <v>0</v>
      </c>
      <c r="K132">
        <v>0</v>
      </c>
      <c r="L132">
        <v>0</v>
      </c>
      <c r="M132">
        <v>0</v>
      </c>
      <c r="N132">
        <v>0</v>
      </c>
      <c r="O132">
        <v>0</v>
      </c>
      <c r="P132">
        <v>0</v>
      </c>
      <c r="Q132">
        <v>0</v>
      </c>
      <c r="R132">
        <v>0</v>
      </c>
      <c r="S132">
        <v>0</v>
      </c>
      <c r="T132">
        <v>1</v>
      </c>
      <c r="U132">
        <v>10</v>
      </c>
      <c r="V132">
        <v>10</v>
      </c>
      <c r="W132">
        <v>3</v>
      </c>
      <c r="X132">
        <v>2</v>
      </c>
      <c r="Y132">
        <v>1</v>
      </c>
      <c r="Z132">
        <v>0</v>
      </c>
      <c r="AA132">
        <v>1</v>
      </c>
      <c r="AB132">
        <v>2</v>
      </c>
      <c r="AC132">
        <v>0</v>
      </c>
      <c r="AD132">
        <v>0</v>
      </c>
      <c r="AE132">
        <v>1</v>
      </c>
      <c r="AF132">
        <v>0</v>
      </c>
      <c r="AG132">
        <v>0</v>
      </c>
      <c r="AH132">
        <v>0</v>
      </c>
      <c r="AI132">
        <v>0</v>
      </c>
      <c r="AJ132">
        <v>0</v>
      </c>
      <c r="AK132">
        <v>0</v>
      </c>
      <c r="AL132">
        <v>0</v>
      </c>
      <c r="AM132">
        <v>0</v>
      </c>
      <c r="AN132">
        <v>0</v>
      </c>
      <c r="AO132">
        <v>0</v>
      </c>
      <c r="AP132">
        <v>0</v>
      </c>
      <c r="AQ132">
        <v>0</v>
      </c>
      <c r="AR132">
        <v>0</v>
      </c>
      <c r="AS132">
        <v>0</v>
      </c>
      <c r="AT132">
        <v>0</v>
      </c>
      <c r="AU132">
        <v>0</v>
      </c>
      <c r="AV132">
        <v>0</v>
      </c>
    </row>
    <row r="133" spans="1:48" ht="15.75" customHeight="1" x14ac:dyDescent="0.25">
      <c r="A133">
        <v>1</v>
      </c>
      <c r="B133">
        <v>1</v>
      </c>
      <c r="C133">
        <v>1</v>
      </c>
      <c r="D133">
        <v>1</v>
      </c>
      <c r="E133">
        <v>1998</v>
      </c>
      <c r="F133">
        <v>1</v>
      </c>
      <c r="G133">
        <v>12</v>
      </c>
      <c r="H133">
        <v>0</v>
      </c>
      <c r="I133">
        <v>0</v>
      </c>
      <c r="J133">
        <v>0</v>
      </c>
      <c r="K133">
        <v>0</v>
      </c>
      <c r="L133">
        <v>0</v>
      </c>
      <c r="M133">
        <v>0</v>
      </c>
      <c r="N133">
        <v>0</v>
      </c>
      <c r="O133">
        <v>0</v>
      </c>
      <c r="P133">
        <v>0</v>
      </c>
      <c r="Q133">
        <v>0</v>
      </c>
      <c r="R133">
        <v>0</v>
      </c>
      <c r="S133">
        <v>0</v>
      </c>
      <c r="T133">
        <v>2</v>
      </c>
      <c r="U133">
        <v>4</v>
      </c>
      <c r="V133">
        <v>0</v>
      </c>
      <c r="W133">
        <v>0</v>
      </c>
      <c r="X133">
        <v>3</v>
      </c>
      <c r="Y133">
        <v>1</v>
      </c>
      <c r="Z133">
        <v>0</v>
      </c>
      <c r="AA133">
        <v>0</v>
      </c>
      <c r="AB133">
        <v>0</v>
      </c>
      <c r="AC133">
        <v>1</v>
      </c>
      <c r="AD133">
        <v>0</v>
      </c>
      <c r="AE133">
        <v>0</v>
      </c>
      <c r="AF133">
        <v>0</v>
      </c>
      <c r="AG133">
        <v>0</v>
      </c>
      <c r="AH133">
        <v>0</v>
      </c>
      <c r="AI133">
        <v>0</v>
      </c>
      <c r="AJ133">
        <v>0</v>
      </c>
      <c r="AK133">
        <v>0</v>
      </c>
      <c r="AL133">
        <v>0</v>
      </c>
      <c r="AM133">
        <v>0</v>
      </c>
      <c r="AN133">
        <v>0</v>
      </c>
      <c r="AO133">
        <v>0</v>
      </c>
      <c r="AP133">
        <v>0</v>
      </c>
      <c r="AQ133">
        <v>1</v>
      </c>
      <c r="AR133">
        <v>0</v>
      </c>
      <c r="AS133">
        <v>0</v>
      </c>
      <c r="AT133">
        <v>0</v>
      </c>
      <c r="AU133">
        <v>0</v>
      </c>
      <c r="AV133">
        <v>0</v>
      </c>
    </row>
    <row r="134" spans="1:48" ht="15.75" customHeight="1" x14ac:dyDescent="0.25">
      <c r="A134">
        <v>1</v>
      </c>
      <c r="B134">
        <v>1</v>
      </c>
      <c r="C134">
        <v>1</v>
      </c>
      <c r="D134">
        <v>1</v>
      </c>
      <c r="E134">
        <v>1998</v>
      </c>
      <c r="F134">
        <v>2</v>
      </c>
      <c r="G134">
        <v>72</v>
      </c>
      <c r="H134">
        <v>0</v>
      </c>
      <c r="I134">
        <v>0</v>
      </c>
      <c r="J134">
        <v>0</v>
      </c>
      <c r="K134">
        <v>0</v>
      </c>
      <c r="L134">
        <v>0</v>
      </c>
      <c r="M134">
        <v>0</v>
      </c>
      <c r="N134">
        <v>0</v>
      </c>
      <c r="O134">
        <v>0</v>
      </c>
      <c r="P134">
        <v>0</v>
      </c>
      <c r="Q134">
        <v>0</v>
      </c>
      <c r="R134">
        <v>0</v>
      </c>
      <c r="S134">
        <v>0</v>
      </c>
      <c r="T134">
        <v>5</v>
      </c>
      <c r="U134">
        <v>15</v>
      </c>
      <c r="V134">
        <v>16</v>
      </c>
      <c r="W134">
        <v>12</v>
      </c>
      <c r="X134">
        <v>7</v>
      </c>
      <c r="Y134">
        <v>2</v>
      </c>
      <c r="Z134">
        <v>5</v>
      </c>
      <c r="AA134">
        <v>2</v>
      </c>
      <c r="AB134">
        <v>3</v>
      </c>
      <c r="AC134">
        <v>3</v>
      </c>
      <c r="AD134">
        <v>0</v>
      </c>
      <c r="AE134">
        <v>0</v>
      </c>
      <c r="AF134">
        <v>0</v>
      </c>
      <c r="AG134">
        <v>0</v>
      </c>
      <c r="AH134">
        <v>1</v>
      </c>
      <c r="AI134">
        <v>0</v>
      </c>
      <c r="AJ134">
        <v>0</v>
      </c>
      <c r="AK134">
        <v>0</v>
      </c>
      <c r="AL134">
        <v>1</v>
      </c>
      <c r="AM134">
        <v>0</v>
      </c>
      <c r="AN134">
        <v>0</v>
      </c>
      <c r="AO134">
        <v>0</v>
      </c>
      <c r="AP134">
        <v>0</v>
      </c>
      <c r="AQ134">
        <v>0</v>
      </c>
      <c r="AR134">
        <v>0</v>
      </c>
      <c r="AS134">
        <v>0</v>
      </c>
      <c r="AT134">
        <v>0</v>
      </c>
      <c r="AU134">
        <v>0</v>
      </c>
      <c r="AV134">
        <v>0</v>
      </c>
    </row>
    <row r="135" spans="1:48" ht="15.75" customHeight="1" x14ac:dyDescent="0.25">
      <c r="A135">
        <v>1</v>
      </c>
      <c r="B135">
        <v>1</v>
      </c>
      <c r="C135">
        <v>1</v>
      </c>
      <c r="D135">
        <v>1</v>
      </c>
      <c r="E135">
        <v>1998</v>
      </c>
      <c r="F135">
        <v>3</v>
      </c>
      <c r="G135">
        <v>51</v>
      </c>
      <c r="H135">
        <v>0</v>
      </c>
      <c r="I135">
        <v>0</v>
      </c>
      <c r="J135">
        <v>0</v>
      </c>
      <c r="K135">
        <v>0</v>
      </c>
      <c r="L135">
        <v>0</v>
      </c>
      <c r="M135">
        <v>0</v>
      </c>
      <c r="N135">
        <v>0</v>
      </c>
      <c r="O135">
        <v>0</v>
      </c>
      <c r="P135">
        <v>0</v>
      </c>
      <c r="Q135">
        <v>0</v>
      </c>
      <c r="R135">
        <v>0</v>
      </c>
      <c r="S135">
        <v>0</v>
      </c>
      <c r="T135">
        <v>9</v>
      </c>
      <c r="U135">
        <v>15</v>
      </c>
      <c r="V135">
        <v>9</v>
      </c>
      <c r="W135">
        <v>8</v>
      </c>
      <c r="X135">
        <v>1</v>
      </c>
      <c r="Y135">
        <v>2</v>
      </c>
      <c r="Z135">
        <v>2</v>
      </c>
      <c r="AA135">
        <v>0</v>
      </c>
      <c r="AB135">
        <v>1</v>
      </c>
      <c r="AC135">
        <v>1</v>
      </c>
      <c r="AD135">
        <v>0</v>
      </c>
      <c r="AE135">
        <v>0</v>
      </c>
      <c r="AF135">
        <v>1</v>
      </c>
      <c r="AG135">
        <v>0</v>
      </c>
      <c r="AH135">
        <v>0</v>
      </c>
      <c r="AI135">
        <v>0</v>
      </c>
      <c r="AJ135">
        <v>0</v>
      </c>
      <c r="AK135">
        <v>2</v>
      </c>
      <c r="AL135">
        <v>0</v>
      </c>
      <c r="AM135">
        <v>0</v>
      </c>
      <c r="AN135">
        <v>0</v>
      </c>
      <c r="AO135">
        <v>0</v>
      </c>
      <c r="AP135">
        <v>0</v>
      </c>
      <c r="AQ135">
        <v>0</v>
      </c>
      <c r="AR135">
        <v>0</v>
      </c>
      <c r="AS135">
        <v>0</v>
      </c>
      <c r="AT135">
        <v>0</v>
      </c>
      <c r="AU135">
        <v>0</v>
      </c>
      <c r="AV135">
        <v>0</v>
      </c>
    </row>
    <row r="136" spans="1:48" ht="15.75" customHeight="1" x14ac:dyDescent="0.25">
      <c r="A136">
        <v>1</v>
      </c>
      <c r="B136">
        <v>1</v>
      </c>
      <c r="C136">
        <v>1</v>
      </c>
      <c r="D136">
        <v>1</v>
      </c>
      <c r="E136">
        <v>1998</v>
      </c>
      <c r="F136">
        <v>6</v>
      </c>
      <c r="G136">
        <v>26</v>
      </c>
      <c r="H136">
        <v>0</v>
      </c>
      <c r="I136">
        <v>0</v>
      </c>
      <c r="J136">
        <v>0</v>
      </c>
      <c r="K136">
        <v>0</v>
      </c>
      <c r="L136">
        <v>0</v>
      </c>
      <c r="M136">
        <v>0</v>
      </c>
      <c r="N136">
        <v>0</v>
      </c>
      <c r="O136">
        <v>0</v>
      </c>
      <c r="P136">
        <v>0</v>
      </c>
      <c r="Q136">
        <v>0</v>
      </c>
      <c r="R136">
        <v>0</v>
      </c>
      <c r="S136">
        <v>0</v>
      </c>
      <c r="T136">
        <v>0</v>
      </c>
      <c r="U136">
        <v>5</v>
      </c>
      <c r="V136">
        <v>2</v>
      </c>
      <c r="W136">
        <v>4</v>
      </c>
      <c r="X136">
        <v>2</v>
      </c>
      <c r="Y136">
        <v>1</v>
      </c>
      <c r="Z136">
        <v>3</v>
      </c>
      <c r="AA136">
        <v>3</v>
      </c>
      <c r="AB136">
        <v>3</v>
      </c>
      <c r="AC136">
        <v>1</v>
      </c>
      <c r="AD136">
        <v>1</v>
      </c>
      <c r="AE136">
        <v>0</v>
      </c>
      <c r="AF136">
        <v>0</v>
      </c>
      <c r="AG136">
        <v>0</v>
      </c>
      <c r="AH136">
        <v>0</v>
      </c>
      <c r="AI136">
        <v>0</v>
      </c>
      <c r="AJ136">
        <v>0</v>
      </c>
      <c r="AK136">
        <v>1</v>
      </c>
      <c r="AL136">
        <v>0</v>
      </c>
      <c r="AM136">
        <v>0</v>
      </c>
      <c r="AN136">
        <v>0</v>
      </c>
      <c r="AO136">
        <v>0</v>
      </c>
      <c r="AP136">
        <v>0</v>
      </c>
      <c r="AQ136">
        <v>0</v>
      </c>
      <c r="AR136">
        <v>0</v>
      </c>
      <c r="AS136">
        <v>0</v>
      </c>
      <c r="AT136">
        <v>0</v>
      </c>
      <c r="AU136">
        <v>0</v>
      </c>
      <c r="AV136">
        <v>0</v>
      </c>
    </row>
    <row r="137" spans="1:48" ht="15.75" customHeight="1" x14ac:dyDescent="0.25">
      <c r="A137">
        <v>1</v>
      </c>
      <c r="B137">
        <v>1</v>
      </c>
      <c r="C137">
        <v>1</v>
      </c>
      <c r="D137">
        <v>1</v>
      </c>
      <c r="E137">
        <v>1999</v>
      </c>
      <c r="F137">
        <v>1</v>
      </c>
      <c r="G137">
        <v>11</v>
      </c>
      <c r="H137">
        <v>0</v>
      </c>
      <c r="I137">
        <v>0</v>
      </c>
      <c r="J137">
        <v>0</v>
      </c>
      <c r="K137">
        <v>0</v>
      </c>
      <c r="L137">
        <v>0</v>
      </c>
      <c r="M137">
        <v>0</v>
      </c>
      <c r="N137">
        <v>0</v>
      </c>
      <c r="O137">
        <v>0</v>
      </c>
      <c r="P137">
        <v>0</v>
      </c>
      <c r="Q137">
        <v>0</v>
      </c>
      <c r="R137">
        <v>0</v>
      </c>
      <c r="S137">
        <v>0</v>
      </c>
      <c r="T137">
        <v>0</v>
      </c>
      <c r="U137">
        <v>2</v>
      </c>
      <c r="V137">
        <v>1</v>
      </c>
      <c r="W137">
        <v>0</v>
      </c>
      <c r="X137">
        <v>0</v>
      </c>
      <c r="Y137">
        <v>0</v>
      </c>
      <c r="Z137">
        <v>1</v>
      </c>
      <c r="AA137">
        <v>2</v>
      </c>
      <c r="AB137">
        <v>0</v>
      </c>
      <c r="AC137">
        <v>0</v>
      </c>
      <c r="AD137">
        <v>1</v>
      </c>
      <c r="AE137">
        <v>0</v>
      </c>
      <c r="AF137">
        <v>3</v>
      </c>
      <c r="AG137">
        <v>0</v>
      </c>
      <c r="AH137">
        <v>0</v>
      </c>
      <c r="AI137">
        <v>1</v>
      </c>
      <c r="AJ137">
        <v>0</v>
      </c>
      <c r="AK137">
        <v>0</v>
      </c>
      <c r="AL137">
        <v>0</v>
      </c>
      <c r="AM137">
        <v>0</v>
      </c>
      <c r="AN137">
        <v>0</v>
      </c>
      <c r="AO137">
        <v>0</v>
      </c>
      <c r="AP137">
        <v>0</v>
      </c>
      <c r="AQ137">
        <v>0</v>
      </c>
      <c r="AR137">
        <v>0</v>
      </c>
      <c r="AS137">
        <v>0</v>
      </c>
      <c r="AT137">
        <v>0</v>
      </c>
      <c r="AU137">
        <v>0</v>
      </c>
      <c r="AV137">
        <v>0</v>
      </c>
    </row>
    <row r="138" spans="1:48" ht="15.75" customHeight="1" x14ac:dyDescent="0.25">
      <c r="A138">
        <v>1</v>
      </c>
      <c r="B138">
        <v>1</v>
      </c>
      <c r="C138">
        <v>1</v>
      </c>
      <c r="D138">
        <v>1</v>
      </c>
      <c r="E138">
        <v>1999</v>
      </c>
      <c r="F138">
        <v>2</v>
      </c>
      <c r="G138">
        <v>55</v>
      </c>
      <c r="H138">
        <v>0</v>
      </c>
      <c r="I138">
        <v>0</v>
      </c>
      <c r="J138">
        <v>0</v>
      </c>
      <c r="K138">
        <v>0</v>
      </c>
      <c r="L138">
        <v>0</v>
      </c>
      <c r="M138">
        <v>0</v>
      </c>
      <c r="N138">
        <v>0</v>
      </c>
      <c r="O138">
        <v>0</v>
      </c>
      <c r="P138">
        <v>0</v>
      </c>
      <c r="Q138">
        <v>0</v>
      </c>
      <c r="R138">
        <v>0</v>
      </c>
      <c r="S138">
        <v>0</v>
      </c>
      <c r="T138">
        <v>3</v>
      </c>
      <c r="U138">
        <v>7</v>
      </c>
      <c r="V138">
        <v>10</v>
      </c>
      <c r="W138">
        <v>14</v>
      </c>
      <c r="X138">
        <v>9</v>
      </c>
      <c r="Y138">
        <v>3</v>
      </c>
      <c r="Z138">
        <v>3</v>
      </c>
      <c r="AA138">
        <v>1</v>
      </c>
      <c r="AB138">
        <v>3</v>
      </c>
      <c r="AC138">
        <v>0</v>
      </c>
      <c r="AD138">
        <v>0</v>
      </c>
      <c r="AE138">
        <v>1</v>
      </c>
      <c r="AF138">
        <v>0</v>
      </c>
      <c r="AG138">
        <v>0</v>
      </c>
      <c r="AH138">
        <v>0</v>
      </c>
      <c r="AI138">
        <v>0</v>
      </c>
      <c r="AJ138">
        <v>0</v>
      </c>
      <c r="AK138">
        <v>1</v>
      </c>
      <c r="AL138">
        <v>0</v>
      </c>
      <c r="AM138">
        <v>0</v>
      </c>
      <c r="AN138">
        <v>0</v>
      </c>
      <c r="AO138">
        <v>0</v>
      </c>
      <c r="AP138">
        <v>0</v>
      </c>
      <c r="AQ138">
        <v>0</v>
      </c>
      <c r="AR138">
        <v>0</v>
      </c>
      <c r="AS138">
        <v>0</v>
      </c>
      <c r="AT138">
        <v>0</v>
      </c>
      <c r="AU138">
        <v>0</v>
      </c>
      <c r="AV138">
        <v>0</v>
      </c>
    </row>
    <row r="139" spans="1:48" ht="15.75" customHeight="1" x14ac:dyDescent="0.25">
      <c r="A139">
        <v>1</v>
      </c>
      <c r="B139">
        <v>1</v>
      </c>
      <c r="C139">
        <v>1</v>
      </c>
      <c r="D139">
        <v>1</v>
      </c>
      <c r="E139">
        <v>1999</v>
      </c>
      <c r="F139">
        <v>3</v>
      </c>
      <c r="G139">
        <v>8</v>
      </c>
      <c r="H139">
        <v>0</v>
      </c>
      <c r="I139">
        <v>0</v>
      </c>
      <c r="J139">
        <v>0</v>
      </c>
      <c r="K139">
        <v>0</v>
      </c>
      <c r="L139">
        <v>0</v>
      </c>
      <c r="M139">
        <v>0</v>
      </c>
      <c r="N139">
        <v>0</v>
      </c>
      <c r="O139">
        <v>0</v>
      </c>
      <c r="P139">
        <v>0</v>
      </c>
      <c r="Q139">
        <v>0</v>
      </c>
      <c r="R139">
        <v>0</v>
      </c>
      <c r="S139">
        <v>0</v>
      </c>
      <c r="T139">
        <v>1</v>
      </c>
      <c r="U139">
        <v>2</v>
      </c>
      <c r="V139">
        <v>2</v>
      </c>
      <c r="W139">
        <v>2</v>
      </c>
      <c r="X139">
        <v>1</v>
      </c>
      <c r="Y139">
        <v>0</v>
      </c>
      <c r="Z139">
        <v>0</v>
      </c>
      <c r="AA139">
        <v>0</v>
      </c>
      <c r="AB139">
        <v>0</v>
      </c>
      <c r="AC139">
        <v>0</v>
      </c>
      <c r="AD139">
        <v>0</v>
      </c>
      <c r="AE139">
        <v>0</v>
      </c>
      <c r="AF139">
        <v>0</v>
      </c>
      <c r="AG139">
        <v>0</v>
      </c>
      <c r="AH139">
        <v>0</v>
      </c>
      <c r="AI139">
        <v>0</v>
      </c>
      <c r="AJ139">
        <v>0</v>
      </c>
      <c r="AK139">
        <v>0</v>
      </c>
      <c r="AL139">
        <v>0</v>
      </c>
      <c r="AM139">
        <v>0</v>
      </c>
      <c r="AN139">
        <v>0</v>
      </c>
      <c r="AO139">
        <v>0</v>
      </c>
      <c r="AP139">
        <v>0</v>
      </c>
      <c r="AQ139">
        <v>0</v>
      </c>
      <c r="AR139">
        <v>0</v>
      </c>
      <c r="AS139">
        <v>0</v>
      </c>
      <c r="AT139">
        <v>0</v>
      </c>
      <c r="AU139">
        <v>0</v>
      </c>
      <c r="AV139">
        <v>0</v>
      </c>
    </row>
    <row r="140" spans="1:48" ht="15.75" customHeight="1" x14ac:dyDescent="0.25">
      <c r="A140">
        <v>1</v>
      </c>
      <c r="B140">
        <v>1</v>
      </c>
      <c r="C140">
        <v>1</v>
      </c>
      <c r="D140">
        <v>1</v>
      </c>
      <c r="E140">
        <v>1999</v>
      </c>
      <c r="F140">
        <v>6</v>
      </c>
      <c r="G140">
        <v>1</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1</v>
      </c>
      <c r="AJ140">
        <v>0</v>
      </c>
      <c r="AK140">
        <v>0</v>
      </c>
      <c r="AL140">
        <v>0</v>
      </c>
      <c r="AM140">
        <v>0</v>
      </c>
      <c r="AN140">
        <v>0</v>
      </c>
      <c r="AO140">
        <v>0</v>
      </c>
      <c r="AP140">
        <v>0</v>
      </c>
      <c r="AQ140">
        <v>0</v>
      </c>
      <c r="AR140">
        <v>0</v>
      </c>
      <c r="AS140">
        <v>0</v>
      </c>
      <c r="AT140">
        <v>0</v>
      </c>
      <c r="AU140">
        <v>0</v>
      </c>
      <c r="AV140">
        <v>0</v>
      </c>
    </row>
    <row r="141" spans="1:48" ht="15.75" customHeight="1" x14ac:dyDescent="0.25">
      <c r="A141">
        <v>1</v>
      </c>
      <c r="B141">
        <v>1</v>
      </c>
      <c r="C141">
        <v>1</v>
      </c>
      <c r="D141">
        <v>1</v>
      </c>
      <c r="E141">
        <v>2004</v>
      </c>
      <c r="F141">
        <v>2</v>
      </c>
      <c r="G141">
        <v>1</v>
      </c>
      <c r="H141">
        <v>0</v>
      </c>
      <c r="I141">
        <v>0</v>
      </c>
      <c r="J141">
        <v>0</v>
      </c>
      <c r="K141">
        <v>0</v>
      </c>
      <c r="L141">
        <v>0</v>
      </c>
      <c r="M141">
        <v>0</v>
      </c>
      <c r="N141">
        <v>0</v>
      </c>
      <c r="O141">
        <v>0</v>
      </c>
      <c r="P141">
        <v>0</v>
      </c>
      <c r="Q141">
        <v>0</v>
      </c>
      <c r="R141">
        <v>0</v>
      </c>
      <c r="S141">
        <v>0</v>
      </c>
      <c r="T141">
        <v>0</v>
      </c>
      <c r="U141">
        <v>0</v>
      </c>
      <c r="V141">
        <v>0</v>
      </c>
      <c r="W141">
        <v>1</v>
      </c>
      <c r="X141">
        <v>0</v>
      </c>
      <c r="Y141">
        <v>0</v>
      </c>
      <c r="Z141">
        <v>0</v>
      </c>
      <c r="AA141">
        <v>0</v>
      </c>
      <c r="AB141">
        <v>0</v>
      </c>
      <c r="AC141">
        <v>0</v>
      </c>
      <c r="AD141">
        <v>0</v>
      </c>
      <c r="AE141">
        <v>0</v>
      </c>
      <c r="AF141">
        <v>0</v>
      </c>
      <c r="AG141">
        <v>0</v>
      </c>
      <c r="AH141">
        <v>0</v>
      </c>
      <c r="AI141">
        <v>0</v>
      </c>
      <c r="AJ141">
        <v>0</v>
      </c>
      <c r="AK141">
        <v>0</v>
      </c>
      <c r="AL141">
        <v>0</v>
      </c>
      <c r="AM141">
        <v>0</v>
      </c>
      <c r="AN141">
        <v>0</v>
      </c>
      <c r="AO141">
        <v>0</v>
      </c>
      <c r="AP141">
        <v>0</v>
      </c>
      <c r="AQ141">
        <v>0</v>
      </c>
      <c r="AR141">
        <v>0</v>
      </c>
      <c r="AS141">
        <v>0</v>
      </c>
      <c r="AT141">
        <v>0</v>
      </c>
      <c r="AU141">
        <v>0</v>
      </c>
      <c r="AV141">
        <v>0</v>
      </c>
    </row>
    <row r="142" spans="1:48" ht="15.75" customHeight="1" x14ac:dyDescent="0.25">
      <c r="A142">
        <v>1</v>
      </c>
      <c r="B142">
        <v>1</v>
      </c>
      <c r="C142">
        <v>2</v>
      </c>
      <c r="D142">
        <v>1</v>
      </c>
      <c r="E142">
        <v>1992</v>
      </c>
      <c r="F142">
        <v>1</v>
      </c>
      <c r="G142">
        <v>4</v>
      </c>
      <c r="H142">
        <v>0</v>
      </c>
      <c r="I142">
        <v>0</v>
      </c>
      <c r="J142">
        <v>0</v>
      </c>
      <c r="K142">
        <v>0</v>
      </c>
      <c r="L142">
        <v>0</v>
      </c>
      <c r="M142">
        <v>0</v>
      </c>
      <c r="N142">
        <v>0</v>
      </c>
      <c r="O142">
        <v>0</v>
      </c>
      <c r="P142">
        <v>0</v>
      </c>
      <c r="Q142">
        <v>0</v>
      </c>
      <c r="R142">
        <v>0</v>
      </c>
      <c r="S142">
        <v>0</v>
      </c>
      <c r="T142">
        <v>0</v>
      </c>
      <c r="U142">
        <v>0</v>
      </c>
      <c r="V142">
        <v>0</v>
      </c>
      <c r="W142">
        <v>0</v>
      </c>
      <c r="X142">
        <v>1</v>
      </c>
      <c r="Y142">
        <v>0</v>
      </c>
      <c r="Z142">
        <v>1</v>
      </c>
      <c r="AA142">
        <v>1</v>
      </c>
      <c r="AB142">
        <v>0</v>
      </c>
      <c r="AC142">
        <v>1</v>
      </c>
      <c r="AD142">
        <v>0</v>
      </c>
      <c r="AE142">
        <v>0</v>
      </c>
      <c r="AF142">
        <v>0</v>
      </c>
      <c r="AG142">
        <v>0</v>
      </c>
      <c r="AH142">
        <v>0</v>
      </c>
      <c r="AI142">
        <v>0</v>
      </c>
      <c r="AJ142">
        <v>0</v>
      </c>
      <c r="AK142">
        <v>0</v>
      </c>
      <c r="AL142">
        <v>0</v>
      </c>
      <c r="AM142">
        <v>0</v>
      </c>
      <c r="AN142">
        <v>0</v>
      </c>
      <c r="AO142">
        <v>0</v>
      </c>
      <c r="AP142">
        <v>0</v>
      </c>
      <c r="AQ142">
        <v>0</v>
      </c>
      <c r="AR142">
        <v>0</v>
      </c>
      <c r="AS142">
        <v>0</v>
      </c>
      <c r="AT142">
        <v>0</v>
      </c>
      <c r="AU142">
        <v>0</v>
      </c>
      <c r="AV142">
        <v>0</v>
      </c>
    </row>
    <row r="143" spans="1:48" ht="15.75" customHeight="1" x14ac:dyDescent="0.25">
      <c r="A143">
        <v>1</v>
      </c>
      <c r="B143">
        <v>1</v>
      </c>
      <c r="C143">
        <v>2</v>
      </c>
      <c r="D143">
        <v>1</v>
      </c>
      <c r="E143">
        <v>1992</v>
      </c>
      <c r="F143">
        <v>2</v>
      </c>
      <c r="G143">
        <v>3</v>
      </c>
      <c r="H143">
        <v>0</v>
      </c>
      <c r="I143">
        <v>0</v>
      </c>
      <c r="J143">
        <v>0</v>
      </c>
      <c r="K143">
        <v>0</v>
      </c>
      <c r="L143">
        <v>0</v>
      </c>
      <c r="M143">
        <v>0</v>
      </c>
      <c r="N143">
        <v>0</v>
      </c>
      <c r="O143">
        <v>0</v>
      </c>
      <c r="P143">
        <v>0</v>
      </c>
      <c r="Q143">
        <v>0</v>
      </c>
      <c r="R143">
        <v>0</v>
      </c>
      <c r="S143">
        <v>0</v>
      </c>
      <c r="T143">
        <v>0</v>
      </c>
      <c r="U143">
        <v>0</v>
      </c>
      <c r="V143">
        <v>1</v>
      </c>
      <c r="W143">
        <v>1</v>
      </c>
      <c r="X143">
        <v>0</v>
      </c>
      <c r="Y143">
        <v>0</v>
      </c>
      <c r="Z143">
        <v>1</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row>
    <row r="144" spans="1:48" ht="15.75" customHeight="1" x14ac:dyDescent="0.25">
      <c r="A144">
        <v>1</v>
      </c>
      <c r="B144">
        <v>1</v>
      </c>
      <c r="C144">
        <v>2</v>
      </c>
      <c r="D144">
        <v>1</v>
      </c>
      <c r="E144">
        <v>1992</v>
      </c>
      <c r="F144">
        <v>3</v>
      </c>
      <c r="G144">
        <v>1</v>
      </c>
      <c r="H144">
        <v>0</v>
      </c>
      <c r="I144">
        <v>0</v>
      </c>
      <c r="J144">
        <v>0</v>
      </c>
      <c r="K144">
        <v>0</v>
      </c>
      <c r="L144">
        <v>0</v>
      </c>
      <c r="M144">
        <v>0</v>
      </c>
      <c r="N144">
        <v>0</v>
      </c>
      <c r="O144">
        <v>0</v>
      </c>
      <c r="P144">
        <v>0</v>
      </c>
      <c r="Q144">
        <v>0</v>
      </c>
      <c r="R144">
        <v>0</v>
      </c>
      <c r="S144">
        <v>0</v>
      </c>
      <c r="T144">
        <v>0</v>
      </c>
      <c r="U144">
        <v>0</v>
      </c>
      <c r="V144">
        <v>1</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c r="AP144">
        <v>0</v>
      </c>
      <c r="AQ144">
        <v>0</v>
      </c>
      <c r="AR144">
        <v>0</v>
      </c>
      <c r="AS144">
        <v>0</v>
      </c>
      <c r="AT144">
        <v>0</v>
      </c>
      <c r="AU144">
        <v>0</v>
      </c>
      <c r="AV144">
        <v>0</v>
      </c>
    </row>
    <row r="145" spans="1:48" ht="15.75" customHeight="1" x14ac:dyDescent="0.25">
      <c r="A145">
        <v>1</v>
      </c>
      <c r="B145">
        <v>1</v>
      </c>
      <c r="C145">
        <v>2</v>
      </c>
      <c r="D145">
        <v>1</v>
      </c>
      <c r="E145">
        <v>1993</v>
      </c>
      <c r="F145">
        <v>1</v>
      </c>
      <c r="G145">
        <v>1</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1</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c r="AV145">
        <v>0</v>
      </c>
    </row>
    <row r="146" spans="1:48" ht="15.75" customHeight="1" x14ac:dyDescent="0.25">
      <c r="A146">
        <v>1</v>
      </c>
      <c r="B146">
        <v>1</v>
      </c>
      <c r="C146">
        <v>2</v>
      </c>
      <c r="D146">
        <v>1</v>
      </c>
      <c r="E146">
        <v>1993</v>
      </c>
      <c r="F146">
        <v>2</v>
      </c>
      <c r="G146">
        <v>10</v>
      </c>
      <c r="H146">
        <v>0</v>
      </c>
      <c r="I146">
        <v>0</v>
      </c>
      <c r="J146">
        <v>0</v>
      </c>
      <c r="K146">
        <v>0</v>
      </c>
      <c r="L146">
        <v>0</v>
      </c>
      <c r="M146">
        <v>0</v>
      </c>
      <c r="N146">
        <v>0</v>
      </c>
      <c r="O146">
        <v>0</v>
      </c>
      <c r="P146">
        <v>0</v>
      </c>
      <c r="Q146">
        <v>0</v>
      </c>
      <c r="R146">
        <v>0</v>
      </c>
      <c r="S146">
        <v>0</v>
      </c>
      <c r="T146">
        <v>1</v>
      </c>
      <c r="U146">
        <v>4</v>
      </c>
      <c r="V146">
        <v>0</v>
      </c>
      <c r="W146">
        <v>0</v>
      </c>
      <c r="X146">
        <v>0</v>
      </c>
      <c r="Y146">
        <v>0</v>
      </c>
      <c r="Z146">
        <v>0</v>
      </c>
      <c r="AA146">
        <v>0</v>
      </c>
      <c r="AB146">
        <v>0</v>
      </c>
      <c r="AC146">
        <v>0</v>
      </c>
      <c r="AD146">
        <v>0</v>
      </c>
      <c r="AE146">
        <v>0</v>
      </c>
      <c r="AF146">
        <v>0</v>
      </c>
      <c r="AG146">
        <v>2</v>
      </c>
      <c r="AH146">
        <v>0</v>
      </c>
      <c r="AI146">
        <v>0</v>
      </c>
      <c r="AJ146">
        <v>0</v>
      </c>
      <c r="AK146">
        <v>0</v>
      </c>
      <c r="AL146">
        <v>0</v>
      </c>
      <c r="AM146">
        <v>0</v>
      </c>
      <c r="AN146">
        <v>0</v>
      </c>
      <c r="AO146">
        <v>3</v>
      </c>
      <c r="AP146">
        <v>0</v>
      </c>
      <c r="AQ146">
        <v>0</v>
      </c>
      <c r="AR146">
        <v>0</v>
      </c>
      <c r="AS146">
        <v>0</v>
      </c>
      <c r="AT146">
        <v>0</v>
      </c>
      <c r="AU146">
        <v>0</v>
      </c>
      <c r="AV146">
        <v>0</v>
      </c>
    </row>
    <row r="147" spans="1:48" ht="15.75" customHeight="1" x14ac:dyDescent="0.25">
      <c r="A147">
        <v>1</v>
      </c>
      <c r="B147">
        <v>1</v>
      </c>
      <c r="C147">
        <v>2</v>
      </c>
      <c r="D147">
        <v>1</v>
      </c>
      <c r="E147">
        <v>1993</v>
      </c>
      <c r="F147">
        <v>3</v>
      </c>
      <c r="G147">
        <v>75</v>
      </c>
      <c r="H147">
        <v>0</v>
      </c>
      <c r="I147">
        <v>0</v>
      </c>
      <c r="J147">
        <v>0</v>
      </c>
      <c r="K147">
        <v>0</v>
      </c>
      <c r="L147">
        <v>0</v>
      </c>
      <c r="M147">
        <v>0</v>
      </c>
      <c r="N147">
        <v>0</v>
      </c>
      <c r="O147">
        <v>0</v>
      </c>
      <c r="P147">
        <v>0</v>
      </c>
      <c r="Q147">
        <v>0</v>
      </c>
      <c r="R147">
        <v>0</v>
      </c>
      <c r="S147">
        <v>0</v>
      </c>
      <c r="T147">
        <v>6</v>
      </c>
      <c r="U147">
        <v>4</v>
      </c>
      <c r="V147">
        <v>24</v>
      </c>
      <c r="W147">
        <v>6</v>
      </c>
      <c r="X147">
        <v>4</v>
      </c>
      <c r="Y147">
        <v>9</v>
      </c>
      <c r="Z147">
        <v>6</v>
      </c>
      <c r="AA147">
        <v>8</v>
      </c>
      <c r="AB147">
        <v>2</v>
      </c>
      <c r="AC147">
        <v>0</v>
      </c>
      <c r="AD147">
        <v>0</v>
      </c>
      <c r="AE147">
        <v>4</v>
      </c>
      <c r="AF147">
        <v>0</v>
      </c>
      <c r="AG147">
        <v>0</v>
      </c>
      <c r="AH147">
        <v>2</v>
      </c>
      <c r="AI147">
        <v>0</v>
      </c>
      <c r="AJ147">
        <v>0</v>
      </c>
      <c r="AK147">
        <v>0</v>
      </c>
      <c r="AL147">
        <v>0</v>
      </c>
      <c r="AM147">
        <v>0</v>
      </c>
      <c r="AN147">
        <v>0</v>
      </c>
      <c r="AO147">
        <v>0</v>
      </c>
      <c r="AP147">
        <v>0</v>
      </c>
      <c r="AQ147">
        <v>0</v>
      </c>
      <c r="AR147">
        <v>0</v>
      </c>
      <c r="AS147">
        <v>0</v>
      </c>
      <c r="AT147">
        <v>0</v>
      </c>
      <c r="AU147">
        <v>0</v>
      </c>
      <c r="AV147">
        <v>0</v>
      </c>
    </row>
    <row r="148" spans="1:48" ht="15.75" customHeight="1" x14ac:dyDescent="0.25">
      <c r="A148">
        <v>1</v>
      </c>
      <c r="B148">
        <v>1</v>
      </c>
      <c r="C148">
        <v>2</v>
      </c>
      <c r="D148">
        <v>1</v>
      </c>
      <c r="E148">
        <v>1993</v>
      </c>
      <c r="F148">
        <v>6</v>
      </c>
      <c r="G148">
        <v>80</v>
      </c>
      <c r="H148">
        <v>0</v>
      </c>
      <c r="I148">
        <v>0</v>
      </c>
      <c r="J148">
        <v>0</v>
      </c>
      <c r="K148">
        <v>0</v>
      </c>
      <c r="L148">
        <v>0</v>
      </c>
      <c r="M148">
        <v>0</v>
      </c>
      <c r="N148">
        <v>0</v>
      </c>
      <c r="O148">
        <v>0</v>
      </c>
      <c r="P148">
        <v>0</v>
      </c>
      <c r="Q148">
        <v>0</v>
      </c>
      <c r="R148">
        <v>0</v>
      </c>
      <c r="S148">
        <v>0</v>
      </c>
      <c r="T148">
        <v>6</v>
      </c>
      <c r="U148">
        <v>8</v>
      </c>
      <c r="V148">
        <v>4</v>
      </c>
      <c r="W148">
        <v>12</v>
      </c>
      <c r="X148">
        <v>18</v>
      </c>
      <c r="Y148">
        <v>12</v>
      </c>
      <c r="Z148">
        <v>2</v>
      </c>
      <c r="AA148">
        <v>4</v>
      </c>
      <c r="AB148">
        <v>0</v>
      </c>
      <c r="AC148">
        <v>4</v>
      </c>
      <c r="AD148">
        <v>0</v>
      </c>
      <c r="AE148">
        <v>2</v>
      </c>
      <c r="AF148">
        <v>2</v>
      </c>
      <c r="AG148">
        <v>2</v>
      </c>
      <c r="AH148">
        <v>2</v>
      </c>
      <c r="AI148">
        <v>0</v>
      </c>
      <c r="AJ148">
        <v>0</v>
      </c>
      <c r="AK148">
        <v>2</v>
      </c>
      <c r="AL148">
        <v>0</v>
      </c>
      <c r="AM148">
        <v>0</v>
      </c>
      <c r="AN148">
        <v>0</v>
      </c>
      <c r="AO148">
        <v>0</v>
      </c>
      <c r="AP148">
        <v>0</v>
      </c>
      <c r="AQ148">
        <v>0</v>
      </c>
      <c r="AR148">
        <v>0</v>
      </c>
      <c r="AS148">
        <v>0</v>
      </c>
      <c r="AT148">
        <v>0</v>
      </c>
      <c r="AU148">
        <v>0</v>
      </c>
      <c r="AV148">
        <v>0</v>
      </c>
    </row>
    <row r="149" spans="1:48" ht="15.75" customHeight="1" x14ac:dyDescent="0.25">
      <c r="A149">
        <v>1</v>
      </c>
      <c r="B149">
        <v>1</v>
      </c>
      <c r="C149">
        <v>2</v>
      </c>
      <c r="D149">
        <v>1</v>
      </c>
      <c r="E149">
        <v>1994</v>
      </c>
      <c r="F149">
        <v>1</v>
      </c>
      <c r="G149">
        <v>86</v>
      </c>
      <c r="H149">
        <v>0</v>
      </c>
      <c r="I149">
        <v>0</v>
      </c>
      <c r="J149">
        <v>0</v>
      </c>
      <c r="K149">
        <v>0</v>
      </c>
      <c r="L149">
        <v>0</v>
      </c>
      <c r="M149">
        <v>0</v>
      </c>
      <c r="N149">
        <v>0</v>
      </c>
      <c r="O149">
        <v>0</v>
      </c>
      <c r="P149">
        <v>0</v>
      </c>
      <c r="Q149">
        <v>0</v>
      </c>
      <c r="R149">
        <v>0</v>
      </c>
      <c r="S149">
        <v>0</v>
      </c>
      <c r="T149">
        <v>2</v>
      </c>
      <c r="U149">
        <v>6</v>
      </c>
      <c r="V149">
        <v>14</v>
      </c>
      <c r="W149">
        <v>10</v>
      </c>
      <c r="X149">
        <v>16</v>
      </c>
      <c r="Y149">
        <v>4</v>
      </c>
      <c r="Z149">
        <v>4</v>
      </c>
      <c r="AA149">
        <v>14</v>
      </c>
      <c r="AB149">
        <v>8</v>
      </c>
      <c r="AC149">
        <v>0</v>
      </c>
      <c r="AD149">
        <v>2</v>
      </c>
      <c r="AE149">
        <v>0</v>
      </c>
      <c r="AF149">
        <v>4</v>
      </c>
      <c r="AG149">
        <v>0</v>
      </c>
      <c r="AH149">
        <v>2</v>
      </c>
      <c r="AI149">
        <v>0</v>
      </c>
      <c r="AJ149">
        <v>0</v>
      </c>
      <c r="AK149">
        <v>0</v>
      </c>
      <c r="AL149">
        <v>0</v>
      </c>
      <c r="AM149">
        <v>0</v>
      </c>
      <c r="AN149">
        <v>0</v>
      </c>
      <c r="AO149">
        <v>0</v>
      </c>
      <c r="AP149">
        <v>0</v>
      </c>
      <c r="AQ149">
        <v>0</v>
      </c>
      <c r="AR149">
        <v>0</v>
      </c>
      <c r="AS149">
        <v>0</v>
      </c>
      <c r="AT149">
        <v>0</v>
      </c>
      <c r="AU149">
        <v>0</v>
      </c>
      <c r="AV149">
        <v>0</v>
      </c>
    </row>
    <row r="150" spans="1:48" ht="15.75" customHeight="1" x14ac:dyDescent="0.25">
      <c r="A150">
        <v>1</v>
      </c>
      <c r="B150">
        <v>1</v>
      </c>
      <c r="C150">
        <v>2</v>
      </c>
      <c r="D150">
        <v>1</v>
      </c>
      <c r="E150">
        <v>1994</v>
      </c>
      <c r="F150">
        <v>2</v>
      </c>
      <c r="G150">
        <v>90</v>
      </c>
      <c r="H150">
        <v>0</v>
      </c>
      <c r="I150">
        <v>0</v>
      </c>
      <c r="J150">
        <v>0</v>
      </c>
      <c r="K150">
        <v>0</v>
      </c>
      <c r="L150">
        <v>0</v>
      </c>
      <c r="M150">
        <v>0</v>
      </c>
      <c r="N150">
        <v>0</v>
      </c>
      <c r="O150">
        <v>0</v>
      </c>
      <c r="P150">
        <v>0</v>
      </c>
      <c r="Q150">
        <v>0</v>
      </c>
      <c r="R150">
        <v>0</v>
      </c>
      <c r="S150">
        <v>0</v>
      </c>
      <c r="T150">
        <v>0</v>
      </c>
      <c r="U150">
        <v>7</v>
      </c>
      <c r="V150">
        <v>1</v>
      </c>
      <c r="W150">
        <v>7</v>
      </c>
      <c r="X150">
        <v>4</v>
      </c>
      <c r="Y150">
        <v>9</v>
      </c>
      <c r="Z150">
        <v>8</v>
      </c>
      <c r="AA150">
        <v>13</v>
      </c>
      <c r="AB150">
        <v>6</v>
      </c>
      <c r="AC150">
        <v>6</v>
      </c>
      <c r="AD150">
        <v>7</v>
      </c>
      <c r="AE150">
        <v>6</v>
      </c>
      <c r="AF150">
        <v>4</v>
      </c>
      <c r="AG150">
        <v>2</v>
      </c>
      <c r="AH150">
        <v>4</v>
      </c>
      <c r="AI150">
        <v>2</v>
      </c>
      <c r="AJ150">
        <v>0</v>
      </c>
      <c r="AK150">
        <v>2</v>
      </c>
      <c r="AL150">
        <v>0</v>
      </c>
      <c r="AM150">
        <v>0</v>
      </c>
      <c r="AN150">
        <v>0</v>
      </c>
      <c r="AO150">
        <v>2</v>
      </c>
      <c r="AP150">
        <v>0</v>
      </c>
      <c r="AQ150">
        <v>0</v>
      </c>
      <c r="AR150">
        <v>0</v>
      </c>
      <c r="AS150">
        <v>0</v>
      </c>
      <c r="AT150">
        <v>0</v>
      </c>
      <c r="AU150">
        <v>0</v>
      </c>
      <c r="AV150">
        <v>0</v>
      </c>
    </row>
    <row r="151" spans="1:48" ht="15.75" customHeight="1" x14ac:dyDescent="0.25">
      <c r="A151">
        <v>1</v>
      </c>
      <c r="B151">
        <v>1</v>
      </c>
      <c r="C151">
        <v>2</v>
      </c>
      <c r="D151">
        <v>1</v>
      </c>
      <c r="E151">
        <v>1994</v>
      </c>
      <c r="F151">
        <v>3</v>
      </c>
      <c r="G151">
        <v>57</v>
      </c>
      <c r="H151">
        <v>0</v>
      </c>
      <c r="I151">
        <v>0</v>
      </c>
      <c r="J151">
        <v>0</v>
      </c>
      <c r="K151">
        <v>0</v>
      </c>
      <c r="L151">
        <v>0</v>
      </c>
      <c r="M151">
        <v>0</v>
      </c>
      <c r="N151">
        <v>0</v>
      </c>
      <c r="O151">
        <v>0</v>
      </c>
      <c r="P151">
        <v>0</v>
      </c>
      <c r="Q151">
        <v>0</v>
      </c>
      <c r="R151">
        <v>0</v>
      </c>
      <c r="S151">
        <v>0</v>
      </c>
      <c r="T151">
        <v>6</v>
      </c>
      <c r="U151">
        <v>0</v>
      </c>
      <c r="V151">
        <v>6</v>
      </c>
      <c r="W151">
        <v>2</v>
      </c>
      <c r="X151">
        <v>6</v>
      </c>
      <c r="Y151">
        <v>2</v>
      </c>
      <c r="Z151">
        <v>0</v>
      </c>
      <c r="AA151">
        <v>6</v>
      </c>
      <c r="AB151">
        <v>9</v>
      </c>
      <c r="AC151">
        <v>10</v>
      </c>
      <c r="AD151">
        <v>6</v>
      </c>
      <c r="AE151">
        <v>0</v>
      </c>
      <c r="AF151">
        <v>2</v>
      </c>
      <c r="AG151">
        <v>0</v>
      </c>
      <c r="AH151">
        <v>0</v>
      </c>
      <c r="AI151">
        <v>0</v>
      </c>
      <c r="AJ151">
        <v>0</v>
      </c>
      <c r="AK151">
        <v>0</v>
      </c>
      <c r="AL151">
        <v>0</v>
      </c>
      <c r="AM151">
        <v>0</v>
      </c>
      <c r="AN151">
        <v>2</v>
      </c>
      <c r="AO151">
        <v>0</v>
      </c>
      <c r="AP151">
        <v>0</v>
      </c>
      <c r="AQ151">
        <v>0</v>
      </c>
      <c r="AR151">
        <v>0</v>
      </c>
      <c r="AS151">
        <v>0</v>
      </c>
      <c r="AT151">
        <v>0</v>
      </c>
      <c r="AU151">
        <v>0</v>
      </c>
      <c r="AV151">
        <v>0</v>
      </c>
    </row>
    <row r="152" spans="1:48" ht="15.75" customHeight="1" x14ac:dyDescent="0.25">
      <c r="A152">
        <v>1</v>
      </c>
      <c r="B152">
        <v>1</v>
      </c>
      <c r="C152">
        <v>2</v>
      </c>
      <c r="D152">
        <v>1</v>
      </c>
      <c r="E152">
        <v>1994</v>
      </c>
      <c r="F152">
        <v>6</v>
      </c>
      <c r="G152">
        <v>22</v>
      </c>
      <c r="H152">
        <v>0</v>
      </c>
      <c r="I152">
        <v>0</v>
      </c>
      <c r="J152">
        <v>0</v>
      </c>
      <c r="K152">
        <v>0</v>
      </c>
      <c r="L152">
        <v>0</v>
      </c>
      <c r="M152">
        <v>0</v>
      </c>
      <c r="N152">
        <v>0</v>
      </c>
      <c r="O152">
        <v>0</v>
      </c>
      <c r="P152">
        <v>0</v>
      </c>
      <c r="Q152">
        <v>0</v>
      </c>
      <c r="R152">
        <v>0</v>
      </c>
      <c r="S152">
        <v>0</v>
      </c>
      <c r="T152">
        <v>0</v>
      </c>
      <c r="U152">
        <v>0</v>
      </c>
      <c r="V152">
        <v>0</v>
      </c>
      <c r="W152">
        <v>2</v>
      </c>
      <c r="X152">
        <v>2</v>
      </c>
      <c r="Y152">
        <v>0</v>
      </c>
      <c r="Z152">
        <v>2</v>
      </c>
      <c r="AA152">
        <v>0</v>
      </c>
      <c r="AB152">
        <v>0</v>
      </c>
      <c r="AC152">
        <v>0</v>
      </c>
      <c r="AD152">
        <v>2</v>
      </c>
      <c r="AE152">
        <v>0</v>
      </c>
      <c r="AF152">
        <v>4</v>
      </c>
      <c r="AG152">
        <v>0</v>
      </c>
      <c r="AH152">
        <v>2</v>
      </c>
      <c r="AI152">
        <v>0</v>
      </c>
      <c r="AJ152">
        <v>0</v>
      </c>
      <c r="AK152">
        <v>2</v>
      </c>
      <c r="AL152">
        <v>2</v>
      </c>
      <c r="AM152">
        <v>0</v>
      </c>
      <c r="AN152">
        <v>4</v>
      </c>
      <c r="AO152">
        <v>0</v>
      </c>
      <c r="AP152">
        <v>0</v>
      </c>
      <c r="AQ152">
        <v>0</v>
      </c>
      <c r="AR152">
        <v>0</v>
      </c>
      <c r="AS152">
        <v>0</v>
      </c>
      <c r="AT152">
        <v>0</v>
      </c>
      <c r="AU152">
        <v>0</v>
      </c>
      <c r="AV152">
        <v>0</v>
      </c>
    </row>
    <row r="153" spans="1:48" ht="15.75" customHeight="1" x14ac:dyDescent="0.25">
      <c r="A153">
        <v>1</v>
      </c>
      <c r="B153">
        <v>1</v>
      </c>
      <c r="C153">
        <v>2</v>
      </c>
      <c r="D153">
        <v>1</v>
      </c>
      <c r="E153">
        <v>1995</v>
      </c>
      <c r="F153">
        <v>1</v>
      </c>
      <c r="G153">
        <v>22</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2</v>
      </c>
      <c r="AB153">
        <v>2</v>
      </c>
      <c r="AC153">
        <v>8</v>
      </c>
      <c r="AD153">
        <v>4</v>
      </c>
      <c r="AE153">
        <v>0</v>
      </c>
      <c r="AF153">
        <v>2</v>
      </c>
      <c r="AG153">
        <v>0</v>
      </c>
      <c r="AH153">
        <v>2</v>
      </c>
      <c r="AI153">
        <v>0</v>
      </c>
      <c r="AJ153">
        <v>2</v>
      </c>
      <c r="AK153">
        <v>0</v>
      </c>
      <c r="AL153">
        <v>0</v>
      </c>
      <c r="AM153">
        <v>0</v>
      </c>
      <c r="AN153">
        <v>0</v>
      </c>
      <c r="AO153">
        <v>0</v>
      </c>
      <c r="AP153">
        <v>0</v>
      </c>
      <c r="AQ153">
        <v>0</v>
      </c>
      <c r="AR153">
        <v>0</v>
      </c>
      <c r="AS153">
        <v>0</v>
      </c>
      <c r="AT153">
        <v>0</v>
      </c>
      <c r="AU153">
        <v>0</v>
      </c>
      <c r="AV153">
        <v>0</v>
      </c>
    </row>
    <row r="154" spans="1:48" ht="15.75" customHeight="1" x14ac:dyDescent="0.25">
      <c r="A154">
        <v>1</v>
      </c>
      <c r="B154">
        <v>1</v>
      </c>
      <c r="C154">
        <v>2</v>
      </c>
      <c r="D154">
        <v>1</v>
      </c>
      <c r="E154">
        <v>1995</v>
      </c>
      <c r="F154">
        <v>2</v>
      </c>
      <c r="G154">
        <v>62</v>
      </c>
      <c r="H154">
        <v>0</v>
      </c>
      <c r="I154">
        <v>0</v>
      </c>
      <c r="J154">
        <v>0</v>
      </c>
      <c r="K154">
        <v>0</v>
      </c>
      <c r="L154">
        <v>0</v>
      </c>
      <c r="M154">
        <v>0</v>
      </c>
      <c r="N154">
        <v>0</v>
      </c>
      <c r="O154">
        <v>0</v>
      </c>
      <c r="P154">
        <v>0</v>
      </c>
      <c r="Q154">
        <v>0</v>
      </c>
      <c r="R154">
        <v>0</v>
      </c>
      <c r="S154">
        <v>0</v>
      </c>
      <c r="T154">
        <v>0</v>
      </c>
      <c r="U154">
        <v>0</v>
      </c>
      <c r="V154">
        <v>2</v>
      </c>
      <c r="W154">
        <v>2</v>
      </c>
      <c r="X154">
        <v>4</v>
      </c>
      <c r="Y154">
        <v>2</v>
      </c>
      <c r="Z154">
        <v>0</v>
      </c>
      <c r="AA154">
        <v>2</v>
      </c>
      <c r="AB154">
        <v>2</v>
      </c>
      <c r="AC154">
        <v>0</v>
      </c>
      <c r="AD154">
        <v>4</v>
      </c>
      <c r="AE154">
        <v>6</v>
      </c>
      <c r="AF154">
        <v>2</v>
      </c>
      <c r="AG154">
        <v>4</v>
      </c>
      <c r="AH154">
        <v>4</v>
      </c>
      <c r="AI154">
        <v>6</v>
      </c>
      <c r="AJ154">
        <v>2</v>
      </c>
      <c r="AK154">
        <v>6</v>
      </c>
      <c r="AL154">
        <v>4</v>
      </c>
      <c r="AM154">
        <v>0</v>
      </c>
      <c r="AN154">
        <v>2</v>
      </c>
      <c r="AO154">
        <v>2</v>
      </c>
      <c r="AP154">
        <v>0</v>
      </c>
      <c r="AQ154">
        <v>6</v>
      </c>
      <c r="AR154">
        <v>0</v>
      </c>
      <c r="AS154">
        <v>0</v>
      </c>
      <c r="AT154">
        <v>0</v>
      </c>
      <c r="AU154">
        <v>0</v>
      </c>
      <c r="AV154">
        <v>0</v>
      </c>
    </row>
    <row r="155" spans="1:48" ht="15.75" customHeight="1" x14ac:dyDescent="0.25">
      <c r="A155">
        <v>1</v>
      </c>
      <c r="B155">
        <v>1</v>
      </c>
      <c r="C155">
        <v>2</v>
      </c>
      <c r="D155">
        <v>1</v>
      </c>
      <c r="E155">
        <v>1995</v>
      </c>
      <c r="F155">
        <v>3</v>
      </c>
      <c r="G155">
        <v>10</v>
      </c>
      <c r="H155">
        <v>0</v>
      </c>
      <c r="I155">
        <v>0</v>
      </c>
      <c r="J155">
        <v>0</v>
      </c>
      <c r="K155">
        <v>0</v>
      </c>
      <c r="L155">
        <v>0</v>
      </c>
      <c r="M155">
        <v>0</v>
      </c>
      <c r="N155">
        <v>0</v>
      </c>
      <c r="O155">
        <v>0</v>
      </c>
      <c r="P155">
        <v>0</v>
      </c>
      <c r="Q155">
        <v>0</v>
      </c>
      <c r="R155">
        <v>0</v>
      </c>
      <c r="S155">
        <v>0</v>
      </c>
      <c r="T155">
        <v>2</v>
      </c>
      <c r="U155">
        <v>0</v>
      </c>
      <c r="V155">
        <v>0</v>
      </c>
      <c r="W155">
        <v>2</v>
      </c>
      <c r="X155">
        <v>2</v>
      </c>
      <c r="Y155">
        <v>0</v>
      </c>
      <c r="Z155">
        <v>0</v>
      </c>
      <c r="AA155">
        <v>2</v>
      </c>
      <c r="AB155">
        <v>2</v>
      </c>
      <c r="AC155">
        <v>0</v>
      </c>
      <c r="AD155">
        <v>0</v>
      </c>
      <c r="AE155">
        <v>0</v>
      </c>
      <c r="AF155">
        <v>0</v>
      </c>
      <c r="AG155">
        <v>0</v>
      </c>
      <c r="AH155">
        <v>0</v>
      </c>
      <c r="AI155">
        <v>0</v>
      </c>
      <c r="AJ155">
        <v>0</v>
      </c>
      <c r="AK155">
        <v>0</v>
      </c>
      <c r="AL155">
        <v>0</v>
      </c>
      <c r="AM155">
        <v>0</v>
      </c>
      <c r="AN155">
        <v>0</v>
      </c>
      <c r="AO155">
        <v>0</v>
      </c>
      <c r="AP155">
        <v>0</v>
      </c>
      <c r="AQ155">
        <v>0</v>
      </c>
      <c r="AR155">
        <v>0</v>
      </c>
      <c r="AS155">
        <v>0</v>
      </c>
      <c r="AT155">
        <v>0</v>
      </c>
      <c r="AU155">
        <v>0</v>
      </c>
      <c r="AV155">
        <v>0</v>
      </c>
    </row>
    <row r="156" spans="1:48" ht="15.75" customHeight="1" x14ac:dyDescent="0.25">
      <c r="A156">
        <v>1</v>
      </c>
      <c r="B156">
        <v>1</v>
      </c>
      <c r="C156">
        <v>2</v>
      </c>
      <c r="D156">
        <v>1</v>
      </c>
      <c r="E156">
        <v>1996</v>
      </c>
      <c r="F156">
        <v>1</v>
      </c>
      <c r="G156">
        <v>6</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2</v>
      </c>
      <c r="AC156">
        <v>0</v>
      </c>
      <c r="AD156">
        <v>0</v>
      </c>
      <c r="AE156">
        <v>2</v>
      </c>
      <c r="AF156">
        <v>0</v>
      </c>
      <c r="AG156">
        <v>0</v>
      </c>
      <c r="AH156">
        <v>0</v>
      </c>
      <c r="AI156">
        <v>0</v>
      </c>
      <c r="AJ156">
        <v>0</v>
      </c>
      <c r="AK156">
        <v>0</v>
      </c>
      <c r="AL156">
        <v>0</v>
      </c>
      <c r="AM156">
        <v>0</v>
      </c>
      <c r="AN156">
        <v>0</v>
      </c>
      <c r="AO156">
        <v>0</v>
      </c>
      <c r="AP156">
        <v>0</v>
      </c>
      <c r="AQ156">
        <v>2</v>
      </c>
      <c r="AR156">
        <v>0</v>
      </c>
      <c r="AS156">
        <v>0</v>
      </c>
      <c r="AT156">
        <v>0</v>
      </c>
      <c r="AU156">
        <v>0</v>
      </c>
      <c r="AV156">
        <v>0</v>
      </c>
    </row>
    <row r="157" spans="1:48" ht="15.75" customHeight="1" x14ac:dyDescent="0.25">
      <c r="A157">
        <v>1</v>
      </c>
      <c r="B157">
        <v>1</v>
      </c>
      <c r="C157">
        <v>2</v>
      </c>
      <c r="D157">
        <v>1</v>
      </c>
      <c r="E157">
        <v>1996</v>
      </c>
      <c r="F157">
        <v>2</v>
      </c>
      <c r="G157">
        <v>47</v>
      </c>
      <c r="H157">
        <v>0</v>
      </c>
      <c r="I157">
        <v>0</v>
      </c>
      <c r="J157">
        <v>0</v>
      </c>
      <c r="K157">
        <v>0</v>
      </c>
      <c r="L157">
        <v>0</v>
      </c>
      <c r="M157">
        <v>0</v>
      </c>
      <c r="N157">
        <v>0</v>
      </c>
      <c r="O157">
        <v>0</v>
      </c>
      <c r="P157">
        <v>0</v>
      </c>
      <c r="Q157">
        <v>0</v>
      </c>
      <c r="R157">
        <v>0</v>
      </c>
      <c r="S157">
        <v>0</v>
      </c>
      <c r="T157">
        <v>0</v>
      </c>
      <c r="U157">
        <v>1</v>
      </c>
      <c r="V157">
        <v>2</v>
      </c>
      <c r="W157">
        <v>1</v>
      </c>
      <c r="X157">
        <v>0</v>
      </c>
      <c r="Y157">
        <v>0</v>
      </c>
      <c r="Z157">
        <v>2</v>
      </c>
      <c r="AA157">
        <v>5</v>
      </c>
      <c r="AB157">
        <v>2</v>
      </c>
      <c r="AC157">
        <v>2</v>
      </c>
      <c r="AD157">
        <v>4</v>
      </c>
      <c r="AE157">
        <v>2</v>
      </c>
      <c r="AF157">
        <v>0</v>
      </c>
      <c r="AG157">
        <v>0</v>
      </c>
      <c r="AH157">
        <v>2</v>
      </c>
      <c r="AI157">
        <v>4</v>
      </c>
      <c r="AJ157">
        <v>0</v>
      </c>
      <c r="AK157">
        <v>2</v>
      </c>
      <c r="AL157">
        <v>0</v>
      </c>
      <c r="AM157">
        <v>4</v>
      </c>
      <c r="AN157">
        <v>0</v>
      </c>
      <c r="AO157">
        <v>2</v>
      </c>
      <c r="AP157">
        <v>2</v>
      </c>
      <c r="AQ157">
        <v>10</v>
      </c>
      <c r="AR157">
        <v>0</v>
      </c>
      <c r="AS157">
        <v>0</v>
      </c>
      <c r="AT157">
        <v>0</v>
      </c>
      <c r="AU157">
        <v>0</v>
      </c>
      <c r="AV157">
        <v>0</v>
      </c>
    </row>
    <row r="158" spans="1:48" ht="15.75" customHeight="1" x14ac:dyDescent="0.25">
      <c r="A158">
        <v>1</v>
      </c>
      <c r="B158">
        <v>1</v>
      </c>
      <c r="C158">
        <v>2</v>
      </c>
      <c r="D158">
        <v>1</v>
      </c>
      <c r="E158">
        <v>1996</v>
      </c>
      <c r="F158">
        <v>3</v>
      </c>
      <c r="G158">
        <v>11</v>
      </c>
      <c r="H158">
        <v>0</v>
      </c>
      <c r="I158">
        <v>0</v>
      </c>
      <c r="J158">
        <v>0</v>
      </c>
      <c r="K158">
        <v>0</v>
      </c>
      <c r="L158">
        <v>0</v>
      </c>
      <c r="M158">
        <v>0</v>
      </c>
      <c r="N158">
        <v>0</v>
      </c>
      <c r="O158">
        <v>0</v>
      </c>
      <c r="P158">
        <v>0</v>
      </c>
      <c r="Q158">
        <v>0</v>
      </c>
      <c r="R158">
        <v>0</v>
      </c>
      <c r="S158">
        <v>0</v>
      </c>
      <c r="T158">
        <v>0</v>
      </c>
      <c r="U158">
        <v>1</v>
      </c>
      <c r="V158">
        <v>0</v>
      </c>
      <c r="W158">
        <v>4</v>
      </c>
      <c r="X158">
        <v>0</v>
      </c>
      <c r="Y158">
        <v>0</v>
      </c>
      <c r="Z158">
        <v>0</v>
      </c>
      <c r="AA158">
        <v>0</v>
      </c>
      <c r="AB158">
        <v>0</v>
      </c>
      <c r="AC158">
        <v>0</v>
      </c>
      <c r="AD158">
        <v>0</v>
      </c>
      <c r="AE158">
        <v>1</v>
      </c>
      <c r="AF158">
        <v>0</v>
      </c>
      <c r="AG158">
        <v>1</v>
      </c>
      <c r="AH158">
        <v>1</v>
      </c>
      <c r="AI158">
        <v>3</v>
      </c>
      <c r="AJ158">
        <v>0</v>
      </c>
      <c r="AK158">
        <v>0</v>
      </c>
      <c r="AL158">
        <v>0</v>
      </c>
      <c r="AM158">
        <v>0</v>
      </c>
      <c r="AN158">
        <v>0</v>
      </c>
      <c r="AO158">
        <v>0</v>
      </c>
      <c r="AP158">
        <v>0</v>
      </c>
      <c r="AQ158">
        <v>0</v>
      </c>
      <c r="AR158">
        <v>0</v>
      </c>
      <c r="AS158">
        <v>0</v>
      </c>
      <c r="AT158">
        <v>0</v>
      </c>
      <c r="AU158">
        <v>0</v>
      </c>
      <c r="AV158">
        <v>0</v>
      </c>
    </row>
    <row r="159" spans="1:48" ht="15.75" customHeight="1" x14ac:dyDescent="0.25">
      <c r="A159">
        <v>1</v>
      </c>
      <c r="B159">
        <v>1</v>
      </c>
      <c r="C159">
        <v>2</v>
      </c>
      <c r="D159">
        <v>1</v>
      </c>
      <c r="E159">
        <v>1996</v>
      </c>
      <c r="F159">
        <v>6</v>
      </c>
      <c r="G159">
        <v>20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1</v>
      </c>
      <c r="AG159">
        <v>2</v>
      </c>
      <c r="AH159">
        <v>2</v>
      </c>
      <c r="AI159">
        <v>1</v>
      </c>
      <c r="AJ159">
        <v>2</v>
      </c>
      <c r="AK159">
        <v>0</v>
      </c>
      <c r="AL159">
        <v>2</v>
      </c>
      <c r="AM159">
        <v>1</v>
      </c>
      <c r="AN159">
        <v>0</v>
      </c>
      <c r="AO159">
        <v>2</v>
      </c>
      <c r="AP159">
        <v>3</v>
      </c>
      <c r="AQ159">
        <v>4</v>
      </c>
      <c r="AR159">
        <v>0</v>
      </c>
      <c r="AS159">
        <v>0</v>
      </c>
      <c r="AT159">
        <v>0</v>
      </c>
      <c r="AU159">
        <v>0</v>
      </c>
      <c r="AV159">
        <v>0</v>
      </c>
    </row>
    <row r="160" spans="1:48" ht="15.75" customHeight="1" x14ac:dyDescent="0.25">
      <c r="A160">
        <v>1</v>
      </c>
      <c r="B160">
        <v>1</v>
      </c>
      <c r="C160">
        <v>2</v>
      </c>
      <c r="D160">
        <v>1</v>
      </c>
      <c r="E160">
        <v>1997</v>
      </c>
      <c r="F160">
        <v>1</v>
      </c>
      <c r="G160">
        <v>9</v>
      </c>
      <c r="H160">
        <v>0</v>
      </c>
      <c r="I160">
        <v>0</v>
      </c>
      <c r="J160">
        <v>0</v>
      </c>
      <c r="K160">
        <v>0</v>
      </c>
      <c r="L160">
        <v>0</v>
      </c>
      <c r="M160">
        <v>0</v>
      </c>
      <c r="N160">
        <v>0</v>
      </c>
      <c r="O160">
        <v>0</v>
      </c>
      <c r="P160">
        <v>0</v>
      </c>
      <c r="Q160">
        <v>0</v>
      </c>
      <c r="R160">
        <v>0</v>
      </c>
      <c r="S160">
        <v>0</v>
      </c>
      <c r="T160">
        <v>0</v>
      </c>
      <c r="U160">
        <v>0</v>
      </c>
      <c r="V160">
        <v>0</v>
      </c>
      <c r="W160">
        <v>1</v>
      </c>
      <c r="X160">
        <v>0</v>
      </c>
      <c r="Y160">
        <v>0</v>
      </c>
      <c r="Z160">
        <v>0</v>
      </c>
      <c r="AA160">
        <v>1</v>
      </c>
      <c r="AB160">
        <v>0</v>
      </c>
      <c r="AC160">
        <v>0</v>
      </c>
      <c r="AD160">
        <v>0</v>
      </c>
      <c r="AE160">
        <v>0</v>
      </c>
      <c r="AF160">
        <v>0</v>
      </c>
      <c r="AG160">
        <v>2</v>
      </c>
      <c r="AH160">
        <v>1</v>
      </c>
      <c r="AI160">
        <v>0</v>
      </c>
      <c r="AJ160">
        <v>0</v>
      </c>
      <c r="AK160">
        <v>0</v>
      </c>
      <c r="AL160">
        <v>2</v>
      </c>
      <c r="AM160">
        <v>0</v>
      </c>
      <c r="AN160">
        <v>0</v>
      </c>
      <c r="AO160">
        <v>0</v>
      </c>
      <c r="AP160">
        <v>0</v>
      </c>
      <c r="AQ160">
        <v>2</v>
      </c>
      <c r="AR160">
        <v>0</v>
      </c>
      <c r="AS160">
        <v>0</v>
      </c>
      <c r="AT160">
        <v>0</v>
      </c>
      <c r="AU160">
        <v>0</v>
      </c>
      <c r="AV160">
        <v>0</v>
      </c>
    </row>
    <row r="161" spans="1:48" ht="15.75" customHeight="1" x14ac:dyDescent="0.25">
      <c r="A161">
        <v>1</v>
      </c>
      <c r="B161">
        <v>1</v>
      </c>
      <c r="C161">
        <v>2</v>
      </c>
      <c r="D161">
        <v>1</v>
      </c>
      <c r="E161">
        <v>1997</v>
      </c>
      <c r="F161">
        <v>2</v>
      </c>
      <c r="G161">
        <v>51</v>
      </c>
      <c r="H161">
        <v>0</v>
      </c>
      <c r="I161">
        <v>0</v>
      </c>
      <c r="J161">
        <v>0</v>
      </c>
      <c r="K161">
        <v>0</v>
      </c>
      <c r="L161">
        <v>0</v>
      </c>
      <c r="M161">
        <v>0</v>
      </c>
      <c r="N161">
        <v>0</v>
      </c>
      <c r="O161">
        <v>0</v>
      </c>
      <c r="P161">
        <v>0</v>
      </c>
      <c r="Q161">
        <v>0</v>
      </c>
      <c r="R161">
        <v>0</v>
      </c>
      <c r="S161">
        <v>0</v>
      </c>
      <c r="T161">
        <v>2</v>
      </c>
      <c r="U161">
        <v>4</v>
      </c>
      <c r="V161">
        <v>6</v>
      </c>
      <c r="W161">
        <v>7</v>
      </c>
      <c r="X161">
        <v>2</v>
      </c>
      <c r="Y161">
        <v>2</v>
      </c>
      <c r="Z161">
        <v>2</v>
      </c>
      <c r="AA161">
        <v>1</v>
      </c>
      <c r="AB161">
        <v>3</v>
      </c>
      <c r="AC161">
        <v>0</v>
      </c>
      <c r="AD161">
        <v>1</v>
      </c>
      <c r="AE161">
        <v>0</v>
      </c>
      <c r="AF161">
        <v>0</v>
      </c>
      <c r="AG161">
        <v>3</v>
      </c>
      <c r="AH161">
        <v>6</v>
      </c>
      <c r="AI161">
        <v>4</v>
      </c>
      <c r="AJ161">
        <v>1</v>
      </c>
      <c r="AK161">
        <v>3</v>
      </c>
      <c r="AL161">
        <v>0</v>
      </c>
      <c r="AM161">
        <v>0</v>
      </c>
      <c r="AN161">
        <v>2</v>
      </c>
      <c r="AO161">
        <v>0</v>
      </c>
      <c r="AP161">
        <v>0</v>
      </c>
      <c r="AQ161">
        <v>2</v>
      </c>
      <c r="AR161">
        <v>0</v>
      </c>
      <c r="AS161">
        <v>0</v>
      </c>
      <c r="AT161">
        <v>0</v>
      </c>
      <c r="AU161">
        <v>0</v>
      </c>
      <c r="AV161">
        <v>0</v>
      </c>
    </row>
    <row r="162" spans="1:48" ht="15.75" customHeight="1" x14ac:dyDescent="0.25">
      <c r="A162">
        <v>1</v>
      </c>
      <c r="B162">
        <v>1</v>
      </c>
      <c r="C162">
        <v>2</v>
      </c>
      <c r="D162">
        <v>1</v>
      </c>
      <c r="E162">
        <v>1997</v>
      </c>
      <c r="F162">
        <v>3</v>
      </c>
      <c r="G162">
        <v>12</v>
      </c>
      <c r="H162">
        <v>0</v>
      </c>
      <c r="I162">
        <v>0</v>
      </c>
      <c r="J162">
        <v>0</v>
      </c>
      <c r="K162">
        <v>0</v>
      </c>
      <c r="L162">
        <v>0</v>
      </c>
      <c r="M162">
        <v>0</v>
      </c>
      <c r="N162">
        <v>0</v>
      </c>
      <c r="O162">
        <v>0</v>
      </c>
      <c r="P162">
        <v>0</v>
      </c>
      <c r="Q162">
        <v>0</v>
      </c>
      <c r="R162">
        <v>0</v>
      </c>
      <c r="S162">
        <v>0</v>
      </c>
      <c r="T162">
        <v>0</v>
      </c>
      <c r="U162">
        <v>1</v>
      </c>
      <c r="V162">
        <v>1</v>
      </c>
      <c r="W162">
        <v>2</v>
      </c>
      <c r="X162">
        <v>1</v>
      </c>
      <c r="Y162">
        <v>1</v>
      </c>
      <c r="Z162">
        <v>0</v>
      </c>
      <c r="AA162">
        <v>0</v>
      </c>
      <c r="AB162">
        <v>0</v>
      </c>
      <c r="AC162">
        <v>2</v>
      </c>
      <c r="AD162">
        <v>1</v>
      </c>
      <c r="AE162">
        <v>0</v>
      </c>
      <c r="AF162">
        <v>2</v>
      </c>
      <c r="AG162">
        <v>0</v>
      </c>
      <c r="AH162">
        <v>0</v>
      </c>
      <c r="AI162">
        <v>0</v>
      </c>
      <c r="AJ162">
        <v>1</v>
      </c>
      <c r="AK162">
        <v>0</v>
      </c>
      <c r="AL162">
        <v>0</v>
      </c>
      <c r="AM162">
        <v>0</v>
      </c>
      <c r="AN162">
        <v>0</v>
      </c>
      <c r="AO162">
        <v>0</v>
      </c>
      <c r="AP162">
        <v>0</v>
      </c>
      <c r="AQ162">
        <v>0</v>
      </c>
      <c r="AR162">
        <v>0</v>
      </c>
      <c r="AS162">
        <v>0</v>
      </c>
      <c r="AT162">
        <v>0</v>
      </c>
      <c r="AU162">
        <v>0</v>
      </c>
      <c r="AV162">
        <v>0</v>
      </c>
    </row>
    <row r="163" spans="1:48" ht="15.75" customHeight="1" x14ac:dyDescent="0.25">
      <c r="A163">
        <v>1</v>
      </c>
      <c r="B163">
        <v>1</v>
      </c>
      <c r="C163">
        <v>2</v>
      </c>
      <c r="D163">
        <v>1</v>
      </c>
      <c r="E163">
        <v>1997</v>
      </c>
      <c r="F163">
        <v>6</v>
      </c>
      <c r="G163">
        <v>4</v>
      </c>
      <c r="H163">
        <v>0</v>
      </c>
      <c r="I163">
        <v>0</v>
      </c>
      <c r="J163">
        <v>0</v>
      </c>
      <c r="K163">
        <v>0</v>
      </c>
      <c r="L163">
        <v>0</v>
      </c>
      <c r="M163">
        <v>0</v>
      </c>
      <c r="N163">
        <v>0</v>
      </c>
      <c r="O163">
        <v>0</v>
      </c>
      <c r="P163">
        <v>0</v>
      </c>
      <c r="Q163">
        <v>0</v>
      </c>
      <c r="R163">
        <v>0</v>
      </c>
      <c r="S163">
        <v>0</v>
      </c>
      <c r="T163">
        <v>0</v>
      </c>
      <c r="U163">
        <v>1</v>
      </c>
      <c r="V163">
        <v>0</v>
      </c>
      <c r="W163">
        <v>0</v>
      </c>
      <c r="X163">
        <v>0</v>
      </c>
      <c r="Y163">
        <v>0</v>
      </c>
      <c r="Z163">
        <v>0</v>
      </c>
      <c r="AA163">
        <v>1</v>
      </c>
      <c r="AB163">
        <v>0</v>
      </c>
      <c r="AC163">
        <v>1</v>
      </c>
      <c r="AD163">
        <v>0</v>
      </c>
      <c r="AE163">
        <v>0</v>
      </c>
      <c r="AF163">
        <v>0</v>
      </c>
      <c r="AG163">
        <v>0</v>
      </c>
      <c r="AH163">
        <v>1</v>
      </c>
      <c r="AI163">
        <v>0</v>
      </c>
      <c r="AJ163">
        <v>0</v>
      </c>
      <c r="AK163">
        <v>0</v>
      </c>
      <c r="AL163">
        <v>0</v>
      </c>
      <c r="AM163">
        <v>0</v>
      </c>
      <c r="AN163">
        <v>0</v>
      </c>
      <c r="AO163">
        <v>0</v>
      </c>
      <c r="AP163">
        <v>0</v>
      </c>
      <c r="AQ163">
        <v>0</v>
      </c>
      <c r="AR163">
        <v>0</v>
      </c>
      <c r="AS163">
        <v>0</v>
      </c>
      <c r="AT163">
        <v>0</v>
      </c>
      <c r="AU163">
        <v>0</v>
      </c>
      <c r="AV163">
        <v>0</v>
      </c>
    </row>
    <row r="164" spans="1:48" ht="15.75" customHeight="1" x14ac:dyDescent="0.25">
      <c r="A164">
        <v>1</v>
      </c>
      <c r="B164">
        <v>1</v>
      </c>
      <c r="C164">
        <v>2</v>
      </c>
      <c r="D164">
        <v>1</v>
      </c>
      <c r="E164">
        <v>1998</v>
      </c>
      <c r="F164">
        <v>1</v>
      </c>
      <c r="G164">
        <v>3</v>
      </c>
      <c r="H164">
        <v>0</v>
      </c>
      <c r="I164">
        <v>0</v>
      </c>
      <c r="J164">
        <v>0</v>
      </c>
      <c r="K164">
        <v>0</v>
      </c>
      <c r="L164">
        <v>0</v>
      </c>
      <c r="M164">
        <v>0</v>
      </c>
      <c r="N164">
        <v>0</v>
      </c>
      <c r="O164">
        <v>0</v>
      </c>
      <c r="P164">
        <v>0</v>
      </c>
      <c r="Q164">
        <v>0</v>
      </c>
      <c r="R164">
        <v>0</v>
      </c>
      <c r="S164">
        <v>0</v>
      </c>
      <c r="T164">
        <v>1</v>
      </c>
      <c r="U164">
        <v>0</v>
      </c>
      <c r="V164">
        <v>1</v>
      </c>
      <c r="W164">
        <v>0</v>
      </c>
      <c r="X164">
        <v>0</v>
      </c>
      <c r="Y164">
        <v>0</v>
      </c>
      <c r="Z164">
        <v>0</v>
      </c>
      <c r="AA164">
        <v>0</v>
      </c>
      <c r="AB164">
        <v>1</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row>
    <row r="165" spans="1:48" ht="15.75" customHeight="1" x14ac:dyDescent="0.25">
      <c r="A165">
        <v>1</v>
      </c>
      <c r="B165">
        <v>1</v>
      </c>
      <c r="C165">
        <v>2</v>
      </c>
      <c r="D165">
        <v>1</v>
      </c>
      <c r="E165">
        <v>1998</v>
      </c>
      <c r="F165">
        <v>2</v>
      </c>
      <c r="G165">
        <v>23</v>
      </c>
      <c r="H165">
        <v>0</v>
      </c>
      <c r="I165">
        <v>0</v>
      </c>
      <c r="J165">
        <v>0</v>
      </c>
      <c r="K165">
        <v>0</v>
      </c>
      <c r="L165">
        <v>0</v>
      </c>
      <c r="M165">
        <v>0</v>
      </c>
      <c r="N165">
        <v>0</v>
      </c>
      <c r="O165">
        <v>0</v>
      </c>
      <c r="P165">
        <v>0</v>
      </c>
      <c r="Q165">
        <v>0</v>
      </c>
      <c r="R165">
        <v>0</v>
      </c>
      <c r="S165">
        <v>0</v>
      </c>
      <c r="T165">
        <v>3</v>
      </c>
      <c r="U165">
        <v>0</v>
      </c>
      <c r="V165">
        <v>2</v>
      </c>
      <c r="W165">
        <v>0</v>
      </c>
      <c r="X165">
        <v>2</v>
      </c>
      <c r="Y165">
        <v>2</v>
      </c>
      <c r="Z165">
        <v>0</v>
      </c>
      <c r="AA165">
        <v>1</v>
      </c>
      <c r="AB165">
        <v>1</v>
      </c>
      <c r="AC165">
        <v>1</v>
      </c>
      <c r="AD165">
        <v>0</v>
      </c>
      <c r="AE165">
        <v>1</v>
      </c>
      <c r="AF165">
        <v>0</v>
      </c>
      <c r="AG165">
        <v>2</v>
      </c>
      <c r="AH165">
        <v>0</v>
      </c>
      <c r="AI165">
        <v>0</v>
      </c>
      <c r="AJ165">
        <v>1</v>
      </c>
      <c r="AK165">
        <v>0</v>
      </c>
      <c r="AL165">
        <v>1</v>
      </c>
      <c r="AM165">
        <v>1</v>
      </c>
      <c r="AN165">
        <v>3</v>
      </c>
      <c r="AO165">
        <v>0</v>
      </c>
      <c r="AP165">
        <v>0</v>
      </c>
      <c r="AQ165">
        <v>2</v>
      </c>
      <c r="AR165">
        <v>0</v>
      </c>
      <c r="AS165">
        <v>0</v>
      </c>
      <c r="AT165">
        <v>0</v>
      </c>
      <c r="AU165">
        <v>0</v>
      </c>
      <c r="AV165">
        <v>0</v>
      </c>
    </row>
    <row r="166" spans="1:48" ht="15.75" customHeight="1" x14ac:dyDescent="0.25">
      <c r="A166">
        <v>1</v>
      </c>
      <c r="B166">
        <v>1</v>
      </c>
      <c r="C166">
        <v>2</v>
      </c>
      <c r="D166">
        <v>1</v>
      </c>
      <c r="E166">
        <v>1998</v>
      </c>
      <c r="F166">
        <v>3</v>
      </c>
      <c r="G166">
        <v>33</v>
      </c>
      <c r="H166">
        <v>0</v>
      </c>
      <c r="I166">
        <v>0</v>
      </c>
      <c r="J166">
        <v>0</v>
      </c>
      <c r="K166">
        <v>0</v>
      </c>
      <c r="L166">
        <v>0</v>
      </c>
      <c r="M166">
        <v>0</v>
      </c>
      <c r="N166">
        <v>0</v>
      </c>
      <c r="O166">
        <v>0</v>
      </c>
      <c r="P166">
        <v>0</v>
      </c>
      <c r="Q166">
        <v>0</v>
      </c>
      <c r="R166">
        <v>0</v>
      </c>
      <c r="S166">
        <v>0</v>
      </c>
      <c r="T166">
        <v>1</v>
      </c>
      <c r="U166">
        <v>3</v>
      </c>
      <c r="V166">
        <v>2</v>
      </c>
      <c r="W166">
        <v>4</v>
      </c>
      <c r="X166">
        <v>0</v>
      </c>
      <c r="Y166">
        <v>1</v>
      </c>
      <c r="Z166">
        <v>3</v>
      </c>
      <c r="AA166">
        <v>1</v>
      </c>
      <c r="AB166">
        <v>0</v>
      </c>
      <c r="AC166">
        <v>1</v>
      </c>
      <c r="AD166">
        <v>4</v>
      </c>
      <c r="AE166">
        <v>2</v>
      </c>
      <c r="AF166">
        <v>1</v>
      </c>
      <c r="AG166">
        <v>0</v>
      </c>
      <c r="AH166">
        <v>3</v>
      </c>
      <c r="AI166">
        <v>2</v>
      </c>
      <c r="AJ166">
        <v>3</v>
      </c>
      <c r="AK166">
        <v>1</v>
      </c>
      <c r="AL166">
        <v>0</v>
      </c>
      <c r="AM166">
        <v>0</v>
      </c>
      <c r="AN166">
        <v>1</v>
      </c>
      <c r="AO166">
        <v>0</v>
      </c>
      <c r="AP166">
        <v>0</v>
      </c>
      <c r="AQ166">
        <v>0</v>
      </c>
      <c r="AR166">
        <v>0</v>
      </c>
      <c r="AS166">
        <v>0</v>
      </c>
      <c r="AT166">
        <v>0</v>
      </c>
      <c r="AU166">
        <v>0</v>
      </c>
      <c r="AV166">
        <v>0</v>
      </c>
    </row>
    <row r="167" spans="1:48" ht="15.75" customHeight="1" x14ac:dyDescent="0.25">
      <c r="A167">
        <v>1</v>
      </c>
      <c r="B167">
        <v>1</v>
      </c>
      <c r="C167">
        <v>2</v>
      </c>
      <c r="D167">
        <v>1</v>
      </c>
      <c r="E167">
        <v>1998</v>
      </c>
      <c r="F167">
        <v>6</v>
      </c>
      <c r="G167">
        <v>6</v>
      </c>
      <c r="H167">
        <v>0</v>
      </c>
      <c r="I167">
        <v>0</v>
      </c>
      <c r="J167">
        <v>0</v>
      </c>
      <c r="K167">
        <v>0</v>
      </c>
      <c r="L167">
        <v>0</v>
      </c>
      <c r="M167">
        <v>0</v>
      </c>
      <c r="N167">
        <v>0</v>
      </c>
      <c r="O167">
        <v>0</v>
      </c>
      <c r="P167">
        <v>0</v>
      </c>
      <c r="Q167">
        <v>0</v>
      </c>
      <c r="R167">
        <v>0</v>
      </c>
      <c r="S167">
        <v>0</v>
      </c>
      <c r="T167">
        <v>0</v>
      </c>
      <c r="U167">
        <v>0</v>
      </c>
      <c r="V167">
        <v>0</v>
      </c>
      <c r="W167">
        <v>0</v>
      </c>
      <c r="X167">
        <v>3</v>
      </c>
      <c r="Y167">
        <v>1</v>
      </c>
      <c r="Z167">
        <v>1</v>
      </c>
      <c r="AA167">
        <v>0</v>
      </c>
      <c r="AB167">
        <v>1</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row>
    <row r="168" spans="1:48" ht="15.75" customHeight="1" x14ac:dyDescent="0.25">
      <c r="A168">
        <v>1</v>
      </c>
      <c r="B168">
        <v>1</v>
      </c>
      <c r="C168">
        <v>2</v>
      </c>
      <c r="D168">
        <v>1</v>
      </c>
      <c r="E168">
        <v>1999</v>
      </c>
      <c r="F168">
        <v>1</v>
      </c>
      <c r="G168">
        <v>15</v>
      </c>
      <c r="H168">
        <v>0</v>
      </c>
      <c r="I168">
        <v>0</v>
      </c>
      <c r="J168">
        <v>0</v>
      </c>
      <c r="K168">
        <v>0</v>
      </c>
      <c r="L168">
        <v>0</v>
      </c>
      <c r="M168">
        <v>0</v>
      </c>
      <c r="N168">
        <v>0</v>
      </c>
      <c r="O168">
        <v>0</v>
      </c>
      <c r="P168">
        <v>0</v>
      </c>
      <c r="Q168">
        <v>0</v>
      </c>
      <c r="R168">
        <v>0</v>
      </c>
      <c r="S168">
        <v>0</v>
      </c>
      <c r="T168">
        <v>1</v>
      </c>
      <c r="U168">
        <v>0</v>
      </c>
      <c r="V168">
        <v>0</v>
      </c>
      <c r="W168">
        <v>1</v>
      </c>
      <c r="X168">
        <v>1</v>
      </c>
      <c r="Y168">
        <v>1</v>
      </c>
      <c r="Z168">
        <v>1</v>
      </c>
      <c r="AA168">
        <v>1</v>
      </c>
      <c r="AB168">
        <v>1</v>
      </c>
      <c r="AC168">
        <v>1</v>
      </c>
      <c r="AD168">
        <v>3</v>
      </c>
      <c r="AE168">
        <v>1</v>
      </c>
      <c r="AF168">
        <v>1</v>
      </c>
      <c r="AG168">
        <v>1</v>
      </c>
      <c r="AH168">
        <v>1</v>
      </c>
      <c r="AI168">
        <v>0</v>
      </c>
      <c r="AJ168">
        <v>0</v>
      </c>
      <c r="AK168">
        <v>0</v>
      </c>
      <c r="AL168">
        <v>0</v>
      </c>
      <c r="AM168">
        <v>0</v>
      </c>
      <c r="AN168">
        <v>0</v>
      </c>
      <c r="AO168">
        <v>0</v>
      </c>
      <c r="AP168">
        <v>0</v>
      </c>
      <c r="AQ168">
        <v>0</v>
      </c>
      <c r="AR168">
        <v>0</v>
      </c>
      <c r="AS168">
        <v>0</v>
      </c>
      <c r="AT168">
        <v>0</v>
      </c>
      <c r="AU168">
        <v>0</v>
      </c>
      <c r="AV168">
        <v>0</v>
      </c>
    </row>
    <row r="169" spans="1:48" ht="15.75" customHeight="1" x14ac:dyDescent="0.25">
      <c r="A169">
        <v>1</v>
      </c>
      <c r="B169">
        <v>1</v>
      </c>
      <c r="C169">
        <v>2</v>
      </c>
      <c r="D169">
        <v>1</v>
      </c>
      <c r="E169">
        <v>1999</v>
      </c>
      <c r="F169">
        <v>2</v>
      </c>
      <c r="G169">
        <v>34</v>
      </c>
      <c r="H169">
        <v>0</v>
      </c>
      <c r="I169">
        <v>0</v>
      </c>
      <c r="J169">
        <v>0</v>
      </c>
      <c r="K169">
        <v>0</v>
      </c>
      <c r="L169">
        <v>0</v>
      </c>
      <c r="M169">
        <v>0</v>
      </c>
      <c r="N169">
        <v>0</v>
      </c>
      <c r="O169">
        <v>0</v>
      </c>
      <c r="P169">
        <v>0</v>
      </c>
      <c r="Q169">
        <v>0</v>
      </c>
      <c r="R169">
        <v>0</v>
      </c>
      <c r="S169">
        <v>0</v>
      </c>
      <c r="T169">
        <v>0</v>
      </c>
      <c r="U169">
        <v>0</v>
      </c>
      <c r="V169">
        <v>3</v>
      </c>
      <c r="W169">
        <v>7</v>
      </c>
      <c r="X169">
        <v>5</v>
      </c>
      <c r="Y169">
        <v>3</v>
      </c>
      <c r="Z169">
        <v>1</v>
      </c>
      <c r="AA169">
        <v>1</v>
      </c>
      <c r="AB169">
        <v>1</v>
      </c>
      <c r="AC169">
        <v>1</v>
      </c>
      <c r="AD169">
        <v>1</v>
      </c>
      <c r="AE169">
        <v>3</v>
      </c>
      <c r="AF169">
        <v>1</v>
      </c>
      <c r="AG169">
        <v>0</v>
      </c>
      <c r="AH169">
        <v>2</v>
      </c>
      <c r="AI169">
        <v>1</v>
      </c>
      <c r="AJ169">
        <v>1</v>
      </c>
      <c r="AK169">
        <v>1</v>
      </c>
      <c r="AL169">
        <v>0</v>
      </c>
      <c r="AM169">
        <v>0</v>
      </c>
      <c r="AN169">
        <v>1</v>
      </c>
      <c r="AO169">
        <v>0</v>
      </c>
      <c r="AP169">
        <v>1</v>
      </c>
      <c r="AQ169">
        <v>0</v>
      </c>
      <c r="AR169">
        <v>0</v>
      </c>
      <c r="AS169">
        <v>0</v>
      </c>
      <c r="AT169">
        <v>0</v>
      </c>
      <c r="AU169">
        <v>0</v>
      </c>
      <c r="AV169">
        <v>0</v>
      </c>
    </row>
    <row r="170" spans="1:48" ht="15.75" customHeight="1" x14ac:dyDescent="0.25">
      <c r="A170">
        <v>1</v>
      </c>
      <c r="B170">
        <v>1</v>
      </c>
      <c r="C170">
        <v>2</v>
      </c>
      <c r="D170">
        <v>1</v>
      </c>
      <c r="E170">
        <v>1999</v>
      </c>
      <c r="F170">
        <v>3</v>
      </c>
      <c r="G170">
        <v>7</v>
      </c>
      <c r="H170">
        <v>0</v>
      </c>
      <c r="I170">
        <v>0</v>
      </c>
      <c r="J170">
        <v>0</v>
      </c>
      <c r="K170">
        <v>0</v>
      </c>
      <c r="L170">
        <v>0</v>
      </c>
      <c r="M170">
        <v>0</v>
      </c>
      <c r="N170">
        <v>0</v>
      </c>
      <c r="O170">
        <v>0</v>
      </c>
      <c r="P170">
        <v>0</v>
      </c>
      <c r="Q170">
        <v>0</v>
      </c>
      <c r="R170">
        <v>0</v>
      </c>
      <c r="S170">
        <v>0</v>
      </c>
      <c r="T170">
        <v>0</v>
      </c>
      <c r="U170">
        <v>0</v>
      </c>
      <c r="V170">
        <v>0</v>
      </c>
      <c r="W170">
        <v>0</v>
      </c>
      <c r="X170">
        <v>1</v>
      </c>
      <c r="Y170">
        <v>1</v>
      </c>
      <c r="Z170">
        <v>0</v>
      </c>
      <c r="AA170">
        <v>1</v>
      </c>
      <c r="AB170">
        <v>0</v>
      </c>
      <c r="AC170">
        <v>0</v>
      </c>
      <c r="AD170">
        <v>0</v>
      </c>
      <c r="AE170">
        <v>0</v>
      </c>
      <c r="AF170">
        <v>0</v>
      </c>
      <c r="AG170">
        <v>0</v>
      </c>
      <c r="AH170">
        <v>0</v>
      </c>
      <c r="AI170">
        <v>0</v>
      </c>
      <c r="AJ170">
        <v>0</v>
      </c>
      <c r="AK170">
        <v>3</v>
      </c>
      <c r="AL170">
        <v>0</v>
      </c>
      <c r="AM170">
        <v>0</v>
      </c>
      <c r="AN170">
        <v>0</v>
      </c>
      <c r="AO170">
        <v>0</v>
      </c>
      <c r="AP170">
        <v>0</v>
      </c>
      <c r="AQ170">
        <v>1</v>
      </c>
      <c r="AR170">
        <v>0</v>
      </c>
      <c r="AS170">
        <v>0</v>
      </c>
      <c r="AT170">
        <v>0</v>
      </c>
      <c r="AU170">
        <v>0</v>
      </c>
      <c r="AV170">
        <v>0</v>
      </c>
    </row>
    <row r="171" spans="1:48" ht="15.75" customHeight="1" x14ac:dyDescent="0.25">
      <c r="A171">
        <v>1</v>
      </c>
      <c r="B171">
        <v>1</v>
      </c>
      <c r="C171">
        <v>2</v>
      </c>
      <c r="D171">
        <v>1</v>
      </c>
      <c r="E171">
        <v>1999</v>
      </c>
      <c r="F171">
        <v>6</v>
      </c>
      <c r="G171">
        <v>1</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1</v>
      </c>
      <c r="AF171">
        <v>0</v>
      </c>
      <c r="AG171">
        <v>0</v>
      </c>
      <c r="AH171">
        <v>0</v>
      </c>
      <c r="AI171">
        <v>0</v>
      </c>
      <c r="AJ171">
        <v>0</v>
      </c>
      <c r="AK171">
        <v>0</v>
      </c>
      <c r="AL171">
        <v>0</v>
      </c>
      <c r="AM171">
        <v>0</v>
      </c>
      <c r="AN171">
        <v>0</v>
      </c>
      <c r="AO171">
        <v>0</v>
      </c>
      <c r="AP171">
        <v>0</v>
      </c>
      <c r="AQ171">
        <v>0</v>
      </c>
      <c r="AR171">
        <v>0</v>
      </c>
      <c r="AS171">
        <v>0</v>
      </c>
      <c r="AT171">
        <v>0</v>
      </c>
      <c r="AU171">
        <v>0</v>
      </c>
      <c r="AV171">
        <v>0</v>
      </c>
    </row>
    <row r="172" spans="1:48" ht="15.75" customHeight="1" x14ac:dyDescent="0.25">
      <c r="A172">
        <v>1</v>
      </c>
      <c r="B172">
        <v>1</v>
      </c>
      <c r="C172">
        <v>2</v>
      </c>
      <c r="D172">
        <v>1</v>
      </c>
      <c r="E172">
        <v>2000</v>
      </c>
      <c r="F172">
        <v>2</v>
      </c>
      <c r="G172">
        <v>5</v>
      </c>
      <c r="H172">
        <v>0</v>
      </c>
      <c r="I172">
        <v>0</v>
      </c>
      <c r="J172">
        <v>0</v>
      </c>
      <c r="K172">
        <v>0</v>
      </c>
      <c r="L172">
        <v>0</v>
      </c>
      <c r="M172">
        <v>0</v>
      </c>
      <c r="N172">
        <v>0</v>
      </c>
      <c r="O172">
        <v>0</v>
      </c>
      <c r="P172">
        <v>0</v>
      </c>
      <c r="Q172">
        <v>0</v>
      </c>
      <c r="R172">
        <v>0</v>
      </c>
      <c r="S172">
        <v>0</v>
      </c>
      <c r="T172">
        <v>0</v>
      </c>
      <c r="U172">
        <v>0</v>
      </c>
      <c r="V172">
        <v>0</v>
      </c>
      <c r="W172">
        <v>0</v>
      </c>
      <c r="X172">
        <v>0</v>
      </c>
      <c r="Y172">
        <v>1</v>
      </c>
      <c r="Z172">
        <v>0</v>
      </c>
      <c r="AA172">
        <v>0</v>
      </c>
      <c r="AB172">
        <v>0</v>
      </c>
      <c r="AC172">
        <v>1</v>
      </c>
      <c r="AD172">
        <v>1</v>
      </c>
      <c r="AE172">
        <v>0</v>
      </c>
      <c r="AF172">
        <v>0</v>
      </c>
      <c r="AG172">
        <v>0</v>
      </c>
      <c r="AH172">
        <v>0</v>
      </c>
      <c r="AI172">
        <v>0</v>
      </c>
      <c r="AJ172">
        <v>0</v>
      </c>
      <c r="AK172">
        <v>0</v>
      </c>
      <c r="AL172">
        <v>0</v>
      </c>
      <c r="AM172">
        <v>0</v>
      </c>
      <c r="AN172">
        <v>0</v>
      </c>
      <c r="AO172">
        <v>1</v>
      </c>
      <c r="AP172">
        <v>0</v>
      </c>
      <c r="AQ172">
        <v>1</v>
      </c>
      <c r="AR172">
        <v>0</v>
      </c>
      <c r="AS172">
        <v>0</v>
      </c>
      <c r="AT172">
        <v>0</v>
      </c>
      <c r="AU172">
        <v>0</v>
      </c>
      <c r="AV172">
        <v>0</v>
      </c>
    </row>
    <row r="173" spans="1:48" ht="15.75" customHeight="1" x14ac:dyDescent="0.25">
      <c r="A173">
        <v>1</v>
      </c>
      <c r="B173">
        <v>2</v>
      </c>
      <c r="C173">
        <v>1</v>
      </c>
      <c r="D173">
        <v>1</v>
      </c>
      <c r="E173">
        <v>2004</v>
      </c>
      <c r="F173">
        <v>2</v>
      </c>
      <c r="G173">
        <v>2</v>
      </c>
      <c r="H173">
        <v>0</v>
      </c>
      <c r="I173">
        <v>0</v>
      </c>
      <c r="J173">
        <v>0</v>
      </c>
      <c r="K173">
        <v>0</v>
      </c>
      <c r="L173">
        <v>0</v>
      </c>
      <c r="M173">
        <v>0</v>
      </c>
      <c r="N173">
        <v>0</v>
      </c>
      <c r="O173">
        <v>0</v>
      </c>
      <c r="P173">
        <v>0</v>
      </c>
      <c r="Q173">
        <v>0</v>
      </c>
      <c r="R173">
        <v>0</v>
      </c>
      <c r="S173">
        <v>0</v>
      </c>
      <c r="T173">
        <v>0</v>
      </c>
      <c r="U173">
        <v>1</v>
      </c>
      <c r="V173">
        <v>1</v>
      </c>
      <c r="W173">
        <v>0</v>
      </c>
      <c r="X173">
        <v>0</v>
      </c>
      <c r="Y173">
        <v>0</v>
      </c>
      <c r="Z173">
        <v>0</v>
      </c>
      <c r="AA173">
        <v>0</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row>
    <row r="174" spans="1:48" ht="15.75" customHeight="1" x14ac:dyDescent="0.25">
      <c r="A174">
        <v>1</v>
      </c>
      <c r="B174">
        <v>2</v>
      </c>
      <c r="C174">
        <v>1</v>
      </c>
      <c r="D174">
        <v>1</v>
      </c>
      <c r="E174">
        <v>2004</v>
      </c>
      <c r="F174">
        <v>3</v>
      </c>
      <c r="G174">
        <v>8</v>
      </c>
      <c r="H174">
        <v>0</v>
      </c>
      <c r="I174">
        <v>0</v>
      </c>
      <c r="J174">
        <v>0</v>
      </c>
      <c r="K174">
        <v>0</v>
      </c>
      <c r="L174">
        <v>0</v>
      </c>
      <c r="M174">
        <v>0</v>
      </c>
      <c r="N174">
        <v>0</v>
      </c>
      <c r="O174">
        <v>0</v>
      </c>
      <c r="P174">
        <v>0</v>
      </c>
      <c r="Q174">
        <v>0</v>
      </c>
      <c r="R174">
        <v>0</v>
      </c>
      <c r="S174">
        <v>0</v>
      </c>
      <c r="T174">
        <v>2</v>
      </c>
      <c r="U174">
        <v>4</v>
      </c>
      <c r="V174">
        <v>0</v>
      </c>
      <c r="W174">
        <v>0</v>
      </c>
      <c r="X174">
        <v>0</v>
      </c>
      <c r="Y174">
        <v>1</v>
      </c>
      <c r="Z174">
        <v>0</v>
      </c>
      <c r="AA174">
        <v>0</v>
      </c>
      <c r="AB174">
        <v>1</v>
      </c>
      <c r="AC174">
        <v>0</v>
      </c>
      <c r="AD174">
        <v>0</v>
      </c>
      <c r="AE174">
        <v>0</v>
      </c>
      <c r="AF174">
        <v>0</v>
      </c>
      <c r="AG174">
        <v>0</v>
      </c>
      <c r="AH174">
        <v>0</v>
      </c>
      <c r="AI174">
        <v>0</v>
      </c>
      <c r="AJ174">
        <v>0</v>
      </c>
      <c r="AK174">
        <v>0</v>
      </c>
      <c r="AL174">
        <v>0</v>
      </c>
      <c r="AM174">
        <v>0</v>
      </c>
      <c r="AN174">
        <v>0</v>
      </c>
      <c r="AO174">
        <v>0</v>
      </c>
      <c r="AP174">
        <v>0</v>
      </c>
      <c r="AQ174">
        <v>0</v>
      </c>
      <c r="AR174">
        <v>0</v>
      </c>
      <c r="AS174">
        <v>0</v>
      </c>
      <c r="AT174">
        <v>0</v>
      </c>
      <c r="AU174">
        <v>0</v>
      </c>
      <c r="AV174">
        <v>0</v>
      </c>
    </row>
    <row r="175" spans="1:48" ht="15.75" customHeight="1" x14ac:dyDescent="0.25">
      <c r="A175">
        <v>1</v>
      </c>
      <c r="B175">
        <v>2</v>
      </c>
      <c r="C175">
        <v>1</v>
      </c>
      <c r="D175">
        <v>1</v>
      </c>
      <c r="E175">
        <v>2005</v>
      </c>
      <c r="F175">
        <v>2</v>
      </c>
      <c r="G175">
        <v>3</v>
      </c>
      <c r="H175">
        <v>0</v>
      </c>
      <c r="I175">
        <v>0</v>
      </c>
      <c r="J175">
        <v>0</v>
      </c>
      <c r="K175">
        <v>0</v>
      </c>
      <c r="L175">
        <v>0</v>
      </c>
      <c r="M175">
        <v>0</v>
      </c>
      <c r="N175">
        <v>0</v>
      </c>
      <c r="O175">
        <v>0</v>
      </c>
      <c r="P175">
        <v>0</v>
      </c>
      <c r="Q175">
        <v>0</v>
      </c>
      <c r="R175">
        <v>0</v>
      </c>
      <c r="S175">
        <v>0</v>
      </c>
      <c r="T175">
        <v>0</v>
      </c>
      <c r="U175">
        <v>2</v>
      </c>
      <c r="V175">
        <v>0</v>
      </c>
      <c r="W175">
        <v>0</v>
      </c>
      <c r="X175">
        <v>0</v>
      </c>
      <c r="Y175">
        <v>0</v>
      </c>
      <c r="Z175">
        <v>0</v>
      </c>
      <c r="AA175">
        <v>1</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row>
    <row r="176" spans="1:48" ht="15.75" customHeight="1" x14ac:dyDescent="0.25">
      <c r="A176">
        <v>1</v>
      </c>
      <c r="B176">
        <v>2</v>
      </c>
      <c r="C176">
        <v>1</v>
      </c>
      <c r="D176">
        <v>1</v>
      </c>
      <c r="E176">
        <v>2005</v>
      </c>
      <c r="F176">
        <v>3</v>
      </c>
      <c r="G176">
        <v>7</v>
      </c>
      <c r="H176">
        <v>0</v>
      </c>
      <c r="I176">
        <v>0</v>
      </c>
      <c r="J176">
        <v>0</v>
      </c>
      <c r="K176">
        <v>0</v>
      </c>
      <c r="L176">
        <v>0</v>
      </c>
      <c r="M176">
        <v>0</v>
      </c>
      <c r="N176">
        <v>0</v>
      </c>
      <c r="O176">
        <v>0</v>
      </c>
      <c r="P176">
        <v>0</v>
      </c>
      <c r="Q176">
        <v>0</v>
      </c>
      <c r="R176">
        <v>0</v>
      </c>
      <c r="S176">
        <v>0</v>
      </c>
      <c r="T176">
        <v>2</v>
      </c>
      <c r="U176">
        <v>3</v>
      </c>
      <c r="V176">
        <v>1</v>
      </c>
      <c r="W176">
        <v>0</v>
      </c>
      <c r="X176">
        <v>0</v>
      </c>
      <c r="Y176">
        <v>1</v>
      </c>
      <c r="Z176">
        <v>0</v>
      </c>
      <c r="AA176">
        <v>0</v>
      </c>
      <c r="AB176">
        <v>0</v>
      </c>
      <c r="AC176">
        <v>0</v>
      </c>
      <c r="AD176">
        <v>0</v>
      </c>
      <c r="AE176">
        <v>0</v>
      </c>
      <c r="AF176">
        <v>0</v>
      </c>
      <c r="AG176">
        <v>0</v>
      </c>
      <c r="AH176">
        <v>0</v>
      </c>
      <c r="AI176">
        <v>0</v>
      </c>
      <c r="AJ176">
        <v>0</v>
      </c>
      <c r="AK176">
        <v>0</v>
      </c>
      <c r="AL176">
        <v>0</v>
      </c>
      <c r="AM176">
        <v>0</v>
      </c>
      <c r="AN176">
        <v>0</v>
      </c>
      <c r="AO176">
        <v>0</v>
      </c>
      <c r="AP176">
        <v>0</v>
      </c>
      <c r="AQ176">
        <v>0</v>
      </c>
      <c r="AR176">
        <v>0</v>
      </c>
      <c r="AS176">
        <v>0</v>
      </c>
      <c r="AT176">
        <v>0</v>
      </c>
      <c r="AU176">
        <v>0</v>
      </c>
      <c r="AV176">
        <v>0</v>
      </c>
    </row>
    <row r="177" spans="1:48" ht="15.75" customHeight="1" x14ac:dyDescent="0.25">
      <c r="A177">
        <v>1</v>
      </c>
      <c r="B177">
        <v>2</v>
      </c>
      <c r="C177">
        <v>1</v>
      </c>
      <c r="D177">
        <v>1</v>
      </c>
      <c r="E177">
        <v>2005</v>
      </c>
      <c r="F177">
        <v>6</v>
      </c>
      <c r="G177">
        <v>1</v>
      </c>
      <c r="H177">
        <v>0</v>
      </c>
      <c r="I177">
        <v>0</v>
      </c>
      <c r="J177">
        <v>0</v>
      </c>
      <c r="K177">
        <v>0</v>
      </c>
      <c r="L177">
        <v>0</v>
      </c>
      <c r="M177">
        <v>0</v>
      </c>
      <c r="N177">
        <v>0</v>
      </c>
      <c r="O177">
        <v>0</v>
      </c>
      <c r="P177">
        <v>0</v>
      </c>
      <c r="Q177">
        <v>0</v>
      </c>
      <c r="R177">
        <v>0</v>
      </c>
      <c r="S177">
        <v>0</v>
      </c>
      <c r="T177">
        <v>1</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row>
    <row r="178" spans="1:48" ht="15.75" customHeight="1" x14ac:dyDescent="0.25">
      <c r="A178">
        <v>1</v>
      </c>
      <c r="B178">
        <v>2</v>
      </c>
      <c r="C178">
        <v>1</v>
      </c>
      <c r="D178">
        <v>1</v>
      </c>
      <c r="E178">
        <v>2006</v>
      </c>
      <c r="F178">
        <v>1</v>
      </c>
      <c r="G178">
        <v>1</v>
      </c>
      <c r="H178">
        <v>0</v>
      </c>
      <c r="I178">
        <v>0</v>
      </c>
      <c r="J178">
        <v>0</v>
      </c>
      <c r="K178">
        <v>0</v>
      </c>
      <c r="L178">
        <v>0</v>
      </c>
      <c r="M178">
        <v>0</v>
      </c>
      <c r="N178">
        <v>0</v>
      </c>
      <c r="O178">
        <v>0</v>
      </c>
      <c r="P178">
        <v>0</v>
      </c>
      <c r="Q178">
        <v>0</v>
      </c>
      <c r="R178">
        <v>0</v>
      </c>
      <c r="S178">
        <v>0</v>
      </c>
      <c r="T178">
        <v>0</v>
      </c>
      <c r="U178">
        <v>0</v>
      </c>
      <c r="V178">
        <v>1</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c r="AP178">
        <v>0</v>
      </c>
      <c r="AQ178">
        <v>0</v>
      </c>
      <c r="AR178">
        <v>0</v>
      </c>
      <c r="AS178">
        <v>0</v>
      </c>
      <c r="AT178">
        <v>0</v>
      </c>
      <c r="AU178">
        <v>0</v>
      </c>
      <c r="AV178">
        <v>0</v>
      </c>
    </row>
    <row r="179" spans="1:48" ht="15.75" customHeight="1" x14ac:dyDescent="0.25">
      <c r="A179">
        <v>1</v>
      </c>
      <c r="B179">
        <v>2</v>
      </c>
      <c r="C179">
        <v>1</v>
      </c>
      <c r="D179">
        <v>1</v>
      </c>
      <c r="E179">
        <v>2006</v>
      </c>
      <c r="F179">
        <v>3</v>
      </c>
      <c r="G179">
        <v>5</v>
      </c>
      <c r="H179">
        <v>0</v>
      </c>
      <c r="I179">
        <v>0</v>
      </c>
      <c r="J179">
        <v>0</v>
      </c>
      <c r="K179">
        <v>0</v>
      </c>
      <c r="L179">
        <v>0</v>
      </c>
      <c r="M179">
        <v>0</v>
      </c>
      <c r="N179">
        <v>0</v>
      </c>
      <c r="O179">
        <v>0</v>
      </c>
      <c r="P179">
        <v>0</v>
      </c>
      <c r="Q179">
        <v>0</v>
      </c>
      <c r="R179">
        <v>0</v>
      </c>
      <c r="S179">
        <v>0</v>
      </c>
      <c r="T179">
        <v>3</v>
      </c>
      <c r="U179">
        <v>1</v>
      </c>
      <c r="V179">
        <v>1</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row>
    <row r="180" spans="1:48" ht="15.75" customHeight="1" x14ac:dyDescent="0.25">
      <c r="A180">
        <v>1</v>
      </c>
      <c r="B180">
        <v>2</v>
      </c>
      <c r="C180">
        <v>1</v>
      </c>
      <c r="D180">
        <v>1</v>
      </c>
      <c r="E180">
        <v>2006</v>
      </c>
      <c r="F180">
        <v>6</v>
      </c>
      <c r="G180">
        <v>3</v>
      </c>
      <c r="H180">
        <v>0</v>
      </c>
      <c r="I180">
        <v>0</v>
      </c>
      <c r="J180">
        <v>0</v>
      </c>
      <c r="K180">
        <v>0</v>
      </c>
      <c r="L180">
        <v>0</v>
      </c>
      <c r="M180">
        <v>0</v>
      </c>
      <c r="N180">
        <v>0</v>
      </c>
      <c r="O180">
        <v>0</v>
      </c>
      <c r="P180">
        <v>0</v>
      </c>
      <c r="Q180">
        <v>0</v>
      </c>
      <c r="R180">
        <v>0</v>
      </c>
      <c r="S180">
        <v>0</v>
      </c>
      <c r="T180">
        <v>0</v>
      </c>
      <c r="U180">
        <v>1</v>
      </c>
      <c r="V180">
        <v>2</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row>
    <row r="181" spans="1:48" ht="15.75" customHeight="1" x14ac:dyDescent="0.25">
      <c r="A181">
        <v>1</v>
      </c>
      <c r="B181">
        <v>2</v>
      </c>
      <c r="C181">
        <v>1</v>
      </c>
      <c r="D181">
        <v>1</v>
      </c>
      <c r="E181">
        <v>2007</v>
      </c>
      <c r="F181">
        <v>1</v>
      </c>
      <c r="G181">
        <v>1</v>
      </c>
      <c r="H181">
        <v>0</v>
      </c>
      <c r="I181">
        <v>0</v>
      </c>
      <c r="J181">
        <v>0</v>
      </c>
      <c r="K181">
        <v>0</v>
      </c>
      <c r="L181">
        <v>0</v>
      </c>
      <c r="M181">
        <v>0</v>
      </c>
      <c r="N181">
        <v>0</v>
      </c>
      <c r="O181">
        <v>0</v>
      </c>
      <c r="P181">
        <v>0</v>
      </c>
      <c r="Q181">
        <v>0</v>
      </c>
      <c r="R181">
        <v>0</v>
      </c>
      <c r="S181">
        <v>0</v>
      </c>
      <c r="T181">
        <v>0</v>
      </c>
      <c r="U181">
        <v>0</v>
      </c>
      <c r="V181">
        <v>0</v>
      </c>
      <c r="W181">
        <v>1</v>
      </c>
      <c r="X181">
        <v>0</v>
      </c>
      <c r="Y181">
        <v>0</v>
      </c>
      <c r="Z181">
        <v>0</v>
      </c>
      <c r="AA181">
        <v>0</v>
      </c>
      <c r="AB181">
        <v>0</v>
      </c>
      <c r="AC181">
        <v>0</v>
      </c>
      <c r="AD181">
        <v>0</v>
      </c>
      <c r="AE181">
        <v>0</v>
      </c>
      <c r="AF181">
        <v>0</v>
      </c>
      <c r="AG181">
        <v>0</v>
      </c>
      <c r="AH181">
        <v>0</v>
      </c>
      <c r="AI181">
        <v>0</v>
      </c>
      <c r="AJ181">
        <v>0</v>
      </c>
      <c r="AK181">
        <v>0</v>
      </c>
      <c r="AL181">
        <v>0</v>
      </c>
      <c r="AM181">
        <v>0</v>
      </c>
      <c r="AN181">
        <v>0</v>
      </c>
      <c r="AO181">
        <v>0</v>
      </c>
      <c r="AP181">
        <v>0</v>
      </c>
      <c r="AQ181">
        <v>0</v>
      </c>
      <c r="AR181">
        <v>0</v>
      </c>
      <c r="AS181">
        <v>0</v>
      </c>
      <c r="AT181">
        <v>0</v>
      </c>
      <c r="AU181">
        <v>0</v>
      </c>
      <c r="AV181">
        <v>0</v>
      </c>
    </row>
    <row r="182" spans="1:48" ht="15.75" customHeight="1" x14ac:dyDescent="0.25">
      <c r="A182">
        <v>1</v>
      </c>
      <c r="B182">
        <v>2</v>
      </c>
      <c r="C182">
        <v>1</v>
      </c>
      <c r="D182">
        <v>1</v>
      </c>
      <c r="E182">
        <v>2007</v>
      </c>
      <c r="F182">
        <v>2</v>
      </c>
      <c r="G182">
        <v>1</v>
      </c>
      <c r="H182">
        <v>0</v>
      </c>
      <c r="I182">
        <v>0</v>
      </c>
      <c r="J182">
        <v>0</v>
      </c>
      <c r="K182">
        <v>0</v>
      </c>
      <c r="L182">
        <v>0</v>
      </c>
      <c r="M182">
        <v>0</v>
      </c>
      <c r="N182">
        <v>0</v>
      </c>
      <c r="O182">
        <v>0</v>
      </c>
      <c r="P182">
        <v>0</v>
      </c>
      <c r="Q182">
        <v>0</v>
      </c>
      <c r="R182">
        <v>0</v>
      </c>
      <c r="S182">
        <v>0</v>
      </c>
      <c r="T182">
        <v>0</v>
      </c>
      <c r="U182">
        <v>1</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c r="AP182">
        <v>0</v>
      </c>
      <c r="AQ182">
        <v>0</v>
      </c>
      <c r="AR182">
        <v>0</v>
      </c>
      <c r="AS182">
        <v>0</v>
      </c>
      <c r="AT182">
        <v>0</v>
      </c>
      <c r="AU182">
        <v>0</v>
      </c>
      <c r="AV182">
        <v>0</v>
      </c>
    </row>
    <row r="183" spans="1:48" ht="15.75" customHeight="1" x14ac:dyDescent="0.25">
      <c r="A183">
        <v>1</v>
      </c>
      <c r="B183">
        <v>2</v>
      </c>
      <c r="C183">
        <v>1</v>
      </c>
      <c r="D183">
        <v>1</v>
      </c>
      <c r="E183">
        <v>2007</v>
      </c>
      <c r="F183">
        <v>3</v>
      </c>
      <c r="G183">
        <v>2</v>
      </c>
      <c r="H183">
        <v>0</v>
      </c>
      <c r="I183">
        <v>0</v>
      </c>
      <c r="J183">
        <v>0</v>
      </c>
      <c r="K183">
        <v>0</v>
      </c>
      <c r="L183">
        <v>0</v>
      </c>
      <c r="M183">
        <v>0</v>
      </c>
      <c r="N183">
        <v>0</v>
      </c>
      <c r="O183">
        <v>0</v>
      </c>
      <c r="P183">
        <v>0</v>
      </c>
      <c r="Q183">
        <v>0</v>
      </c>
      <c r="R183">
        <v>0</v>
      </c>
      <c r="S183">
        <v>0</v>
      </c>
      <c r="T183">
        <v>1</v>
      </c>
      <c r="U183">
        <v>0</v>
      </c>
      <c r="V183">
        <v>0</v>
      </c>
      <c r="W183">
        <v>0</v>
      </c>
      <c r="X183">
        <v>1</v>
      </c>
      <c r="Y183">
        <v>0</v>
      </c>
      <c r="Z183">
        <v>0</v>
      </c>
      <c r="AA183">
        <v>0</v>
      </c>
      <c r="AB183">
        <v>0</v>
      </c>
      <c r="AC183">
        <v>0</v>
      </c>
      <c r="AD183">
        <v>0</v>
      </c>
      <c r="AE183">
        <v>0</v>
      </c>
      <c r="AF183">
        <v>0</v>
      </c>
      <c r="AG183">
        <v>0</v>
      </c>
      <c r="AH183">
        <v>0</v>
      </c>
      <c r="AI183">
        <v>0</v>
      </c>
      <c r="AJ183">
        <v>0</v>
      </c>
      <c r="AK183">
        <v>0</v>
      </c>
      <c r="AL183">
        <v>0</v>
      </c>
      <c r="AM183">
        <v>0</v>
      </c>
      <c r="AN183">
        <v>0</v>
      </c>
      <c r="AO183">
        <v>0</v>
      </c>
      <c r="AP183">
        <v>0</v>
      </c>
      <c r="AQ183">
        <v>0</v>
      </c>
      <c r="AR183">
        <v>0</v>
      </c>
      <c r="AS183">
        <v>0</v>
      </c>
      <c r="AT183">
        <v>0</v>
      </c>
      <c r="AU183">
        <v>0</v>
      </c>
      <c r="AV183">
        <v>0</v>
      </c>
    </row>
    <row r="184" spans="1:48" ht="15.75" customHeight="1" x14ac:dyDescent="0.25">
      <c r="A184">
        <v>1</v>
      </c>
      <c r="B184">
        <v>2</v>
      </c>
      <c r="C184">
        <v>1</v>
      </c>
      <c r="D184">
        <v>1</v>
      </c>
      <c r="E184">
        <v>2008</v>
      </c>
      <c r="F184">
        <v>2</v>
      </c>
      <c r="G184">
        <v>2</v>
      </c>
      <c r="H184">
        <v>0</v>
      </c>
      <c r="I184">
        <v>0</v>
      </c>
      <c r="J184">
        <v>0</v>
      </c>
      <c r="K184">
        <v>0</v>
      </c>
      <c r="L184">
        <v>0</v>
      </c>
      <c r="M184">
        <v>0</v>
      </c>
      <c r="N184">
        <v>0</v>
      </c>
      <c r="O184">
        <v>0</v>
      </c>
      <c r="P184">
        <v>0</v>
      </c>
      <c r="Q184">
        <v>0</v>
      </c>
      <c r="R184">
        <v>0</v>
      </c>
      <c r="S184">
        <v>0</v>
      </c>
      <c r="T184">
        <v>0</v>
      </c>
      <c r="U184">
        <v>0</v>
      </c>
      <c r="V184">
        <v>1</v>
      </c>
      <c r="W184">
        <v>0</v>
      </c>
      <c r="X184">
        <v>0</v>
      </c>
      <c r="Y184">
        <v>0</v>
      </c>
      <c r="Z184">
        <v>0</v>
      </c>
      <c r="AA184">
        <v>1</v>
      </c>
      <c r="AB184">
        <v>0</v>
      </c>
      <c r="AC184">
        <v>0</v>
      </c>
      <c r="AD184">
        <v>0</v>
      </c>
      <c r="AE184">
        <v>0</v>
      </c>
      <c r="AF184">
        <v>0</v>
      </c>
      <c r="AG184">
        <v>0</v>
      </c>
      <c r="AH184">
        <v>0</v>
      </c>
      <c r="AI184">
        <v>0</v>
      </c>
      <c r="AJ184">
        <v>0</v>
      </c>
      <c r="AK184">
        <v>0</v>
      </c>
      <c r="AL184">
        <v>0</v>
      </c>
      <c r="AM184">
        <v>0</v>
      </c>
      <c r="AN184">
        <v>0</v>
      </c>
      <c r="AO184">
        <v>0</v>
      </c>
      <c r="AP184">
        <v>0</v>
      </c>
      <c r="AQ184">
        <v>0</v>
      </c>
      <c r="AR184">
        <v>0</v>
      </c>
      <c r="AS184">
        <v>0</v>
      </c>
      <c r="AT184">
        <v>0</v>
      </c>
      <c r="AU184">
        <v>0</v>
      </c>
      <c r="AV184">
        <v>0</v>
      </c>
    </row>
    <row r="185" spans="1:48" ht="15.75" customHeight="1" x14ac:dyDescent="0.25">
      <c r="A185">
        <v>1</v>
      </c>
      <c r="B185">
        <v>2</v>
      </c>
      <c r="C185">
        <v>1</v>
      </c>
      <c r="D185">
        <v>1</v>
      </c>
      <c r="E185">
        <v>2008</v>
      </c>
      <c r="F185">
        <v>3</v>
      </c>
      <c r="G185">
        <v>6</v>
      </c>
      <c r="H185">
        <v>0</v>
      </c>
      <c r="I185">
        <v>0</v>
      </c>
      <c r="J185">
        <v>0</v>
      </c>
      <c r="K185">
        <v>0</v>
      </c>
      <c r="L185">
        <v>0</v>
      </c>
      <c r="M185">
        <v>0</v>
      </c>
      <c r="N185">
        <v>0</v>
      </c>
      <c r="O185">
        <v>0</v>
      </c>
      <c r="P185">
        <v>0</v>
      </c>
      <c r="Q185">
        <v>0</v>
      </c>
      <c r="R185">
        <v>0</v>
      </c>
      <c r="S185">
        <v>0</v>
      </c>
      <c r="T185">
        <v>1</v>
      </c>
      <c r="U185">
        <v>3</v>
      </c>
      <c r="V185">
        <v>2</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c r="AP185">
        <v>0</v>
      </c>
      <c r="AQ185">
        <v>0</v>
      </c>
      <c r="AR185">
        <v>0</v>
      </c>
      <c r="AS185">
        <v>0</v>
      </c>
      <c r="AT185">
        <v>0</v>
      </c>
      <c r="AU185">
        <v>0</v>
      </c>
      <c r="AV185">
        <v>0</v>
      </c>
    </row>
    <row r="186" spans="1:48" ht="15.75" customHeight="1" x14ac:dyDescent="0.25">
      <c r="A186">
        <v>1</v>
      </c>
      <c r="B186">
        <v>2</v>
      </c>
      <c r="C186">
        <v>1</v>
      </c>
      <c r="D186">
        <v>1</v>
      </c>
      <c r="E186">
        <v>2014</v>
      </c>
      <c r="F186">
        <v>3</v>
      </c>
      <c r="G186">
        <v>2</v>
      </c>
      <c r="H186">
        <v>0</v>
      </c>
      <c r="I186">
        <v>0</v>
      </c>
      <c r="J186">
        <v>0</v>
      </c>
      <c r="K186">
        <v>0</v>
      </c>
      <c r="L186">
        <v>0</v>
      </c>
      <c r="M186">
        <v>0</v>
      </c>
      <c r="N186">
        <v>0</v>
      </c>
      <c r="O186">
        <v>0</v>
      </c>
      <c r="P186">
        <v>0</v>
      </c>
      <c r="Q186">
        <v>0</v>
      </c>
      <c r="R186">
        <v>0</v>
      </c>
      <c r="S186">
        <v>0</v>
      </c>
      <c r="T186">
        <v>0</v>
      </c>
      <c r="U186">
        <v>1</v>
      </c>
      <c r="V186">
        <v>0</v>
      </c>
      <c r="W186">
        <v>0</v>
      </c>
      <c r="X186">
        <v>0</v>
      </c>
      <c r="Y186">
        <v>0</v>
      </c>
      <c r="Z186">
        <v>0</v>
      </c>
      <c r="AA186">
        <v>0</v>
      </c>
      <c r="AB186">
        <v>0</v>
      </c>
      <c r="AC186">
        <v>1</v>
      </c>
      <c r="AD186">
        <v>0</v>
      </c>
      <c r="AE186">
        <v>0</v>
      </c>
      <c r="AF186">
        <v>0</v>
      </c>
      <c r="AG186">
        <v>0</v>
      </c>
      <c r="AH186">
        <v>0</v>
      </c>
      <c r="AI186">
        <v>0</v>
      </c>
      <c r="AJ186">
        <v>0</v>
      </c>
      <c r="AK186">
        <v>0</v>
      </c>
      <c r="AL186">
        <v>0</v>
      </c>
      <c r="AM186">
        <v>0</v>
      </c>
      <c r="AN186">
        <v>0</v>
      </c>
      <c r="AO186">
        <v>0</v>
      </c>
      <c r="AP186">
        <v>0</v>
      </c>
      <c r="AQ186">
        <v>0</v>
      </c>
      <c r="AR186">
        <v>0</v>
      </c>
      <c r="AS186">
        <v>0</v>
      </c>
      <c r="AT186">
        <v>0</v>
      </c>
      <c r="AU186">
        <v>0</v>
      </c>
      <c r="AV186">
        <v>0</v>
      </c>
    </row>
    <row r="187" spans="1:48" ht="15.75" customHeight="1" x14ac:dyDescent="0.25">
      <c r="A187">
        <v>1</v>
      </c>
      <c r="B187">
        <v>2</v>
      </c>
      <c r="C187">
        <v>1</v>
      </c>
      <c r="D187">
        <v>1</v>
      </c>
      <c r="E187">
        <v>2014</v>
      </c>
      <c r="F187">
        <v>6</v>
      </c>
      <c r="G187">
        <v>2</v>
      </c>
      <c r="H187">
        <v>0</v>
      </c>
      <c r="I187">
        <v>0</v>
      </c>
      <c r="J187">
        <v>0</v>
      </c>
      <c r="K187">
        <v>0</v>
      </c>
      <c r="L187">
        <v>0</v>
      </c>
      <c r="M187">
        <v>0</v>
      </c>
      <c r="N187">
        <v>0</v>
      </c>
      <c r="O187">
        <v>0</v>
      </c>
      <c r="P187">
        <v>0</v>
      </c>
      <c r="Q187">
        <v>0</v>
      </c>
      <c r="R187">
        <v>0</v>
      </c>
      <c r="S187">
        <v>0</v>
      </c>
      <c r="T187">
        <v>0</v>
      </c>
      <c r="U187">
        <v>1</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c r="AP187">
        <v>0</v>
      </c>
      <c r="AQ187">
        <v>1</v>
      </c>
      <c r="AR187">
        <v>0</v>
      </c>
      <c r="AS187">
        <v>0</v>
      </c>
      <c r="AT187">
        <v>0</v>
      </c>
      <c r="AU187">
        <v>0</v>
      </c>
      <c r="AV187">
        <v>0</v>
      </c>
    </row>
    <row r="188" spans="1:48" ht="15.75" customHeight="1" x14ac:dyDescent="0.25">
      <c r="A188">
        <v>1</v>
      </c>
      <c r="B188">
        <v>2</v>
      </c>
      <c r="C188">
        <v>1</v>
      </c>
      <c r="D188">
        <v>1</v>
      </c>
      <c r="E188">
        <v>2015</v>
      </c>
      <c r="F188">
        <v>1</v>
      </c>
      <c r="G188">
        <v>1</v>
      </c>
      <c r="H188">
        <v>0</v>
      </c>
      <c r="I188">
        <v>0</v>
      </c>
      <c r="J188">
        <v>0</v>
      </c>
      <c r="K188">
        <v>0</v>
      </c>
      <c r="L188">
        <v>0</v>
      </c>
      <c r="M188">
        <v>0</v>
      </c>
      <c r="N188">
        <v>0</v>
      </c>
      <c r="O188">
        <v>0</v>
      </c>
      <c r="P188">
        <v>0</v>
      </c>
      <c r="Q188">
        <v>0</v>
      </c>
      <c r="R188">
        <v>0</v>
      </c>
      <c r="S188">
        <v>0</v>
      </c>
      <c r="T188">
        <v>1</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c r="AP188">
        <v>0</v>
      </c>
      <c r="AQ188">
        <v>0</v>
      </c>
      <c r="AR188">
        <v>0</v>
      </c>
      <c r="AS188">
        <v>0</v>
      </c>
      <c r="AT188">
        <v>0</v>
      </c>
      <c r="AU188">
        <v>0</v>
      </c>
      <c r="AV188">
        <v>0</v>
      </c>
    </row>
    <row r="189" spans="1:48" ht="15.75" customHeight="1" x14ac:dyDescent="0.25">
      <c r="A189">
        <v>1</v>
      </c>
      <c r="B189">
        <v>2</v>
      </c>
      <c r="C189">
        <v>1</v>
      </c>
      <c r="D189">
        <v>1</v>
      </c>
      <c r="E189">
        <v>2015</v>
      </c>
      <c r="F189">
        <v>2</v>
      </c>
      <c r="G189">
        <v>4</v>
      </c>
      <c r="H189">
        <v>0</v>
      </c>
      <c r="I189">
        <v>0</v>
      </c>
      <c r="J189">
        <v>0</v>
      </c>
      <c r="K189">
        <v>0</v>
      </c>
      <c r="L189">
        <v>0</v>
      </c>
      <c r="M189">
        <v>0</v>
      </c>
      <c r="N189">
        <v>0</v>
      </c>
      <c r="O189">
        <v>0</v>
      </c>
      <c r="P189">
        <v>0</v>
      </c>
      <c r="Q189">
        <v>0</v>
      </c>
      <c r="R189">
        <v>0</v>
      </c>
      <c r="S189">
        <v>0</v>
      </c>
      <c r="T189">
        <v>0</v>
      </c>
      <c r="U189">
        <v>1</v>
      </c>
      <c r="V189">
        <v>1</v>
      </c>
      <c r="W189">
        <v>0</v>
      </c>
      <c r="X189">
        <v>0</v>
      </c>
      <c r="Y189">
        <v>0</v>
      </c>
      <c r="Z189">
        <v>0</v>
      </c>
      <c r="AA189">
        <v>1</v>
      </c>
      <c r="AB189">
        <v>0</v>
      </c>
      <c r="AC189">
        <v>0</v>
      </c>
      <c r="AD189">
        <v>0</v>
      </c>
      <c r="AE189">
        <v>1</v>
      </c>
      <c r="AF189">
        <v>0</v>
      </c>
      <c r="AG189">
        <v>0</v>
      </c>
      <c r="AH189">
        <v>0</v>
      </c>
      <c r="AI189">
        <v>0</v>
      </c>
      <c r="AJ189">
        <v>0</v>
      </c>
      <c r="AK189">
        <v>0</v>
      </c>
      <c r="AL189">
        <v>0</v>
      </c>
      <c r="AM189">
        <v>0</v>
      </c>
      <c r="AN189">
        <v>0</v>
      </c>
      <c r="AO189">
        <v>0</v>
      </c>
      <c r="AP189">
        <v>0</v>
      </c>
      <c r="AQ189">
        <v>0</v>
      </c>
      <c r="AR189">
        <v>0</v>
      </c>
      <c r="AS189">
        <v>0</v>
      </c>
      <c r="AT189">
        <v>0</v>
      </c>
      <c r="AU189">
        <v>0</v>
      </c>
      <c r="AV189">
        <v>0</v>
      </c>
    </row>
    <row r="190" spans="1:48" ht="15.75" customHeight="1" x14ac:dyDescent="0.25">
      <c r="A190">
        <v>1</v>
      </c>
      <c r="B190">
        <v>2</v>
      </c>
      <c r="C190">
        <v>1</v>
      </c>
      <c r="D190">
        <v>1</v>
      </c>
      <c r="E190">
        <v>2015</v>
      </c>
      <c r="F190">
        <v>3</v>
      </c>
      <c r="G190">
        <v>5</v>
      </c>
      <c r="H190">
        <v>0</v>
      </c>
      <c r="I190">
        <v>0</v>
      </c>
      <c r="J190">
        <v>0</v>
      </c>
      <c r="K190">
        <v>0</v>
      </c>
      <c r="L190">
        <v>0</v>
      </c>
      <c r="M190">
        <v>0</v>
      </c>
      <c r="N190">
        <v>0</v>
      </c>
      <c r="O190">
        <v>0</v>
      </c>
      <c r="P190">
        <v>0</v>
      </c>
      <c r="Q190">
        <v>0</v>
      </c>
      <c r="R190">
        <v>0</v>
      </c>
      <c r="S190">
        <v>0</v>
      </c>
      <c r="T190">
        <v>0</v>
      </c>
      <c r="U190">
        <v>0</v>
      </c>
      <c r="V190">
        <v>2</v>
      </c>
      <c r="W190">
        <v>0</v>
      </c>
      <c r="X190">
        <v>0</v>
      </c>
      <c r="Y190">
        <v>1</v>
      </c>
      <c r="Z190">
        <v>0</v>
      </c>
      <c r="AA190">
        <v>0</v>
      </c>
      <c r="AB190">
        <v>0</v>
      </c>
      <c r="AC190">
        <v>0</v>
      </c>
      <c r="AD190">
        <v>0</v>
      </c>
      <c r="AE190">
        <v>1</v>
      </c>
      <c r="AF190">
        <v>0</v>
      </c>
      <c r="AG190">
        <v>1</v>
      </c>
      <c r="AH190">
        <v>0</v>
      </c>
      <c r="AI190">
        <v>0</v>
      </c>
      <c r="AJ190">
        <v>0</v>
      </c>
      <c r="AK190">
        <v>0</v>
      </c>
      <c r="AL190">
        <v>0</v>
      </c>
      <c r="AM190">
        <v>0</v>
      </c>
      <c r="AN190">
        <v>0</v>
      </c>
      <c r="AO190">
        <v>0</v>
      </c>
      <c r="AP190">
        <v>0</v>
      </c>
      <c r="AQ190">
        <v>0</v>
      </c>
      <c r="AR190">
        <v>0</v>
      </c>
      <c r="AS190">
        <v>0</v>
      </c>
      <c r="AT190">
        <v>0</v>
      </c>
      <c r="AU190">
        <v>0</v>
      </c>
      <c r="AV190">
        <v>0</v>
      </c>
    </row>
    <row r="191" spans="1:48" ht="15.75" customHeight="1" x14ac:dyDescent="0.25">
      <c r="A191">
        <v>1</v>
      </c>
      <c r="B191">
        <v>2</v>
      </c>
      <c r="C191">
        <v>1</v>
      </c>
      <c r="D191">
        <v>1</v>
      </c>
      <c r="E191">
        <v>2015</v>
      </c>
      <c r="F191">
        <v>4</v>
      </c>
      <c r="G191">
        <v>4</v>
      </c>
      <c r="H191">
        <v>0</v>
      </c>
      <c r="I191">
        <v>0</v>
      </c>
      <c r="J191">
        <v>0</v>
      </c>
      <c r="K191">
        <v>0</v>
      </c>
      <c r="L191">
        <v>0</v>
      </c>
      <c r="M191">
        <v>0</v>
      </c>
      <c r="N191">
        <v>0</v>
      </c>
      <c r="O191">
        <v>0</v>
      </c>
      <c r="P191">
        <v>0</v>
      </c>
      <c r="Q191">
        <v>0</v>
      </c>
      <c r="R191">
        <v>0</v>
      </c>
      <c r="S191">
        <v>0</v>
      </c>
      <c r="T191">
        <v>0</v>
      </c>
      <c r="U191">
        <v>1</v>
      </c>
      <c r="V191">
        <v>0</v>
      </c>
      <c r="W191">
        <v>0</v>
      </c>
      <c r="X191">
        <v>0</v>
      </c>
      <c r="Y191">
        <v>0</v>
      </c>
      <c r="Z191">
        <v>3</v>
      </c>
      <c r="AA191">
        <v>0</v>
      </c>
      <c r="AB191">
        <v>0</v>
      </c>
      <c r="AC191">
        <v>0</v>
      </c>
      <c r="AD191">
        <v>0</v>
      </c>
      <c r="AE191">
        <v>0</v>
      </c>
      <c r="AF191">
        <v>0</v>
      </c>
      <c r="AG191">
        <v>0</v>
      </c>
      <c r="AH191">
        <v>0</v>
      </c>
      <c r="AI191">
        <v>0</v>
      </c>
      <c r="AJ191">
        <v>0</v>
      </c>
      <c r="AK191">
        <v>0</v>
      </c>
      <c r="AL191">
        <v>0</v>
      </c>
      <c r="AM191">
        <v>0</v>
      </c>
      <c r="AN191">
        <v>0</v>
      </c>
      <c r="AO191">
        <v>0</v>
      </c>
      <c r="AP191">
        <v>0</v>
      </c>
      <c r="AQ191">
        <v>0</v>
      </c>
      <c r="AR191">
        <v>0</v>
      </c>
      <c r="AS191">
        <v>0</v>
      </c>
      <c r="AT191">
        <v>0</v>
      </c>
      <c r="AU191">
        <v>0</v>
      </c>
      <c r="AV191">
        <v>0</v>
      </c>
    </row>
    <row r="192" spans="1:48" ht="15.75" customHeight="1" x14ac:dyDescent="0.25">
      <c r="A192">
        <v>1</v>
      </c>
      <c r="B192">
        <v>2</v>
      </c>
      <c r="C192">
        <v>1</v>
      </c>
      <c r="D192">
        <v>1</v>
      </c>
      <c r="E192">
        <v>2015</v>
      </c>
      <c r="F192">
        <v>5</v>
      </c>
      <c r="G192">
        <v>11</v>
      </c>
      <c r="H192">
        <v>0</v>
      </c>
      <c r="I192">
        <v>0</v>
      </c>
      <c r="J192">
        <v>0</v>
      </c>
      <c r="K192">
        <v>0</v>
      </c>
      <c r="L192">
        <v>0</v>
      </c>
      <c r="M192">
        <v>0</v>
      </c>
      <c r="N192">
        <v>0</v>
      </c>
      <c r="O192">
        <v>0</v>
      </c>
      <c r="P192">
        <v>0</v>
      </c>
      <c r="Q192">
        <v>0</v>
      </c>
      <c r="R192">
        <v>0</v>
      </c>
      <c r="S192">
        <v>0</v>
      </c>
      <c r="T192">
        <v>1</v>
      </c>
      <c r="U192">
        <v>0</v>
      </c>
      <c r="V192">
        <v>2</v>
      </c>
      <c r="W192">
        <v>2</v>
      </c>
      <c r="X192">
        <v>1</v>
      </c>
      <c r="Y192">
        <v>1</v>
      </c>
      <c r="Z192">
        <v>0</v>
      </c>
      <c r="AA192">
        <v>0</v>
      </c>
      <c r="AB192">
        <v>0</v>
      </c>
      <c r="AC192">
        <v>0</v>
      </c>
      <c r="AD192">
        <v>1</v>
      </c>
      <c r="AE192">
        <v>1</v>
      </c>
      <c r="AF192">
        <v>0</v>
      </c>
      <c r="AG192">
        <v>0</v>
      </c>
      <c r="AH192">
        <v>0</v>
      </c>
      <c r="AI192">
        <v>0</v>
      </c>
      <c r="AJ192">
        <v>0</v>
      </c>
      <c r="AK192">
        <v>1</v>
      </c>
      <c r="AL192">
        <v>0</v>
      </c>
      <c r="AM192">
        <v>0</v>
      </c>
      <c r="AN192">
        <v>0</v>
      </c>
      <c r="AO192">
        <v>0</v>
      </c>
      <c r="AP192">
        <v>0</v>
      </c>
      <c r="AQ192">
        <v>1</v>
      </c>
      <c r="AR192">
        <v>0</v>
      </c>
      <c r="AS192">
        <v>0</v>
      </c>
      <c r="AT192">
        <v>0</v>
      </c>
      <c r="AU192">
        <v>0</v>
      </c>
      <c r="AV192">
        <v>0</v>
      </c>
    </row>
    <row r="193" spans="1:48" ht="15.75" customHeight="1" x14ac:dyDescent="0.25">
      <c r="A193">
        <v>1</v>
      </c>
      <c r="B193">
        <v>2</v>
      </c>
      <c r="C193">
        <v>1</v>
      </c>
      <c r="D193">
        <v>1</v>
      </c>
      <c r="E193">
        <v>2015</v>
      </c>
      <c r="F193">
        <v>6</v>
      </c>
      <c r="G193">
        <v>8</v>
      </c>
      <c r="H193">
        <v>0</v>
      </c>
      <c r="I193">
        <v>0</v>
      </c>
      <c r="J193">
        <v>0</v>
      </c>
      <c r="K193">
        <v>0</v>
      </c>
      <c r="L193">
        <v>0</v>
      </c>
      <c r="M193">
        <v>0</v>
      </c>
      <c r="N193">
        <v>0</v>
      </c>
      <c r="O193">
        <v>0</v>
      </c>
      <c r="P193">
        <v>0</v>
      </c>
      <c r="Q193">
        <v>0</v>
      </c>
      <c r="R193">
        <v>0</v>
      </c>
      <c r="S193">
        <v>0</v>
      </c>
      <c r="T193">
        <v>0</v>
      </c>
      <c r="U193">
        <v>0</v>
      </c>
      <c r="V193">
        <v>1</v>
      </c>
      <c r="W193">
        <v>1</v>
      </c>
      <c r="X193">
        <v>0</v>
      </c>
      <c r="Y193">
        <v>1</v>
      </c>
      <c r="Z193">
        <v>2</v>
      </c>
      <c r="AA193">
        <v>0</v>
      </c>
      <c r="AB193">
        <v>0</v>
      </c>
      <c r="AC193">
        <v>1</v>
      </c>
      <c r="AD193">
        <v>0</v>
      </c>
      <c r="AE193">
        <v>2</v>
      </c>
      <c r="AF193">
        <v>0</v>
      </c>
      <c r="AG193">
        <v>0</v>
      </c>
      <c r="AH193">
        <v>0</v>
      </c>
      <c r="AI193">
        <v>0</v>
      </c>
      <c r="AJ193">
        <v>0</v>
      </c>
      <c r="AK193">
        <v>0</v>
      </c>
      <c r="AL193">
        <v>0</v>
      </c>
      <c r="AM193">
        <v>0</v>
      </c>
      <c r="AN193">
        <v>0</v>
      </c>
      <c r="AO193">
        <v>0</v>
      </c>
      <c r="AP193">
        <v>0</v>
      </c>
      <c r="AQ193">
        <v>0</v>
      </c>
      <c r="AR193">
        <v>0</v>
      </c>
      <c r="AS193">
        <v>0</v>
      </c>
      <c r="AT193">
        <v>0</v>
      </c>
      <c r="AU193">
        <v>0</v>
      </c>
      <c r="AV193">
        <v>0</v>
      </c>
    </row>
    <row r="194" spans="1:48" ht="15.75" customHeight="1" x14ac:dyDescent="0.25">
      <c r="A194">
        <v>1</v>
      </c>
      <c r="B194">
        <v>2</v>
      </c>
      <c r="C194">
        <v>1</v>
      </c>
      <c r="D194">
        <v>1</v>
      </c>
      <c r="E194">
        <v>2016</v>
      </c>
      <c r="F194">
        <v>1</v>
      </c>
      <c r="G194">
        <v>10</v>
      </c>
      <c r="H194">
        <v>0</v>
      </c>
      <c r="I194">
        <v>0</v>
      </c>
      <c r="J194">
        <v>0</v>
      </c>
      <c r="K194">
        <v>0</v>
      </c>
      <c r="L194">
        <v>0</v>
      </c>
      <c r="M194">
        <v>0</v>
      </c>
      <c r="N194">
        <v>0</v>
      </c>
      <c r="O194">
        <v>0</v>
      </c>
      <c r="P194">
        <v>0</v>
      </c>
      <c r="Q194">
        <v>0</v>
      </c>
      <c r="R194">
        <v>0</v>
      </c>
      <c r="S194">
        <v>0</v>
      </c>
      <c r="T194">
        <v>0</v>
      </c>
      <c r="U194">
        <v>3</v>
      </c>
      <c r="V194">
        <v>1</v>
      </c>
      <c r="W194">
        <v>1</v>
      </c>
      <c r="X194">
        <v>0</v>
      </c>
      <c r="Y194">
        <v>0</v>
      </c>
      <c r="Z194">
        <v>0</v>
      </c>
      <c r="AA194">
        <v>1</v>
      </c>
      <c r="AB194">
        <v>0</v>
      </c>
      <c r="AC194">
        <v>0</v>
      </c>
      <c r="AD194">
        <v>0</v>
      </c>
      <c r="AE194">
        <v>0</v>
      </c>
      <c r="AF194">
        <v>1</v>
      </c>
      <c r="AG194">
        <v>0</v>
      </c>
      <c r="AH194">
        <v>1</v>
      </c>
      <c r="AI194">
        <v>0</v>
      </c>
      <c r="AJ194">
        <v>0</v>
      </c>
      <c r="AK194">
        <v>0</v>
      </c>
      <c r="AL194">
        <v>0</v>
      </c>
      <c r="AM194">
        <v>0</v>
      </c>
      <c r="AN194">
        <v>0</v>
      </c>
      <c r="AO194">
        <v>0</v>
      </c>
      <c r="AP194">
        <v>0</v>
      </c>
      <c r="AQ194">
        <v>2</v>
      </c>
      <c r="AR194">
        <v>0</v>
      </c>
      <c r="AS194">
        <v>0</v>
      </c>
      <c r="AT194">
        <v>0</v>
      </c>
      <c r="AU194">
        <v>0</v>
      </c>
      <c r="AV194">
        <v>0</v>
      </c>
    </row>
    <row r="195" spans="1:48" ht="15.75" customHeight="1" x14ac:dyDescent="0.25">
      <c r="A195">
        <v>1</v>
      </c>
      <c r="B195">
        <v>2</v>
      </c>
      <c r="C195">
        <v>1</v>
      </c>
      <c r="D195">
        <v>1</v>
      </c>
      <c r="E195">
        <v>2016</v>
      </c>
      <c r="F195">
        <v>2</v>
      </c>
      <c r="G195">
        <v>13</v>
      </c>
      <c r="H195">
        <v>0</v>
      </c>
      <c r="I195">
        <v>0</v>
      </c>
      <c r="J195">
        <v>0</v>
      </c>
      <c r="K195">
        <v>0</v>
      </c>
      <c r="L195">
        <v>0</v>
      </c>
      <c r="M195">
        <v>0</v>
      </c>
      <c r="N195">
        <v>0</v>
      </c>
      <c r="O195">
        <v>0</v>
      </c>
      <c r="P195">
        <v>0</v>
      </c>
      <c r="Q195">
        <v>0</v>
      </c>
      <c r="R195">
        <v>0</v>
      </c>
      <c r="S195">
        <v>0</v>
      </c>
      <c r="T195">
        <v>1</v>
      </c>
      <c r="U195">
        <v>2</v>
      </c>
      <c r="V195">
        <v>0</v>
      </c>
      <c r="W195">
        <v>1</v>
      </c>
      <c r="X195">
        <v>0</v>
      </c>
      <c r="Y195">
        <v>0</v>
      </c>
      <c r="Z195">
        <v>1</v>
      </c>
      <c r="AA195">
        <v>1</v>
      </c>
      <c r="AB195">
        <v>1</v>
      </c>
      <c r="AC195">
        <v>0</v>
      </c>
      <c r="AD195">
        <v>1</v>
      </c>
      <c r="AE195">
        <v>1</v>
      </c>
      <c r="AF195">
        <v>2</v>
      </c>
      <c r="AG195">
        <v>0</v>
      </c>
      <c r="AH195">
        <v>0</v>
      </c>
      <c r="AI195">
        <v>0</v>
      </c>
      <c r="AJ195">
        <v>0</v>
      </c>
      <c r="AK195">
        <v>1</v>
      </c>
      <c r="AL195">
        <v>0</v>
      </c>
      <c r="AM195">
        <v>0</v>
      </c>
      <c r="AN195">
        <v>1</v>
      </c>
      <c r="AO195">
        <v>0</v>
      </c>
      <c r="AP195">
        <v>0</v>
      </c>
      <c r="AQ195">
        <v>0</v>
      </c>
      <c r="AR195">
        <v>0</v>
      </c>
      <c r="AS195">
        <v>0</v>
      </c>
      <c r="AT195">
        <v>0</v>
      </c>
      <c r="AU195">
        <v>0</v>
      </c>
      <c r="AV195">
        <v>0</v>
      </c>
    </row>
    <row r="196" spans="1:48" ht="15.75" customHeight="1" x14ac:dyDescent="0.25">
      <c r="A196">
        <v>1</v>
      </c>
      <c r="B196">
        <v>2</v>
      </c>
      <c r="C196">
        <v>1</v>
      </c>
      <c r="D196">
        <v>1</v>
      </c>
      <c r="E196">
        <v>2016</v>
      </c>
      <c r="F196">
        <v>3</v>
      </c>
      <c r="G196">
        <v>31</v>
      </c>
      <c r="H196">
        <v>0</v>
      </c>
      <c r="I196">
        <v>0</v>
      </c>
      <c r="J196">
        <v>0</v>
      </c>
      <c r="K196">
        <v>0</v>
      </c>
      <c r="L196">
        <v>0</v>
      </c>
      <c r="M196">
        <v>0</v>
      </c>
      <c r="N196">
        <v>0</v>
      </c>
      <c r="O196">
        <v>0</v>
      </c>
      <c r="P196">
        <v>0</v>
      </c>
      <c r="Q196">
        <v>0</v>
      </c>
      <c r="R196">
        <v>0</v>
      </c>
      <c r="S196">
        <v>0</v>
      </c>
      <c r="T196">
        <v>2</v>
      </c>
      <c r="U196">
        <v>1</v>
      </c>
      <c r="V196">
        <v>5</v>
      </c>
      <c r="W196">
        <v>5</v>
      </c>
      <c r="X196">
        <v>4</v>
      </c>
      <c r="Y196">
        <v>1</v>
      </c>
      <c r="Z196">
        <v>1</v>
      </c>
      <c r="AA196">
        <v>0</v>
      </c>
      <c r="AB196">
        <v>1</v>
      </c>
      <c r="AC196">
        <v>2</v>
      </c>
      <c r="AD196">
        <v>3</v>
      </c>
      <c r="AE196">
        <v>3</v>
      </c>
      <c r="AF196">
        <v>0</v>
      </c>
      <c r="AG196">
        <v>0</v>
      </c>
      <c r="AH196">
        <v>0</v>
      </c>
      <c r="AI196">
        <v>0</v>
      </c>
      <c r="AJ196">
        <v>0</v>
      </c>
      <c r="AK196">
        <v>0</v>
      </c>
      <c r="AL196">
        <v>2</v>
      </c>
      <c r="AM196">
        <v>0</v>
      </c>
      <c r="AN196">
        <v>0</v>
      </c>
      <c r="AO196">
        <v>0</v>
      </c>
      <c r="AP196">
        <v>0</v>
      </c>
      <c r="AQ196">
        <v>1</v>
      </c>
      <c r="AR196">
        <v>0</v>
      </c>
      <c r="AS196">
        <v>0</v>
      </c>
      <c r="AT196">
        <v>0</v>
      </c>
      <c r="AU196">
        <v>0</v>
      </c>
      <c r="AV196">
        <v>0</v>
      </c>
    </row>
    <row r="197" spans="1:48" ht="15.75" customHeight="1" x14ac:dyDescent="0.25">
      <c r="A197">
        <v>1</v>
      </c>
      <c r="B197">
        <v>2</v>
      </c>
      <c r="C197">
        <v>1</v>
      </c>
      <c r="D197">
        <v>1</v>
      </c>
      <c r="E197">
        <v>2016</v>
      </c>
      <c r="F197">
        <v>4</v>
      </c>
      <c r="G197">
        <v>12</v>
      </c>
      <c r="H197">
        <v>0</v>
      </c>
      <c r="I197">
        <v>0</v>
      </c>
      <c r="J197">
        <v>0</v>
      </c>
      <c r="K197">
        <v>0</v>
      </c>
      <c r="L197">
        <v>0</v>
      </c>
      <c r="M197">
        <v>0</v>
      </c>
      <c r="N197">
        <v>0</v>
      </c>
      <c r="O197">
        <v>0</v>
      </c>
      <c r="P197">
        <v>0</v>
      </c>
      <c r="Q197">
        <v>0</v>
      </c>
      <c r="R197">
        <v>0</v>
      </c>
      <c r="S197">
        <v>0</v>
      </c>
      <c r="T197">
        <v>1</v>
      </c>
      <c r="U197">
        <v>3</v>
      </c>
      <c r="V197">
        <v>4</v>
      </c>
      <c r="W197">
        <v>0</v>
      </c>
      <c r="X197">
        <v>1</v>
      </c>
      <c r="Y197">
        <v>0</v>
      </c>
      <c r="Z197">
        <v>2</v>
      </c>
      <c r="AA197">
        <v>0</v>
      </c>
      <c r="AB197">
        <v>0</v>
      </c>
      <c r="AC197">
        <v>0</v>
      </c>
      <c r="AD197">
        <v>0</v>
      </c>
      <c r="AE197">
        <v>0</v>
      </c>
      <c r="AF197">
        <v>0</v>
      </c>
      <c r="AG197">
        <v>1</v>
      </c>
      <c r="AH197">
        <v>0</v>
      </c>
      <c r="AI197">
        <v>0</v>
      </c>
      <c r="AJ197">
        <v>0</v>
      </c>
      <c r="AK197">
        <v>0</v>
      </c>
      <c r="AL197">
        <v>0</v>
      </c>
      <c r="AM197">
        <v>0</v>
      </c>
      <c r="AN197">
        <v>0</v>
      </c>
      <c r="AO197">
        <v>0</v>
      </c>
      <c r="AP197">
        <v>0</v>
      </c>
      <c r="AQ197">
        <v>0</v>
      </c>
      <c r="AR197">
        <v>0</v>
      </c>
      <c r="AS197">
        <v>0</v>
      </c>
      <c r="AT197">
        <v>0</v>
      </c>
      <c r="AU197">
        <v>0</v>
      </c>
      <c r="AV197">
        <v>0</v>
      </c>
    </row>
    <row r="198" spans="1:48" ht="15.75" customHeight="1" x14ac:dyDescent="0.25">
      <c r="A198">
        <v>1</v>
      </c>
      <c r="B198">
        <v>2</v>
      </c>
      <c r="C198">
        <v>1</v>
      </c>
      <c r="D198">
        <v>1</v>
      </c>
      <c r="E198">
        <v>2016</v>
      </c>
      <c r="F198">
        <v>5</v>
      </c>
      <c r="G198">
        <v>14</v>
      </c>
      <c r="H198">
        <v>0</v>
      </c>
      <c r="I198">
        <v>0</v>
      </c>
      <c r="J198">
        <v>0</v>
      </c>
      <c r="K198">
        <v>0</v>
      </c>
      <c r="L198">
        <v>0</v>
      </c>
      <c r="M198">
        <v>0</v>
      </c>
      <c r="N198">
        <v>0</v>
      </c>
      <c r="O198">
        <v>0</v>
      </c>
      <c r="P198">
        <v>0</v>
      </c>
      <c r="Q198">
        <v>0</v>
      </c>
      <c r="R198">
        <v>0</v>
      </c>
      <c r="S198">
        <v>0</v>
      </c>
      <c r="T198">
        <v>1</v>
      </c>
      <c r="U198">
        <v>2</v>
      </c>
      <c r="V198">
        <v>2</v>
      </c>
      <c r="W198">
        <v>0</v>
      </c>
      <c r="X198">
        <v>1</v>
      </c>
      <c r="Y198">
        <v>1</v>
      </c>
      <c r="Z198">
        <v>1</v>
      </c>
      <c r="AA198">
        <v>1</v>
      </c>
      <c r="AB198">
        <v>1</v>
      </c>
      <c r="AC198">
        <v>0</v>
      </c>
      <c r="AD198">
        <v>0</v>
      </c>
      <c r="AE198">
        <v>2</v>
      </c>
      <c r="AF198">
        <v>1</v>
      </c>
      <c r="AG198">
        <v>0</v>
      </c>
      <c r="AH198">
        <v>0</v>
      </c>
      <c r="AI198">
        <v>0</v>
      </c>
      <c r="AJ198">
        <v>0</v>
      </c>
      <c r="AK198">
        <v>0</v>
      </c>
      <c r="AL198">
        <v>0</v>
      </c>
      <c r="AM198">
        <v>0</v>
      </c>
      <c r="AN198">
        <v>0</v>
      </c>
      <c r="AO198">
        <v>0</v>
      </c>
      <c r="AP198">
        <v>0</v>
      </c>
      <c r="AQ198">
        <v>1</v>
      </c>
      <c r="AR198">
        <v>0</v>
      </c>
      <c r="AS198">
        <v>0</v>
      </c>
      <c r="AT198">
        <v>0</v>
      </c>
      <c r="AU198">
        <v>0</v>
      </c>
      <c r="AV198">
        <v>0</v>
      </c>
    </row>
    <row r="199" spans="1:48" ht="15.75" customHeight="1" x14ac:dyDescent="0.25">
      <c r="A199">
        <v>1</v>
      </c>
      <c r="B199">
        <v>2</v>
      </c>
      <c r="C199">
        <v>1</v>
      </c>
      <c r="D199">
        <v>1</v>
      </c>
      <c r="E199">
        <v>2016</v>
      </c>
      <c r="F199">
        <v>6</v>
      </c>
      <c r="G199">
        <v>14</v>
      </c>
      <c r="H199">
        <v>0</v>
      </c>
      <c r="I199">
        <v>0</v>
      </c>
      <c r="J199">
        <v>0</v>
      </c>
      <c r="K199">
        <v>0</v>
      </c>
      <c r="L199">
        <v>0</v>
      </c>
      <c r="M199">
        <v>0</v>
      </c>
      <c r="N199">
        <v>0</v>
      </c>
      <c r="O199">
        <v>0</v>
      </c>
      <c r="P199">
        <v>0</v>
      </c>
      <c r="Q199">
        <v>0</v>
      </c>
      <c r="R199">
        <v>0</v>
      </c>
      <c r="S199">
        <v>0</v>
      </c>
      <c r="T199">
        <v>0</v>
      </c>
      <c r="U199">
        <v>1</v>
      </c>
      <c r="V199">
        <v>4</v>
      </c>
      <c r="W199">
        <v>1</v>
      </c>
      <c r="X199">
        <v>1</v>
      </c>
      <c r="Y199">
        <v>1</v>
      </c>
      <c r="Z199">
        <v>0</v>
      </c>
      <c r="AA199">
        <v>1</v>
      </c>
      <c r="AB199">
        <v>0</v>
      </c>
      <c r="AC199">
        <v>0</v>
      </c>
      <c r="AD199">
        <v>1</v>
      </c>
      <c r="AE199">
        <v>1</v>
      </c>
      <c r="AF199">
        <v>1</v>
      </c>
      <c r="AG199">
        <v>0</v>
      </c>
      <c r="AH199">
        <v>0</v>
      </c>
      <c r="AI199">
        <v>1</v>
      </c>
      <c r="AJ199">
        <v>0</v>
      </c>
      <c r="AK199">
        <v>0</v>
      </c>
      <c r="AL199">
        <v>0</v>
      </c>
      <c r="AM199">
        <v>1</v>
      </c>
      <c r="AN199">
        <v>0</v>
      </c>
      <c r="AO199">
        <v>0</v>
      </c>
      <c r="AP199">
        <v>0</v>
      </c>
      <c r="AQ199">
        <v>0</v>
      </c>
      <c r="AR199">
        <v>0</v>
      </c>
      <c r="AS199">
        <v>0</v>
      </c>
      <c r="AT199">
        <v>0</v>
      </c>
      <c r="AU199">
        <v>0</v>
      </c>
      <c r="AV199">
        <v>0</v>
      </c>
    </row>
    <row r="200" spans="1:48" ht="15.75" customHeight="1" x14ac:dyDescent="0.25">
      <c r="A200">
        <v>1</v>
      </c>
      <c r="B200">
        <v>2</v>
      </c>
      <c r="C200">
        <v>1</v>
      </c>
      <c r="D200">
        <v>1</v>
      </c>
      <c r="E200">
        <v>2017</v>
      </c>
      <c r="F200">
        <v>1</v>
      </c>
      <c r="G200">
        <v>14</v>
      </c>
      <c r="H200">
        <v>0</v>
      </c>
      <c r="I200">
        <v>0</v>
      </c>
      <c r="J200">
        <v>0</v>
      </c>
      <c r="K200">
        <v>0</v>
      </c>
      <c r="L200">
        <v>0</v>
      </c>
      <c r="M200">
        <v>0</v>
      </c>
      <c r="N200">
        <v>0</v>
      </c>
      <c r="O200">
        <v>0</v>
      </c>
      <c r="P200">
        <v>0</v>
      </c>
      <c r="Q200">
        <v>0</v>
      </c>
      <c r="R200">
        <v>0</v>
      </c>
      <c r="S200">
        <v>0</v>
      </c>
      <c r="T200">
        <v>0</v>
      </c>
      <c r="U200">
        <v>2</v>
      </c>
      <c r="V200">
        <v>0</v>
      </c>
      <c r="W200">
        <v>4</v>
      </c>
      <c r="X200">
        <v>0</v>
      </c>
      <c r="Y200">
        <v>2</v>
      </c>
      <c r="Z200">
        <v>0</v>
      </c>
      <c r="AA200">
        <v>0</v>
      </c>
      <c r="AB200">
        <v>1</v>
      </c>
      <c r="AC200">
        <v>0</v>
      </c>
      <c r="AD200">
        <v>0</v>
      </c>
      <c r="AE200">
        <v>0</v>
      </c>
      <c r="AF200">
        <v>1</v>
      </c>
      <c r="AG200">
        <v>0</v>
      </c>
      <c r="AH200">
        <v>0</v>
      </c>
      <c r="AI200">
        <v>0</v>
      </c>
      <c r="AJ200">
        <v>0</v>
      </c>
      <c r="AK200">
        <v>0</v>
      </c>
      <c r="AL200">
        <v>2</v>
      </c>
      <c r="AM200">
        <v>0</v>
      </c>
      <c r="AN200">
        <v>0</v>
      </c>
      <c r="AO200">
        <v>1</v>
      </c>
      <c r="AP200">
        <v>0</v>
      </c>
      <c r="AQ200">
        <v>1</v>
      </c>
      <c r="AR200">
        <v>0</v>
      </c>
      <c r="AS200">
        <v>0</v>
      </c>
      <c r="AT200">
        <v>0</v>
      </c>
      <c r="AU200">
        <v>0</v>
      </c>
      <c r="AV200">
        <v>0</v>
      </c>
    </row>
    <row r="201" spans="1:48" ht="15.75" customHeight="1" x14ac:dyDescent="0.25">
      <c r="A201">
        <v>1</v>
      </c>
      <c r="B201">
        <v>2</v>
      </c>
      <c r="C201">
        <v>1</v>
      </c>
      <c r="D201">
        <v>1</v>
      </c>
      <c r="E201">
        <v>2017</v>
      </c>
      <c r="F201">
        <v>2</v>
      </c>
      <c r="G201">
        <v>11</v>
      </c>
      <c r="H201">
        <v>0</v>
      </c>
      <c r="I201">
        <v>0</v>
      </c>
      <c r="J201">
        <v>0</v>
      </c>
      <c r="K201">
        <v>0</v>
      </c>
      <c r="L201">
        <v>0</v>
      </c>
      <c r="M201">
        <v>0</v>
      </c>
      <c r="N201">
        <v>0</v>
      </c>
      <c r="O201">
        <v>0</v>
      </c>
      <c r="P201">
        <v>0</v>
      </c>
      <c r="Q201">
        <v>0</v>
      </c>
      <c r="R201">
        <v>0</v>
      </c>
      <c r="S201">
        <v>0</v>
      </c>
      <c r="T201">
        <v>0</v>
      </c>
      <c r="U201">
        <v>0</v>
      </c>
      <c r="V201">
        <v>4</v>
      </c>
      <c r="W201">
        <v>2</v>
      </c>
      <c r="X201">
        <v>1</v>
      </c>
      <c r="Y201">
        <v>0</v>
      </c>
      <c r="Z201">
        <v>0</v>
      </c>
      <c r="AA201">
        <v>1</v>
      </c>
      <c r="AB201">
        <v>0</v>
      </c>
      <c r="AC201">
        <v>1</v>
      </c>
      <c r="AD201">
        <v>0</v>
      </c>
      <c r="AE201">
        <v>0</v>
      </c>
      <c r="AF201">
        <v>0</v>
      </c>
      <c r="AG201">
        <v>0</v>
      </c>
      <c r="AH201">
        <v>0</v>
      </c>
      <c r="AI201">
        <v>0</v>
      </c>
      <c r="AJ201">
        <v>1</v>
      </c>
      <c r="AK201">
        <v>0</v>
      </c>
      <c r="AL201">
        <v>0</v>
      </c>
      <c r="AM201">
        <v>0</v>
      </c>
      <c r="AN201">
        <v>0</v>
      </c>
      <c r="AO201">
        <v>0</v>
      </c>
      <c r="AP201">
        <v>0</v>
      </c>
      <c r="AQ201">
        <v>1</v>
      </c>
      <c r="AR201">
        <v>0</v>
      </c>
      <c r="AS201">
        <v>0</v>
      </c>
      <c r="AT201">
        <v>0</v>
      </c>
      <c r="AU201">
        <v>0</v>
      </c>
      <c r="AV201">
        <v>0</v>
      </c>
    </row>
    <row r="202" spans="1:48" ht="15.75" customHeight="1" x14ac:dyDescent="0.25">
      <c r="A202">
        <v>1</v>
      </c>
      <c r="B202">
        <v>2</v>
      </c>
      <c r="C202">
        <v>1</v>
      </c>
      <c r="D202">
        <v>1</v>
      </c>
      <c r="E202">
        <v>2017</v>
      </c>
      <c r="F202">
        <v>3</v>
      </c>
      <c r="G202">
        <v>17</v>
      </c>
      <c r="H202">
        <v>0</v>
      </c>
      <c r="I202">
        <v>0</v>
      </c>
      <c r="J202">
        <v>0</v>
      </c>
      <c r="K202">
        <v>0</v>
      </c>
      <c r="L202">
        <v>0</v>
      </c>
      <c r="M202">
        <v>0</v>
      </c>
      <c r="N202">
        <v>0</v>
      </c>
      <c r="O202">
        <v>0</v>
      </c>
      <c r="P202">
        <v>0</v>
      </c>
      <c r="Q202">
        <v>0</v>
      </c>
      <c r="R202">
        <v>0</v>
      </c>
      <c r="S202">
        <v>0</v>
      </c>
      <c r="T202">
        <v>0</v>
      </c>
      <c r="U202">
        <v>5</v>
      </c>
      <c r="V202">
        <v>1</v>
      </c>
      <c r="W202">
        <v>0</v>
      </c>
      <c r="X202">
        <v>3</v>
      </c>
      <c r="Y202">
        <v>0</v>
      </c>
      <c r="Z202">
        <v>1</v>
      </c>
      <c r="AA202">
        <v>3</v>
      </c>
      <c r="AB202">
        <v>1</v>
      </c>
      <c r="AC202">
        <v>0</v>
      </c>
      <c r="AD202">
        <v>0</v>
      </c>
      <c r="AE202">
        <v>1</v>
      </c>
      <c r="AF202">
        <v>0</v>
      </c>
      <c r="AG202">
        <v>1</v>
      </c>
      <c r="AH202">
        <v>0</v>
      </c>
      <c r="AI202">
        <v>0</v>
      </c>
      <c r="AJ202">
        <v>0</v>
      </c>
      <c r="AK202">
        <v>0</v>
      </c>
      <c r="AL202">
        <v>0</v>
      </c>
      <c r="AM202">
        <v>0</v>
      </c>
      <c r="AN202">
        <v>0</v>
      </c>
      <c r="AO202">
        <v>1</v>
      </c>
      <c r="AP202">
        <v>0</v>
      </c>
      <c r="AQ202">
        <v>0</v>
      </c>
      <c r="AR202">
        <v>0</v>
      </c>
      <c r="AS202">
        <v>0</v>
      </c>
      <c r="AT202">
        <v>0</v>
      </c>
      <c r="AU202">
        <v>0</v>
      </c>
      <c r="AV202">
        <v>0</v>
      </c>
    </row>
    <row r="203" spans="1:48" ht="15.75" customHeight="1" x14ac:dyDescent="0.25">
      <c r="A203">
        <v>1</v>
      </c>
      <c r="B203">
        <v>2</v>
      </c>
      <c r="C203">
        <v>1</v>
      </c>
      <c r="D203">
        <v>1</v>
      </c>
      <c r="E203">
        <v>2017</v>
      </c>
      <c r="F203">
        <v>4</v>
      </c>
      <c r="G203">
        <v>2</v>
      </c>
      <c r="H203">
        <v>0</v>
      </c>
      <c r="I203">
        <v>0</v>
      </c>
      <c r="J203">
        <v>0</v>
      </c>
      <c r="K203">
        <v>0</v>
      </c>
      <c r="L203">
        <v>0</v>
      </c>
      <c r="M203">
        <v>0</v>
      </c>
      <c r="N203">
        <v>0</v>
      </c>
      <c r="O203">
        <v>0</v>
      </c>
      <c r="P203">
        <v>0</v>
      </c>
      <c r="Q203">
        <v>0</v>
      </c>
      <c r="R203">
        <v>0</v>
      </c>
      <c r="S203">
        <v>0</v>
      </c>
      <c r="T203">
        <v>1</v>
      </c>
      <c r="U203">
        <v>0</v>
      </c>
      <c r="V203">
        <v>1</v>
      </c>
      <c r="W203">
        <v>0</v>
      </c>
      <c r="X203">
        <v>0</v>
      </c>
      <c r="Y203">
        <v>0</v>
      </c>
      <c r="Z203">
        <v>0</v>
      </c>
      <c r="AA203">
        <v>0</v>
      </c>
      <c r="AB203">
        <v>0</v>
      </c>
      <c r="AC203">
        <v>0</v>
      </c>
      <c r="AD203">
        <v>0</v>
      </c>
      <c r="AE203">
        <v>0</v>
      </c>
      <c r="AF203">
        <v>0</v>
      </c>
      <c r="AG203">
        <v>0</v>
      </c>
      <c r="AH203">
        <v>0</v>
      </c>
      <c r="AI203">
        <v>0</v>
      </c>
      <c r="AJ203">
        <v>0</v>
      </c>
      <c r="AK203">
        <v>0</v>
      </c>
      <c r="AL203">
        <v>0</v>
      </c>
      <c r="AM203">
        <v>0</v>
      </c>
      <c r="AN203">
        <v>0</v>
      </c>
      <c r="AO203">
        <v>0</v>
      </c>
      <c r="AP203">
        <v>0</v>
      </c>
      <c r="AQ203">
        <v>0</v>
      </c>
      <c r="AR203">
        <v>0</v>
      </c>
      <c r="AS203">
        <v>0</v>
      </c>
      <c r="AT203">
        <v>0</v>
      </c>
      <c r="AU203">
        <v>0</v>
      </c>
      <c r="AV203">
        <v>0</v>
      </c>
    </row>
    <row r="204" spans="1:48" ht="15.75" customHeight="1" x14ac:dyDescent="0.25">
      <c r="A204">
        <v>1</v>
      </c>
      <c r="B204">
        <v>2</v>
      </c>
      <c r="C204">
        <v>1</v>
      </c>
      <c r="D204">
        <v>1</v>
      </c>
      <c r="E204">
        <v>2017</v>
      </c>
      <c r="F204">
        <v>5</v>
      </c>
      <c r="G204">
        <v>23</v>
      </c>
      <c r="H204">
        <v>0</v>
      </c>
      <c r="I204">
        <v>0</v>
      </c>
      <c r="J204">
        <v>0</v>
      </c>
      <c r="K204">
        <v>0</v>
      </c>
      <c r="L204">
        <v>0</v>
      </c>
      <c r="M204">
        <v>0</v>
      </c>
      <c r="N204">
        <v>0</v>
      </c>
      <c r="O204">
        <v>0</v>
      </c>
      <c r="P204">
        <v>0</v>
      </c>
      <c r="Q204">
        <v>0</v>
      </c>
      <c r="R204">
        <v>0</v>
      </c>
      <c r="S204">
        <v>0</v>
      </c>
      <c r="T204">
        <v>1</v>
      </c>
      <c r="U204">
        <v>1</v>
      </c>
      <c r="V204">
        <v>1</v>
      </c>
      <c r="W204">
        <v>1</v>
      </c>
      <c r="X204">
        <v>1</v>
      </c>
      <c r="Y204">
        <v>0</v>
      </c>
      <c r="Z204">
        <v>0</v>
      </c>
      <c r="AA204">
        <v>1</v>
      </c>
      <c r="AB204">
        <v>0</v>
      </c>
      <c r="AC204">
        <v>0</v>
      </c>
      <c r="AD204">
        <v>0</v>
      </c>
      <c r="AE204">
        <v>0</v>
      </c>
      <c r="AF204">
        <v>2</v>
      </c>
      <c r="AG204">
        <v>2</v>
      </c>
      <c r="AH204">
        <v>0</v>
      </c>
      <c r="AI204">
        <v>1</v>
      </c>
      <c r="AJ204">
        <v>3</v>
      </c>
      <c r="AK204">
        <v>3</v>
      </c>
      <c r="AL204">
        <v>3</v>
      </c>
      <c r="AM204">
        <v>0</v>
      </c>
      <c r="AN204">
        <v>0</v>
      </c>
      <c r="AO204">
        <v>1</v>
      </c>
      <c r="AP204">
        <v>1</v>
      </c>
      <c r="AQ204">
        <v>1</v>
      </c>
      <c r="AR204">
        <v>0</v>
      </c>
      <c r="AS204">
        <v>0</v>
      </c>
      <c r="AT204">
        <v>0</v>
      </c>
      <c r="AU204">
        <v>0</v>
      </c>
      <c r="AV204">
        <v>0</v>
      </c>
    </row>
    <row r="205" spans="1:48" ht="15.75" customHeight="1" x14ac:dyDescent="0.25">
      <c r="A205">
        <v>1</v>
      </c>
      <c r="B205">
        <v>2</v>
      </c>
      <c r="C205">
        <v>1</v>
      </c>
      <c r="D205">
        <v>1</v>
      </c>
      <c r="E205">
        <v>2017</v>
      </c>
      <c r="F205">
        <v>6</v>
      </c>
      <c r="G205">
        <v>8</v>
      </c>
      <c r="H205">
        <v>0</v>
      </c>
      <c r="I205">
        <v>0</v>
      </c>
      <c r="J205">
        <v>0</v>
      </c>
      <c r="K205">
        <v>0</v>
      </c>
      <c r="L205">
        <v>0</v>
      </c>
      <c r="M205">
        <v>0</v>
      </c>
      <c r="N205">
        <v>0</v>
      </c>
      <c r="O205">
        <v>0</v>
      </c>
      <c r="P205">
        <v>0</v>
      </c>
      <c r="Q205">
        <v>0</v>
      </c>
      <c r="R205">
        <v>0</v>
      </c>
      <c r="S205">
        <v>0</v>
      </c>
      <c r="T205">
        <v>1</v>
      </c>
      <c r="U205">
        <v>3</v>
      </c>
      <c r="V205">
        <v>1</v>
      </c>
      <c r="W205">
        <v>1</v>
      </c>
      <c r="X205">
        <v>1</v>
      </c>
      <c r="Y205">
        <v>0</v>
      </c>
      <c r="Z205">
        <v>0</v>
      </c>
      <c r="AA205">
        <v>0</v>
      </c>
      <c r="AB205">
        <v>0</v>
      </c>
      <c r="AC205">
        <v>0</v>
      </c>
      <c r="AD205">
        <v>0</v>
      </c>
      <c r="AE205">
        <v>0</v>
      </c>
      <c r="AF205">
        <v>0</v>
      </c>
      <c r="AG205">
        <v>0</v>
      </c>
      <c r="AH205">
        <v>0</v>
      </c>
      <c r="AI205">
        <v>0</v>
      </c>
      <c r="AJ205">
        <v>0</v>
      </c>
      <c r="AK205">
        <v>0</v>
      </c>
      <c r="AL205">
        <v>0</v>
      </c>
      <c r="AM205">
        <v>0</v>
      </c>
      <c r="AN205">
        <v>1</v>
      </c>
      <c r="AO205">
        <v>0</v>
      </c>
      <c r="AP205">
        <v>0</v>
      </c>
      <c r="AQ205">
        <v>0</v>
      </c>
      <c r="AR205">
        <v>0</v>
      </c>
      <c r="AS205">
        <v>0</v>
      </c>
      <c r="AT205">
        <v>0</v>
      </c>
      <c r="AU205">
        <v>0</v>
      </c>
      <c r="AV205">
        <v>0</v>
      </c>
    </row>
    <row r="206" spans="1:48" ht="15.75" customHeight="1" x14ac:dyDescent="0.25">
      <c r="A206">
        <v>1</v>
      </c>
      <c r="B206">
        <v>2</v>
      </c>
      <c r="C206">
        <v>1</v>
      </c>
      <c r="D206">
        <v>1</v>
      </c>
      <c r="E206">
        <v>2018</v>
      </c>
      <c r="F206">
        <v>1</v>
      </c>
      <c r="G206">
        <v>16</v>
      </c>
      <c r="H206">
        <v>0</v>
      </c>
      <c r="I206">
        <v>0</v>
      </c>
      <c r="J206">
        <v>0</v>
      </c>
      <c r="K206">
        <v>0</v>
      </c>
      <c r="L206">
        <v>0</v>
      </c>
      <c r="M206">
        <v>0</v>
      </c>
      <c r="N206">
        <v>0</v>
      </c>
      <c r="O206">
        <v>0</v>
      </c>
      <c r="P206">
        <v>0</v>
      </c>
      <c r="Q206">
        <v>0</v>
      </c>
      <c r="R206">
        <v>0</v>
      </c>
      <c r="S206">
        <v>0</v>
      </c>
      <c r="T206">
        <v>0</v>
      </c>
      <c r="U206">
        <v>1</v>
      </c>
      <c r="V206">
        <v>2</v>
      </c>
      <c r="W206">
        <v>1</v>
      </c>
      <c r="X206">
        <v>1</v>
      </c>
      <c r="Y206">
        <v>1</v>
      </c>
      <c r="Z206">
        <v>1</v>
      </c>
      <c r="AA206">
        <v>0</v>
      </c>
      <c r="AB206">
        <v>0</v>
      </c>
      <c r="AC206">
        <v>0</v>
      </c>
      <c r="AD206">
        <v>0</v>
      </c>
      <c r="AE206">
        <v>0</v>
      </c>
      <c r="AF206">
        <v>2</v>
      </c>
      <c r="AG206">
        <v>3</v>
      </c>
      <c r="AH206">
        <v>2</v>
      </c>
      <c r="AI206">
        <v>0</v>
      </c>
      <c r="AJ206">
        <v>1</v>
      </c>
      <c r="AK206">
        <v>0</v>
      </c>
      <c r="AL206">
        <v>0</v>
      </c>
      <c r="AM206">
        <v>0</v>
      </c>
      <c r="AN206">
        <v>0</v>
      </c>
      <c r="AO206">
        <v>1</v>
      </c>
      <c r="AP206">
        <v>0</v>
      </c>
      <c r="AQ206">
        <v>0</v>
      </c>
      <c r="AR206">
        <v>0</v>
      </c>
      <c r="AS206">
        <v>0</v>
      </c>
      <c r="AT206">
        <v>0</v>
      </c>
      <c r="AU206">
        <v>0</v>
      </c>
      <c r="AV206">
        <v>0</v>
      </c>
    </row>
    <row r="207" spans="1:48" ht="15.75" customHeight="1" x14ac:dyDescent="0.25">
      <c r="A207">
        <v>1</v>
      </c>
      <c r="B207">
        <v>2</v>
      </c>
      <c r="C207">
        <v>1</v>
      </c>
      <c r="D207">
        <v>1</v>
      </c>
      <c r="E207">
        <v>2018</v>
      </c>
      <c r="F207">
        <v>2</v>
      </c>
      <c r="G207">
        <v>15</v>
      </c>
      <c r="H207">
        <v>0</v>
      </c>
      <c r="I207">
        <v>0</v>
      </c>
      <c r="J207">
        <v>0</v>
      </c>
      <c r="K207">
        <v>0</v>
      </c>
      <c r="L207">
        <v>0</v>
      </c>
      <c r="M207">
        <v>0</v>
      </c>
      <c r="N207">
        <v>0</v>
      </c>
      <c r="O207">
        <v>0</v>
      </c>
      <c r="P207">
        <v>0</v>
      </c>
      <c r="Q207">
        <v>0</v>
      </c>
      <c r="R207">
        <v>0</v>
      </c>
      <c r="S207">
        <v>0</v>
      </c>
      <c r="T207">
        <v>0</v>
      </c>
      <c r="U207">
        <v>1</v>
      </c>
      <c r="V207">
        <v>2</v>
      </c>
      <c r="W207">
        <v>0</v>
      </c>
      <c r="X207">
        <v>1</v>
      </c>
      <c r="Y207">
        <v>0</v>
      </c>
      <c r="Z207">
        <v>1</v>
      </c>
      <c r="AA207">
        <v>1</v>
      </c>
      <c r="AB207">
        <v>3</v>
      </c>
      <c r="AC207">
        <v>1</v>
      </c>
      <c r="AD207">
        <v>0</v>
      </c>
      <c r="AE207">
        <v>1</v>
      </c>
      <c r="AF207">
        <v>0</v>
      </c>
      <c r="AG207">
        <v>0</v>
      </c>
      <c r="AH207">
        <v>0</v>
      </c>
      <c r="AI207">
        <v>0</v>
      </c>
      <c r="AJ207">
        <v>0</v>
      </c>
      <c r="AK207">
        <v>3</v>
      </c>
      <c r="AL207">
        <v>0</v>
      </c>
      <c r="AM207">
        <v>0</v>
      </c>
      <c r="AN207">
        <v>0</v>
      </c>
      <c r="AO207">
        <v>0</v>
      </c>
      <c r="AP207">
        <v>0</v>
      </c>
      <c r="AQ207">
        <v>1</v>
      </c>
      <c r="AR207">
        <v>0</v>
      </c>
      <c r="AS207">
        <v>0</v>
      </c>
      <c r="AT207">
        <v>0</v>
      </c>
      <c r="AU207">
        <v>0</v>
      </c>
      <c r="AV207">
        <v>0</v>
      </c>
    </row>
    <row r="208" spans="1:48" ht="15.75" customHeight="1" x14ac:dyDescent="0.25">
      <c r="A208">
        <v>1</v>
      </c>
      <c r="B208">
        <v>2</v>
      </c>
      <c r="C208">
        <v>1</v>
      </c>
      <c r="D208">
        <v>1</v>
      </c>
      <c r="E208">
        <v>2018</v>
      </c>
      <c r="F208">
        <v>3</v>
      </c>
      <c r="G208">
        <v>1</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v>0</v>
      </c>
      <c r="AL208">
        <v>0</v>
      </c>
      <c r="AM208">
        <v>1</v>
      </c>
      <c r="AN208">
        <v>0</v>
      </c>
      <c r="AO208">
        <v>0</v>
      </c>
      <c r="AP208">
        <v>0</v>
      </c>
      <c r="AQ208">
        <v>0</v>
      </c>
      <c r="AR208">
        <v>0</v>
      </c>
      <c r="AS208">
        <v>0</v>
      </c>
      <c r="AT208">
        <v>0</v>
      </c>
      <c r="AU208">
        <v>0</v>
      </c>
      <c r="AV208">
        <v>0</v>
      </c>
    </row>
    <row r="209" spans="1:48" ht="15.75" customHeight="1" x14ac:dyDescent="0.25">
      <c r="A209">
        <v>1</v>
      </c>
      <c r="B209">
        <v>2</v>
      </c>
      <c r="C209">
        <v>1</v>
      </c>
      <c r="D209">
        <v>1</v>
      </c>
      <c r="E209">
        <v>2018</v>
      </c>
      <c r="F209">
        <v>4</v>
      </c>
      <c r="G209">
        <v>6</v>
      </c>
      <c r="H209">
        <v>0</v>
      </c>
      <c r="I209">
        <v>0</v>
      </c>
      <c r="J209">
        <v>0</v>
      </c>
      <c r="K209">
        <v>0</v>
      </c>
      <c r="L209">
        <v>0</v>
      </c>
      <c r="M209">
        <v>0</v>
      </c>
      <c r="N209">
        <v>0</v>
      </c>
      <c r="O209">
        <v>0</v>
      </c>
      <c r="P209">
        <v>0</v>
      </c>
      <c r="Q209">
        <v>0</v>
      </c>
      <c r="R209">
        <v>0</v>
      </c>
      <c r="S209">
        <v>0</v>
      </c>
      <c r="T209">
        <v>0</v>
      </c>
      <c r="U209">
        <v>0</v>
      </c>
      <c r="V209">
        <v>2</v>
      </c>
      <c r="W209">
        <v>1</v>
      </c>
      <c r="X209">
        <v>1</v>
      </c>
      <c r="Y209">
        <v>1</v>
      </c>
      <c r="Z209">
        <v>0</v>
      </c>
      <c r="AA209">
        <v>0</v>
      </c>
      <c r="AB209">
        <v>0</v>
      </c>
      <c r="AC209">
        <v>0</v>
      </c>
      <c r="AD209">
        <v>1</v>
      </c>
      <c r="AE209">
        <v>0</v>
      </c>
      <c r="AF209">
        <v>0</v>
      </c>
      <c r="AG209">
        <v>0</v>
      </c>
      <c r="AH209">
        <v>0</v>
      </c>
      <c r="AI209">
        <v>0</v>
      </c>
      <c r="AJ209">
        <v>0</v>
      </c>
      <c r="AK209">
        <v>0</v>
      </c>
      <c r="AL209">
        <v>0</v>
      </c>
      <c r="AM209">
        <v>0</v>
      </c>
      <c r="AN209">
        <v>0</v>
      </c>
      <c r="AO209">
        <v>0</v>
      </c>
      <c r="AP209">
        <v>0</v>
      </c>
      <c r="AQ209">
        <v>0</v>
      </c>
      <c r="AR209">
        <v>0</v>
      </c>
      <c r="AS209">
        <v>0</v>
      </c>
      <c r="AT209">
        <v>0</v>
      </c>
      <c r="AU209">
        <v>0</v>
      </c>
      <c r="AV209">
        <v>0</v>
      </c>
    </row>
    <row r="210" spans="1:48" ht="15.75" customHeight="1" x14ac:dyDescent="0.25">
      <c r="A210">
        <v>1</v>
      </c>
      <c r="B210">
        <v>2</v>
      </c>
      <c r="C210">
        <v>1</v>
      </c>
      <c r="D210">
        <v>1</v>
      </c>
      <c r="E210">
        <v>2018</v>
      </c>
      <c r="F210">
        <v>5</v>
      </c>
      <c r="G210">
        <v>1</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1</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0</v>
      </c>
    </row>
    <row r="211" spans="1:48" ht="15.75" customHeight="1" x14ac:dyDescent="0.25">
      <c r="A211">
        <v>1</v>
      </c>
      <c r="B211">
        <v>2</v>
      </c>
      <c r="C211">
        <v>1</v>
      </c>
      <c r="D211">
        <v>1</v>
      </c>
      <c r="E211">
        <v>2018</v>
      </c>
      <c r="F211">
        <v>6</v>
      </c>
      <c r="G211">
        <v>11</v>
      </c>
      <c r="H211">
        <v>0</v>
      </c>
      <c r="I211">
        <v>0</v>
      </c>
      <c r="J211">
        <v>0</v>
      </c>
      <c r="K211">
        <v>0</v>
      </c>
      <c r="L211">
        <v>0</v>
      </c>
      <c r="M211">
        <v>0</v>
      </c>
      <c r="N211">
        <v>0</v>
      </c>
      <c r="O211">
        <v>0</v>
      </c>
      <c r="P211">
        <v>0</v>
      </c>
      <c r="Q211">
        <v>0</v>
      </c>
      <c r="R211">
        <v>0</v>
      </c>
      <c r="S211">
        <v>0</v>
      </c>
      <c r="T211">
        <v>1</v>
      </c>
      <c r="U211">
        <v>2</v>
      </c>
      <c r="V211">
        <v>3</v>
      </c>
      <c r="W211">
        <v>0</v>
      </c>
      <c r="X211">
        <v>0</v>
      </c>
      <c r="Y211">
        <v>0</v>
      </c>
      <c r="Z211">
        <v>1</v>
      </c>
      <c r="AA211">
        <v>0</v>
      </c>
      <c r="AB211">
        <v>0</v>
      </c>
      <c r="AC211">
        <v>0</v>
      </c>
      <c r="AD211">
        <v>0</v>
      </c>
      <c r="AE211">
        <v>0</v>
      </c>
      <c r="AF211">
        <v>0</v>
      </c>
      <c r="AG211">
        <v>0</v>
      </c>
      <c r="AH211">
        <v>1</v>
      </c>
      <c r="AI211">
        <v>0</v>
      </c>
      <c r="AJ211">
        <v>0</v>
      </c>
      <c r="AK211">
        <v>0</v>
      </c>
      <c r="AL211">
        <v>0</v>
      </c>
      <c r="AM211">
        <v>0</v>
      </c>
      <c r="AN211">
        <v>0</v>
      </c>
      <c r="AO211">
        <v>0</v>
      </c>
      <c r="AP211">
        <v>0</v>
      </c>
      <c r="AQ211">
        <v>3</v>
      </c>
      <c r="AR211">
        <v>0</v>
      </c>
      <c r="AS211">
        <v>0</v>
      </c>
      <c r="AT211">
        <v>0</v>
      </c>
      <c r="AU211">
        <v>0</v>
      </c>
      <c r="AV211">
        <v>0</v>
      </c>
    </row>
    <row r="212" spans="1:48" ht="15.75" customHeight="1" x14ac:dyDescent="0.25">
      <c r="A212">
        <v>1</v>
      </c>
      <c r="B212">
        <v>2</v>
      </c>
      <c r="C212">
        <v>1</v>
      </c>
      <c r="D212">
        <v>2</v>
      </c>
      <c r="E212">
        <v>2015</v>
      </c>
      <c r="F212">
        <v>6</v>
      </c>
      <c r="G212">
        <v>1</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1</v>
      </c>
      <c r="AE212">
        <v>0</v>
      </c>
      <c r="AF212">
        <v>0</v>
      </c>
      <c r="AG212">
        <v>0</v>
      </c>
      <c r="AH212">
        <v>0</v>
      </c>
      <c r="AI212">
        <v>0</v>
      </c>
      <c r="AJ212">
        <v>0</v>
      </c>
      <c r="AK212">
        <v>0</v>
      </c>
      <c r="AL212">
        <v>0</v>
      </c>
      <c r="AM212">
        <v>0</v>
      </c>
      <c r="AN212">
        <v>0</v>
      </c>
      <c r="AO212">
        <v>0</v>
      </c>
      <c r="AP212">
        <v>0</v>
      </c>
      <c r="AQ212">
        <v>0</v>
      </c>
      <c r="AR212">
        <v>0</v>
      </c>
      <c r="AS212">
        <v>0</v>
      </c>
      <c r="AT212">
        <v>0</v>
      </c>
      <c r="AU212">
        <v>0</v>
      </c>
      <c r="AV212">
        <v>0</v>
      </c>
    </row>
    <row r="213" spans="1:48" ht="15.75" customHeight="1" x14ac:dyDescent="0.25">
      <c r="A213">
        <v>1</v>
      </c>
      <c r="B213">
        <v>2</v>
      </c>
      <c r="C213">
        <v>1</v>
      </c>
      <c r="D213">
        <v>2</v>
      </c>
      <c r="E213">
        <v>2016</v>
      </c>
      <c r="F213">
        <v>1</v>
      </c>
      <c r="G213">
        <v>3</v>
      </c>
      <c r="H213">
        <v>0</v>
      </c>
      <c r="I213">
        <v>0</v>
      </c>
      <c r="J213">
        <v>0</v>
      </c>
      <c r="K213">
        <v>0</v>
      </c>
      <c r="L213">
        <v>0</v>
      </c>
      <c r="M213">
        <v>0</v>
      </c>
      <c r="N213">
        <v>0</v>
      </c>
      <c r="O213">
        <v>0</v>
      </c>
      <c r="P213">
        <v>0</v>
      </c>
      <c r="Q213">
        <v>0</v>
      </c>
      <c r="R213">
        <v>0</v>
      </c>
      <c r="S213">
        <v>0</v>
      </c>
      <c r="T213">
        <v>0</v>
      </c>
      <c r="U213">
        <v>0</v>
      </c>
      <c r="V213">
        <v>0</v>
      </c>
      <c r="W213">
        <v>2</v>
      </c>
      <c r="X213">
        <v>0</v>
      </c>
      <c r="Y213">
        <v>1</v>
      </c>
      <c r="Z213">
        <v>0</v>
      </c>
      <c r="AA213">
        <v>0</v>
      </c>
      <c r="AB213">
        <v>0</v>
      </c>
      <c r="AC213">
        <v>0</v>
      </c>
      <c r="AD213">
        <v>0</v>
      </c>
      <c r="AE213">
        <v>0</v>
      </c>
      <c r="AF213">
        <v>0</v>
      </c>
      <c r="AG213">
        <v>0</v>
      </c>
      <c r="AH213">
        <v>0</v>
      </c>
      <c r="AI213">
        <v>0</v>
      </c>
      <c r="AJ213">
        <v>0</v>
      </c>
      <c r="AK213">
        <v>0</v>
      </c>
      <c r="AL213">
        <v>0</v>
      </c>
      <c r="AM213">
        <v>0</v>
      </c>
      <c r="AN213">
        <v>0</v>
      </c>
      <c r="AO213">
        <v>0</v>
      </c>
      <c r="AP213">
        <v>0</v>
      </c>
      <c r="AQ213">
        <v>0</v>
      </c>
      <c r="AR213">
        <v>0</v>
      </c>
      <c r="AS213">
        <v>0</v>
      </c>
      <c r="AT213">
        <v>0</v>
      </c>
      <c r="AU213">
        <v>0</v>
      </c>
      <c r="AV213">
        <v>0</v>
      </c>
    </row>
    <row r="214" spans="1:48" ht="15.75" customHeight="1" x14ac:dyDescent="0.25">
      <c r="A214">
        <v>1</v>
      </c>
      <c r="B214">
        <v>2</v>
      </c>
      <c r="C214">
        <v>1</v>
      </c>
      <c r="D214">
        <v>2</v>
      </c>
      <c r="E214">
        <v>2016</v>
      </c>
      <c r="F214">
        <v>4</v>
      </c>
      <c r="G214">
        <v>1</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1</v>
      </c>
      <c r="AB214">
        <v>0</v>
      </c>
      <c r="AC214">
        <v>0</v>
      </c>
      <c r="AD214">
        <v>0</v>
      </c>
      <c r="AE214">
        <v>0</v>
      </c>
      <c r="AF214">
        <v>0</v>
      </c>
      <c r="AG214">
        <v>0</v>
      </c>
      <c r="AH214">
        <v>0</v>
      </c>
      <c r="AI214">
        <v>0</v>
      </c>
      <c r="AJ214">
        <v>0</v>
      </c>
      <c r="AK214">
        <v>0</v>
      </c>
      <c r="AL214">
        <v>0</v>
      </c>
      <c r="AM214">
        <v>0</v>
      </c>
      <c r="AN214">
        <v>0</v>
      </c>
      <c r="AO214">
        <v>0</v>
      </c>
      <c r="AP214">
        <v>0</v>
      </c>
      <c r="AQ214">
        <v>0</v>
      </c>
      <c r="AR214">
        <v>0</v>
      </c>
      <c r="AS214">
        <v>0</v>
      </c>
      <c r="AT214">
        <v>0</v>
      </c>
      <c r="AU214">
        <v>0</v>
      </c>
      <c r="AV214">
        <v>0</v>
      </c>
    </row>
    <row r="215" spans="1:48" ht="15.75" customHeight="1" x14ac:dyDescent="0.25">
      <c r="A215">
        <v>1</v>
      </c>
      <c r="B215">
        <v>2</v>
      </c>
      <c r="C215">
        <v>1</v>
      </c>
      <c r="D215">
        <v>2</v>
      </c>
      <c r="E215">
        <v>2017</v>
      </c>
      <c r="F215">
        <v>1</v>
      </c>
      <c r="G215">
        <v>1</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1</v>
      </c>
      <c r="AN215">
        <v>0</v>
      </c>
      <c r="AO215">
        <v>0</v>
      </c>
      <c r="AP215">
        <v>0</v>
      </c>
      <c r="AQ215">
        <v>0</v>
      </c>
      <c r="AR215">
        <v>0</v>
      </c>
      <c r="AS215">
        <v>0</v>
      </c>
      <c r="AT215">
        <v>0</v>
      </c>
      <c r="AU215">
        <v>0</v>
      </c>
      <c r="AV215">
        <v>0</v>
      </c>
    </row>
    <row r="216" spans="1:48" ht="15.75" customHeight="1" x14ac:dyDescent="0.25">
      <c r="A216">
        <v>1</v>
      </c>
      <c r="B216">
        <v>2</v>
      </c>
      <c r="C216">
        <v>1</v>
      </c>
      <c r="D216">
        <v>2</v>
      </c>
      <c r="E216">
        <v>2017</v>
      </c>
      <c r="F216">
        <v>3</v>
      </c>
      <c r="G216">
        <v>3</v>
      </c>
      <c r="H216">
        <v>0</v>
      </c>
      <c r="I216">
        <v>0</v>
      </c>
      <c r="J216">
        <v>0</v>
      </c>
      <c r="K216">
        <v>0</v>
      </c>
      <c r="L216">
        <v>0</v>
      </c>
      <c r="M216">
        <v>0</v>
      </c>
      <c r="N216">
        <v>0</v>
      </c>
      <c r="O216">
        <v>0</v>
      </c>
      <c r="P216">
        <v>0</v>
      </c>
      <c r="Q216">
        <v>0</v>
      </c>
      <c r="R216">
        <v>0</v>
      </c>
      <c r="S216">
        <v>0</v>
      </c>
      <c r="T216">
        <v>0</v>
      </c>
      <c r="U216">
        <v>1</v>
      </c>
      <c r="V216">
        <v>1</v>
      </c>
      <c r="W216">
        <v>0</v>
      </c>
      <c r="X216">
        <v>1</v>
      </c>
      <c r="Y216">
        <v>0</v>
      </c>
      <c r="Z216">
        <v>0</v>
      </c>
      <c r="AA216">
        <v>0</v>
      </c>
      <c r="AB216">
        <v>0</v>
      </c>
      <c r="AC216">
        <v>0</v>
      </c>
      <c r="AD216">
        <v>0</v>
      </c>
      <c r="AE216">
        <v>0</v>
      </c>
      <c r="AF216">
        <v>0</v>
      </c>
      <c r="AG216">
        <v>0</v>
      </c>
      <c r="AH216">
        <v>0</v>
      </c>
      <c r="AI216">
        <v>0</v>
      </c>
      <c r="AJ216">
        <v>0</v>
      </c>
      <c r="AK216">
        <v>0</v>
      </c>
      <c r="AL216">
        <v>0</v>
      </c>
      <c r="AM216">
        <v>0</v>
      </c>
      <c r="AN216">
        <v>0</v>
      </c>
      <c r="AO216">
        <v>0</v>
      </c>
      <c r="AP216">
        <v>0</v>
      </c>
      <c r="AQ216">
        <v>0</v>
      </c>
      <c r="AR216">
        <v>0</v>
      </c>
      <c r="AS216">
        <v>0</v>
      </c>
      <c r="AT216">
        <v>0</v>
      </c>
      <c r="AU216">
        <v>0</v>
      </c>
      <c r="AV216">
        <v>0</v>
      </c>
    </row>
    <row r="217" spans="1:48" ht="15.75" customHeight="1" x14ac:dyDescent="0.25">
      <c r="A217">
        <v>1</v>
      </c>
      <c r="B217">
        <v>2</v>
      </c>
      <c r="C217">
        <v>1</v>
      </c>
      <c r="D217">
        <v>2</v>
      </c>
      <c r="E217">
        <v>2017</v>
      </c>
      <c r="F217">
        <v>4</v>
      </c>
      <c r="G217">
        <v>1</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1</v>
      </c>
      <c r="AH217">
        <v>0</v>
      </c>
      <c r="AI217">
        <v>0</v>
      </c>
      <c r="AJ217">
        <v>0</v>
      </c>
      <c r="AK217">
        <v>0</v>
      </c>
      <c r="AL217">
        <v>0</v>
      </c>
      <c r="AM217">
        <v>0</v>
      </c>
      <c r="AN217">
        <v>0</v>
      </c>
      <c r="AO217">
        <v>0</v>
      </c>
      <c r="AP217">
        <v>0</v>
      </c>
      <c r="AQ217">
        <v>0</v>
      </c>
      <c r="AR217">
        <v>0</v>
      </c>
      <c r="AS217">
        <v>0</v>
      </c>
      <c r="AT217">
        <v>0</v>
      </c>
      <c r="AU217">
        <v>0</v>
      </c>
      <c r="AV217">
        <v>0</v>
      </c>
    </row>
    <row r="218" spans="1:48" ht="15.75" customHeight="1" x14ac:dyDescent="0.25">
      <c r="A218">
        <v>1</v>
      </c>
      <c r="B218">
        <v>2</v>
      </c>
      <c r="C218">
        <v>1</v>
      </c>
      <c r="D218">
        <v>2</v>
      </c>
      <c r="E218">
        <v>2018</v>
      </c>
      <c r="F218">
        <v>1</v>
      </c>
      <c r="G218">
        <v>2</v>
      </c>
      <c r="H218">
        <v>0</v>
      </c>
      <c r="I218">
        <v>0</v>
      </c>
      <c r="J218">
        <v>0</v>
      </c>
      <c r="K218">
        <v>0</v>
      </c>
      <c r="L218">
        <v>0</v>
      </c>
      <c r="M218">
        <v>0</v>
      </c>
      <c r="N218">
        <v>0</v>
      </c>
      <c r="O218">
        <v>0</v>
      </c>
      <c r="P218">
        <v>0</v>
      </c>
      <c r="Q218">
        <v>0</v>
      </c>
      <c r="R218">
        <v>0</v>
      </c>
      <c r="S218">
        <v>0</v>
      </c>
      <c r="T218">
        <v>0</v>
      </c>
      <c r="U218">
        <v>0</v>
      </c>
      <c r="V218">
        <v>0</v>
      </c>
      <c r="W218">
        <v>0</v>
      </c>
      <c r="X218">
        <v>0</v>
      </c>
      <c r="Y218">
        <v>0</v>
      </c>
      <c r="Z218">
        <v>0</v>
      </c>
      <c r="AA218">
        <v>0</v>
      </c>
      <c r="AB218">
        <v>0</v>
      </c>
      <c r="AC218">
        <v>0</v>
      </c>
      <c r="AD218">
        <v>0</v>
      </c>
      <c r="AE218">
        <v>0</v>
      </c>
      <c r="AF218">
        <v>0</v>
      </c>
      <c r="AG218">
        <v>0</v>
      </c>
      <c r="AH218">
        <v>0</v>
      </c>
      <c r="AI218">
        <v>0</v>
      </c>
      <c r="AJ218">
        <v>0</v>
      </c>
      <c r="AK218">
        <v>0</v>
      </c>
      <c r="AL218">
        <v>1</v>
      </c>
      <c r="AM218">
        <v>1</v>
      </c>
      <c r="AN218">
        <v>0</v>
      </c>
      <c r="AO218">
        <v>0</v>
      </c>
      <c r="AP218">
        <v>0</v>
      </c>
      <c r="AQ218">
        <v>0</v>
      </c>
      <c r="AR218">
        <v>0</v>
      </c>
      <c r="AS218">
        <v>0</v>
      </c>
      <c r="AT218">
        <v>0</v>
      </c>
      <c r="AU218">
        <v>0</v>
      </c>
      <c r="AV218">
        <v>0</v>
      </c>
    </row>
    <row r="219" spans="1:48" ht="15.75" customHeight="1" x14ac:dyDescent="0.25">
      <c r="A219">
        <v>1</v>
      </c>
      <c r="B219">
        <v>2</v>
      </c>
      <c r="C219">
        <v>2</v>
      </c>
      <c r="D219">
        <v>1</v>
      </c>
      <c r="E219">
        <v>2004</v>
      </c>
      <c r="F219">
        <v>2</v>
      </c>
      <c r="G219">
        <v>1</v>
      </c>
      <c r="H219">
        <v>0</v>
      </c>
      <c r="I219">
        <v>0</v>
      </c>
      <c r="J219">
        <v>0</v>
      </c>
      <c r="K219">
        <v>0</v>
      </c>
      <c r="L219">
        <v>0</v>
      </c>
      <c r="M219">
        <v>0</v>
      </c>
      <c r="N219">
        <v>0</v>
      </c>
      <c r="O219">
        <v>0</v>
      </c>
      <c r="P219">
        <v>0</v>
      </c>
      <c r="Q219">
        <v>0</v>
      </c>
      <c r="R219">
        <v>0</v>
      </c>
      <c r="S219">
        <v>0</v>
      </c>
      <c r="T219">
        <v>0</v>
      </c>
      <c r="U219">
        <v>0</v>
      </c>
      <c r="V219">
        <v>0</v>
      </c>
      <c r="W219">
        <v>0</v>
      </c>
      <c r="X219">
        <v>0</v>
      </c>
      <c r="Y219">
        <v>1</v>
      </c>
      <c r="Z219">
        <v>0</v>
      </c>
      <c r="AA219">
        <v>0</v>
      </c>
      <c r="AB219">
        <v>0</v>
      </c>
      <c r="AC219">
        <v>0</v>
      </c>
      <c r="AD219">
        <v>0</v>
      </c>
      <c r="AE219">
        <v>0</v>
      </c>
      <c r="AF219">
        <v>0</v>
      </c>
      <c r="AG219">
        <v>0</v>
      </c>
      <c r="AH219">
        <v>0</v>
      </c>
      <c r="AI219">
        <v>0</v>
      </c>
      <c r="AJ219">
        <v>0</v>
      </c>
      <c r="AK219">
        <v>0</v>
      </c>
      <c r="AL219">
        <v>0</v>
      </c>
      <c r="AM219">
        <v>0</v>
      </c>
      <c r="AN219">
        <v>0</v>
      </c>
      <c r="AO219">
        <v>0</v>
      </c>
      <c r="AP219">
        <v>0</v>
      </c>
      <c r="AQ219">
        <v>0</v>
      </c>
      <c r="AR219">
        <v>0</v>
      </c>
      <c r="AS219">
        <v>0</v>
      </c>
      <c r="AT219">
        <v>0</v>
      </c>
      <c r="AU219">
        <v>0</v>
      </c>
      <c r="AV219">
        <v>0</v>
      </c>
    </row>
    <row r="220" spans="1:48" ht="15.75" customHeight="1" x14ac:dyDescent="0.25">
      <c r="A220">
        <v>1</v>
      </c>
      <c r="B220">
        <v>2</v>
      </c>
      <c r="C220">
        <v>2</v>
      </c>
      <c r="D220">
        <v>1</v>
      </c>
      <c r="E220">
        <v>2004</v>
      </c>
      <c r="F220">
        <v>3</v>
      </c>
      <c r="G220">
        <v>4</v>
      </c>
      <c r="H220">
        <v>0</v>
      </c>
      <c r="I220">
        <v>0</v>
      </c>
      <c r="J220">
        <v>0</v>
      </c>
      <c r="K220">
        <v>0</v>
      </c>
      <c r="L220">
        <v>0</v>
      </c>
      <c r="M220">
        <v>0</v>
      </c>
      <c r="N220">
        <v>0</v>
      </c>
      <c r="O220">
        <v>0</v>
      </c>
      <c r="P220">
        <v>0</v>
      </c>
      <c r="Q220">
        <v>0</v>
      </c>
      <c r="R220">
        <v>0</v>
      </c>
      <c r="S220">
        <v>0</v>
      </c>
      <c r="T220">
        <v>0</v>
      </c>
      <c r="U220">
        <v>0</v>
      </c>
      <c r="V220">
        <v>1</v>
      </c>
      <c r="W220">
        <v>0</v>
      </c>
      <c r="X220">
        <v>0</v>
      </c>
      <c r="Y220">
        <v>0</v>
      </c>
      <c r="Z220">
        <v>1</v>
      </c>
      <c r="AA220">
        <v>0</v>
      </c>
      <c r="AB220">
        <v>2</v>
      </c>
      <c r="AC220">
        <v>0</v>
      </c>
      <c r="AD220">
        <v>0</v>
      </c>
      <c r="AE220">
        <v>0</v>
      </c>
      <c r="AF220">
        <v>0</v>
      </c>
      <c r="AG220">
        <v>0</v>
      </c>
      <c r="AH220">
        <v>0</v>
      </c>
      <c r="AI220">
        <v>0</v>
      </c>
      <c r="AJ220">
        <v>0</v>
      </c>
      <c r="AK220">
        <v>0</v>
      </c>
      <c r="AL220">
        <v>0</v>
      </c>
      <c r="AM220">
        <v>0</v>
      </c>
      <c r="AN220">
        <v>0</v>
      </c>
      <c r="AO220">
        <v>0</v>
      </c>
      <c r="AP220">
        <v>0</v>
      </c>
      <c r="AQ220">
        <v>0</v>
      </c>
      <c r="AR220">
        <v>0</v>
      </c>
      <c r="AS220">
        <v>0</v>
      </c>
      <c r="AT220">
        <v>0</v>
      </c>
      <c r="AU220">
        <v>0</v>
      </c>
      <c r="AV220">
        <v>0</v>
      </c>
    </row>
    <row r="221" spans="1:48" ht="15.75" customHeight="1" x14ac:dyDescent="0.25">
      <c r="A221">
        <v>1</v>
      </c>
      <c r="B221">
        <v>2</v>
      </c>
      <c r="C221">
        <v>2</v>
      </c>
      <c r="D221">
        <v>1</v>
      </c>
      <c r="E221">
        <v>2007</v>
      </c>
      <c r="F221">
        <v>2</v>
      </c>
      <c r="G221">
        <v>1</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1</v>
      </c>
      <c r="AC221">
        <v>0</v>
      </c>
      <c r="AD221">
        <v>0</v>
      </c>
      <c r="AE221">
        <v>0</v>
      </c>
      <c r="AF221">
        <v>0</v>
      </c>
      <c r="AG221">
        <v>0</v>
      </c>
      <c r="AH221">
        <v>0</v>
      </c>
      <c r="AI221">
        <v>0</v>
      </c>
      <c r="AJ221">
        <v>0</v>
      </c>
      <c r="AK221">
        <v>0</v>
      </c>
      <c r="AL221">
        <v>0</v>
      </c>
      <c r="AM221">
        <v>0</v>
      </c>
      <c r="AN221">
        <v>0</v>
      </c>
      <c r="AO221">
        <v>0</v>
      </c>
      <c r="AP221">
        <v>0</v>
      </c>
      <c r="AQ221">
        <v>0</v>
      </c>
      <c r="AR221">
        <v>0</v>
      </c>
      <c r="AS221">
        <v>0</v>
      </c>
      <c r="AT221">
        <v>0</v>
      </c>
      <c r="AU221">
        <v>0</v>
      </c>
      <c r="AV221">
        <v>0</v>
      </c>
    </row>
    <row r="222" spans="1:48" ht="15.75" customHeight="1" x14ac:dyDescent="0.25">
      <c r="A222">
        <v>1</v>
      </c>
      <c r="B222">
        <v>2</v>
      </c>
      <c r="C222">
        <v>2</v>
      </c>
      <c r="D222">
        <v>1</v>
      </c>
      <c r="E222">
        <v>2012</v>
      </c>
      <c r="F222">
        <v>6</v>
      </c>
      <c r="G222">
        <v>1</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1</v>
      </c>
      <c r="AD222">
        <v>0</v>
      </c>
      <c r="AE222">
        <v>0</v>
      </c>
      <c r="AF222">
        <v>0</v>
      </c>
      <c r="AG222">
        <v>0</v>
      </c>
      <c r="AH222">
        <v>0</v>
      </c>
      <c r="AI222">
        <v>0</v>
      </c>
      <c r="AJ222">
        <v>0</v>
      </c>
      <c r="AK222">
        <v>0</v>
      </c>
      <c r="AL222">
        <v>0</v>
      </c>
      <c r="AM222">
        <v>0</v>
      </c>
      <c r="AN222">
        <v>0</v>
      </c>
      <c r="AO222">
        <v>0</v>
      </c>
      <c r="AP222">
        <v>0</v>
      </c>
      <c r="AQ222">
        <v>0</v>
      </c>
      <c r="AR222">
        <v>0</v>
      </c>
      <c r="AS222">
        <v>0</v>
      </c>
      <c r="AT222">
        <v>0</v>
      </c>
      <c r="AU222">
        <v>0</v>
      </c>
      <c r="AV222">
        <v>0</v>
      </c>
    </row>
    <row r="223" spans="1:48" ht="15.75" customHeight="1" x14ac:dyDescent="0.25">
      <c r="A223">
        <v>1</v>
      </c>
      <c r="B223">
        <v>2</v>
      </c>
      <c r="C223">
        <v>2</v>
      </c>
      <c r="D223">
        <v>1</v>
      </c>
      <c r="E223">
        <v>2013</v>
      </c>
      <c r="F223">
        <v>3</v>
      </c>
      <c r="G223">
        <v>4</v>
      </c>
      <c r="H223">
        <v>0</v>
      </c>
      <c r="I223">
        <v>0</v>
      </c>
      <c r="J223">
        <v>0</v>
      </c>
      <c r="K223">
        <v>0</v>
      </c>
      <c r="L223">
        <v>0</v>
      </c>
      <c r="M223">
        <v>0</v>
      </c>
      <c r="N223">
        <v>0</v>
      </c>
      <c r="O223">
        <v>0</v>
      </c>
      <c r="P223">
        <v>0</v>
      </c>
      <c r="Q223">
        <v>0</v>
      </c>
      <c r="R223">
        <v>0</v>
      </c>
      <c r="S223">
        <v>0</v>
      </c>
      <c r="T223">
        <v>0</v>
      </c>
      <c r="U223">
        <v>1</v>
      </c>
      <c r="V223">
        <v>0</v>
      </c>
      <c r="W223">
        <v>0</v>
      </c>
      <c r="X223">
        <v>0</v>
      </c>
      <c r="Y223">
        <v>0</v>
      </c>
      <c r="Z223">
        <v>0</v>
      </c>
      <c r="AA223">
        <v>0</v>
      </c>
      <c r="AB223">
        <v>1</v>
      </c>
      <c r="AC223">
        <v>0</v>
      </c>
      <c r="AD223">
        <v>0</v>
      </c>
      <c r="AE223">
        <v>0</v>
      </c>
      <c r="AF223">
        <v>0</v>
      </c>
      <c r="AG223">
        <v>0</v>
      </c>
      <c r="AH223">
        <v>0</v>
      </c>
      <c r="AI223">
        <v>0</v>
      </c>
      <c r="AJ223">
        <v>0</v>
      </c>
      <c r="AK223">
        <v>0</v>
      </c>
      <c r="AL223">
        <v>0</v>
      </c>
      <c r="AM223">
        <v>0</v>
      </c>
      <c r="AN223">
        <v>0</v>
      </c>
      <c r="AO223">
        <v>1</v>
      </c>
      <c r="AP223">
        <v>1</v>
      </c>
      <c r="AQ223">
        <v>0</v>
      </c>
      <c r="AR223">
        <v>0</v>
      </c>
      <c r="AS223">
        <v>0</v>
      </c>
      <c r="AT223">
        <v>0</v>
      </c>
      <c r="AU223">
        <v>0</v>
      </c>
      <c r="AV223">
        <v>0</v>
      </c>
    </row>
    <row r="224" spans="1:48" ht="15.75" customHeight="1" x14ac:dyDescent="0.25">
      <c r="A224">
        <v>1</v>
      </c>
      <c r="B224">
        <v>2</v>
      </c>
      <c r="C224">
        <v>2</v>
      </c>
      <c r="D224">
        <v>1</v>
      </c>
      <c r="E224">
        <v>2014</v>
      </c>
      <c r="F224">
        <v>2</v>
      </c>
      <c r="G224">
        <v>2</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1</v>
      </c>
      <c r="AH224">
        <v>1</v>
      </c>
      <c r="AI224">
        <v>0</v>
      </c>
      <c r="AJ224">
        <v>0</v>
      </c>
      <c r="AK224">
        <v>0</v>
      </c>
      <c r="AL224">
        <v>0</v>
      </c>
      <c r="AM224">
        <v>0</v>
      </c>
      <c r="AN224">
        <v>0</v>
      </c>
      <c r="AO224">
        <v>0</v>
      </c>
      <c r="AP224">
        <v>0</v>
      </c>
      <c r="AQ224">
        <v>0</v>
      </c>
      <c r="AR224">
        <v>0</v>
      </c>
      <c r="AS224">
        <v>0</v>
      </c>
      <c r="AT224">
        <v>0</v>
      </c>
      <c r="AU224">
        <v>0</v>
      </c>
      <c r="AV224">
        <v>0</v>
      </c>
    </row>
    <row r="225" spans="1:48" ht="15.75" customHeight="1" x14ac:dyDescent="0.25">
      <c r="A225">
        <v>1</v>
      </c>
      <c r="B225">
        <v>2</v>
      </c>
      <c r="C225">
        <v>2</v>
      </c>
      <c r="D225">
        <v>1</v>
      </c>
      <c r="E225">
        <v>2014</v>
      </c>
      <c r="F225">
        <v>3</v>
      </c>
      <c r="G225">
        <v>1</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1</v>
      </c>
      <c r="AD225">
        <v>0</v>
      </c>
      <c r="AE225">
        <v>0</v>
      </c>
      <c r="AF225">
        <v>0</v>
      </c>
      <c r="AG225">
        <v>0</v>
      </c>
      <c r="AH225">
        <v>0</v>
      </c>
      <c r="AI225">
        <v>0</v>
      </c>
      <c r="AJ225">
        <v>0</v>
      </c>
      <c r="AK225">
        <v>0</v>
      </c>
      <c r="AL225">
        <v>0</v>
      </c>
      <c r="AM225">
        <v>0</v>
      </c>
      <c r="AN225">
        <v>0</v>
      </c>
      <c r="AO225">
        <v>0</v>
      </c>
      <c r="AP225">
        <v>0</v>
      </c>
      <c r="AQ225">
        <v>0</v>
      </c>
      <c r="AR225">
        <v>0</v>
      </c>
      <c r="AS225">
        <v>0</v>
      </c>
      <c r="AT225">
        <v>0</v>
      </c>
      <c r="AU225">
        <v>0</v>
      </c>
      <c r="AV225">
        <v>0</v>
      </c>
    </row>
    <row r="226" spans="1:48" ht="15.75" customHeight="1" x14ac:dyDescent="0.25">
      <c r="A226">
        <v>1</v>
      </c>
      <c r="B226">
        <v>2</v>
      </c>
      <c r="C226">
        <v>2</v>
      </c>
      <c r="D226">
        <v>1</v>
      </c>
      <c r="E226">
        <v>2014</v>
      </c>
      <c r="F226">
        <v>4</v>
      </c>
      <c r="G226">
        <v>1</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1</v>
      </c>
      <c r="AH226">
        <v>0</v>
      </c>
      <c r="AI226">
        <v>0</v>
      </c>
      <c r="AJ226">
        <v>0</v>
      </c>
      <c r="AK226">
        <v>0</v>
      </c>
      <c r="AL226">
        <v>0</v>
      </c>
      <c r="AM226">
        <v>0</v>
      </c>
      <c r="AN226">
        <v>0</v>
      </c>
      <c r="AO226">
        <v>0</v>
      </c>
      <c r="AP226">
        <v>0</v>
      </c>
      <c r="AQ226">
        <v>0</v>
      </c>
      <c r="AR226">
        <v>0</v>
      </c>
      <c r="AS226">
        <v>0</v>
      </c>
      <c r="AT226">
        <v>0</v>
      </c>
      <c r="AU226">
        <v>0</v>
      </c>
      <c r="AV226">
        <v>0</v>
      </c>
    </row>
    <row r="227" spans="1:48" ht="15.75" customHeight="1" x14ac:dyDescent="0.25">
      <c r="A227">
        <v>1</v>
      </c>
      <c r="B227">
        <v>2</v>
      </c>
      <c r="C227">
        <v>2</v>
      </c>
      <c r="D227">
        <v>1</v>
      </c>
      <c r="E227">
        <v>2015</v>
      </c>
      <c r="F227">
        <v>1</v>
      </c>
      <c r="G227">
        <v>1</v>
      </c>
      <c r="H227">
        <v>0</v>
      </c>
      <c r="I227">
        <v>0</v>
      </c>
      <c r="J227">
        <v>0</v>
      </c>
      <c r="K227">
        <v>0</v>
      </c>
      <c r="L227">
        <v>0</v>
      </c>
      <c r="M227">
        <v>0</v>
      </c>
      <c r="N227">
        <v>0</v>
      </c>
      <c r="O227">
        <v>0</v>
      </c>
      <c r="P227">
        <v>0</v>
      </c>
      <c r="Q227">
        <v>0</v>
      </c>
      <c r="R227">
        <v>0</v>
      </c>
      <c r="S227">
        <v>0</v>
      </c>
      <c r="T227">
        <v>0</v>
      </c>
      <c r="U227">
        <v>0</v>
      </c>
      <c r="V227">
        <v>0</v>
      </c>
      <c r="W227">
        <v>0</v>
      </c>
      <c r="X227">
        <v>0</v>
      </c>
      <c r="Y227">
        <v>0</v>
      </c>
      <c r="Z227">
        <v>0</v>
      </c>
      <c r="AA227">
        <v>0</v>
      </c>
      <c r="AB227">
        <v>1</v>
      </c>
      <c r="AC227">
        <v>0</v>
      </c>
      <c r="AD227">
        <v>0</v>
      </c>
      <c r="AE227">
        <v>0</v>
      </c>
      <c r="AF227">
        <v>0</v>
      </c>
      <c r="AG227">
        <v>0</v>
      </c>
      <c r="AH227">
        <v>0</v>
      </c>
      <c r="AI227">
        <v>0</v>
      </c>
      <c r="AJ227">
        <v>0</v>
      </c>
      <c r="AK227">
        <v>0</v>
      </c>
      <c r="AL227">
        <v>0</v>
      </c>
      <c r="AM227">
        <v>0</v>
      </c>
      <c r="AN227">
        <v>0</v>
      </c>
      <c r="AO227">
        <v>0</v>
      </c>
      <c r="AP227">
        <v>0</v>
      </c>
      <c r="AQ227">
        <v>0</v>
      </c>
      <c r="AR227">
        <v>0</v>
      </c>
      <c r="AS227">
        <v>0</v>
      </c>
      <c r="AT227">
        <v>0</v>
      </c>
      <c r="AU227">
        <v>0</v>
      </c>
      <c r="AV227">
        <v>0</v>
      </c>
    </row>
    <row r="228" spans="1:48" ht="15.75" customHeight="1" x14ac:dyDescent="0.25">
      <c r="A228">
        <v>1</v>
      </c>
      <c r="B228">
        <v>2</v>
      </c>
      <c r="C228">
        <v>2</v>
      </c>
      <c r="D228">
        <v>1</v>
      </c>
      <c r="E228">
        <v>2015</v>
      </c>
      <c r="F228">
        <v>2</v>
      </c>
      <c r="G228">
        <v>3</v>
      </c>
      <c r="H228">
        <v>0</v>
      </c>
      <c r="I228">
        <v>0</v>
      </c>
      <c r="J228">
        <v>0</v>
      </c>
      <c r="K228">
        <v>0</v>
      </c>
      <c r="L228">
        <v>0</v>
      </c>
      <c r="M228">
        <v>0</v>
      </c>
      <c r="N228">
        <v>0</v>
      </c>
      <c r="O228">
        <v>0</v>
      </c>
      <c r="P228">
        <v>0</v>
      </c>
      <c r="Q228">
        <v>0</v>
      </c>
      <c r="R228">
        <v>0</v>
      </c>
      <c r="S228">
        <v>0</v>
      </c>
      <c r="T228">
        <v>0</v>
      </c>
      <c r="U228">
        <v>0</v>
      </c>
      <c r="V228">
        <v>1</v>
      </c>
      <c r="W228">
        <v>1</v>
      </c>
      <c r="X228">
        <v>0</v>
      </c>
      <c r="Y228">
        <v>0</v>
      </c>
      <c r="Z228">
        <v>0</v>
      </c>
      <c r="AA228">
        <v>0</v>
      </c>
      <c r="AB228">
        <v>0</v>
      </c>
      <c r="AC228">
        <v>0</v>
      </c>
      <c r="AD228">
        <v>0</v>
      </c>
      <c r="AE228">
        <v>0</v>
      </c>
      <c r="AF228">
        <v>0</v>
      </c>
      <c r="AG228">
        <v>0</v>
      </c>
      <c r="AH228">
        <v>0</v>
      </c>
      <c r="AI228">
        <v>0</v>
      </c>
      <c r="AJ228">
        <v>0</v>
      </c>
      <c r="AK228">
        <v>0</v>
      </c>
      <c r="AL228">
        <v>1</v>
      </c>
      <c r="AM228">
        <v>0</v>
      </c>
      <c r="AN228">
        <v>0</v>
      </c>
      <c r="AO228">
        <v>0</v>
      </c>
      <c r="AP228">
        <v>0</v>
      </c>
      <c r="AQ228">
        <v>0</v>
      </c>
      <c r="AR228">
        <v>0</v>
      </c>
      <c r="AS228">
        <v>0</v>
      </c>
      <c r="AT228">
        <v>0</v>
      </c>
      <c r="AU228">
        <v>0</v>
      </c>
      <c r="AV228">
        <v>0</v>
      </c>
    </row>
    <row r="229" spans="1:48" ht="15.75" customHeight="1" x14ac:dyDescent="0.25">
      <c r="A229">
        <v>1</v>
      </c>
      <c r="B229">
        <v>2</v>
      </c>
      <c r="C229">
        <v>2</v>
      </c>
      <c r="D229">
        <v>1</v>
      </c>
      <c r="E229">
        <v>2015</v>
      </c>
      <c r="F229">
        <v>3</v>
      </c>
      <c r="G229">
        <v>9</v>
      </c>
      <c r="H229">
        <v>0</v>
      </c>
      <c r="I229">
        <v>0</v>
      </c>
      <c r="J229">
        <v>0</v>
      </c>
      <c r="K229">
        <v>0</v>
      </c>
      <c r="L229">
        <v>0</v>
      </c>
      <c r="M229">
        <v>0</v>
      </c>
      <c r="N229">
        <v>0</v>
      </c>
      <c r="O229">
        <v>0</v>
      </c>
      <c r="P229">
        <v>0</v>
      </c>
      <c r="Q229">
        <v>0</v>
      </c>
      <c r="R229">
        <v>0</v>
      </c>
      <c r="S229">
        <v>0</v>
      </c>
      <c r="T229">
        <v>0</v>
      </c>
      <c r="U229">
        <v>0</v>
      </c>
      <c r="V229">
        <v>5</v>
      </c>
      <c r="W229">
        <v>1</v>
      </c>
      <c r="X229">
        <v>1</v>
      </c>
      <c r="Y229">
        <v>0</v>
      </c>
      <c r="Z229">
        <v>0</v>
      </c>
      <c r="AA229">
        <v>1</v>
      </c>
      <c r="AB229">
        <v>1</v>
      </c>
      <c r="AC229">
        <v>0</v>
      </c>
      <c r="AD229">
        <v>0</v>
      </c>
      <c r="AE229">
        <v>0</v>
      </c>
      <c r="AF229">
        <v>0</v>
      </c>
      <c r="AG229">
        <v>0</v>
      </c>
      <c r="AH229">
        <v>0</v>
      </c>
      <c r="AI229">
        <v>0</v>
      </c>
      <c r="AJ229">
        <v>0</v>
      </c>
      <c r="AK229">
        <v>0</v>
      </c>
      <c r="AL229">
        <v>0</v>
      </c>
      <c r="AM229">
        <v>0</v>
      </c>
      <c r="AN229">
        <v>0</v>
      </c>
      <c r="AO229">
        <v>0</v>
      </c>
      <c r="AP229">
        <v>0</v>
      </c>
      <c r="AQ229">
        <v>0</v>
      </c>
      <c r="AR229">
        <v>0</v>
      </c>
      <c r="AS229">
        <v>0</v>
      </c>
      <c r="AT229">
        <v>0</v>
      </c>
      <c r="AU229">
        <v>0</v>
      </c>
      <c r="AV229">
        <v>0</v>
      </c>
    </row>
    <row r="230" spans="1:48" ht="15.75" customHeight="1" x14ac:dyDescent="0.25">
      <c r="A230">
        <v>1</v>
      </c>
      <c r="B230">
        <v>2</v>
      </c>
      <c r="C230">
        <v>2</v>
      </c>
      <c r="D230">
        <v>1</v>
      </c>
      <c r="E230">
        <v>2015</v>
      </c>
      <c r="F230">
        <v>4</v>
      </c>
      <c r="G230">
        <v>1</v>
      </c>
      <c r="H230">
        <v>0</v>
      </c>
      <c r="I230">
        <v>0</v>
      </c>
      <c r="J230">
        <v>0</v>
      </c>
      <c r="K230">
        <v>0</v>
      </c>
      <c r="L230">
        <v>0</v>
      </c>
      <c r="M230">
        <v>0</v>
      </c>
      <c r="N230">
        <v>0</v>
      </c>
      <c r="O230">
        <v>0</v>
      </c>
      <c r="P230">
        <v>0</v>
      </c>
      <c r="Q230">
        <v>0</v>
      </c>
      <c r="R230">
        <v>0</v>
      </c>
      <c r="S230">
        <v>0</v>
      </c>
      <c r="T230">
        <v>0</v>
      </c>
      <c r="U230">
        <v>0</v>
      </c>
      <c r="V230">
        <v>0</v>
      </c>
      <c r="W230">
        <v>0</v>
      </c>
      <c r="X230">
        <v>1</v>
      </c>
      <c r="Y230">
        <v>0</v>
      </c>
      <c r="Z230">
        <v>0</v>
      </c>
      <c r="AA230">
        <v>0</v>
      </c>
      <c r="AB230">
        <v>0</v>
      </c>
      <c r="AC230">
        <v>0</v>
      </c>
      <c r="AD230">
        <v>0</v>
      </c>
      <c r="AE230">
        <v>0</v>
      </c>
      <c r="AF230">
        <v>0</v>
      </c>
      <c r="AG230">
        <v>0</v>
      </c>
      <c r="AH230">
        <v>0</v>
      </c>
      <c r="AI230">
        <v>0</v>
      </c>
      <c r="AJ230">
        <v>0</v>
      </c>
      <c r="AK230">
        <v>0</v>
      </c>
      <c r="AL230">
        <v>0</v>
      </c>
      <c r="AM230">
        <v>0</v>
      </c>
      <c r="AN230">
        <v>0</v>
      </c>
      <c r="AO230">
        <v>0</v>
      </c>
      <c r="AP230">
        <v>0</v>
      </c>
      <c r="AQ230">
        <v>0</v>
      </c>
      <c r="AR230">
        <v>0</v>
      </c>
      <c r="AS230">
        <v>0</v>
      </c>
      <c r="AT230">
        <v>0</v>
      </c>
      <c r="AU230">
        <v>0</v>
      </c>
      <c r="AV230">
        <v>0</v>
      </c>
    </row>
    <row r="231" spans="1:48" ht="15.75" customHeight="1" x14ac:dyDescent="0.25">
      <c r="A231">
        <v>1</v>
      </c>
      <c r="B231">
        <v>2</v>
      </c>
      <c r="C231">
        <v>2</v>
      </c>
      <c r="D231">
        <v>1</v>
      </c>
      <c r="E231">
        <v>2015</v>
      </c>
      <c r="F231">
        <v>6</v>
      </c>
      <c r="G231">
        <v>1</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1</v>
      </c>
      <c r="AB231">
        <v>0</v>
      </c>
      <c r="AC231">
        <v>0</v>
      </c>
      <c r="AD231">
        <v>0</v>
      </c>
      <c r="AE231">
        <v>0</v>
      </c>
      <c r="AF231">
        <v>0</v>
      </c>
      <c r="AG231">
        <v>0</v>
      </c>
      <c r="AH231">
        <v>0</v>
      </c>
      <c r="AI231">
        <v>0</v>
      </c>
      <c r="AJ231">
        <v>0</v>
      </c>
      <c r="AK231">
        <v>0</v>
      </c>
      <c r="AL231">
        <v>0</v>
      </c>
      <c r="AM231">
        <v>0</v>
      </c>
      <c r="AN231">
        <v>0</v>
      </c>
      <c r="AO231">
        <v>0</v>
      </c>
      <c r="AP231">
        <v>0</v>
      </c>
      <c r="AQ231">
        <v>0</v>
      </c>
      <c r="AR231">
        <v>0</v>
      </c>
      <c r="AS231">
        <v>0</v>
      </c>
      <c r="AT231">
        <v>0</v>
      </c>
      <c r="AU231">
        <v>0</v>
      </c>
      <c r="AV231">
        <v>0</v>
      </c>
    </row>
    <row r="232" spans="1:48" ht="15.75" customHeight="1" x14ac:dyDescent="0.25">
      <c r="A232">
        <v>1</v>
      </c>
      <c r="B232">
        <v>2</v>
      </c>
      <c r="C232">
        <v>2</v>
      </c>
      <c r="D232">
        <v>1</v>
      </c>
      <c r="E232">
        <v>2016</v>
      </c>
      <c r="F232">
        <v>1</v>
      </c>
      <c r="G232">
        <v>13</v>
      </c>
      <c r="H232">
        <v>0</v>
      </c>
      <c r="I232">
        <v>0</v>
      </c>
      <c r="J232">
        <v>0</v>
      </c>
      <c r="K232">
        <v>0</v>
      </c>
      <c r="L232">
        <v>0</v>
      </c>
      <c r="M232">
        <v>0</v>
      </c>
      <c r="N232">
        <v>0</v>
      </c>
      <c r="O232">
        <v>0</v>
      </c>
      <c r="P232">
        <v>0</v>
      </c>
      <c r="Q232">
        <v>0</v>
      </c>
      <c r="R232">
        <v>0</v>
      </c>
      <c r="S232">
        <v>0</v>
      </c>
      <c r="T232">
        <v>0</v>
      </c>
      <c r="U232">
        <v>1</v>
      </c>
      <c r="V232">
        <v>0</v>
      </c>
      <c r="W232">
        <v>0</v>
      </c>
      <c r="X232">
        <v>0</v>
      </c>
      <c r="Y232">
        <v>1</v>
      </c>
      <c r="Z232">
        <v>3</v>
      </c>
      <c r="AA232">
        <v>2</v>
      </c>
      <c r="AB232">
        <v>2</v>
      </c>
      <c r="AC232">
        <v>1</v>
      </c>
      <c r="AD232">
        <v>1</v>
      </c>
      <c r="AE232">
        <v>0</v>
      </c>
      <c r="AF232">
        <v>0</v>
      </c>
      <c r="AG232">
        <v>0</v>
      </c>
      <c r="AH232">
        <v>0</v>
      </c>
      <c r="AI232">
        <v>0</v>
      </c>
      <c r="AJ232">
        <v>0</v>
      </c>
      <c r="AK232">
        <v>1</v>
      </c>
      <c r="AL232">
        <v>1</v>
      </c>
      <c r="AM232">
        <v>0</v>
      </c>
      <c r="AN232">
        <v>0</v>
      </c>
      <c r="AO232">
        <v>0</v>
      </c>
      <c r="AP232">
        <v>0</v>
      </c>
      <c r="AQ232">
        <v>0</v>
      </c>
      <c r="AR232">
        <v>0</v>
      </c>
      <c r="AS232">
        <v>0</v>
      </c>
      <c r="AT232">
        <v>0</v>
      </c>
      <c r="AU232">
        <v>0</v>
      </c>
      <c r="AV232">
        <v>0</v>
      </c>
    </row>
    <row r="233" spans="1:48" ht="15.75" customHeight="1" x14ac:dyDescent="0.25">
      <c r="A233">
        <v>1</v>
      </c>
      <c r="B233">
        <v>2</v>
      </c>
      <c r="C233">
        <v>2</v>
      </c>
      <c r="D233">
        <v>1</v>
      </c>
      <c r="E233">
        <v>2016</v>
      </c>
      <c r="F233">
        <v>2</v>
      </c>
      <c r="G233">
        <v>5</v>
      </c>
      <c r="H233">
        <v>0</v>
      </c>
      <c r="I233">
        <v>0</v>
      </c>
      <c r="J233">
        <v>0</v>
      </c>
      <c r="K233">
        <v>0</v>
      </c>
      <c r="L233">
        <v>0</v>
      </c>
      <c r="M233">
        <v>0</v>
      </c>
      <c r="N233">
        <v>0</v>
      </c>
      <c r="O233">
        <v>0</v>
      </c>
      <c r="P233">
        <v>0</v>
      </c>
      <c r="Q233">
        <v>0</v>
      </c>
      <c r="R233">
        <v>0</v>
      </c>
      <c r="S233">
        <v>0</v>
      </c>
      <c r="T233">
        <v>0</v>
      </c>
      <c r="U233">
        <v>0</v>
      </c>
      <c r="V233">
        <v>0</v>
      </c>
      <c r="W233">
        <v>0</v>
      </c>
      <c r="X233">
        <v>0</v>
      </c>
      <c r="Y233">
        <v>1</v>
      </c>
      <c r="Z233">
        <v>0</v>
      </c>
      <c r="AA233">
        <v>0</v>
      </c>
      <c r="AB233">
        <v>0</v>
      </c>
      <c r="AC233">
        <v>1</v>
      </c>
      <c r="AD233">
        <v>0</v>
      </c>
      <c r="AE233">
        <v>1</v>
      </c>
      <c r="AF233">
        <v>0</v>
      </c>
      <c r="AG233">
        <v>0</v>
      </c>
      <c r="AH233">
        <v>0</v>
      </c>
      <c r="AI233">
        <v>2</v>
      </c>
      <c r="AJ233">
        <v>0</v>
      </c>
      <c r="AK233">
        <v>0</v>
      </c>
      <c r="AL233">
        <v>0</v>
      </c>
      <c r="AM233">
        <v>0</v>
      </c>
      <c r="AN233">
        <v>0</v>
      </c>
      <c r="AO233">
        <v>0</v>
      </c>
      <c r="AP233">
        <v>0</v>
      </c>
      <c r="AQ233">
        <v>0</v>
      </c>
      <c r="AR233">
        <v>0</v>
      </c>
      <c r="AS233">
        <v>0</v>
      </c>
      <c r="AT233">
        <v>0</v>
      </c>
      <c r="AU233">
        <v>0</v>
      </c>
      <c r="AV233">
        <v>0</v>
      </c>
    </row>
    <row r="234" spans="1:48" ht="15.75" customHeight="1" x14ac:dyDescent="0.25">
      <c r="A234">
        <v>1</v>
      </c>
      <c r="B234">
        <v>2</v>
      </c>
      <c r="C234">
        <v>2</v>
      </c>
      <c r="D234">
        <v>1</v>
      </c>
      <c r="E234">
        <v>2016</v>
      </c>
      <c r="F234">
        <v>3</v>
      </c>
      <c r="G234">
        <v>12</v>
      </c>
      <c r="H234">
        <v>0</v>
      </c>
      <c r="I234">
        <v>0</v>
      </c>
      <c r="J234">
        <v>0</v>
      </c>
      <c r="K234">
        <v>0</v>
      </c>
      <c r="L234">
        <v>0</v>
      </c>
      <c r="M234">
        <v>0</v>
      </c>
      <c r="N234">
        <v>0</v>
      </c>
      <c r="O234">
        <v>0</v>
      </c>
      <c r="P234">
        <v>0</v>
      </c>
      <c r="Q234">
        <v>0</v>
      </c>
      <c r="R234">
        <v>0</v>
      </c>
      <c r="S234">
        <v>0</v>
      </c>
      <c r="T234">
        <v>0</v>
      </c>
      <c r="U234">
        <v>0</v>
      </c>
      <c r="V234">
        <v>0</v>
      </c>
      <c r="W234">
        <v>1</v>
      </c>
      <c r="X234">
        <v>1</v>
      </c>
      <c r="Y234">
        <v>0</v>
      </c>
      <c r="Z234">
        <v>1</v>
      </c>
      <c r="AA234">
        <v>2</v>
      </c>
      <c r="AB234">
        <v>1</v>
      </c>
      <c r="AC234">
        <v>3</v>
      </c>
      <c r="AD234">
        <v>0</v>
      </c>
      <c r="AE234">
        <v>0</v>
      </c>
      <c r="AF234">
        <v>1</v>
      </c>
      <c r="AG234">
        <v>1</v>
      </c>
      <c r="AH234">
        <v>0</v>
      </c>
      <c r="AI234">
        <v>0</v>
      </c>
      <c r="AJ234">
        <v>0</v>
      </c>
      <c r="AK234">
        <v>0</v>
      </c>
      <c r="AL234">
        <v>1</v>
      </c>
      <c r="AM234">
        <v>0</v>
      </c>
      <c r="AN234">
        <v>0</v>
      </c>
      <c r="AO234">
        <v>0</v>
      </c>
      <c r="AP234">
        <v>0</v>
      </c>
      <c r="AQ234">
        <v>0</v>
      </c>
      <c r="AR234">
        <v>0</v>
      </c>
      <c r="AS234">
        <v>0</v>
      </c>
      <c r="AT234">
        <v>0</v>
      </c>
      <c r="AU234">
        <v>0</v>
      </c>
      <c r="AV234">
        <v>0</v>
      </c>
    </row>
    <row r="235" spans="1:48" ht="15.75" customHeight="1" x14ac:dyDescent="0.25">
      <c r="A235">
        <v>1</v>
      </c>
      <c r="B235">
        <v>2</v>
      </c>
      <c r="C235">
        <v>2</v>
      </c>
      <c r="D235">
        <v>1</v>
      </c>
      <c r="E235">
        <v>2016</v>
      </c>
      <c r="F235">
        <v>4</v>
      </c>
      <c r="G235">
        <v>12</v>
      </c>
      <c r="H235">
        <v>0</v>
      </c>
      <c r="I235">
        <v>0</v>
      </c>
      <c r="J235">
        <v>0</v>
      </c>
      <c r="K235">
        <v>0</v>
      </c>
      <c r="L235">
        <v>0</v>
      </c>
      <c r="M235">
        <v>0</v>
      </c>
      <c r="N235">
        <v>0</v>
      </c>
      <c r="O235">
        <v>0</v>
      </c>
      <c r="P235">
        <v>0</v>
      </c>
      <c r="Q235">
        <v>0</v>
      </c>
      <c r="R235">
        <v>0</v>
      </c>
      <c r="S235">
        <v>0</v>
      </c>
      <c r="T235">
        <v>0</v>
      </c>
      <c r="U235">
        <v>0</v>
      </c>
      <c r="V235">
        <v>1</v>
      </c>
      <c r="W235">
        <v>1</v>
      </c>
      <c r="X235">
        <v>1</v>
      </c>
      <c r="Y235">
        <v>2</v>
      </c>
      <c r="Z235">
        <v>0</v>
      </c>
      <c r="AA235">
        <v>1</v>
      </c>
      <c r="AB235">
        <v>0</v>
      </c>
      <c r="AC235">
        <v>2</v>
      </c>
      <c r="AD235">
        <v>0</v>
      </c>
      <c r="AE235">
        <v>2</v>
      </c>
      <c r="AF235">
        <v>0</v>
      </c>
      <c r="AG235">
        <v>0</v>
      </c>
      <c r="AH235">
        <v>1</v>
      </c>
      <c r="AI235">
        <v>0</v>
      </c>
      <c r="AJ235">
        <v>0</v>
      </c>
      <c r="AK235">
        <v>0</v>
      </c>
      <c r="AL235">
        <v>1</v>
      </c>
      <c r="AM235">
        <v>0</v>
      </c>
      <c r="AN235">
        <v>0</v>
      </c>
      <c r="AO235">
        <v>0</v>
      </c>
      <c r="AP235">
        <v>0</v>
      </c>
      <c r="AQ235">
        <v>0</v>
      </c>
      <c r="AR235">
        <v>0</v>
      </c>
      <c r="AS235">
        <v>0</v>
      </c>
      <c r="AT235">
        <v>0</v>
      </c>
      <c r="AU235">
        <v>0</v>
      </c>
      <c r="AV235">
        <v>0</v>
      </c>
    </row>
    <row r="236" spans="1:48" ht="15.75" customHeight="1" x14ac:dyDescent="0.25">
      <c r="A236">
        <v>1</v>
      </c>
      <c r="B236">
        <v>2</v>
      </c>
      <c r="C236">
        <v>2</v>
      </c>
      <c r="D236">
        <v>1</v>
      </c>
      <c r="E236">
        <v>2016</v>
      </c>
      <c r="F236">
        <v>5</v>
      </c>
      <c r="G236">
        <v>6</v>
      </c>
      <c r="H236">
        <v>0</v>
      </c>
      <c r="I236">
        <v>0</v>
      </c>
      <c r="J236">
        <v>0</v>
      </c>
      <c r="K236">
        <v>0</v>
      </c>
      <c r="L236">
        <v>0</v>
      </c>
      <c r="M236">
        <v>0</v>
      </c>
      <c r="N236">
        <v>0</v>
      </c>
      <c r="O236">
        <v>0</v>
      </c>
      <c r="P236">
        <v>0</v>
      </c>
      <c r="Q236">
        <v>0</v>
      </c>
      <c r="R236">
        <v>0</v>
      </c>
      <c r="S236">
        <v>0</v>
      </c>
      <c r="T236">
        <v>1</v>
      </c>
      <c r="U236">
        <v>0</v>
      </c>
      <c r="V236">
        <v>1</v>
      </c>
      <c r="W236">
        <v>0</v>
      </c>
      <c r="X236">
        <v>1</v>
      </c>
      <c r="Y236">
        <v>0</v>
      </c>
      <c r="Z236">
        <v>0</v>
      </c>
      <c r="AA236">
        <v>0</v>
      </c>
      <c r="AB236">
        <v>0</v>
      </c>
      <c r="AC236">
        <v>1</v>
      </c>
      <c r="AD236">
        <v>0</v>
      </c>
      <c r="AE236">
        <v>0</v>
      </c>
      <c r="AF236">
        <v>1</v>
      </c>
      <c r="AG236">
        <v>0</v>
      </c>
      <c r="AH236">
        <v>0</v>
      </c>
      <c r="AI236">
        <v>0</v>
      </c>
      <c r="AJ236">
        <v>0</v>
      </c>
      <c r="AK236">
        <v>1</v>
      </c>
      <c r="AL236">
        <v>0</v>
      </c>
      <c r="AM236">
        <v>0</v>
      </c>
      <c r="AN236">
        <v>0</v>
      </c>
      <c r="AO236">
        <v>0</v>
      </c>
      <c r="AP236">
        <v>0</v>
      </c>
      <c r="AQ236">
        <v>0</v>
      </c>
      <c r="AR236">
        <v>0</v>
      </c>
      <c r="AS236">
        <v>0</v>
      </c>
      <c r="AT236">
        <v>0</v>
      </c>
      <c r="AU236">
        <v>0</v>
      </c>
      <c r="AV236">
        <v>0</v>
      </c>
    </row>
    <row r="237" spans="1:48" ht="15.75" customHeight="1" x14ac:dyDescent="0.25">
      <c r="A237">
        <v>1</v>
      </c>
      <c r="B237">
        <v>2</v>
      </c>
      <c r="C237">
        <v>2</v>
      </c>
      <c r="D237">
        <v>1</v>
      </c>
      <c r="E237">
        <v>2016</v>
      </c>
      <c r="F237">
        <v>6</v>
      </c>
      <c r="G237">
        <v>2</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1</v>
      </c>
      <c r="AC237">
        <v>0</v>
      </c>
      <c r="AD237">
        <v>1</v>
      </c>
      <c r="AE237">
        <v>0</v>
      </c>
      <c r="AF237">
        <v>0</v>
      </c>
      <c r="AG237">
        <v>0</v>
      </c>
      <c r="AH237">
        <v>0</v>
      </c>
      <c r="AI237">
        <v>0</v>
      </c>
      <c r="AJ237">
        <v>0</v>
      </c>
      <c r="AK237">
        <v>0</v>
      </c>
      <c r="AL237">
        <v>0</v>
      </c>
      <c r="AM237">
        <v>0</v>
      </c>
      <c r="AN237">
        <v>0</v>
      </c>
      <c r="AO237">
        <v>0</v>
      </c>
      <c r="AP237">
        <v>0</v>
      </c>
      <c r="AQ237">
        <v>0</v>
      </c>
      <c r="AR237">
        <v>0</v>
      </c>
      <c r="AS237">
        <v>0</v>
      </c>
      <c r="AT237">
        <v>0</v>
      </c>
      <c r="AU237">
        <v>0</v>
      </c>
      <c r="AV237">
        <v>0</v>
      </c>
    </row>
    <row r="238" spans="1:48" ht="15.75" customHeight="1" x14ac:dyDescent="0.25">
      <c r="A238">
        <v>1</v>
      </c>
      <c r="B238">
        <v>2</v>
      </c>
      <c r="C238">
        <v>2</v>
      </c>
      <c r="D238">
        <v>1</v>
      </c>
      <c r="E238">
        <v>2017</v>
      </c>
      <c r="F238">
        <v>1</v>
      </c>
      <c r="G238">
        <v>11</v>
      </c>
      <c r="H238">
        <v>0</v>
      </c>
      <c r="I238">
        <v>0</v>
      </c>
      <c r="J238">
        <v>0</v>
      </c>
      <c r="K238">
        <v>0</v>
      </c>
      <c r="L238">
        <v>0</v>
      </c>
      <c r="M238">
        <v>0</v>
      </c>
      <c r="N238">
        <v>0</v>
      </c>
      <c r="O238">
        <v>0</v>
      </c>
      <c r="P238">
        <v>0</v>
      </c>
      <c r="Q238">
        <v>0</v>
      </c>
      <c r="R238">
        <v>0</v>
      </c>
      <c r="S238">
        <v>0</v>
      </c>
      <c r="T238">
        <v>0</v>
      </c>
      <c r="U238">
        <v>0</v>
      </c>
      <c r="V238">
        <v>2</v>
      </c>
      <c r="W238">
        <v>0</v>
      </c>
      <c r="X238">
        <v>3</v>
      </c>
      <c r="Y238">
        <v>1</v>
      </c>
      <c r="Z238">
        <v>0</v>
      </c>
      <c r="AA238">
        <v>0</v>
      </c>
      <c r="AB238">
        <v>2</v>
      </c>
      <c r="AC238">
        <v>1</v>
      </c>
      <c r="AD238">
        <v>2</v>
      </c>
      <c r="AE238">
        <v>0</v>
      </c>
      <c r="AF238">
        <v>0</v>
      </c>
      <c r="AG238">
        <v>0</v>
      </c>
      <c r="AH238">
        <v>0</v>
      </c>
      <c r="AI238">
        <v>0</v>
      </c>
      <c r="AJ238">
        <v>0</v>
      </c>
      <c r="AK238">
        <v>0</v>
      </c>
      <c r="AL238">
        <v>0</v>
      </c>
      <c r="AM238">
        <v>0</v>
      </c>
      <c r="AN238">
        <v>0</v>
      </c>
      <c r="AO238">
        <v>0</v>
      </c>
      <c r="AP238">
        <v>0</v>
      </c>
      <c r="AQ238">
        <v>0</v>
      </c>
      <c r="AR238">
        <v>0</v>
      </c>
      <c r="AS238">
        <v>0</v>
      </c>
      <c r="AT238">
        <v>0</v>
      </c>
      <c r="AU238">
        <v>0</v>
      </c>
      <c r="AV238">
        <v>0</v>
      </c>
    </row>
    <row r="239" spans="1:48" ht="15.75" customHeight="1" x14ac:dyDescent="0.25">
      <c r="A239">
        <v>1</v>
      </c>
      <c r="B239">
        <v>2</v>
      </c>
      <c r="C239">
        <v>2</v>
      </c>
      <c r="D239">
        <v>1</v>
      </c>
      <c r="E239">
        <v>2017</v>
      </c>
      <c r="F239">
        <v>2</v>
      </c>
      <c r="G239">
        <v>13</v>
      </c>
      <c r="H239">
        <v>0</v>
      </c>
      <c r="I239">
        <v>0</v>
      </c>
      <c r="J239">
        <v>0</v>
      </c>
      <c r="K239">
        <v>0</v>
      </c>
      <c r="L239">
        <v>0</v>
      </c>
      <c r="M239">
        <v>0</v>
      </c>
      <c r="N239">
        <v>0</v>
      </c>
      <c r="O239">
        <v>0</v>
      </c>
      <c r="P239">
        <v>0</v>
      </c>
      <c r="Q239">
        <v>0</v>
      </c>
      <c r="R239">
        <v>0</v>
      </c>
      <c r="S239">
        <v>0</v>
      </c>
      <c r="T239">
        <v>0</v>
      </c>
      <c r="U239">
        <v>0</v>
      </c>
      <c r="V239">
        <v>0</v>
      </c>
      <c r="W239">
        <v>0</v>
      </c>
      <c r="X239">
        <v>0</v>
      </c>
      <c r="Y239">
        <v>2</v>
      </c>
      <c r="Z239">
        <v>1</v>
      </c>
      <c r="AA239">
        <v>0</v>
      </c>
      <c r="AB239">
        <v>1</v>
      </c>
      <c r="AC239">
        <v>0</v>
      </c>
      <c r="AD239">
        <v>0</v>
      </c>
      <c r="AE239">
        <v>1</v>
      </c>
      <c r="AF239">
        <v>1</v>
      </c>
      <c r="AG239">
        <v>1</v>
      </c>
      <c r="AH239">
        <v>0</v>
      </c>
      <c r="AI239">
        <v>0</v>
      </c>
      <c r="AJ239">
        <v>0</v>
      </c>
      <c r="AK239">
        <v>1</v>
      </c>
      <c r="AL239">
        <v>1</v>
      </c>
      <c r="AM239">
        <v>2</v>
      </c>
      <c r="AN239">
        <v>1</v>
      </c>
      <c r="AO239">
        <v>1</v>
      </c>
      <c r="AP239">
        <v>0</v>
      </c>
      <c r="AQ239">
        <v>0</v>
      </c>
      <c r="AR239">
        <v>0</v>
      </c>
      <c r="AS239">
        <v>0</v>
      </c>
      <c r="AT239">
        <v>0</v>
      </c>
      <c r="AU239">
        <v>0</v>
      </c>
      <c r="AV239">
        <v>0</v>
      </c>
    </row>
    <row r="240" spans="1:48" ht="15.75" customHeight="1" x14ac:dyDescent="0.25">
      <c r="A240">
        <v>1</v>
      </c>
      <c r="B240">
        <v>2</v>
      </c>
      <c r="C240">
        <v>2</v>
      </c>
      <c r="D240">
        <v>1</v>
      </c>
      <c r="E240">
        <v>2017</v>
      </c>
      <c r="F240">
        <v>3</v>
      </c>
      <c r="G240">
        <v>24</v>
      </c>
      <c r="H240">
        <v>0</v>
      </c>
      <c r="I240">
        <v>0</v>
      </c>
      <c r="J240">
        <v>0</v>
      </c>
      <c r="K240">
        <v>0</v>
      </c>
      <c r="L240">
        <v>0</v>
      </c>
      <c r="M240">
        <v>0</v>
      </c>
      <c r="N240">
        <v>0</v>
      </c>
      <c r="O240">
        <v>0</v>
      </c>
      <c r="P240">
        <v>0</v>
      </c>
      <c r="Q240">
        <v>0</v>
      </c>
      <c r="R240">
        <v>0</v>
      </c>
      <c r="S240">
        <v>0</v>
      </c>
      <c r="T240">
        <v>0</v>
      </c>
      <c r="U240">
        <v>0</v>
      </c>
      <c r="V240">
        <v>0</v>
      </c>
      <c r="W240">
        <v>1</v>
      </c>
      <c r="X240">
        <v>0</v>
      </c>
      <c r="Y240">
        <v>0</v>
      </c>
      <c r="Z240">
        <v>2</v>
      </c>
      <c r="AA240">
        <v>3</v>
      </c>
      <c r="AB240">
        <v>0</v>
      </c>
      <c r="AC240">
        <v>0</v>
      </c>
      <c r="AD240">
        <v>1</v>
      </c>
      <c r="AE240">
        <v>0</v>
      </c>
      <c r="AF240">
        <v>1</v>
      </c>
      <c r="AG240">
        <v>1</v>
      </c>
      <c r="AH240">
        <v>4</v>
      </c>
      <c r="AI240">
        <v>2</v>
      </c>
      <c r="AJ240">
        <v>1</v>
      </c>
      <c r="AK240">
        <v>0</v>
      </c>
      <c r="AL240">
        <v>4</v>
      </c>
      <c r="AM240">
        <v>1</v>
      </c>
      <c r="AN240">
        <v>1</v>
      </c>
      <c r="AO240">
        <v>1</v>
      </c>
      <c r="AP240">
        <v>1</v>
      </c>
      <c r="AQ240">
        <v>0</v>
      </c>
      <c r="AR240">
        <v>0</v>
      </c>
      <c r="AS240">
        <v>0</v>
      </c>
      <c r="AT240">
        <v>0</v>
      </c>
      <c r="AU240">
        <v>0</v>
      </c>
      <c r="AV240">
        <v>0</v>
      </c>
    </row>
    <row r="241" spans="1:48" ht="15.75" customHeight="1" x14ac:dyDescent="0.25">
      <c r="A241">
        <v>1</v>
      </c>
      <c r="B241">
        <v>2</v>
      </c>
      <c r="C241">
        <v>2</v>
      </c>
      <c r="D241">
        <v>1</v>
      </c>
      <c r="E241">
        <v>2017</v>
      </c>
      <c r="F241">
        <v>4</v>
      </c>
      <c r="G241">
        <v>12</v>
      </c>
      <c r="H241">
        <v>0</v>
      </c>
      <c r="I241">
        <v>0</v>
      </c>
      <c r="J241">
        <v>0</v>
      </c>
      <c r="K241">
        <v>0</v>
      </c>
      <c r="L241">
        <v>0</v>
      </c>
      <c r="M241">
        <v>0</v>
      </c>
      <c r="N241">
        <v>0</v>
      </c>
      <c r="O241">
        <v>0</v>
      </c>
      <c r="P241">
        <v>0</v>
      </c>
      <c r="Q241">
        <v>0</v>
      </c>
      <c r="R241">
        <v>0</v>
      </c>
      <c r="S241">
        <v>0</v>
      </c>
      <c r="T241">
        <v>0</v>
      </c>
      <c r="U241">
        <v>1</v>
      </c>
      <c r="V241">
        <v>1</v>
      </c>
      <c r="W241">
        <v>0</v>
      </c>
      <c r="X241">
        <v>1</v>
      </c>
      <c r="Y241">
        <v>0</v>
      </c>
      <c r="Z241">
        <v>0</v>
      </c>
      <c r="AA241">
        <v>0</v>
      </c>
      <c r="AB241">
        <v>2</v>
      </c>
      <c r="AC241">
        <v>0</v>
      </c>
      <c r="AD241">
        <v>1</v>
      </c>
      <c r="AE241">
        <v>0</v>
      </c>
      <c r="AF241">
        <v>1</v>
      </c>
      <c r="AG241">
        <v>1</v>
      </c>
      <c r="AH241">
        <v>0</v>
      </c>
      <c r="AI241">
        <v>2</v>
      </c>
      <c r="AJ241">
        <v>0</v>
      </c>
      <c r="AK241">
        <v>0</v>
      </c>
      <c r="AL241">
        <v>1</v>
      </c>
      <c r="AM241">
        <v>1</v>
      </c>
      <c r="AN241">
        <v>0</v>
      </c>
      <c r="AO241">
        <v>0</v>
      </c>
      <c r="AP241">
        <v>0</v>
      </c>
      <c r="AQ241">
        <v>0</v>
      </c>
      <c r="AR241">
        <v>0</v>
      </c>
      <c r="AS241">
        <v>0</v>
      </c>
      <c r="AT241">
        <v>0</v>
      </c>
      <c r="AU241">
        <v>0</v>
      </c>
      <c r="AV241">
        <v>0</v>
      </c>
    </row>
    <row r="242" spans="1:48" ht="15.75" customHeight="1" x14ac:dyDescent="0.25">
      <c r="A242">
        <v>1</v>
      </c>
      <c r="B242">
        <v>2</v>
      </c>
      <c r="C242">
        <v>2</v>
      </c>
      <c r="D242">
        <v>1</v>
      </c>
      <c r="E242">
        <v>2017</v>
      </c>
      <c r="F242">
        <v>5</v>
      </c>
      <c r="G242">
        <v>5</v>
      </c>
      <c r="H242">
        <v>0</v>
      </c>
      <c r="I242">
        <v>0</v>
      </c>
      <c r="J242">
        <v>0</v>
      </c>
      <c r="K242">
        <v>0</v>
      </c>
      <c r="L242">
        <v>0</v>
      </c>
      <c r="M242">
        <v>0</v>
      </c>
      <c r="N242">
        <v>0</v>
      </c>
      <c r="O242">
        <v>0</v>
      </c>
      <c r="P242">
        <v>0</v>
      </c>
      <c r="Q242">
        <v>0</v>
      </c>
      <c r="R242">
        <v>0</v>
      </c>
      <c r="S242">
        <v>0</v>
      </c>
      <c r="T242">
        <v>0</v>
      </c>
      <c r="U242">
        <v>0</v>
      </c>
      <c r="V242">
        <v>2</v>
      </c>
      <c r="W242">
        <v>1</v>
      </c>
      <c r="X242">
        <v>0</v>
      </c>
      <c r="Y242">
        <v>0</v>
      </c>
      <c r="Z242">
        <v>0</v>
      </c>
      <c r="AA242">
        <v>1</v>
      </c>
      <c r="AB242">
        <v>0</v>
      </c>
      <c r="AC242">
        <v>0</v>
      </c>
      <c r="AD242">
        <v>0</v>
      </c>
      <c r="AE242">
        <v>0</v>
      </c>
      <c r="AF242">
        <v>0</v>
      </c>
      <c r="AG242">
        <v>0</v>
      </c>
      <c r="AH242">
        <v>0</v>
      </c>
      <c r="AI242">
        <v>1</v>
      </c>
      <c r="AJ242">
        <v>0</v>
      </c>
      <c r="AK242">
        <v>0</v>
      </c>
      <c r="AL242">
        <v>0</v>
      </c>
      <c r="AM242">
        <v>0</v>
      </c>
      <c r="AN242">
        <v>0</v>
      </c>
      <c r="AO242">
        <v>0</v>
      </c>
      <c r="AP242">
        <v>0</v>
      </c>
      <c r="AQ242">
        <v>0</v>
      </c>
      <c r="AR242">
        <v>0</v>
      </c>
      <c r="AS242">
        <v>0</v>
      </c>
      <c r="AT242">
        <v>0</v>
      </c>
      <c r="AU242">
        <v>0</v>
      </c>
      <c r="AV242">
        <v>0</v>
      </c>
    </row>
    <row r="243" spans="1:48" ht="15.75" customHeight="1" x14ac:dyDescent="0.25">
      <c r="A243">
        <v>1</v>
      </c>
      <c r="B243">
        <v>2</v>
      </c>
      <c r="C243">
        <v>2</v>
      </c>
      <c r="D243">
        <v>1</v>
      </c>
      <c r="E243">
        <v>2018</v>
      </c>
      <c r="F243">
        <v>1</v>
      </c>
      <c r="G243">
        <v>25</v>
      </c>
      <c r="H243">
        <v>0</v>
      </c>
      <c r="I243">
        <v>0</v>
      </c>
      <c r="J243">
        <v>0</v>
      </c>
      <c r="K243">
        <v>0</v>
      </c>
      <c r="L243">
        <v>0</v>
      </c>
      <c r="M243">
        <v>0</v>
      </c>
      <c r="N243">
        <v>0</v>
      </c>
      <c r="O243">
        <v>0</v>
      </c>
      <c r="P243">
        <v>0</v>
      </c>
      <c r="Q243">
        <v>0</v>
      </c>
      <c r="R243">
        <v>0</v>
      </c>
      <c r="S243">
        <v>0</v>
      </c>
      <c r="T243">
        <v>0</v>
      </c>
      <c r="U243">
        <v>4</v>
      </c>
      <c r="V243">
        <v>2</v>
      </c>
      <c r="W243">
        <v>4</v>
      </c>
      <c r="X243">
        <v>1</v>
      </c>
      <c r="Y243">
        <v>0</v>
      </c>
      <c r="Z243">
        <v>2</v>
      </c>
      <c r="AA243">
        <v>1</v>
      </c>
      <c r="AB243">
        <v>1</v>
      </c>
      <c r="AC243">
        <v>1</v>
      </c>
      <c r="AD243">
        <v>0</v>
      </c>
      <c r="AE243">
        <v>1</v>
      </c>
      <c r="AF243">
        <v>2</v>
      </c>
      <c r="AG243">
        <v>0</v>
      </c>
      <c r="AH243">
        <v>2</v>
      </c>
      <c r="AI243">
        <v>0</v>
      </c>
      <c r="AJ243">
        <v>2</v>
      </c>
      <c r="AK243">
        <v>0</v>
      </c>
      <c r="AL243">
        <v>1</v>
      </c>
      <c r="AM243">
        <v>0</v>
      </c>
      <c r="AN243">
        <v>0</v>
      </c>
      <c r="AO243">
        <v>0</v>
      </c>
      <c r="AP243">
        <v>0</v>
      </c>
      <c r="AQ243">
        <v>1</v>
      </c>
      <c r="AR243">
        <v>0</v>
      </c>
      <c r="AS243">
        <v>0</v>
      </c>
      <c r="AT243">
        <v>0</v>
      </c>
      <c r="AU243">
        <v>0</v>
      </c>
      <c r="AV243">
        <v>0</v>
      </c>
    </row>
    <row r="244" spans="1:48" ht="15.75" customHeight="1" x14ac:dyDescent="0.25">
      <c r="A244">
        <v>1</v>
      </c>
      <c r="B244">
        <v>2</v>
      </c>
      <c r="C244">
        <v>2</v>
      </c>
      <c r="D244">
        <v>1</v>
      </c>
      <c r="E244">
        <v>2018</v>
      </c>
      <c r="F244">
        <v>2</v>
      </c>
      <c r="G244">
        <v>21</v>
      </c>
      <c r="H244">
        <v>0</v>
      </c>
      <c r="I244">
        <v>0</v>
      </c>
      <c r="J244">
        <v>0</v>
      </c>
      <c r="K244">
        <v>0</v>
      </c>
      <c r="L244">
        <v>0</v>
      </c>
      <c r="M244">
        <v>0</v>
      </c>
      <c r="N244">
        <v>0</v>
      </c>
      <c r="O244">
        <v>0</v>
      </c>
      <c r="P244">
        <v>0</v>
      </c>
      <c r="Q244">
        <v>0</v>
      </c>
      <c r="R244">
        <v>0</v>
      </c>
      <c r="S244">
        <v>0</v>
      </c>
      <c r="T244">
        <v>0</v>
      </c>
      <c r="U244">
        <v>0</v>
      </c>
      <c r="V244">
        <v>2</v>
      </c>
      <c r="W244">
        <v>0</v>
      </c>
      <c r="X244">
        <v>0</v>
      </c>
      <c r="Y244">
        <v>1</v>
      </c>
      <c r="Z244">
        <v>2</v>
      </c>
      <c r="AA244">
        <v>0</v>
      </c>
      <c r="AB244">
        <v>0</v>
      </c>
      <c r="AC244">
        <v>1</v>
      </c>
      <c r="AD244">
        <v>1</v>
      </c>
      <c r="AE244">
        <v>0</v>
      </c>
      <c r="AF244">
        <v>1</v>
      </c>
      <c r="AG244">
        <v>0</v>
      </c>
      <c r="AH244">
        <v>0</v>
      </c>
      <c r="AI244">
        <v>1</v>
      </c>
      <c r="AJ244">
        <v>2</v>
      </c>
      <c r="AK244">
        <v>4</v>
      </c>
      <c r="AL244">
        <v>1</v>
      </c>
      <c r="AM244">
        <v>1</v>
      </c>
      <c r="AN244">
        <v>0</v>
      </c>
      <c r="AO244">
        <v>1</v>
      </c>
      <c r="AP244">
        <v>0</v>
      </c>
      <c r="AQ244">
        <v>3</v>
      </c>
      <c r="AR244">
        <v>0</v>
      </c>
      <c r="AS244">
        <v>0</v>
      </c>
      <c r="AT244">
        <v>0</v>
      </c>
      <c r="AU244">
        <v>0</v>
      </c>
      <c r="AV244">
        <v>0</v>
      </c>
    </row>
    <row r="245" spans="1:48" ht="15.75" customHeight="1" x14ac:dyDescent="0.25">
      <c r="A245">
        <v>1</v>
      </c>
      <c r="B245">
        <v>2</v>
      </c>
      <c r="C245">
        <v>2</v>
      </c>
      <c r="D245">
        <v>1</v>
      </c>
      <c r="E245">
        <v>2018</v>
      </c>
      <c r="F245">
        <v>3</v>
      </c>
      <c r="G245">
        <v>10</v>
      </c>
      <c r="H245">
        <v>0</v>
      </c>
      <c r="I245">
        <v>0</v>
      </c>
      <c r="J245">
        <v>0</v>
      </c>
      <c r="K245">
        <v>0</v>
      </c>
      <c r="L245">
        <v>0</v>
      </c>
      <c r="M245">
        <v>0</v>
      </c>
      <c r="N245">
        <v>0</v>
      </c>
      <c r="O245">
        <v>0</v>
      </c>
      <c r="P245">
        <v>0</v>
      </c>
      <c r="Q245">
        <v>0</v>
      </c>
      <c r="R245">
        <v>0</v>
      </c>
      <c r="S245">
        <v>0</v>
      </c>
      <c r="T245">
        <v>0</v>
      </c>
      <c r="U245">
        <v>1</v>
      </c>
      <c r="V245">
        <v>2</v>
      </c>
      <c r="W245">
        <v>2</v>
      </c>
      <c r="X245">
        <v>0</v>
      </c>
      <c r="Y245">
        <v>0</v>
      </c>
      <c r="Z245">
        <v>0</v>
      </c>
      <c r="AA245">
        <v>0</v>
      </c>
      <c r="AB245">
        <v>0</v>
      </c>
      <c r="AC245">
        <v>0</v>
      </c>
      <c r="AD245">
        <v>1</v>
      </c>
      <c r="AE245">
        <v>0</v>
      </c>
      <c r="AF245">
        <v>0</v>
      </c>
      <c r="AG245">
        <v>0</v>
      </c>
      <c r="AH245">
        <v>1</v>
      </c>
      <c r="AI245">
        <v>0</v>
      </c>
      <c r="AJ245">
        <v>1</v>
      </c>
      <c r="AK245">
        <v>0</v>
      </c>
      <c r="AL245">
        <v>0</v>
      </c>
      <c r="AM245">
        <v>1</v>
      </c>
      <c r="AN245">
        <v>0</v>
      </c>
      <c r="AO245">
        <v>0</v>
      </c>
      <c r="AP245">
        <v>1</v>
      </c>
      <c r="AQ245">
        <v>0</v>
      </c>
      <c r="AR245">
        <v>0</v>
      </c>
      <c r="AS245">
        <v>0</v>
      </c>
      <c r="AT245">
        <v>0</v>
      </c>
      <c r="AU245">
        <v>0</v>
      </c>
      <c r="AV245">
        <v>0</v>
      </c>
    </row>
    <row r="246" spans="1:48" ht="15.75" customHeight="1" x14ac:dyDescent="0.25">
      <c r="A246">
        <v>1</v>
      </c>
      <c r="B246">
        <v>2</v>
      </c>
      <c r="C246">
        <v>2</v>
      </c>
      <c r="D246">
        <v>1</v>
      </c>
      <c r="E246">
        <v>2018</v>
      </c>
      <c r="F246">
        <v>5</v>
      </c>
      <c r="G246">
        <v>1</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1</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row>
    <row r="247" spans="1:48" ht="15.75" customHeight="1" x14ac:dyDescent="0.25">
      <c r="A247">
        <v>1</v>
      </c>
      <c r="B247">
        <v>2</v>
      </c>
      <c r="C247">
        <v>2</v>
      </c>
      <c r="D247">
        <v>2</v>
      </c>
      <c r="E247">
        <v>2016</v>
      </c>
      <c r="F247">
        <v>4</v>
      </c>
      <c r="G247">
        <v>2</v>
      </c>
      <c r="H247">
        <v>0</v>
      </c>
      <c r="I247">
        <v>0</v>
      </c>
      <c r="J247">
        <v>0</v>
      </c>
      <c r="K247">
        <v>0</v>
      </c>
      <c r="L247">
        <v>0</v>
      </c>
      <c r="M247">
        <v>0</v>
      </c>
      <c r="N247">
        <v>0</v>
      </c>
      <c r="O247">
        <v>0</v>
      </c>
      <c r="P247">
        <v>0</v>
      </c>
      <c r="Q247">
        <v>0</v>
      </c>
      <c r="R247">
        <v>0</v>
      </c>
      <c r="S247">
        <v>0</v>
      </c>
      <c r="T247">
        <v>0</v>
      </c>
      <c r="U247">
        <v>0</v>
      </c>
      <c r="V247">
        <v>0</v>
      </c>
      <c r="W247">
        <v>0</v>
      </c>
      <c r="X247">
        <v>0</v>
      </c>
      <c r="Y247">
        <v>0</v>
      </c>
      <c r="Z247">
        <v>2</v>
      </c>
      <c r="AA247">
        <v>0</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row>
    <row r="248" spans="1:48" ht="15.75" customHeight="1" x14ac:dyDescent="0.25">
      <c r="A248">
        <v>1</v>
      </c>
      <c r="B248">
        <v>2</v>
      </c>
      <c r="C248">
        <v>2</v>
      </c>
      <c r="D248">
        <v>2</v>
      </c>
      <c r="E248">
        <v>2017</v>
      </c>
      <c r="F248">
        <v>3</v>
      </c>
      <c r="G248">
        <v>1</v>
      </c>
      <c r="H248">
        <v>0</v>
      </c>
      <c r="I248">
        <v>0</v>
      </c>
      <c r="J248">
        <v>0</v>
      </c>
      <c r="K248">
        <v>0</v>
      </c>
      <c r="L248">
        <v>0</v>
      </c>
      <c r="M248">
        <v>0</v>
      </c>
      <c r="N248">
        <v>0</v>
      </c>
      <c r="O248">
        <v>0</v>
      </c>
      <c r="P248">
        <v>0</v>
      </c>
      <c r="Q248">
        <v>0</v>
      </c>
      <c r="R248">
        <v>0</v>
      </c>
      <c r="S248">
        <v>0</v>
      </c>
      <c r="T248">
        <v>0</v>
      </c>
      <c r="U248">
        <v>0</v>
      </c>
      <c r="V248">
        <v>0</v>
      </c>
      <c r="W248">
        <v>1</v>
      </c>
      <c r="X248">
        <v>0</v>
      </c>
      <c r="Y248">
        <v>0</v>
      </c>
      <c r="Z248">
        <v>0</v>
      </c>
      <c r="AA248">
        <v>0</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row>
    <row r="249" spans="1:48" ht="15.75" customHeight="1" x14ac:dyDescent="0.25">
      <c r="A249">
        <v>2</v>
      </c>
      <c r="B249">
        <v>1</v>
      </c>
      <c r="C249">
        <v>1</v>
      </c>
      <c r="D249">
        <v>1</v>
      </c>
      <c r="E249">
        <v>1991</v>
      </c>
      <c r="F249">
        <v>6</v>
      </c>
      <c r="G249">
        <v>2</v>
      </c>
      <c r="H249">
        <v>0</v>
      </c>
      <c r="I249">
        <v>0</v>
      </c>
      <c r="J249">
        <v>0</v>
      </c>
      <c r="K249">
        <v>0</v>
      </c>
      <c r="L249">
        <v>0</v>
      </c>
      <c r="M249">
        <v>0</v>
      </c>
      <c r="N249">
        <v>0</v>
      </c>
      <c r="O249">
        <v>0</v>
      </c>
      <c r="P249">
        <v>0</v>
      </c>
      <c r="Q249">
        <v>0</v>
      </c>
      <c r="R249">
        <v>0</v>
      </c>
      <c r="S249">
        <v>0</v>
      </c>
      <c r="T249">
        <v>1</v>
      </c>
      <c r="U249">
        <v>0</v>
      </c>
      <c r="V249">
        <v>1</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row>
    <row r="250" spans="1:48" ht="15.75" customHeight="1" x14ac:dyDescent="0.25">
      <c r="A250">
        <v>2</v>
      </c>
      <c r="B250">
        <v>1</v>
      </c>
      <c r="C250">
        <v>1</v>
      </c>
      <c r="D250">
        <v>1</v>
      </c>
      <c r="E250">
        <v>1992</v>
      </c>
      <c r="F250">
        <v>1</v>
      </c>
      <c r="G250">
        <v>17</v>
      </c>
      <c r="H250">
        <v>0</v>
      </c>
      <c r="I250">
        <v>0</v>
      </c>
      <c r="J250">
        <v>0</v>
      </c>
      <c r="K250">
        <v>0</v>
      </c>
      <c r="L250">
        <v>0</v>
      </c>
      <c r="M250">
        <v>0</v>
      </c>
      <c r="N250">
        <v>0</v>
      </c>
      <c r="O250">
        <v>0</v>
      </c>
      <c r="P250">
        <v>0</v>
      </c>
      <c r="Q250">
        <v>0</v>
      </c>
      <c r="R250">
        <v>0</v>
      </c>
      <c r="S250">
        <v>0</v>
      </c>
      <c r="T250">
        <v>2</v>
      </c>
      <c r="U250">
        <v>6</v>
      </c>
      <c r="V250">
        <v>1</v>
      </c>
      <c r="W250">
        <v>4</v>
      </c>
      <c r="X250">
        <v>1</v>
      </c>
      <c r="Y250">
        <v>1</v>
      </c>
      <c r="Z250">
        <v>0</v>
      </c>
      <c r="AA250">
        <v>0</v>
      </c>
      <c r="AB250">
        <v>0</v>
      </c>
      <c r="AC250">
        <v>0</v>
      </c>
      <c r="AD250">
        <v>0</v>
      </c>
      <c r="AE250">
        <v>0</v>
      </c>
      <c r="AF250">
        <v>0</v>
      </c>
      <c r="AG250">
        <v>1</v>
      </c>
      <c r="AH250">
        <v>0</v>
      </c>
      <c r="AI250">
        <v>0</v>
      </c>
      <c r="AJ250">
        <v>0</v>
      </c>
      <c r="AK250">
        <v>0</v>
      </c>
      <c r="AL250">
        <v>0</v>
      </c>
      <c r="AM250">
        <v>0</v>
      </c>
      <c r="AN250">
        <v>0</v>
      </c>
      <c r="AO250">
        <v>0</v>
      </c>
      <c r="AP250">
        <v>0</v>
      </c>
      <c r="AQ250">
        <v>1</v>
      </c>
      <c r="AR250">
        <v>0</v>
      </c>
      <c r="AS250">
        <v>0</v>
      </c>
      <c r="AT250">
        <v>0</v>
      </c>
      <c r="AU250">
        <v>0</v>
      </c>
      <c r="AV250">
        <v>0</v>
      </c>
    </row>
    <row r="251" spans="1:48" ht="15.75" customHeight="1" x14ac:dyDescent="0.25">
      <c r="A251">
        <v>2</v>
      </c>
      <c r="B251">
        <v>1</v>
      </c>
      <c r="C251">
        <v>1</v>
      </c>
      <c r="D251">
        <v>1</v>
      </c>
      <c r="E251">
        <v>1992</v>
      </c>
      <c r="F251">
        <v>2</v>
      </c>
      <c r="G251">
        <v>10</v>
      </c>
      <c r="H251">
        <v>0</v>
      </c>
      <c r="I251">
        <v>0</v>
      </c>
      <c r="J251">
        <v>0</v>
      </c>
      <c r="K251">
        <v>0</v>
      </c>
      <c r="L251">
        <v>0</v>
      </c>
      <c r="M251">
        <v>0</v>
      </c>
      <c r="N251">
        <v>0</v>
      </c>
      <c r="O251">
        <v>0</v>
      </c>
      <c r="P251">
        <v>0</v>
      </c>
      <c r="Q251">
        <v>0</v>
      </c>
      <c r="R251">
        <v>0</v>
      </c>
      <c r="S251">
        <v>0</v>
      </c>
      <c r="T251">
        <v>2</v>
      </c>
      <c r="U251">
        <v>0</v>
      </c>
      <c r="V251">
        <v>2</v>
      </c>
      <c r="W251">
        <v>3</v>
      </c>
      <c r="X251">
        <v>1</v>
      </c>
      <c r="Y251">
        <v>0</v>
      </c>
      <c r="Z251">
        <v>0</v>
      </c>
      <c r="AA251">
        <v>1</v>
      </c>
      <c r="AB251">
        <v>0</v>
      </c>
      <c r="AC251">
        <v>1</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row>
    <row r="252" spans="1:48" ht="15.75" customHeight="1" x14ac:dyDescent="0.25">
      <c r="A252">
        <v>2</v>
      </c>
      <c r="B252">
        <v>1</v>
      </c>
      <c r="C252">
        <v>1</v>
      </c>
      <c r="D252">
        <v>1</v>
      </c>
      <c r="E252">
        <v>1992</v>
      </c>
      <c r="F252">
        <v>3</v>
      </c>
      <c r="G252">
        <v>2</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1</v>
      </c>
      <c r="AB252">
        <v>0</v>
      </c>
      <c r="AC252">
        <v>0</v>
      </c>
      <c r="AD252">
        <v>0</v>
      </c>
      <c r="AE252">
        <v>0</v>
      </c>
      <c r="AF252">
        <v>0</v>
      </c>
      <c r="AG252">
        <v>0</v>
      </c>
      <c r="AH252">
        <v>0</v>
      </c>
      <c r="AI252">
        <v>1</v>
      </c>
      <c r="AJ252">
        <v>0</v>
      </c>
      <c r="AK252">
        <v>0</v>
      </c>
      <c r="AL252">
        <v>0</v>
      </c>
      <c r="AM252">
        <v>0</v>
      </c>
      <c r="AN252">
        <v>0</v>
      </c>
      <c r="AO252">
        <v>0</v>
      </c>
      <c r="AP252">
        <v>0</v>
      </c>
      <c r="AQ252">
        <v>0</v>
      </c>
      <c r="AR252">
        <v>0</v>
      </c>
      <c r="AS252">
        <v>0</v>
      </c>
      <c r="AT252">
        <v>0</v>
      </c>
      <c r="AU252">
        <v>0</v>
      </c>
      <c r="AV252">
        <v>0</v>
      </c>
    </row>
    <row r="253" spans="1:48" ht="15.75" customHeight="1" x14ac:dyDescent="0.25">
      <c r="A253">
        <v>2</v>
      </c>
      <c r="B253">
        <v>1</v>
      </c>
      <c r="C253">
        <v>1</v>
      </c>
      <c r="D253">
        <v>1</v>
      </c>
      <c r="E253">
        <v>1992</v>
      </c>
      <c r="F253">
        <v>6</v>
      </c>
      <c r="G253">
        <v>1</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1</v>
      </c>
      <c r="AF253">
        <v>0</v>
      </c>
      <c r="AG253">
        <v>0</v>
      </c>
      <c r="AH253">
        <v>0</v>
      </c>
      <c r="AI253">
        <v>0</v>
      </c>
      <c r="AJ253">
        <v>0</v>
      </c>
      <c r="AK253">
        <v>0</v>
      </c>
      <c r="AL253">
        <v>0</v>
      </c>
      <c r="AM253">
        <v>0</v>
      </c>
      <c r="AN253">
        <v>0</v>
      </c>
      <c r="AO253">
        <v>0</v>
      </c>
      <c r="AP253">
        <v>0</v>
      </c>
      <c r="AQ253">
        <v>0</v>
      </c>
      <c r="AR253">
        <v>0</v>
      </c>
      <c r="AS253">
        <v>0</v>
      </c>
      <c r="AT253">
        <v>0</v>
      </c>
      <c r="AU253">
        <v>0</v>
      </c>
      <c r="AV253">
        <v>0</v>
      </c>
    </row>
    <row r="254" spans="1:48" ht="15.75" customHeight="1" x14ac:dyDescent="0.25">
      <c r="A254">
        <v>2</v>
      </c>
      <c r="B254">
        <v>1</v>
      </c>
      <c r="C254">
        <v>1</v>
      </c>
      <c r="D254">
        <v>1</v>
      </c>
      <c r="E254">
        <v>1993</v>
      </c>
      <c r="F254">
        <v>1</v>
      </c>
      <c r="G254">
        <v>1</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v>0</v>
      </c>
      <c r="AH254">
        <v>0</v>
      </c>
      <c r="AI254">
        <v>0</v>
      </c>
      <c r="AJ254">
        <v>0</v>
      </c>
      <c r="AK254">
        <v>0</v>
      </c>
      <c r="AL254">
        <v>0</v>
      </c>
      <c r="AM254">
        <v>0</v>
      </c>
      <c r="AN254">
        <v>0</v>
      </c>
      <c r="AO254">
        <v>0</v>
      </c>
      <c r="AP254">
        <v>1</v>
      </c>
      <c r="AQ254">
        <v>0</v>
      </c>
      <c r="AR254">
        <v>0</v>
      </c>
      <c r="AS254">
        <v>0</v>
      </c>
      <c r="AT254">
        <v>0</v>
      </c>
      <c r="AU254">
        <v>0</v>
      </c>
      <c r="AV254">
        <v>0</v>
      </c>
    </row>
    <row r="255" spans="1:48" ht="15.75" customHeight="1" x14ac:dyDescent="0.25">
      <c r="A255">
        <v>2</v>
      </c>
      <c r="B255">
        <v>1</v>
      </c>
      <c r="C255">
        <v>1</v>
      </c>
      <c r="D255">
        <v>1</v>
      </c>
      <c r="E255">
        <v>1993</v>
      </c>
      <c r="F255">
        <v>2</v>
      </c>
      <c r="G255">
        <v>14</v>
      </c>
      <c r="H255">
        <v>0</v>
      </c>
      <c r="I255">
        <v>0</v>
      </c>
      <c r="J255">
        <v>0</v>
      </c>
      <c r="K255">
        <v>0</v>
      </c>
      <c r="L255">
        <v>0</v>
      </c>
      <c r="M255">
        <v>0</v>
      </c>
      <c r="N255">
        <v>0</v>
      </c>
      <c r="O255">
        <v>0</v>
      </c>
      <c r="P255">
        <v>0</v>
      </c>
      <c r="Q255">
        <v>0</v>
      </c>
      <c r="R255">
        <v>0</v>
      </c>
      <c r="S255">
        <v>0</v>
      </c>
      <c r="T255">
        <v>3</v>
      </c>
      <c r="U255">
        <v>4</v>
      </c>
      <c r="V255">
        <v>2</v>
      </c>
      <c r="W255">
        <v>1</v>
      </c>
      <c r="X255">
        <v>0</v>
      </c>
      <c r="Y255">
        <v>1</v>
      </c>
      <c r="Z255">
        <v>0</v>
      </c>
      <c r="AA255">
        <v>0</v>
      </c>
      <c r="AB255">
        <v>2</v>
      </c>
      <c r="AC255">
        <v>1</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row>
    <row r="256" spans="1:48" ht="15.75" customHeight="1" x14ac:dyDescent="0.25">
      <c r="A256">
        <v>2</v>
      </c>
      <c r="B256">
        <v>1</v>
      </c>
      <c r="C256">
        <v>1</v>
      </c>
      <c r="D256">
        <v>1</v>
      </c>
      <c r="E256">
        <v>1993</v>
      </c>
      <c r="F256">
        <v>3</v>
      </c>
      <c r="G256">
        <v>100</v>
      </c>
      <c r="H256">
        <v>0</v>
      </c>
      <c r="I256">
        <v>0</v>
      </c>
      <c r="J256">
        <v>0</v>
      </c>
      <c r="K256">
        <v>0</v>
      </c>
      <c r="L256">
        <v>0</v>
      </c>
      <c r="M256">
        <v>0</v>
      </c>
      <c r="N256">
        <v>0</v>
      </c>
      <c r="O256">
        <v>0</v>
      </c>
      <c r="P256">
        <v>0</v>
      </c>
      <c r="Q256">
        <v>0</v>
      </c>
      <c r="R256">
        <v>0</v>
      </c>
      <c r="S256">
        <v>0</v>
      </c>
      <c r="T256">
        <v>43</v>
      </c>
      <c r="U256">
        <v>21</v>
      </c>
      <c r="V256">
        <v>26</v>
      </c>
      <c r="W256">
        <v>0</v>
      </c>
      <c r="X256">
        <v>6</v>
      </c>
      <c r="Y256">
        <v>0</v>
      </c>
      <c r="Z256">
        <v>0</v>
      </c>
      <c r="AA256">
        <v>2</v>
      </c>
      <c r="AB256">
        <v>0</v>
      </c>
      <c r="AC256">
        <v>0</v>
      </c>
      <c r="AD256">
        <v>1</v>
      </c>
      <c r="AE256">
        <v>0</v>
      </c>
      <c r="AF256">
        <v>0</v>
      </c>
      <c r="AG256">
        <v>0</v>
      </c>
      <c r="AH256">
        <v>1</v>
      </c>
      <c r="AI256">
        <v>0</v>
      </c>
      <c r="AJ256">
        <v>0</v>
      </c>
      <c r="AK256">
        <v>0</v>
      </c>
      <c r="AL256">
        <v>0</v>
      </c>
      <c r="AM256">
        <v>0</v>
      </c>
      <c r="AN256">
        <v>0</v>
      </c>
      <c r="AO256">
        <v>0</v>
      </c>
      <c r="AP256">
        <v>0</v>
      </c>
      <c r="AQ256">
        <v>0</v>
      </c>
      <c r="AR256">
        <v>0</v>
      </c>
      <c r="AS256">
        <v>0</v>
      </c>
      <c r="AT256">
        <v>0</v>
      </c>
      <c r="AU256">
        <v>0</v>
      </c>
      <c r="AV256">
        <v>0</v>
      </c>
    </row>
    <row r="257" spans="1:48" ht="15.75" customHeight="1" x14ac:dyDescent="0.25">
      <c r="A257">
        <v>2</v>
      </c>
      <c r="B257">
        <v>1</v>
      </c>
      <c r="C257">
        <v>1</v>
      </c>
      <c r="D257">
        <v>1</v>
      </c>
      <c r="E257">
        <v>1993</v>
      </c>
      <c r="F257">
        <v>6</v>
      </c>
      <c r="G257">
        <v>300</v>
      </c>
      <c r="H257">
        <v>0</v>
      </c>
      <c r="I257">
        <v>0</v>
      </c>
      <c r="J257">
        <v>0</v>
      </c>
      <c r="K257">
        <v>0</v>
      </c>
      <c r="L257">
        <v>0</v>
      </c>
      <c r="M257">
        <v>0</v>
      </c>
      <c r="N257">
        <v>0</v>
      </c>
      <c r="O257">
        <v>0</v>
      </c>
      <c r="P257">
        <v>0</v>
      </c>
      <c r="Q257">
        <v>0</v>
      </c>
      <c r="R257">
        <v>0</v>
      </c>
      <c r="S257">
        <v>0</v>
      </c>
      <c r="T257">
        <v>76</v>
      </c>
      <c r="U257">
        <v>100</v>
      </c>
      <c r="V257">
        <v>78</v>
      </c>
      <c r="W257">
        <v>38</v>
      </c>
      <c r="X257">
        <v>4</v>
      </c>
      <c r="Y257">
        <v>4</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row>
    <row r="258" spans="1:48" ht="15.75" customHeight="1" x14ac:dyDescent="0.25">
      <c r="A258">
        <v>2</v>
      </c>
      <c r="B258">
        <v>1</v>
      </c>
      <c r="C258">
        <v>1</v>
      </c>
      <c r="D258">
        <v>1</v>
      </c>
      <c r="E258">
        <v>1994</v>
      </c>
      <c r="F258">
        <v>1</v>
      </c>
      <c r="G258">
        <v>68</v>
      </c>
      <c r="H258">
        <v>0</v>
      </c>
      <c r="I258">
        <v>0</v>
      </c>
      <c r="J258">
        <v>0</v>
      </c>
      <c r="K258">
        <v>0</v>
      </c>
      <c r="L258">
        <v>0</v>
      </c>
      <c r="M258">
        <v>0</v>
      </c>
      <c r="N258">
        <v>0</v>
      </c>
      <c r="O258">
        <v>0</v>
      </c>
      <c r="P258">
        <v>0</v>
      </c>
      <c r="Q258">
        <v>0</v>
      </c>
      <c r="R258">
        <v>0</v>
      </c>
      <c r="S258">
        <v>0</v>
      </c>
      <c r="T258">
        <v>26</v>
      </c>
      <c r="U258">
        <v>18</v>
      </c>
      <c r="V258">
        <v>20</v>
      </c>
      <c r="W258">
        <v>2</v>
      </c>
      <c r="X258">
        <v>0</v>
      </c>
      <c r="Y258">
        <v>0</v>
      </c>
      <c r="Z258">
        <v>2</v>
      </c>
      <c r="AA258">
        <v>0</v>
      </c>
      <c r="AB258">
        <v>0</v>
      </c>
      <c r="AC258">
        <v>0</v>
      </c>
      <c r="AD258">
        <v>0</v>
      </c>
      <c r="AE258">
        <v>0</v>
      </c>
      <c r="AF258">
        <v>0</v>
      </c>
      <c r="AG258">
        <v>0</v>
      </c>
      <c r="AH258">
        <v>0</v>
      </c>
      <c r="AI258">
        <v>0</v>
      </c>
      <c r="AJ258">
        <v>0</v>
      </c>
      <c r="AK258">
        <v>0</v>
      </c>
      <c r="AL258">
        <v>0</v>
      </c>
      <c r="AM258">
        <v>0</v>
      </c>
      <c r="AN258">
        <v>0</v>
      </c>
      <c r="AO258">
        <v>0</v>
      </c>
      <c r="AP258">
        <v>0</v>
      </c>
      <c r="AQ258">
        <v>0</v>
      </c>
      <c r="AR258">
        <v>0</v>
      </c>
      <c r="AS258">
        <v>0</v>
      </c>
      <c r="AT258">
        <v>0</v>
      </c>
      <c r="AU258">
        <v>0</v>
      </c>
      <c r="AV258">
        <v>0</v>
      </c>
    </row>
    <row r="259" spans="1:48" ht="15.75" customHeight="1" x14ac:dyDescent="0.25">
      <c r="A259">
        <v>2</v>
      </c>
      <c r="B259">
        <v>1</v>
      </c>
      <c r="C259">
        <v>1</v>
      </c>
      <c r="D259">
        <v>1</v>
      </c>
      <c r="E259">
        <v>1994</v>
      </c>
      <c r="F259">
        <v>2</v>
      </c>
      <c r="G259">
        <v>197</v>
      </c>
      <c r="H259">
        <v>0</v>
      </c>
      <c r="I259">
        <v>0</v>
      </c>
      <c r="J259">
        <v>0</v>
      </c>
      <c r="K259">
        <v>0</v>
      </c>
      <c r="L259">
        <v>0</v>
      </c>
      <c r="M259">
        <v>0</v>
      </c>
      <c r="N259">
        <v>0</v>
      </c>
      <c r="O259">
        <v>0</v>
      </c>
      <c r="P259">
        <v>0</v>
      </c>
      <c r="Q259">
        <v>0</v>
      </c>
      <c r="R259">
        <v>0</v>
      </c>
      <c r="S259">
        <v>0</v>
      </c>
      <c r="T259">
        <v>79</v>
      </c>
      <c r="U259">
        <v>53</v>
      </c>
      <c r="V259">
        <v>38</v>
      </c>
      <c r="W259">
        <v>8</v>
      </c>
      <c r="X259">
        <v>8</v>
      </c>
      <c r="Y259">
        <v>0</v>
      </c>
      <c r="Z259">
        <v>5</v>
      </c>
      <c r="AA259">
        <v>1</v>
      </c>
      <c r="AB259">
        <v>2</v>
      </c>
      <c r="AC259">
        <v>2</v>
      </c>
      <c r="AD259">
        <v>0</v>
      </c>
      <c r="AE259">
        <v>0</v>
      </c>
      <c r="AF259">
        <v>0</v>
      </c>
      <c r="AG259">
        <v>0</v>
      </c>
      <c r="AH259">
        <v>0</v>
      </c>
      <c r="AI259">
        <v>1</v>
      </c>
      <c r="AJ259">
        <v>0</v>
      </c>
      <c r="AK259">
        <v>0</v>
      </c>
      <c r="AL259">
        <v>0</v>
      </c>
      <c r="AM259">
        <v>0</v>
      </c>
      <c r="AN259">
        <v>0</v>
      </c>
      <c r="AO259">
        <v>0</v>
      </c>
      <c r="AP259">
        <v>0</v>
      </c>
      <c r="AQ259">
        <v>0</v>
      </c>
      <c r="AR259">
        <v>0</v>
      </c>
      <c r="AS259">
        <v>0</v>
      </c>
      <c r="AT259">
        <v>0</v>
      </c>
      <c r="AU259">
        <v>0</v>
      </c>
      <c r="AV259">
        <v>0</v>
      </c>
    </row>
    <row r="260" spans="1:48" ht="15.75" customHeight="1" x14ac:dyDescent="0.25">
      <c r="A260">
        <v>2</v>
      </c>
      <c r="B260">
        <v>1</v>
      </c>
      <c r="C260">
        <v>1</v>
      </c>
      <c r="D260">
        <v>1</v>
      </c>
      <c r="E260">
        <v>1994</v>
      </c>
      <c r="F260">
        <v>3</v>
      </c>
      <c r="G260">
        <v>126</v>
      </c>
      <c r="H260">
        <v>0</v>
      </c>
      <c r="I260">
        <v>0</v>
      </c>
      <c r="J260">
        <v>0</v>
      </c>
      <c r="K260">
        <v>0</v>
      </c>
      <c r="L260">
        <v>0</v>
      </c>
      <c r="M260">
        <v>0</v>
      </c>
      <c r="N260">
        <v>0</v>
      </c>
      <c r="O260">
        <v>0</v>
      </c>
      <c r="P260">
        <v>0</v>
      </c>
      <c r="Q260">
        <v>0</v>
      </c>
      <c r="R260">
        <v>0</v>
      </c>
      <c r="S260">
        <v>0</v>
      </c>
      <c r="T260">
        <v>34</v>
      </c>
      <c r="U260">
        <v>38</v>
      </c>
      <c r="V260">
        <v>20</v>
      </c>
      <c r="W260">
        <v>6</v>
      </c>
      <c r="X260">
        <v>6</v>
      </c>
      <c r="Y260">
        <v>6</v>
      </c>
      <c r="Z260">
        <v>8</v>
      </c>
      <c r="AA260">
        <v>6</v>
      </c>
      <c r="AB260">
        <v>0</v>
      </c>
      <c r="AC260">
        <v>0</v>
      </c>
      <c r="AD260">
        <v>0</v>
      </c>
      <c r="AE260">
        <v>0</v>
      </c>
      <c r="AF260">
        <v>0</v>
      </c>
      <c r="AG260">
        <v>0</v>
      </c>
      <c r="AH260">
        <v>0</v>
      </c>
      <c r="AI260">
        <v>0</v>
      </c>
      <c r="AJ260">
        <v>2</v>
      </c>
      <c r="AK260">
        <v>0</v>
      </c>
      <c r="AL260">
        <v>0</v>
      </c>
      <c r="AM260">
        <v>0</v>
      </c>
      <c r="AN260">
        <v>0</v>
      </c>
      <c r="AO260">
        <v>0</v>
      </c>
      <c r="AP260">
        <v>0</v>
      </c>
      <c r="AQ260">
        <v>0</v>
      </c>
      <c r="AR260">
        <v>0</v>
      </c>
      <c r="AS260">
        <v>0</v>
      </c>
      <c r="AT260">
        <v>0</v>
      </c>
      <c r="AU260">
        <v>0</v>
      </c>
      <c r="AV260">
        <v>0</v>
      </c>
    </row>
    <row r="261" spans="1:48" ht="15.75" customHeight="1" x14ac:dyDescent="0.25">
      <c r="A261">
        <v>2</v>
      </c>
      <c r="B261">
        <v>1</v>
      </c>
      <c r="C261">
        <v>1</v>
      </c>
      <c r="D261">
        <v>1</v>
      </c>
      <c r="E261">
        <v>1994</v>
      </c>
      <c r="F261">
        <v>6</v>
      </c>
      <c r="G261">
        <v>40</v>
      </c>
      <c r="H261">
        <v>0</v>
      </c>
      <c r="I261">
        <v>0</v>
      </c>
      <c r="J261">
        <v>0</v>
      </c>
      <c r="K261">
        <v>0</v>
      </c>
      <c r="L261">
        <v>0</v>
      </c>
      <c r="M261">
        <v>0</v>
      </c>
      <c r="N261">
        <v>0</v>
      </c>
      <c r="O261">
        <v>0</v>
      </c>
      <c r="P261">
        <v>0</v>
      </c>
      <c r="Q261">
        <v>0</v>
      </c>
      <c r="R261">
        <v>0</v>
      </c>
      <c r="S261">
        <v>0</v>
      </c>
      <c r="T261">
        <v>10</v>
      </c>
      <c r="U261">
        <v>8</v>
      </c>
      <c r="V261">
        <v>4</v>
      </c>
      <c r="W261">
        <v>6</v>
      </c>
      <c r="X261">
        <v>4</v>
      </c>
      <c r="Y261">
        <v>0</v>
      </c>
      <c r="Z261">
        <v>2</v>
      </c>
      <c r="AA261">
        <v>4</v>
      </c>
      <c r="AB261">
        <v>0</v>
      </c>
      <c r="AC261">
        <v>0</v>
      </c>
      <c r="AD261">
        <v>0</v>
      </c>
      <c r="AE261">
        <v>0</v>
      </c>
      <c r="AF261">
        <v>0</v>
      </c>
      <c r="AG261">
        <v>0</v>
      </c>
      <c r="AH261">
        <v>0</v>
      </c>
      <c r="AI261">
        <v>0</v>
      </c>
      <c r="AJ261">
        <v>0</v>
      </c>
      <c r="AK261">
        <v>0</v>
      </c>
      <c r="AL261">
        <v>0</v>
      </c>
      <c r="AM261">
        <v>2</v>
      </c>
      <c r="AN261">
        <v>0</v>
      </c>
      <c r="AO261">
        <v>0</v>
      </c>
      <c r="AP261">
        <v>0</v>
      </c>
      <c r="AQ261">
        <v>0</v>
      </c>
      <c r="AR261">
        <v>0</v>
      </c>
      <c r="AS261">
        <v>0</v>
      </c>
      <c r="AT261">
        <v>0</v>
      </c>
      <c r="AU261">
        <v>0</v>
      </c>
      <c r="AV261">
        <v>0</v>
      </c>
    </row>
    <row r="262" spans="1:48" ht="15.75" customHeight="1" x14ac:dyDescent="0.25">
      <c r="A262">
        <v>2</v>
      </c>
      <c r="B262">
        <v>1</v>
      </c>
      <c r="C262">
        <v>1</v>
      </c>
      <c r="D262">
        <v>1</v>
      </c>
      <c r="E262">
        <v>1995</v>
      </c>
      <c r="F262">
        <v>1</v>
      </c>
      <c r="G262">
        <v>18</v>
      </c>
      <c r="H262">
        <v>0</v>
      </c>
      <c r="I262">
        <v>0</v>
      </c>
      <c r="J262">
        <v>0</v>
      </c>
      <c r="K262">
        <v>0</v>
      </c>
      <c r="L262">
        <v>0</v>
      </c>
      <c r="M262">
        <v>0</v>
      </c>
      <c r="N262">
        <v>0</v>
      </c>
      <c r="O262">
        <v>0</v>
      </c>
      <c r="P262">
        <v>0</v>
      </c>
      <c r="Q262">
        <v>0</v>
      </c>
      <c r="R262">
        <v>0</v>
      </c>
      <c r="S262">
        <v>0</v>
      </c>
      <c r="T262">
        <v>6</v>
      </c>
      <c r="U262">
        <v>2</v>
      </c>
      <c r="V262">
        <v>8</v>
      </c>
      <c r="W262">
        <v>2</v>
      </c>
      <c r="X262">
        <v>0</v>
      </c>
      <c r="Y262">
        <v>0</v>
      </c>
      <c r="Z262">
        <v>0</v>
      </c>
      <c r="AA262">
        <v>0</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0</v>
      </c>
      <c r="AU262">
        <v>0</v>
      </c>
      <c r="AV262">
        <v>0</v>
      </c>
    </row>
    <row r="263" spans="1:48" ht="15.75" customHeight="1" x14ac:dyDescent="0.25">
      <c r="A263">
        <v>2</v>
      </c>
      <c r="B263">
        <v>1</v>
      </c>
      <c r="C263">
        <v>1</v>
      </c>
      <c r="D263">
        <v>1</v>
      </c>
      <c r="E263">
        <v>1995</v>
      </c>
      <c r="F263">
        <v>2</v>
      </c>
      <c r="G263">
        <v>158</v>
      </c>
      <c r="H263">
        <v>0</v>
      </c>
      <c r="I263">
        <v>0</v>
      </c>
      <c r="J263">
        <v>0</v>
      </c>
      <c r="K263">
        <v>0</v>
      </c>
      <c r="L263">
        <v>0</v>
      </c>
      <c r="M263">
        <v>0</v>
      </c>
      <c r="N263">
        <v>0</v>
      </c>
      <c r="O263">
        <v>0</v>
      </c>
      <c r="P263">
        <v>0</v>
      </c>
      <c r="Q263">
        <v>0</v>
      </c>
      <c r="R263">
        <v>0</v>
      </c>
      <c r="S263">
        <v>0</v>
      </c>
      <c r="T263">
        <v>45</v>
      </c>
      <c r="U263">
        <v>33</v>
      </c>
      <c r="V263">
        <v>29</v>
      </c>
      <c r="W263">
        <v>2</v>
      </c>
      <c r="X263">
        <v>6</v>
      </c>
      <c r="Y263">
        <v>2</v>
      </c>
      <c r="Z263">
        <v>8</v>
      </c>
      <c r="AA263">
        <v>6</v>
      </c>
      <c r="AB263">
        <v>3</v>
      </c>
      <c r="AC263">
        <v>8</v>
      </c>
      <c r="AD263">
        <v>0</v>
      </c>
      <c r="AE263">
        <v>10</v>
      </c>
      <c r="AF263">
        <v>2</v>
      </c>
      <c r="AG263">
        <v>2</v>
      </c>
      <c r="AH263">
        <v>0</v>
      </c>
      <c r="AI263">
        <v>0</v>
      </c>
      <c r="AJ263">
        <v>0</v>
      </c>
      <c r="AK263">
        <v>0</v>
      </c>
      <c r="AL263">
        <v>0</v>
      </c>
      <c r="AM263">
        <v>2</v>
      </c>
      <c r="AN263">
        <v>0</v>
      </c>
      <c r="AO263">
        <v>0</v>
      </c>
      <c r="AP263">
        <v>0</v>
      </c>
      <c r="AQ263">
        <v>0</v>
      </c>
      <c r="AR263">
        <v>0</v>
      </c>
      <c r="AS263">
        <v>0</v>
      </c>
      <c r="AT263">
        <v>0</v>
      </c>
      <c r="AU263">
        <v>0</v>
      </c>
      <c r="AV263">
        <v>0</v>
      </c>
    </row>
    <row r="264" spans="1:48" ht="15.75" customHeight="1" x14ac:dyDescent="0.25">
      <c r="A264">
        <v>2</v>
      </c>
      <c r="B264">
        <v>1</v>
      </c>
      <c r="C264">
        <v>1</v>
      </c>
      <c r="D264">
        <v>1</v>
      </c>
      <c r="E264">
        <v>1995</v>
      </c>
      <c r="F264">
        <v>3</v>
      </c>
      <c r="G264">
        <v>61</v>
      </c>
      <c r="H264">
        <v>0</v>
      </c>
      <c r="I264">
        <v>0</v>
      </c>
      <c r="J264">
        <v>0</v>
      </c>
      <c r="K264">
        <v>0</v>
      </c>
      <c r="L264">
        <v>0</v>
      </c>
      <c r="M264">
        <v>0</v>
      </c>
      <c r="N264">
        <v>0</v>
      </c>
      <c r="O264">
        <v>0</v>
      </c>
      <c r="P264">
        <v>0</v>
      </c>
      <c r="Q264">
        <v>0</v>
      </c>
      <c r="R264">
        <v>0</v>
      </c>
      <c r="S264">
        <v>0</v>
      </c>
      <c r="T264">
        <v>25</v>
      </c>
      <c r="U264">
        <v>9</v>
      </c>
      <c r="V264">
        <v>5</v>
      </c>
      <c r="W264">
        <v>0</v>
      </c>
      <c r="X264">
        <v>4</v>
      </c>
      <c r="Y264">
        <v>4</v>
      </c>
      <c r="Z264">
        <v>2</v>
      </c>
      <c r="AA264">
        <v>4</v>
      </c>
      <c r="AB264">
        <v>0</v>
      </c>
      <c r="AC264">
        <v>4</v>
      </c>
      <c r="AD264">
        <v>0</v>
      </c>
      <c r="AE264">
        <v>0</v>
      </c>
      <c r="AF264">
        <v>2</v>
      </c>
      <c r="AG264">
        <v>0</v>
      </c>
      <c r="AH264">
        <v>0</v>
      </c>
      <c r="AI264">
        <v>0</v>
      </c>
      <c r="AJ264">
        <v>0</v>
      </c>
      <c r="AK264">
        <v>0</v>
      </c>
      <c r="AL264">
        <v>0</v>
      </c>
      <c r="AM264">
        <v>2</v>
      </c>
      <c r="AN264">
        <v>0</v>
      </c>
      <c r="AO264">
        <v>0</v>
      </c>
      <c r="AP264">
        <v>0</v>
      </c>
      <c r="AQ264">
        <v>0</v>
      </c>
      <c r="AR264">
        <v>0</v>
      </c>
      <c r="AS264">
        <v>0</v>
      </c>
      <c r="AT264">
        <v>0</v>
      </c>
      <c r="AU264">
        <v>0</v>
      </c>
      <c r="AV264">
        <v>0</v>
      </c>
    </row>
    <row r="265" spans="1:48" ht="15.75" customHeight="1" x14ac:dyDescent="0.25">
      <c r="A265">
        <v>2</v>
      </c>
      <c r="B265">
        <v>1</v>
      </c>
      <c r="C265">
        <v>1</v>
      </c>
      <c r="D265">
        <v>1</v>
      </c>
      <c r="E265">
        <v>1995</v>
      </c>
      <c r="F265">
        <v>6</v>
      </c>
      <c r="G265">
        <v>10</v>
      </c>
      <c r="H265">
        <v>0</v>
      </c>
      <c r="I265">
        <v>0</v>
      </c>
      <c r="J265">
        <v>0</v>
      </c>
      <c r="K265">
        <v>0</v>
      </c>
      <c r="L265">
        <v>0</v>
      </c>
      <c r="M265">
        <v>0</v>
      </c>
      <c r="N265">
        <v>0</v>
      </c>
      <c r="O265">
        <v>0</v>
      </c>
      <c r="P265">
        <v>0</v>
      </c>
      <c r="Q265">
        <v>0</v>
      </c>
      <c r="R265">
        <v>0</v>
      </c>
      <c r="S265">
        <v>0</v>
      </c>
      <c r="T265">
        <v>2</v>
      </c>
      <c r="U265">
        <v>0</v>
      </c>
      <c r="V265">
        <v>0</v>
      </c>
      <c r="W265">
        <v>0</v>
      </c>
      <c r="X265">
        <v>2</v>
      </c>
      <c r="Y265">
        <v>0</v>
      </c>
      <c r="Z265">
        <v>0</v>
      </c>
      <c r="AA265">
        <v>2</v>
      </c>
      <c r="AB265">
        <v>0</v>
      </c>
      <c r="AC265">
        <v>0</v>
      </c>
      <c r="AD265">
        <v>0</v>
      </c>
      <c r="AE265">
        <v>2</v>
      </c>
      <c r="AF265">
        <v>0</v>
      </c>
      <c r="AG265">
        <v>0</v>
      </c>
      <c r="AH265">
        <v>2</v>
      </c>
      <c r="AI265">
        <v>0</v>
      </c>
      <c r="AJ265">
        <v>0</v>
      </c>
      <c r="AK265">
        <v>0</v>
      </c>
      <c r="AL265">
        <v>0</v>
      </c>
      <c r="AM265">
        <v>0</v>
      </c>
      <c r="AN265">
        <v>0</v>
      </c>
      <c r="AO265">
        <v>0</v>
      </c>
      <c r="AP265">
        <v>0</v>
      </c>
      <c r="AQ265">
        <v>0</v>
      </c>
      <c r="AR265">
        <v>0</v>
      </c>
      <c r="AS265">
        <v>0</v>
      </c>
      <c r="AT265">
        <v>0</v>
      </c>
      <c r="AU265">
        <v>0</v>
      </c>
      <c r="AV265">
        <v>0</v>
      </c>
    </row>
    <row r="266" spans="1:48" ht="15.75" customHeight="1" x14ac:dyDescent="0.25">
      <c r="A266">
        <v>2</v>
      </c>
      <c r="B266">
        <v>1</v>
      </c>
      <c r="C266">
        <v>1</v>
      </c>
      <c r="D266">
        <v>1</v>
      </c>
      <c r="E266">
        <v>1996</v>
      </c>
      <c r="F266">
        <v>1</v>
      </c>
      <c r="G266">
        <v>14</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2</v>
      </c>
      <c r="AB266">
        <v>0</v>
      </c>
      <c r="AC266">
        <v>0</v>
      </c>
      <c r="AD266">
        <v>2</v>
      </c>
      <c r="AE266">
        <v>0</v>
      </c>
      <c r="AF266">
        <v>6</v>
      </c>
      <c r="AG266">
        <v>0</v>
      </c>
      <c r="AH266">
        <v>0</v>
      </c>
      <c r="AI266">
        <v>2</v>
      </c>
      <c r="AJ266">
        <v>0</v>
      </c>
      <c r="AK266">
        <v>0</v>
      </c>
      <c r="AL266">
        <v>0</v>
      </c>
      <c r="AM266">
        <v>0</v>
      </c>
      <c r="AN266">
        <v>2</v>
      </c>
      <c r="AO266">
        <v>0</v>
      </c>
      <c r="AP266">
        <v>0</v>
      </c>
      <c r="AQ266">
        <v>0</v>
      </c>
      <c r="AR266">
        <v>0</v>
      </c>
      <c r="AS266">
        <v>0</v>
      </c>
      <c r="AT266">
        <v>0</v>
      </c>
      <c r="AU266">
        <v>0</v>
      </c>
      <c r="AV266">
        <v>0</v>
      </c>
    </row>
    <row r="267" spans="1:48" ht="15.75" customHeight="1" x14ac:dyDescent="0.25">
      <c r="A267">
        <v>2</v>
      </c>
      <c r="B267">
        <v>1</v>
      </c>
      <c r="C267">
        <v>1</v>
      </c>
      <c r="D267">
        <v>1</v>
      </c>
      <c r="E267">
        <v>1996</v>
      </c>
      <c r="F267">
        <v>2</v>
      </c>
      <c r="G267">
        <v>280</v>
      </c>
      <c r="H267">
        <v>0</v>
      </c>
      <c r="I267">
        <v>0</v>
      </c>
      <c r="J267">
        <v>0</v>
      </c>
      <c r="K267">
        <v>0</v>
      </c>
      <c r="L267">
        <v>0</v>
      </c>
      <c r="M267">
        <v>0</v>
      </c>
      <c r="N267">
        <v>0</v>
      </c>
      <c r="O267">
        <v>0</v>
      </c>
      <c r="P267">
        <v>0</v>
      </c>
      <c r="Q267">
        <v>0</v>
      </c>
      <c r="R267">
        <v>0</v>
      </c>
      <c r="S267">
        <v>0</v>
      </c>
      <c r="T267">
        <v>42</v>
      </c>
      <c r="U267">
        <v>30</v>
      </c>
      <c r="V267">
        <v>13</v>
      </c>
      <c r="W267">
        <v>8</v>
      </c>
      <c r="X267">
        <v>9</v>
      </c>
      <c r="Y267">
        <v>12</v>
      </c>
      <c r="Z267">
        <v>6</v>
      </c>
      <c r="AA267">
        <v>16</v>
      </c>
      <c r="AB267">
        <v>29</v>
      </c>
      <c r="AC267">
        <v>18</v>
      </c>
      <c r="AD267">
        <v>23</v>
      </c>
      <c r="AE267">
        <v>23</v>
      </c>
      <c r="AF267">
        <v>24</v>
      </c>
      <c r="AG267">
        <v>9</v>
      </c>
      <c r="AH267">
        <v>12</v>
      </c>
      <c r="AI267">
        <v>2</v>
      </c>
      <c r="AJ267">
        <v>0</v>
      </c>
      <c r="AK267">
        <v>2</v>
      </c>
      <c r="AL267">
        <v>0</v>
      </c>
      <c r="AM267">
        <v>0</v>
      </c>
      <c r="AN267">
        <v>0</v>
      </c>
      <c r="AO267">
        <v>0</v>
      </c>
      <c r="AP267">
        <v>0</v>
      </c>
      <c r="AQ267">
        <v>2</v>
      </c>
      <c r="AR267">
        <v>0</v>
      </c>
      <c r="AS267">
        <v>0</v>
      </c>
      <c r="AT267">
        <v>0</v>
      </c>
      <c r="AU267">
        <v>0</v>
      </c>
      <c r="AV267">
        <v>0</v>
      </c>
    </row>
    <row r="268" spans="1:48" ht="15.75" customHeight="1" x14ac:dyDescent="0.25">
      <c r="A268">
        <v>2</v>
      </c>
      <c r="B268">
        <v>1</v>
      </c>
      <c r="C268">
        <v>1</v>
      </c>
      <c r="D268">
        <v>1</v>
      </c>
      <c r="E268">
        <v>1996</v>
      </c>
      <c r="F268">
        <v>3</v>
      </c>
      <c r="G268">
        <v>91</v>
      </c>
      <c r="H268">
        <v>0</v>
      </c>
      <c r="I268">
        <v>0</v>
      </c>
      <c r="J268">
        <v>0</v>
      </c>
      <c r="K268">
        <v>0</v>
      </c>
      <c r="L268">
        <v>0</v>
      </c>
      <c r="M268">
        <v>0</v>
      </c>
      <c r="N268">
        <v>0</v>
      </c>
      <c r="O268">
        <v>0</v>
      </c>
      <c r="P268">
        <v>0</v>
      </c>
      <c r="Q268">
        <v>0</v>
      </c>
      <c r="R268">
        <v>0</v>
      </c>
      <c r="S268">
        <v>0</v>
      </c>
      <c r="T268">
        <v>28</v>
      </c>
      <c r="U268">
        <v>22</v>
      </c>
      <c r="V268">
        <v>11</v>
      </c>
      <c r="W268">
        <v>3</v>
      </c>
      <c r="X268">
        <v>1</v>
      </c>
      <c r="Y268">
        <v>2</v>
      </c>
      <c r="Z268">
        <v>8</v>
      </c>
      <c r="AA268">
        <v>4</v>
      </c>
      <c r="AB268">
        <v>1</v>
      </c>
      <c r="AC268">
        <v>1</v>
      </c>
      <c r="AD268">
        <v>0</v>
      </c>
      <c r="AE268">
        <v>0</v>
      </c>
      <c r="AF268">
        <v>3</v>
      </c>
      <c r="AG268">
        <v>1</v>
      </c>
      <c r="AH268">
        <v>1</v>
      </c>
      <c r="AI268">
        <v>2</v>
      </c>
      <c r="AJ268">
        <v>0</v>
      </c>
      <c r="AK268">
        <v>1</v>
      </c>
      <c r="AL268">
        <v>0</v>
      </c>
      <c r="AM268">
        <v>0</v>
      </c>
      <c r="AN268">
        <v>0</v>
      </c>
      <c r="AO268">
        <v>0</v>
      </c>
      <c r="AP268">
        <v>0</v>
      </c>
      <c r="AQ268">
        <v>2</v>
      </c>
      <c r="AR268">
        <v>0</v>
      </c>
      <c r="AS268">
        <v>0</v>
      </c>
      <c r="AT268">
        <v>0</v>
      </c>
      <c r="AU268">
        <v>0</v>
      </c>
      <c r="AV268">
        <v>0</v>
      </c>
    </row>
    <row r="269" spans="1:48" ht="15.75" customHeight="1" x14ac:dyDescent="0.25">
      <c r="A269">
        <v>2</v>
      </c>
      <c r="B269">
        <v>1</v>
      </c>
      <c r="C269">
        <v>1</v>
      </c>
      <c r="D269">
        <v>1</v>
      </c>
      <c r="E269">
        <v>1996</v>
      </c>
      <c r="F269">
        <v>6</v>
      </c>
      <c r="G269">
        <v>57</v>
      </c>
      <c r="H269">
        <v>0</v>
      </c>
      <c r="I269">
        <v>0</v>
      </c>
      <c r="J269">
        <v>0</v>
      </c>
      <c r="K269">
        <v>0</v>
      </c>
      <c r="L269">
        <v>0</v>
      </c>
      <c r="M269">
        <v>0</v>
      </c>
      <c r="N269">
        <v>0</v>
      </c>
      <c r="O269">
        <v>0</v>
      </c>
      <c r="P269">
        <v>0</v>
      </c>
      <c r="Q269">
        <v>0</v>
      </c>
      <c r="R269">
        <v>0</v>
      </c>
      <c r="S269">
        <v>0</v>
      </c>
      <c r="T269">
        <v>9</v>
      </c>
      <c r="U269">
        <v>21</v>
      </c>
      <c r="V269">
        <v>11</v>
      </c>
      <c r="W269">
        <v>5</v>
      </c>
      <c r="X269">
        <v>3</v>
      </c>
      <c r="Y269">
        <v>0</v>
      </c>
      <c r="Z269">
        <v>1</v>
      </c>
      <c r="AA269">
        <v>0</v>
      </c>
      <c r="AB269">
        <v>0</v>
      </c>
      <c r="AC269">
        <v>0</v>
      </c>
      <c r="AD269">
        <v>0</v>
      </c>
      <c r="AE269">
        <v>0</v>
      </c>
      <c r="AF269">
        <v>0</v>
      </c>
      <c r="AG269">
        <v>0</v>
      </c>
      <c r="AH269">
        <v>0</v>
      </c>
      <c r="AI269">
        <v>2</v>
      </c>
      <c r="AJ269">
        <v>0</v>
      </c>
      <c r="AK269">
        <v>0</v>
      </c>
      <c r="AL269">
        <v>0</v>
      </c>
      <c r="AM269">
        <v>0</v>
      </c>
      <c r="AN269">
        <v>0</v>
      </c>
      <c r="AO269">
        <v>0</v>
      </c>
      <c r="AP269">
        <v>2</v>
      </c>
      <c r="AQ269">
        <v>3</v>
      </c>
      <c r="AR269">
        <v>0</v>
      </c>
      <c r="AS269">
        <v>0</v>
      </c>
      <c r="AT269">
        <v>0</v>
      </c>
      <c r="AU269">
        <v>0</v>
      </c>
      <c r="AV269">
        <v>0</v>
      </c>
    </row>
    <row r="270" spans="1:48" ht="15.75" customHeight="1" x14ac:dyDescent="0.25">
      <c r="A270">
        <v>2</v>
      </c>
      <c r="B270">
        <v>1</v>
      </c>
      <c r="C270">
        <v>1</v>
      </c>
      <c r="D270">
        <v>1</v>
      </c>
      <c r="E270">
        <v>1997</v>
      </c>
      <c r="F270">
        <v>1</v>
      </c>
      <c r="G270">
        <v>73</v>
      </c>
      <c r="H270">
        <v>0</v>
      </c>
      <c r="I270">
        <v>0</v>
      </c>
      <c r="J270">
        <v>0</v>
      </c>
      <c r="K270">
        <v>0</v>
      </c>
      <c r="L270">
        <v>0</v>
      </c>
      <c r="M270">
        <v>0</v>
      </c>
      <c r="N270">
        <v>0</v>
      </c>
      <c r="O270">
        <v>0</v>
      </c>
      <c r="P270">
        <v>0</v>
      </c>
      <c r="Q270">
        <v>0</v>
      </c>
      <c r="R270">
        <v>0</v>
      </c>
      <c r="S270">
        <v>0</v>
      </c>
      <c r="T270">
        <v>13</v>
      </c>
      <c r="U270">
        <v>10</v>
      </c>
      <c r="V270">
        <v>12</v>
      </c>
      <c r="W270">
        <v>1</v>
      </c>
      <c r="X270">
        <v>1</v>
      </c>
      <c r="Y270">
        <v>2</v>
      </c>
      <c r="Z270">
        <v>4</v>
      </c>
      <c r="AA270">
        <v>1</v>
      </c>
      <c r="AB270">
        <v>3</v>
      </c>
      <c r="AC270">
        <v>2</v>
      </c>
      <c r="AD270">
        <v>4</v>
      </c>
      <c r="AE270">
        <v>2</v>
      </c>
      <c r="AF270">
        <v>4</v>
      </c>
      <c r="AG270">
        <v>2</v>
      </c>
      <c r="AH270">
        <v>5</v>
      </c>
      <c r="AI270">
        <v>1</v>
      </c>
      <c r="AJ270">
        <v>2</v>
      </c>
      <c r="AK270">
        <v>2</v>
      </c>
      <c r="AL270">
        <v>2</v>
      </c>
      <c r="AM270">
        <v>0</v>
      </c>
      <c r="AN270">
        <v>0</v>
      </c>
      <c r="AO270">
        <v>0</v>
      </c>
      <c r="AP270">
        <v>0</v>
      </c>
      <c r="AQ270">
        <v>0</v>
      </c>
      <c r="AR270">
        <v>0</v>
      </c>
      <c r="AS270">
        <v>0</v>
      </c>
      <c r="AT270">
        <v>0</v>
      </c>
      <c r="AU270">
        <v>0</v>
      </c>
      <c r="AV270">
        <v>0</v>
      </c>
    </row>
    <row r="271" spans="1:48" ht="15.75" customHeight="1" x14ac:dyDescent="0.25">
      <c r="A271">
        <v>2</v>
      </c>
      <c r="B271">
        <v>1</v>
      </c>
      <c r="C271">
        <v>1</v>
      </c>
      <c r="D271">
        <v>1</v>
      </c>
      <c r="E271">
        <v>1997</v>
      </c>
      <c r="F271">
        <v>2</v>
      </c>
      <c r="G271">
        <v>265</v>
      </c>
      <c r="H271">
        <v>0</v>
      </c>
      <c r="I271">
        <v>0</v>
      </c>
      <c r="J271">
        <v>0</v>
      </c>
      <c r="K271">
        <v>0</v>
      </c>
      <c r="L271">
        <v>0</v>
      </c>
      <c r="M271">
        <v>0</v>
      </c>
      <c r="N271">
        <v>0</v>
      </c>
      <c r="O271">
        <v>0</v>
      </c>
      <c r="P271">
        <v>0</v>
      </c>
      <c r="Q271">
        <v>0</v>
      </c>
      <c r="R271">
        <v>0</v>
      </c>
      <c r="S271">
        <v>0</v>
      </c>
      <c r="T271">
        <v>47</v>
      </c>
      <c r="U271">
        <v>35</v>
      </c>
      <c r="V271">
        <v>22</v>
      </c>
      <c r="W271">
        <v>14</v>
      </c>
      <c r="X271">
        <v>7</v>
      </c>
      <c r="Y271">
        <v>8</v>
      </c>
      <c r="Z271">
        <v>11</v>
      </c>
      <c r="AA271">
        <v>14</v>
      </c>
      <c r="AB271">
        <v>14</v>
      </c>
      <c r="AC271">
        <v>13</v>
      </c>
      <c r="AD271">
        <v>3</v>
      </c>
      <c r="AE271">
        <v>10</v>
      </c>
      <c r="AF271">
        <v>6</v>
      </c>
      <c r="AG271">
        <v>18</v>
      </c>
      <c r="AH271">
        <v>9</v>
      </c>
      <c r="AI271">
        <v>6</v>
      </c>
      <c r="AJ271">
        <v>9</v>
      </c>
      <c r="AK271">
        <v>9</v>
      </c>
      <c r="AL271">
        <v>2</v>
      </c>
      <c r="AM271">
        <v>2</v>
      </c>
      <c r="AN271">
        <v>2</v>
      </c>
      <c r="AO271">
        <v>0</v>
      </c>
      <c r="AP271">
        <v>0</v>
      </c>
      <c r="AQ271">
        <v>4</v>
      </c>
      <c r="AR271">
        <v>0</v>
      </c>
      <c r="AS271">
        <v>0</v>
      </c>
      <c r="AT271">
        <v>0</v>
      </c>
      <c r="AU271">
        <v>0</v>
      </c>
      <c r="AV271">
        <v>0</v>
      </c>
    </row>
    <row r="272" spans="1:48" ht="15.75" customHeight="1" x14ac:dyDescent="0.25">
      <c r="A272">
        <v>2</v>
      </c>
      <c r="B272">
        <v>1</v>
      </c>
      <c r="C272">
        <v>1</v>
      </c>
      <c r="D272">
        <v>1</v>
      </c>
      <c r="E272">
        <v>1997</v>
      </c>
      <c r="F272">
        <v>3</v>
      </c>
      <c r="G272">
        <v>153</v>
      </c>
      <c r="H272">
        <v>0</v>
      </c>
      <c r="I272">
        <v>0</v>
      </c>
      <c r="J272">
        <v>0</v>
      </c>
      <c r="K272">
        <v>0</v>
      </c>
      <c r="L272">
        <v>0</v>
      </c>
      <c r="M272">
        <v>0</v>
      </c>
      <c r="N272">
        <v>0</v>
      </c>
      <c r="O272">
        <v>0</v>
      </c>
      <c r="P272">
        <v>0</v>
      </c>
      <c r="Q272">
        <v>0</v>
      </c>
      <c r="R272">
        <v>0</v>
      </c>
      <c r="S272">
        <v>0</v>
      </c>
      <c r="T272">
        <v>49</v>
      </c>
      <c r="U272">
        <v>34</v>
      </c>
      <c r="V272">
        <v>22</v>
      </c>
      <c r="W272">
        <v>8</v>
      </c>
      <c r="X272">
        <v>12</v>
      </c>
      <c r="Y272">
        <v>5</v>
      </c>
      <c r="Z272">
        <v>3</v>
      </c>
      <c r="AA272">
        <v>2</v>
      </c>
      <c r="AB272">
        <v>4</v>
      </c>
      <c r="AC272">
        <v>2</v>
      </c>
      <c r="AD272">
        <v>3</v>
      </c>
      <c r="AE272">
        <v>2</v>
      </c>
      <c r="AF272">
        <v>3</v>
      </c>
      <c r="AG272">
        <v>1</v>
      </c>
      <c r="AH272">
        <v>2</v>
      </c>
      <c r="AI272">
        <v>0</v>
      </c>
      <c r="AJ272">
        <v>0</v>
      </c>
      <c r="AK272">
        <v>0</v>
      </c>
      <c r="AL272">
        <v>0</v>
      </c>
      <c r="AM272">
        <v>0</v>
      </c>
      <c r="AN272">
        <v>0</v>
      </c>
      <c r="AO272">
        <v>0</v>
      </c>
      <c r="AP272">
        <v>0</v>
      </c>
      <c r="AQ272">
        <v>1</v>
      </c>
      <c r="AR272">
        <v>0</v>
      </c>
      <c r="AS272">
        <v>0</v>
      </c>
      <c r="AT272">
        <v>0</v>
      </c>
      <c r="AU272">
        <v>0</v>
      </c>
      <c r="AV272">
        <v>0</v>
      </c>
    </row>
    <row r="273" spans="1:48" ht="15.75" customHeight="1" x14ac:dyDescent="0.25">
      <c r="A273">
        <v>2</v>
      </c>
      <c r="B273">
        <v>1</v>
      </c>
      <c r="C273">
        <v>1</v>
      </c>
      <c r="D273">
        <v>1</v>
      </c>
      <c r="E273">
        <v>1997</v>
      </c>
      <c r="F273">
        <v>6</v>
      </c>
      <c r="G273">
        <v>83</v>
      </c>
      <c r="H273">
        <v>0</v>
      </c>
      <c r="I273">
        <v>0</v>
      </c>
      <c r="J273">
        <v>0</v>
      </c>
      <c r="K273">
        <v>0</v>
      </c>
      <c r="L273">
        <v>0</v>
      </c>
      <c r="M273">
        <v>0</v>
      </c>
      <c r="N273">
        <v>0</v>
      </c>
      <c r="O273">
        <v>0</v>
      </c>
      <c r="P273">
        <v>0</v>
      </c>
      <c r="Q273">
        <v>0</v>
      </c>
      <c r="R273">
        <v>0</v>
      </c>
      <c r="S273">
        <v>0</v>
      </c>
      <c r="T273">
        <v>15</v>
      </c>
      <c r="U273">
        <v>25</v>
      </c>
      <c r="V273">
        <v>15</v>
      </c>
      <c r="W273">
        <v>9</v>
      </c>
      <c r="X273">
        <v>6</v>
      </c>
      <c r="Y273">
        <v>6</v>
      </c>
      <c r="Z273">
        <v>0</v>
      </c>
      <c r="AA273">
        <v>1</v>
      </c>
      <c r="AB273">
        <v>1</v>
      </c>
      <c r="AC273">
        <v>0</v>
      </c>
      <c r="AD273">
        <v>1</v>
      </c>
      <c r="AE273">
        <v>0</v>
      </c>
      <c r="AF273">
        <v>1</v>
      </c>
      <c r="AG273">
        <v>0</v>
      </c>
      <c r="AH273">
        <v>0</v>
      </c>
      <c r="AI273">
        <v>0</v>
      </c>
      <c r="AJ273">
        <v>1</v>
      </c>
      <c r="AK273">
        <v>0</v>
      </c>
      <c r="AL273">
        <v>2</v>
      </c>
      <c r="AM273">
        <v>0</v>
      </c>
      <c r="AN273">
        <v>0</v>
      </c>
      <c r="AO273">
        <v>0</v>
      </c>
      <c r="AP273">
        <v>0</v>
      </c>
      <c r="AQ273">
        <v>0</v>
      </c>
      <c r="AR273">
        <v>0</v>
      </c>
      <c r="AS273">
        <v>0</v>
      </c>
      <c r="AT273">
        <v>0</v>
      </c>
      <c r="AU273">
        <v>0</v>
      </c>
      <c r="AV273">
        <v>0</v>
      </c>
    </row>
    <row r="274" spans="1:48" ht="15.75" customHeight="1" x14ac:dyDescent="0.25">
      <c r="A274">
        <v>2</v>
      </c>
      <c r="B274">
        <v>1</v>
      </c>
      <c r="C274">
        <v>1</v>
      </c>
      <c r="D274">
        <v>1</v>
      </c>
      <c r="E274">
        <v>1998</v>
      </c>
      <c r="F274">
        <v>1</v>
      </c>
      <c r="G274">
        <v>33</v>
      </c>
      <c r="H274">
        <v>0</v>
      </c>
      <c r="I274">
        <v>0</v>
      </c>
      <c r="J274">
        <v>0</v>
      </c>
      <c r="K274">
        <v>0</v>
      </c>
      <c r="L274">
        <v>0</v>
      </c>
      <c r="M274">
        <v>0</v>
      </c>
      <c r="N274">
        <v>0</v>
      </c>
      <c r="O274">
        <v>0</v>
      </c>
      <c r="P274">
        <v>0</v>
      </c>
      <c r="Q274">
        <v>0</v>
      </c>
      <c r="R274">
        <v>0</v>
      </c>
      <c r="S274">
        <v>0</v>
      </c>
      <c r="T274">
        <v>10</v>
      </c>
      <c r="U274">
        <v>4</v>
      </c>
      <c r="V274">
        <v>5</v>
      </c>
      <c r="W274">
        <v>5</v>
      </c>
      <c r="X274">
        <v>2</v>
      </c>
      <c r="Y274">
        <v>1</v>
      </c>
      <c r="Z274">
        <v>1</v>
      </c>
      <c r="AA274">
        <v>0</v>
      </c>
      <c r="AB274">
        <v>1</v>
      </c>
      <c r="AC274">
        <v>0</v>
      </c>
      <c r="AD274">
        <v>0</v>
      </c>
      <c r="AE274">
        <v>2</v>
      </c>
      <c r="AF274">
        <v>0</v>
      </c>
      <c r="AG274">
        <v>0</v>
      </c>
      <c r="AH274">
        <v>0</v>
      </c>
      <c r="AI274">
        <v>0</v>
      </c>
      <c r="AJ274">
        <v>2</v>
      </c>
      <c r="AK274">
        <v>0</v>
      </c>
      <c r="AL274">
        <v>0</v>
      </c>
      <c r="AM274">
        <v>0</v>
      </c>
      <c r="AN274">
        <v>0</v>
      </c>
      <c r="AO274">
        <v>0</v>
      </c>
      <c r="AP274">
        <v>0</v>
      </c>
      <c r="AQ274">
        <v>0</v>
      </c>
      <c r="AR274">
        <v>0</v>
      </c>
      <c r="AS274">
        <v>0</v>
      </c>
      <c r="AT274">
        <v>0</v>
      </c>
      <c r="AU274">
        <v>0</v>
      </c>
      <c r="AV274">
        <v>0</v>
      </c>
    </row>
    <row r="275" spans="1:48" ht="15.75" customHeight="1" x14ac:dyDescent="0.25">
      <c r="A275">
        <v>2</v>
      </c>
      <c r="B275">
        <v>1</v>
      </c>
      <c r="C275">
        <v>1</v>
      </c>
      <c r="D275">
        <v>1</v>
      </c>
      <c r="E275">
        <v>1998</v>
      </c>
      <c r="F275">
        <v>2</v>
      </c>
      <c r="G275">
        <v>163</v>
      </c>
      <c r="H275">
        <v>0</v>
      </c>
      <c r="I275">
        <v>0</v>
      </c>
      <c r="J275">
        <v>0</v>
      </c>
      <c r="K275">
        <v>0</v>
      </c>
      <c r="L275">
        <v>0</v>
      </c>
      <c r="M275">
        <v>0</v>
      </c>
      <c r="N275">
        <v>0</v>
      </c>
      <c r="O275">
        <v>0</v>
      </c>
      <c r="P275">
        <v>0</v>
      </c>
      <c r="Q275">
        <v>0</v>
      </c>
      <c r="R275">
        <v>0</v>
      </c>
      <c r="S275">
        <v>0</v>
      </c>
      <c r="T275">
        <v>38</v>
      </c>
      <c r="U275">
        <v>34</v>
      </c>
      <c r="V275">
        <v>29</v>
      </c>
      <c r="W275">
        <v>12</v>
      </c>
      <c r="X275">
        <v>4</v>
      </c>
      <c r="Y275">
        <v>6</v>
      </c>
      <c r="Z275">
        <v>5</v>
      </c>
      <c r="AA275">
        <v>5</v>
      </c>
      <c r="AB275">
        <v>6</v>
      </c>
      <c r="AC275">
        <v>4</v>
      </c>
      <c r="AD275">
        <v>2</v>
      </c>
      <c r="AE275">
        <v>3</v>
      </c>
      <c r="AF275">
        <v>3</v>
      </c>
      <c r="AG275">
        <v>2</v>
      </c>
      <c r="AH275">
        <v>3</v>
      </c>
      <c r="AI275">
        <v>1</v>
      </c>
      <c r="AJ275">
        <v>1</v>
      </c>
      <c r="AK275">
        <v>0</v>
      </c>
      <c r="AL275">
        <v>2</v>
      </c>
      <c r="AM275">
        <v>1</v>
      </c>
      <c r="AN275">
        <v>0</v>
      </c>
      <c r="AO275">
        <v>1</v>
      </c>
      <c r="AP275">
        <v>1</v>
      </c>
      <c r="AQ275">
        <v>0</v>
      </c>
      <c r="AR275">
        <v>0</v>
      </c>
      <c r="AS275">
        <v>0</v>
      </c>
      <c r="AT275">
        <v>0</v>
      </c>
      <c r="AU275">
        <v>0</v>
      </c>
      <c r="AV275">
        <v>0</v>
      </c>
    </row>
    <row r="276" spans="1:48" ht="15.75" customHeight="1" x14ac:dyDescent="0.25">
      <c r="A276">
        <v>2</v>
      </c>
      <c r="B276">
        <v>1</v>
      </c>
      <c r="C276">
        <v>1</v>
      </c>
      <c r="D276">
        <v>1</v>
      </c>
      <c r="E276">
        <v>1998</v>
      </c>
      <c r="F276">
        <v>3</v>
      </c>
      <c r="G276">
        <v>79</v>
      </c>
      <c r="H276">
        <v>0</v>
      </c>
      <c r="I276">
        <v>0</v>
      </c>
      <c r="J276">
        <v>0</v>
      </c>
      <c r="K276">
        <v>0</v>
      </c>
      <c r="L276">
        <v>0</v>
      </c>
      <c r="M276">
        <v>0</v>
      </c>
      <c r="N276">
        <v>0</v>
      </c>
      <c r="O276">
        <v>0</v>
      </c>
      <c r="P276">
        <v>0</v>
      </c>
      <c r="Q276">
        <v>0</v>
      </c>
      <c r="R276">
        <v>0</v>
      </c>
      <c r="S276">
        <v>0</v>
      </c>
      <c r="T276">
        <v>17</v>
      </c>
      <c r="U276">
        <v>13</v>
      </c>
      <c r="V276">
        <v>9</v>
      </c>
      <c r="W276">
        <v>3</v>
      </c>
      <c r="X276">
        <v>4</v>
      </c>
      <c r="Y276">
        <v>2</v>
      </c>
      <c r="Z276">
        <v>7</v>
      </c>
      <c r="AA276">
        <v>2</v>
      </c>
      <c r="AB276">
        <v>1</v>
      </c>
      <c r="AC276">
        <v>6</v>
      </c>
      <c r="AD276">
        <v>1</v>
      </c>
      <c r="AE276">
        <v>1</v>
      </c>
      <c r="AF276">
        <v>4</v>
      </c>
      <c r="AG276">
        <v>2</v>
      </c>
      <c r="AH276">
        <v>3</v>
      </c>
      <c r="AI276">
        <v>0</v>
      </c>
      <c r="AJ276">
        <v>1</v>
      </c>
      <c r="AK276">
        <v>0</v>
      </c>
      <c r="AL276">
        <v>0</v>
      </c>
      <c r="AM276">
        <v>0</v>
      </c>
      <c r="AN276">
        <v>0</v>
      </c>
      <c r="AO276">
        <v>2</v>
      </c>
      <c r="AP276">
        <v>0</v>
      </c>
      <c r="AQ276">
        <v>1</v>
      </c>
      <c r="AR276">
        <v>0</v>
      </c>
      <c r="AS276">
        <v>0</v>
      </c>
      <c r="AT276">
        <v>0</v>
      </c>
      <c r="AU276">
        <v>0</v>
      </c>
      <c r="AV276">
        <v>0</v>
      </c>
    </row>
    <row r="277" spans="1:48" ht="15.75" customHeight="1" x14ac:dyDescent="0.25">
      <c r="A277">
        <v>2</v>
      </c>
      <c r="B277">
        <v>1</v>
      </c>
      <c r="C277">
        <v>1</v>
      </c>
      <c r="D277">
        <v>1</v>
      </c>
      <c r="E277">
        <v>1998</v>
      </c>
      <c r="F277">
        <v>6</v>
      </c>
      <c r="G277">
        <v>27</v>
      </c>
      <c r="H277">
        <v>0</v>
      </c>
      <c r="I277">
        <v>0</v>
      </c>
      <c r="J277">
        <v>0</v>
      </c>
      <c r="K277">
        <v>0</v>
      </c>
      <c r="L277">
        <v>0</v>
      </c>
      <c r="M277">
        <v>0</v>
      </c>
      <c r="N277">
        <v>0</v>
      </c>
      <c r="O277">
        <v>0</v>
      </c>
      <c r="P277">
        <v>0</v>
      </c>
      <c r="Q277">
        <v>0</v>
      </c>
      <c r="R277">
        <v>0</v>
      </c>
      <c r="S277">
        <v>0</v>
      </c>
      <c r="T277">
        <v>1</v>
      </c>
      <c r="U277">
        <v>10</v>
      </c>
      <c r="V277">
        <v>9</v>
      </c>
      <c r="W277">
        <v>3</v>
      </c>
      <c r="X277">
        <v>2</v>
      </c>
      <c r="Y277">
        <v>0</v>
      </c>
      <c r="Z277">
        <v>1</v>
      </c>
      <c r="AA277">
        <v>0</v>
      </c>
      <c r="AB277">
        <v>0</v>
      </c>
      <c r="AC277">
        <v>0</v>
      </c>
      <c r="AD277">
        <v>0</v>
      </c>
      <c r="AE277">
        <v>0</v>
      </c>
      <c r="AF277">
        <v>1</v>
      </c>
      <c r="AG277">
        <v>0</v>
      </c>
      <c r="AH277">
        <v>0</v>
      </c>
      <c r="AI277">
        <v>0</v>
      </c>
      <c r="AJ277">
        <v>0</v>
      </c>
      <c r="AK277">
        <v>0</v>
      </c>
      <c r="AL277">
        <v>0</v>
      </c>
      <c r="AM277">
        <v>0</v>
      </c>
      <c r="AN277">
        <v>0</v>
      </c>
      <c r="AO277">
        <v>0</v>
      </c>
      <c r="AP277">
        <v>0</v>
      </c>
      <c r="AQ277">
        <v>0</v>
      </c>
      <c r="AR277">
        <v>0</v>
      </c>
      <c r="AS277">
        <v>0</v>
      </c>
      <c r="AT277">
        <v>0</v>
      </c>
      <c r="AU277">
        <v>0</v>
      </c>
      <c r="AV277">
        <v>0</v>
      </c>
    </row>
    <row r="278" spans="1:48" ht="15.75" customHeight="1" x14ac:dyDescent="0.25">
      <c r="A278">
        <v>2</v>
      </c>
      <c r="B278">
        <v>1</v>
      </c>
      <c r="C278">
        <v>1</v>
      </c>
      <c r="D278">
        <v>1</v>
      </c>
      <c r="E278">
        <v>1999</v>
      </c>
      <c r="F278">
        <v>1</v>
      </c>
      <c r="G278">
        <v>27</v>
      </c>
      <c r="H278">
        <v>0</v>
      </c>
      <c r="I278">
        <v>0</v>
      </c>
      <c r="J278">
        <v>0</v>
      </c>
      <c r="K278">
        <v>0</v>
      </c>
      <c r="L278">
        <v>0</v>
      </c>
      <c r="M278">
        <v>0</v>
      </c>
      <c r="N278">
        <v>0</v>
      </c>
      <c r="O278">
        <v>0</v>
      </c>
      <c r="P278">
        <v>0</v>
      </c>
      <c r="Q278">
        <v>0</v>
      </c>
      <c r="R278">
        <v>0</v>
      </c>
      <c r="S278">
        <v>0</v>
      </c>
      <c r="T278">
        <v>6</v>
      </c>
      <c r="U278">
        <v>3</v>
      </c>
      <c r="V278">
        <v>3</v>
      </c>
      <c r="W278">
        <v>4</v>
      </c>
      <c r="X278">
        <v>2</v>
      </c>
      <c r="Y278">
        <v>1</v>
      </c>
      <c r="Z278">
        <v>3</v>
      </c>
      <c r="AA278">
        <v>0</v>
      </c>
      <c r="AB278">
        <v>0</v>
      </c>
      <c r="AC278">
        <v>1</v>
      </c>
      <c r="AD278">
        <v>1</v>
      </c>
      <c r="AE278">
        <v>0</v>
      </c>
      <c r="AF278">
        <v>0</v>
      </c>
      <c r="AG278">
        <v>0</v>
      </c>
      <c r="AH278">
        <v>1</v>
      </c>
      <c r="AI278">
        <v>0</v>
      </c>
      <c r="AJ278">
        <v>0</v>
      </c>
      <c r="AK278">
        <v>0</v>
      </c>
      <c r="AL278">
        <v>2</v>
      </c>
      <c r="AM278">
        <v>0</v>
      </c>
      <c r="AN278">
        <v>0</v>
      </c>
      <c r="AO278">
        <v>0</v>
      </c>
      <c r="AP278">
        <v>0</v>
      </c>
      <c r="AQ278">
        <v>0</v>
      </c>
      <c r="AR278">
        <v>0</v>
      </c>
      <c r="AS278">
        <v>0</v>
      </c>
      <c r="AT278">
        <v>0</v>
      </c>
      <c r="AU278">
        <v>0</v>
      </c>
      <c r="AV278">
        <v>0</v>
      </c>
    </row>
    <row r="279" spans="1:48" ht="15.75" customHeight="1" x14ac:dyDescent="0.25">
      <c r="A279">
        <v>2</v>
      </c>
      <c r="B279">
        <v>1</v>
      </c>
      <c r="C279">
        <v>1</v>
      </c>
      <c r="D279">
        <v>1</v>
      </c>
      <c r="E279">
        <v>1999</v>
      </c>
      <c r="F279">
        <v>2</v>
      </c>
      <c r="G279">
        <v>126</v>
      </c>
      <c r="H279">
        <v>0</v>
      </c>
      <c r="I279">
        <v>0</v>
      </c>
      <c r="J279">
        <v>0</v>
      </c>
      <c r="K279">
        <v>0</v>
      </c>
      <c r="L279">
        <v>0</v>
      </c>
      <c r="M279">
        <v>0</v>
      </c>
      <c r="N279">
        <v>0</v>
      </c>
      <c r="O279">
        <v>0</v>
      </c>
      <c r="P279">
        <v>0</v>
      </c>
      <c r="Q279">
        <v>0</v>
      </c>
      <c r="R279">
        <v>0</v>
      </c>
      <c r="S279">
        <v>0</v>
      </c>
      <c r="T279">
        <v>40</v>
      </c>
      <c r="U279">
        <v>38</v>
      </c>
      <c r="V279">
        <v>20</v>
      </c>
      <c r="W279">
        <v>2</v>
      </c>
      <c r="X279">
        <v>2</v>
      </c>
      <c r="Y279">
        <v>1</v>
      </c>
      <c r="Z279">
        <v>2</v>
      </c>
      <c r="AA279">
        <v>3</v>
      </c>
      <c r="AB279">
        <v>0</v>
      </c>
      <c r="AC279">
        <v>2</v>
      </c>
      <c r="AD279">
        <v>1</v>
      </c>
      <c r="AE279">
        <v>1</v>
      </c>
      <c r="AF279">
        <v>2</v>
      </c>
      <c r="AG279">
        <v>0</v>
      </c>
      <c r="AH279">
        <v>2</v>
      </c>
      <c r="AI279">
        <v>0</v>
      </c>
      <c r="AJ279">
        <v>1</v>
      </c>
      <c r="AK279">
        <v>0</v>
      </c>
      <c r="AL279">
        <v>4</v>
      </c>
      <c r="AM279">
        <v>4</v>
      </c>
      <c r="AN279">
        <v>1</v>
      </c>
      <c r="AO279">
        <v>0</v>
      </c>
      <c r="AP279">
        <v>0</v>
      </c>
      <c r="AQ279">
        <v>0</v>
      </c>
      <c r="AR279">
        <v>0</v>
      </c>
      <c r="AS279">
        <v>0</v>
      </c>
      <c r="AT279">
        <v>0</v>
      </c>
      <c r="AU279">
        <v>0</v>
      </c>
      <c r="AV279">
        <v>0</v>
      </c>
    </row>
    <row r="280" spans="1:48" ht="15.75" customHeight="1" x14ac:dyDescent="0.25">
      <c r="A280">
        <v>2</v>
      </c>
      <c r="B280">
        <v>1</v>
      </c>
      <c r="C280">
        <v>1</v>
      </c>
      <c r="D280">
        <v>1</v>
      </c>
      <c r="E280">
        <v>1999</v>
      </c>
      <c r="F280">
        <v>3</v>
      </c>
      <c r="G280">
        <v>22</v>
      </c>
      <c r="H280">
        <v>0</v>
      </c>
      <c r="I280">
        <v>0</v>
      </c>
      <c r="J280">
        <v>0</v>
      </c>
      <c r="K280">
        <v>0</v>
      </c>
      <c r="L280">
        <v>0</v>
      </c>
      <c r="M280">
        <v>0</v>
      </c>
      <c r="N280">
        <v>0</v>
      </c>
      <c r="O280">
        <v>0</v>
      </c>
      <c r="P280">
        <v>0</v>
      </c>
      <c r="Q280">
        <v>0</v>
      </c>
      <c r="R280">
        <v>0</v>
      </c>
      <c r="S280">
        <v>0</v>
      </c>
      <c r="T280">
        <v>9</v>
      </c>
      <c r="U280">
        <v>4</v>
      </c>
      <c r="V280">
        <v>0</v>
      </c>
      <c r="W280">
        <v>1</v>
      </c>
      <c r="X280">
        <v>1</v>
      </c>
      <c r="Y280">
        <v>1</v>
      </c>
      <c r="Z280">
        <v>1</v>
      </c>
      <c r="AA280">
        <v>1</v>
      </c>
      <c r="AB280">
        <v>1</v>
      </c>
      <c r="AC280">
        <v>0</v>
      </c>
      <c r="AD280">
        <v>1</v>
      </c>
      <c r="AE280">
        <v>0</v>
      </c>
      <c r="AF280">
        <v>0</v>
      </c>
      <c r="AG280">
        <v>0</v>
      </c>
      <c r="AH280">
        <v>0</v>
      </c>
      <c r="AI280">
        <v>0</v>
      </c>
      <c r="AJ280">
        <v>0</v>
      </c>
      <c r="AK280">
        <v>0</v>
      </c>
      <c r="AL280">
        <v>2</v>
      </c>
      <c r="AM280">
        <v>0</v>
      </c>
      <c r="AN280">
        <v>0</v>
      </c>
      <c r="AO280">
        <v>0</v>
      </c>
      <c r="AP280">
        <v>0</v>
      </c>
      <c r="AQ280">
        <v>0</v>
      </c>
      <c r="AR280">
        <v>0</v>
      </c>
      <c r="AS280">
        <v>0</v>
      </c>
      <c r="AT280">
        <v>0</v>
      </c>
      <c r="AU280">
        <v>0</v>
      </c>
      <c r="AV280">
        <v>0</v>
      </c>
    </row>
    <row r="281" spans="1:48" ht="15.75" customHeight="1" x14ac:dyDescent="0.25">
      <c r="A281">
        <v>2</v>
      </c>
      <c r="B281">
        <v>1</v>
      </c>
      <c r="C281">
        <v>1</v>
      </c>
      <c r="D281">
        <v>1</v>
      </c>
      <c r="E281">
        <v>1999</v>
      </c>
      <c r="F281">
        <v>6</v>
      </c>
      <c r="G281">
        <v>2</v>
      </c>
      <c r="H281">
        <v>0</v>
      </c>
      <c r="I281">
        <v>0</v>
      </c>
      <c r="J281">
        <v>0</v>
      </c>
      <c r="K281">
        <v>0</v>
      </c>
      <c r="L281">
        <v>0</v>
      </c>
      <c r="M281">
        <v>0</v>
      </c>
      <c r="N281">
        <v>0</v>
      </c>
      <c r="O281">
        <v>0</v>
      </c>
      <c r="P281">
        <v>0</v>
      </c>
      <c r="Q281">
        <v>0</v>
      </c>
      <c r="R281">
        <v>0</v>
      </c>
      <c r="S281">
        <v>0</v>
      </c>
      <c r="T281">
        <v>0</v>
      </c>
      <c r="U281">
        <v>1</v>
      </c>
      <c r="V281">
        <v>1</v>
      </c>
      <c r="W281">
        <v>0</v>
      </c>
      <c r="X281">
        <v>0</v>
      </c>
      <c r="Y281">
        <v>0</v>
      </c>
      <c r="Z281">
        <v>0</v>
      </c>
      <c r="AA281">
        <v>0</v>
      </c>
      <c r="AB281">
        <v>0</v>
      </c>
      <c r="AC281">
        <v>0</v>
      </c>
      <c r="AD281">
        <v>0</v>
      </c>
      <c r="AE281">
        <v>0</v>
      </c>
      <c r="AF281">
        <v>0</v>
      </c>
      <c r="AG281">
        <v>0</v>
      </c>
      <c r="AH281">
        <v>0</v>
      </c>
      <c r="AI281">
        <v>0</v>
      </c>
      <c r="AJ281">
        <v>0</v>
      </c>
      <c r="AK281">
        <v>0</v>
      </c>
      <c r="AL281">
        <v>0</v>
      </c>
      <c r="AM281">
        <v>0</v>
      </c>
      <c r="AN281">
        <v>0</v>
      </c>
      <c r="AO281">
        <v>0</v>
      </c>
      <c r="AP281">
        <v>0</v>
      </c>
      <c r="AQ281">
        <v>0</v>
      </c>
      <c r="AR281">
        <v>0</v>
      </c>
      <c r="AS281">
        <v>0</v>
      </c>
      <c r="AT281">
        <v>0</v>
      </c>
      <c r="AU281">
        <v>0</v>
      </c>
      <c r="AV281">
        <v>0</v>
      </c>
    </row>
    <row r="282" spans="1:48" ht="15.75" customHeight="1" x14ac:dyDescent="0.25">
      <c r="A282">
        <v>2</v>
      </c>
      <c r="B282">
        <v>1</v>
      </c>
      <c r="C282">
        <v>1</v>
      </c>
      <c r="D282">
        <v>1</v>
      </c>
      <c r="E282">
        <v>2000</v>
      </c>
      <c r="F282">
        <v>1</v>
      </c>
      <c r="G282">
        <v>5</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1</v>
      </c>
      <c r="AD282">
        <v>1</v>
      </c>
      <c r="AE282">
        <v>0</v>
      </c>
      <c r="AF282">
        <v>0</v>
      </c>
      <c r="AG282">
        <v>0</v>
      </c>
      <c r="AH282">
        <v>0</v>
      </c>
      <c r="AI282">
        <v>2</v>
      </c>
      <c r="AJ282">
        <v>0</v>
      </c>
      <c r="AK282">
        <v>0</v>
      </c>
      <c r="AL282">
        <v>0</v>
      </c>
      <c r="AM282">
        <v>0</v>
      </c>
      <c r="AN282">
        <v>0</v>
      </c>
      <c r="AO282">
        <v>0</v>
      </c>
      <c r="AP282">
        <v>0</v>
      </c>
      <c r="AQ282">
        <v>1</v>
      </c>
      <c r="AR282">
        <v>0</v>
      </c>
      <c r="AS282">
        <v>0</v>
      </c>
      <c r="AT282">
        <v>0</v>
      </c>
      <c r="AU282">
        <v>0</v>
      </c>
      <c r="AV282">
        <v>0</v>
      </c>
    </row>
    <row r="283" spans="1:48" ht="15.75" customHeight="1" x14ac:dyDescent="0.25">
      <c r="A283">
        <v>2</v>
      </c>
      <c r="B283">
        <v>1</v>
      </c>
      <c r="C283">
        <v>1</v>
      </c>
      <c r="D283">
        <v>1</v>
      </c>
      <c r="E283">
        <v>2000</v>
      </c>
      <c r="F283">
        <v>2</v>
      </c>
      <c r="G283">
        <v>33</v>
      </c>
      <c r="H283">
        <v>0</v>
      </c>
      <c r="I283">
        <v>0</v>
      </c>
      <c r="J283">
        <v>0</v>
      </c>
      <c r="K283">
        <v>0</v>
      </c>
      <c r="L283">
        <v>0</v>
      </c>
      <c r="M283">
        <v>0</v>
      </c>
      <c r="N283">
        <v>0</v>
      </c>
      <c r="O283">
        <v>0</v>
      </c>
      <c r="P283">
        <v>0</v>
      </c>
      <c r="Q283">
        <v>0</v>
      </c>
      <c r="R283">
        <v>0</v>
      </c>
      <c r="S283">
        <v>0</v>
      </c>
      <c r="T283">
        <v>8</v>
      </c>
      <c r="U283">
        <v>6</v>
      </c>
      <c r="V283">
        <v>0</v>
      </c>
      <c r="W283">
        <v>0</v>
      </c>
      <c r="X283">
        <v>0</v>
      </c>
      <c r="Y283">
        <v>0</v>
      </c>
      <c r="Z283">
        <v>0</v>
      </c>
      <c r="AA283">
        <v>1</v>
      </c>
      <c r="AB283">
        <v>0</v>
      </c>
      <c r="AC283">
        <v>0</v>
      </c>
      <c r="AD283">
        <v>1</v>
      </c>
      <c r="AE283">
        <v>2</v>
      </c>
      <c r="AF283">
        <v>1</v>
      </c>
      <c r="AG283">
        <v>0</v>
      </c>
      <c r="AH283">
        <v>0</v>
      </c>
      <c r="AI283">
        <v>1</v>
      </c>
      <c r="AJ283">
        <v>2</v>
      </c>
      <c r="AK283">
        <v>8</v>
      </c>
      <c r="AL283">
        <v>0</v>
      </c>
      <c r="AM283">
        <v>1</v>
      </c>
      <c r="AN283">
        <v>0</v>
      </c>
      <c r="AO283">
        <v>0</v>
      </c>
      <c r="AP283">
        <v>0</v>
      </c>
      <c r="AQ283">
        <v>2</v>
      </c>
      <c r="AR283">
        <v>0</v>
      </c>
      <c r="AS283">
        <v>0</v>
      </c>
      <c r="AT283">
        <v>0</v>
      </c>
      <c r="AU283">
        <v>0</v>
      </c>
      <c r="AV283">
        <v>0</v>
      </c>
    </row>
    <row r="284" spans="1:48" ht="15.75" customHeight="1" x14ac:dyDescent="0.25">
      <c r="A284">
        <v>2</v>
      </c>
      <c r="B284">
        <v>1</v>
      </c>
      <c r="C284">
        <v>1</v>
      </c>
      <c r="D284">
        <v>1</v>
      </c>
      <c r="E284">
        <v>2000</v>
      </c>
      <c r="F284">
        <v>3</v>
      </c>
      <c r="G284">
        <v>4</v>
      </c>
      <c r="H284">
        <v>0</v>
      </c>
      <c r="I284">
        <v>0</v>
      </c>
      <c r="J284">
        <v>0</v>
      </c>
      <c r="K284">
        <v>0</v>
      </c>
      <c r="L284">
        <v>0</v>
      </c>
      <c r="M284">
        <v>0</v>
      </c>
      <c r="N284">
        <v>0</v>
      </c>
      <c r="O284">
        <v>0</v>
      </c>
      <c r="P284">
        <v>0</v>
      </c>
      <c r="Q284">
        <v>0</v>
      </c>
      <c r="R284">
        <v>0</v>
      </c>
      <c r="S284">
        <v>0</v>
      </c>
      <c r="T284">
        <v>0</v>
      </c>
      <c r="U284">
        <v>2</v>
      </c>
      <c r="V284">
        <v>0</v>
      </c>
      <c r="W284">
        <v>0</v>
      </c>
      <c r="X284">
        <v>0</v>
      </c>
      <c r="Y284">
        <v>1</v>
      </c>
      <c r="Z284">
        <v>0</v>
      </c>
      <c r="AA284">
        <v>0</v>
      </c>
      <c r="AB284">
        <v>0</v>
      </c>
      <c r="AC284">
        <v>0</v>
      </c>
      <c r="AD284">
        <v>0</v>
      </c>
      <c r="AE284">
        <v>0</v>
      </c>
      <c r="AF284">
        <v>0</v>
      </c>
      <c r="AG284">
        <v>0</v>
      </c>
      <c r="AH284">
        <v>0</v>
      </c>
      <c r="AI284">
        <v>0</v>
      </c>
      <c r="AJ284">
        <v>0</v>
      </c>
      <c r="AK284">
        <v>0</v>
      </c>
      <c r="AL284">
        <v>0</v>
      </c>
      <c r="AM284">
        <v>1</v>
      </c>
      <c r="AN284">
        <v>0</v>
      </c>
      <c r="AO284">
        <v>0</v>
      </c>
      <c r="AP284">
        <v>0</v>
      </c>
      <c r="AQ284">
        <v>0</v>
      </c>
      <c r="AR284">
        <v>0</v>
      </c>
      <c r="AS284">
        <v>0</v>
      </c>
      <c r="AT284">
        <v>0</v>
      </c>
      <c r="AU284">
        <v>0</v>
      </c>
      <c r="AV284">
        <v>0</v>
      </c>
    </row>
    <row r="285" spans="1:48" ht="15.75" customHeight="1" x14ac:dyDescent="0.25">
      <c r="A285">
        <v>2</v>
      </c>
      <c r="B285">
        <v>1</v>
      </c>
      <c r="C285">
        <v>1</v>
      </c>
      <c r="D285">
        <v>1</v>
      </c>
      <c r="E285">
        <v>2001</v>
      </c>
      <c r="F285">
        <v>1</v>
      </c>
      <c r="G285">
        <v>1</v>
      </c>
      <c r="H285">
        <v>0</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c r="AD285">
        <v>0</v>
      </c>
      <c r="AE285">
        <v>0</v>
      </c>
      <c r="AF285">
        <v>0</v>
      </c>
      <c r="AG285">
        <v>0</v>
      </c>
      <c r="AH285">
        <v>0</v>
      </c>
      <c r="AI285">
        <v>0</v>
      </c>
      <c r="AJ285">
        <v>1</v>
      </c>
      <c r="AK285">
        <v>0</v>
      </c>
      <c r="AL285">
        <v>0</v>
      </c>
      <c r="AM285">
        <v>0</v>
      </c>
      <c r="AN285">
        <v>0</v>
      </c>
      <c r="AO285">
        <v>0</v>
      </c>
      <c r="AP285">
        <v>0</v>
      </c>
      <c r="AQ285">
        <v>0</v>
      </c>
      <c r="AR285">
        <v>0</v>
      </c>
      <c r="AS285">
        <v>0</v>
      </c>
      <c r="AT285">
        <v>0</v>
      </c>
      <c r="AU285">
        <v>0</v>
      </c>
      <c r="AV285">
        <v>0</v>
      </c>
    </row>
    <row r="286" spans="1:48" ht="15.75" customHeight="1" x14ac:dyDescent="0.25">
      <c r="A286">
        <v>2</v>
      </c>
      <c r="B286">
        <v>1</v>
      </c>
      <c r="C286">
        <v>1</v>
      </c>
      <c r="D286">
        <v>1</v>
      </c>
      <c r="E286">
        <v>2001</v>
      </c>
      <c r="F286">
        <v>2</v>
      </c>
      <c r="G286">
        <v>7</v>
      </c>
      <c r="H286">
        <v>0</v>
      </c>
      <c r="I286">
        <v>0</v>
      </c>
      <c r="J286">
        <v>0</v>
      </c>
      <c r="K286">
        <v>0</v>
      </c>
      <c r="L286">
        <v>0</v>
      </c>
      <c r="M286">
        <v>0</v>
      </c>
      <c r="N286">
        <v>0</v>
      </c>
      <c r="O286">
        <v>0</v>
      </c>
      <c r="P286">
        <v>0</v>
      </c>
      <c r="Q286">
        <v>0</v>
      </c>
      <c r="R286">
        <v>0</v>
      </c>
      <c r="S286">
        <v>0</v>
      </c>
      <c r="T286">
        <v>2</v>
      </c>
      <c r="U286">
        <v>1</v>
      </c>
      <c r="V286">
        <v>0</v>
      </c>
      <c r="W286">
        <v>0</v>
      </c>
      <c r="X286">
        <v>0</v>
      </c>
      <c r="Y286">
        <v>0</v>
      </c>
      <c r="Z286">
        <v>0</v>
      </c>
      <c r="AA286">
        <v>0</v>
      </c>
      <c r="AB286">
        <v>0</v>
      </c>
      <c r="AC286">
        <v>0</v>
      </c>
      <c r="AD286">
        <v>0</v>
      </c>
      <c r="AE286">
        <v>0</v>
      </c>
      <c r="AF286">
        <v>0</v>
      </c>
      <c r="AG286">
        <v>0</v>
      </c>
      <c r="AH286">
        <v>2</v>
      </c>
      <c r="AI286">
        <v>0</v>
      </c>
      <c r="AJ286">
        <v>0</v>
      </c>
      <c r="AK286">
        <v>0</v>
      </c>
      <c r="AL286">
        <v>2</v>
      </c>
      <c r="AM286">
        <v>0</v>
      </c>
      <c r="AN286">
        <v>0</v>
      </c>
      <c r="AO286">
        <v>0</v>
      </c>
      <c r="AP286">
        <v>0</v>
      </c>
      <c r="AQ286">
        <v>0</v>
      </c>
      <c r="AR286">
        <v>0</v>
      </c>
      <c r="AS286">
        <v>0</v>
      </c>
      <c r="AT286">
        <v>0</v>
      </c>
      <c r="AU286">
        <v>0</v>
      </c>
      <c r="AV286">
        <v>0</v>
      </c>
    </row>
    <row r="287" spans="1:48" ht="15.75" customHeight="1" x14ac:dyDescent="0.25">
      <c r="A287">
        <v>2</v>
      </c>
      <c r="B287">
        <v>1</v>
      </c>
      <c r="C287">
        <v>1</v>
      </c>
      <c r="D287">
        <v>1</v>
      </c>
      <c r="E287">
        <v>2003</v>
      </c>
      <c r="F287">
        <v>1</v>
      </c>
      <c r="G287">
        <v>1</v>
      </c>
      <c r="H287">
        <v>0</v>
      </c>
      <c r="I287">
        <v>0</v>
      </c>
      <c r="J287">
        <v>0</v>
      </c>
      <c r="K287">
        <v>0</v>
      </c>
      <c r="L287">
        <v>0</v>
      </c>
      <c r="M287">
        <v>0</v>
      </c>
      <c r="N287">
        <v>0</v>
      </c>
      <c r="O287">
        <v>0</v>
      </c>
      <c r="P287">
        <v>0</v>
      </c>
      <c r="Q287">
        <v>0</v>
      </c>
      <c r="R287">
        <v>0</v>
      </c>
      <c r="S287">
        <v>0</v>
      </c>
      <c r="T287">
        <v>0</v>
      </c>
      <c r="U287">
        <v>0</v>
      </c>
      <c r="V287">
        <v>0</v>
      </c>
      <c r="W287">
        <v>0</v>
      </c>
      <c r="X287">
        <v>0</v>
      </c>
      <c r="Y287">
        <v>0</v>
      </c>
      <c r="Z287">
        <v>0</v>
      </c>
      <c r="AA287">
        <v>0</v>
      </c>
      <c r="AB287">
        <v>0</v>
      </c>
      <c r="AC287">
        <v>0</v>
      </c>
      <c r="AD287">
        <v>0</v>
      </c>
      <c r="AE287">
        <v>0</v>
      </c>
      <c r="AF287">
        <v>0</v>
      </c>
      <c r="AG287">
        <v>0</v>
      </c>
      <c r="AH287">
        <v>0</v>
      </c>
      <c r="AI287">
        <v>0</v>
      </c>
      <c r="AJ287">
        <v>0</v>
      </c>
      <c r="AK287">
        <v>0</v>
      </c>
      <c r="AL287">
        <v>0</v>
      </c>
      <c r="AM287">
        <v>0</v>
      </c>
      <c r="AN287">
        <v>0</v>
      </c>
      <c r="AO287">
        <v>0</v>
      </c>
      <c r="AP287">
        <v>0</v>
      </c>
      <c r="AQ287">
        <v>1</v>
      </c>
      <c r="AR287">
        <v>0</v>
      </c>
      <c r="AS287">
        <v>0</v>
      </c>
      <c r="AT287">
        <v>0</v>
      </c>
      <c r="AU287">
        <v>0</v>
      </c>
      <c r="AV287">
        <v>0</v>
      </c>
    </row>
    <row r="288" spans="1:48" ht="15.75" customHeight="1" x14ac:dyDescent="0.25">
      <c r="A288">
        <v>2</v>
      </c>
      <c r="B288">
        <v>1</v>
      </c>
      <c r="C288">
        <v>1</v>
      </c>
      <c r="D288">
        <v>1</v>
      </c>
      <c r="E288">
        <v>2003</v>
      </c>
      <c r="F288">
        <v>2</v>
      </c>
      <c r="G288">
        <v>1</v>
      </c>
      <c r="H288">
        <v>0</v>
      </c>
      <c r="I288">
        <v>0</v>
      </c>
      <c r="J288">
        <v>0</v>
      </c>
      <c r="K288">
        <v>0</v>
      </c>
      <c r="L288">
        <v>0</v>
      </c>
      <c r="M288">
        <v>0</v>
      </c>
      <c r="N288">
        <v>0</v>
      </c>
      <c r="O288">
        <v>0</v>
      </c>
      <c r="P288">
        <v>0</v>
      </c>
      <c r="Q288">
        <v>0</v>
      </c>
      <c r="R288">
        <v>0</v>
      </c>
      <c r="S288">
        <v>0</v>
      </c>
      <c r="T288">
        <v>0</v>
      </c>
      <c r="U288">
        <v>1</v>
      </c>
      <c r="V288">
        <v>0</v>
      </c>
      <c r="W288">
        <v>0</v>
      </c>
      <c r="X288">
        <v>0</v>
      </c>
      <c r="Y288">
        <v>0</v>
      </c>
      <c r="Z288">
        <v>0</v>
      </c>
      <c r="AA288">
        <v>0</v>
      </c>
      <c r="AB288">
        <v>0</v>
      </c>
      <c r="AC288">
        <v>0</v>
      </c>
      <c r="AD288">
        <v>0</v>
      </c>
      <c r="AE288">
        <v>0</v>
      </c>
      <c r="AF288">
        <v>0</v>
      </c>
      <c r="AG288">
        <v>0</v>
      </c>
      <c r="AH288">
        <v>0</v>
      </c>
      <c r="AI288">
        <v>0</v>
      </c>
      <c r="AJ288">
        <v>0</v>
      </c>
      <c r="AK288">
        <v>0</v>
      </c>
      <c r="AL288">
        <v>0</v>
      </c>
      <c r="AM288">
        <v>0</v>
      </c>
      <c r="AN288">
        <v>0</v>
      </c>
      <c r="AO288">
        <v>0</v>
      </c>
      <c r="AP288">
        <v>0</v>
      </c>
      <c r="AQ288">
        <v>0</v>
      </c>
      <c r="AR288">
        <v>0</v>
      </c>
      <c r="AS288">
        <v>0</v>
      </c>
      <c r="AT288">
        <v>0</v>
      </c>
      <c r="AU288">
        <v>0</v>
      </c>
      <c r="AV288">
        <v>0</v>
      </c>
    </row>
    <row r="289" spans="1:48" ht="15.75" customHeight="1" x14ac:dyDescent="0.25">
      <c r="A289">
        <v>2</v>
      </c>
      <c r="B289">
        <v>1</v>
      </c>
      <c r="C289">
        <v>1</v>
      </c>
      <c r="D289">
        <v>1</v>
      </c>
      <c r="E289">
        <v>2004</v>
      </c>
      <c r="F289">
        <v>2</v>
      </c>
      <c r="G289">
        <v>1</v>
      </c>
      <c r="H289">
        <v>0</v>
      </c>
      <c r="I289">
        <v>0</v>
      </c>
      <c r="J289">
        <v>0</v>
      </c>
      <c r="K289">
        <v>0</v>
      </c>
      <c r="L289">
        <v>0</v>
      </c>
      <c r="M289">
        <v>0</v>
      </c>
      <c r="N289">
        <v>0</v>
      </c>
      <c r="O289">
        <v>0</v>
      </c>
      <c r="P289">
        <v>0</v>
      </c>
      <c r="Q289">
        <v>0</v>
      </c>
      <c r="R289">
        <v>0</v>
      </c>
      <c r="S289">
        <v>0</v>
      </c>
      <c r="T289">
        <v>0</v>
      </c>
      <c r="U289">
        <v>0</v>
      </c>
      <c r="V289">
        <v>0</v>
      </c>
      <c r="W289">
        <v>0</v>
      </c>
      <c r="X289">
        <v>0</v>
      </c>
      <c r="Y289">
        <v>0</v>
      </c>
      <c r="Z289">
        <v>0</v>
      </c>
      <c r="AA289">
        <v>0</v>
      </c>
      <c r="AB289">
        <v>0</v>
      </c>
      <c r="AC289">
        <v>0</v>
      </c>
      <c r="AD289">
        <v>0</v>
      </c>
      <c r="AE289">
        <v>0</v>
      </c>
      <c r="AF289">
        <v>0</v>
      </c>
      <c r="AG289">
        <v>0</v>
      </c>
      <c r="AH289">
        <v>0</v>
      </c>
      <c r="AI289">
        <v>1</v>
      </c>
      <c r="AJ289">
        <v>0</v>
      </c>
      <c r="AK289">
        <v>0</v>
      </c>
      <c r="AL289">
        <v>0</v>
      </c>
      <c r="AM289">
        <v>0</v>
      </c>
      <c r="AN289">
        <v>0</v>
      </c>
      <c r="AO289">
        <v>0</v>
      </c>
      <c r="AP289">
        <v>0</v>
      </c>
      <c r="AQ289">
        <v>0</v>
      </c>
      <c r="AR289">
        <v>0</v>
      </c>
      <c r="AS289">
        <v>0</v>
      </c>
      <c r="AT289">
        <v>0</v>
      </c>
      <c r="AU289">
        <v>0</v>
      </c>
      <c r="AV289">
        <v>0</v>
      </c>
    </row>
    <row r="290" spans="1:48" ht="15.75" customHeight="1" x14ac:dyDescent="0.25">
      <c r="A290">
        <v>2</v>
      </c>
      <c r="B290">
        <v>1</v>
      </c>
      <c r="C290">
        <v>1</v>
      </c>
      <c r="D290">
        <v>1</v>
      </c>
      <c r="E290">
        <v>2008</v>
      </c>
      <c r="F290">
        <v>2</v>
      </c>
      <c r="G290">
        <v>1</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v>0</v>
      </c>
      <c r="AH290">
        <v>0</v>
      </c>
      <c r="AI290">
        <v>0</v>
      </c>
      <c r="AJ290">
        <v>0</v>
      </c>
      <c r="AK290">
        <v>0</v>
      </c>
      <c r="AL290">
        <v>0</v>
      </c>
      <c r="AM290">
        <v>0</v>
      </c>
      <c r="AN290">
        <v>0</v>
      </c>
      <c r="AO290">
        <v>0</v>
      </c>
      <c r="AP290">
        <v>0</v>
      </c>
      <c r="AQ290">
        <v>1</v>
      </c>
      <c r="AR290">
        <v>0</v>
      </c>
      <c r="AS290">
        <v>0</v>
      </c>
      <c r="AT290">
        <v>0</v>
      </c>
      <c r="AU290">
        <v>0</v>
      </c>
      <c r="AV290">
        <v>0</v>
      </c>
    </row>
    <row r="291" spans="1:48" ht="15.75" customHeight="1" x14ac:dyDescent="0.25">
      <c r="A291">
        <v>2</v>
      </c>
      <c r="B291">
        <v>1</v>
      </c>
      <c r="C291">
        <v>2</v>
      </c>
      <c r="D291">
        <v>1</v>
      </c>
      <c r="E291">
        <v>1992</v>
      </c>
      <c r="F291">
        <v>1</v>
      </c>
      <c r="G291">
        <v>2</v>
      </c>
      <c r="H291">
        <v>0</v>
      </c>
      <c r="I291">
        <v>0</v>
      </c>
      <c r="J291">
        <v>0</v>
      </c>
      <c r="K291">
        <v>0</v>
      </c>
      <c r="L291">
        <v>0</v>
      </c>
      <c r="M291">
        <v>0</v>
      </c>
      <c r="N291">
        <v>0</v>
      </c>
      <c r="O291">
        <v>0</v>
      </c>
      <c r="P291">
        <v>0</v>
      </c>
      <c r="Q291">
        <v>0</v>
      </c>
      <c r="R291">
        <v>0</v>
      </c>
      <c r="S291">
        <v>0</v>
      </c>
      <c r="T291">
        <v>0</v>
      </c>
      <c r="U291">
        <v>0</v>
      </c>
      <c r="V291">
        <v>0</v>
      </c>
      <c r="W291">
        <v>1</v>
      </c>
      <c r="X291">
        <v>0</v>
      </c>
      <c r="Y291">
        <v>0</v>
      </c>
      <c r="Z291">
        <v>1</v>
      </c>
      <c r="AA291">
        <v>0</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row>
    <row r="292" spans="1:48" ht="15.75" customHeight="1" x14ac:dyDescent="0.25">
      <c r="A292">
        <v>2</v>
      </c>
      <c r="B292">
        <v>1</v>
      </c>
      <c r="C292">
        <v>2</v>
      </c>
      <c r="D292">
        <v>1</v>
      </c>
      <c r="E292">
        <v>1992</v>
      </c>
      <c r="F292">
        <v>2</v>
      </c>
      <c r="G292">
        <v>3</v>
      </c>
      <c r="H292">
        <v>0</v>
      </c>
      <c r="I292">
        <v>0</v>
      </c>
      <c r="J292">
        <v>0</v>
      </c>
      <c r="K292">
        <v>0</v>
      </c>
      <c r="L292">
        <v>0</v>
      </c>
      <c r="M292">
        <v>0</v>
      </c>
      <c r="N292">
        <v>0</v>
      </c>
      <c r="O292">
        <v>0</v>
      </c>
      <c r="P292">
        <v>0</v>
      </c>
      <c r="Q292">
        <v>0</v>
      </c>
      <c r="R292">
        <v>0</v>
      </c>
      <c r="S292">
        <v>0</v>
      </c>
      <c r="T292">
        <v>0</v>
      </c>
      <c r="U292">
        <v>0</v>
      </c>
      <c r="V292">
        <v>0</v>
      </c>
      <c r="W292">
        <v>0</v>
      </c>
      <c r="X292">
        <v>0</v>
      </c>
      <c r="Y292">
        <v>1</v>
      </c>
      <c r="Z292">
        <v>1</v>
      </c>
      <c r="AA292">
        <v>0</v>
      </c>
      <c r="AB292">
        <v>0</v>
      </c>
      <c r="AC292">
        <v>0</v>
      </c>
      <c r="AD292">
        <v>0</v>
      </c>
      <c r="AE292">
        <v>0</v>
      </c>
      <c r="AF292">
        <v>0</v>
      </c>
      <c r="AG292">
        <v>0</v>
      </c>
      <c r="AH292">
        <v>1</v>
      </c>
      <c r="AI292">
        <v>0</v>
      </c>
      <c r="AJ292">
        <v>0</v>
      </c>
      <c r="AK292">
        <v>0</v>
      </c>
      <c r="AL292">
        <v>0</v>
      </c>
      <c r="AM292">
        <v>0</v>
      </c>
      <c r="AN292">
        <v>0</v>
      </c>
      <c r="AO292">
        <v>0</v>
      </c>
      <c r="AP292">
        <v>0</v>
      </c>
      <c r="AQ292">
        <v>0</v>
      </c>
      <c r="AR292">
        <v>0</v>
      </c>
      <c r="AS292">
        <v>0</v>
      </c>
      <c r="AT292">
        <v>0</v>
      </c>
      <c r="AU292">
        <v>0</v>
      </c>
      <c r="AV292">
        <v>0</v>
      </c>
    </row>
    <row r="293" spans="1:48" ht="15.75" customHeight="1" x14ac:dyDescent="0.25">
      <c r="A293">
        <v>2</v>
      </c>
      <c r="B293">
        <v>1</v>
      </c>
      <c r="C293">
        <v>2</v>
      </c>
      <c r="D293">
        <v>1</v>
      </c>
      <c r="E293">
        <v>1992</v>
      </c>
      <c r="F293">
        <v>6</v>
      </c>
      <c r="G293">
        <v>1</v>
      </c>
      <c r="H293">
        <v>0</v>
      </c>
      <c r="I293">
        <v>0</v>
      </c>
      <c r="J293">
        <v>0</v>
      </c>
      <c r="K293">
        <v>0</v>
      </c>
      <c r="L293">
        <v>0</v>
      </c>
      <c r="M293">
        <v>0</v>
      </c>
      <c r="N293">
        <v>0</v>
      </c>
      <c r="O293">
        <v>0</v>
      </c>
      <c r="P293">
        <v>0</v>
      </c>
      <c r="Q293">
        <v>0</v>
      </c>
      <c r="R293">
        <v>0</v>
      </c>
      <c r="S293">
        <v>0</v>
      </c>
      <c r="T293">
        <v>0</v>
      </c>
      <c r="U293">
        <v>0</v>
      </c>
      <c r="V293">
        <v>0</v>
      </c>
      <c r="W293">
        <v>0</v>
      </c>
      <c r="X293">
        <v>0</v>
      </c>
      <c r="Y293">
        <v>0</v>
      </c>
      <c r="Z293">
        <v>0</v>
      </c>
      <c r="AA293">
        <v>0</v>
      </c>
      <c r="AB293">
        <v>0</v>
      </c>
      <c r="AC293">
        <v>1</v>
      </c>
      <c r="AD293">
        <v>0</v>
      </c>
      <c r="AE293">
        <v>0</v>
      </c>
      <c r="AF293">
        <v>0</v>
      </c>
      <c r="AG293">
        <v>0</v>
      </c>
      <c r="AH293">
        <v>0</v>
      </c>
      <c r="AI293">
        <v>0</v>
      </c>
      <c r="AJ293">
        <v>0</v>
      </c>
      <c r="AK293">
        <v>0</v>
      </c>
      <c r="AL293">
        <v>0</v>
      </c>
      <c r="AM293">
        <v>0</v>
      </c>
      <c r="AN293">
        <v>0</v>
      </c>
      <c r="AO293">
        <v>0</v>
      </c>
      <c r="AP293">
        <v>0</v>
      </c>
      <c r="AQ293">
        <v>0</v>
      </c>
      <c r="AR293">
        <v>0</v>
      </c>
      <c r="AS293">
        <v>0</v>
      </c>
      <c r="AT293">
        <v>0</v>
      </c>
      <c r="AU293">
        <v>0</v>
      </c>
      <c r="AV293">
        <v>0</v>
      </c>
    </row>
    <row r="294" spans="1:48" ht="15.75" customHeight="1" x14ac:dyDescent="0.25">
      <c r="A294">
        <v>2</v>
      </c>
      <c r="B294">
        <v>1</v>
      </c>
      <c r="C294">
        <v>2</v>
      </c>
      <c r="D294">
        <v>1</v>
      </c>
      <c r="E294">
        <v>1993</v>
      </c>
      <c r="F294">
        <v>2</v>
      </c>
      <c r="G294">
        <v>22</v>
      </c>
      <c r="H294">
        <v>0</v>
      </c>
      <c r="I294">
        <v>0</v>
      </c>
      <c r="J294">
        <v>0</v>
      </c>
      <c r="K294">
        <v>0</v>
      </c>
      <c r="L294">
        <v>0</v>
      </c>
      <c r="M294">
        <v>0</v>
      </c>
      <c r="N294">
        <v>0</v>
      </c>
      <c r="O294">
        <v>0</v>
      </c>
      <c r="P294">
        <v>0</v>
      </c>
      <c r="Q294">
        <v>0</v>
      </c>
      <c r="R294">
        <v>0</v>
      </c>
      <c r="S294">
        <v>0</v>
      </c>
      <c r="T294">
        <v>3</v>
      </c>
      <c r="U294">
        <v>5</v>
      </c>
      <c r="V294">
        <v>4</v>
      </c>
      <c r="W294">
        <v>0</v>
      </c>
      <c r="X294">
        <v>0</v>
      </c>
      <c r="Y294">
        <v>4</v>
      </c>
      <c r="Z294">
        <v>2</v>
      </c>
      <c r="AA294">
        <v>4</v>
      </c>
      <c r="AB294">
        <v>0</v>
      </c>
      <c r="AC294">
        <v>0</v>
      </c>
      <c r="AD294">
        <v>0</v>
      </c>
      <c r="AE294">
        <v>0</v>
      </c>
      <c r="AF294">
        <v>0</v>
      </c>
      <c r="AG294">
        <v>0</v>
      </c>
      <c r="AH294">
        <v>0</v>
      </c>
      <c r="AI294">
        <v>0</v>
      </c>
      <c r="AJ294">
        <v>0</v>
      </c>
      <c r="AK294">
        <v>0</v>
      </c>
      <c r="AL294">
        <v>0</v>
      </c>
      <c r="AM294">
        <v>0</v>
      </c>
      <c r="AN294">
        <v>0</v>
      </c>
      <c r="AO294">
        <v>0</v>
      </c>
      <c r="AP294">
        <v>0</v>
      </c>
      <c r="AQ294">
        <v>0</v>
      </c>
      <c r="AR294">
        <v>0</v>
      </c>
      <c r="AS294">
        <v>0</v>
      </c>
      <c r="AT294">
        <v>0</v>
      </c>
      <c r="AU294">
        <v>0</v>
      </c>
      <c r="AV294">
        <v>0</v>
      </c>
    </row>
    <row r="295" spans="1:48" ht="15.75" customHeight="1" x14ac:dyDescent="0.25">
      <c r="A295">
        <v>2</v>
      </c>
      <c r="B295">
        <v>1</v>
      </c>
      <c r="C295">
        <v>2</v>
      </c>
      <c r="D295">
        <v>1</v>
      </c>
      <c r="E295">
        <v>1993</v>
      </c>
      <c r="F295">
        <v>3</v>
      </c>
      <c r="G295">
        <v>118</v>
      </c>
      <c r="H295">
        <v>0</v>
      </c>
      <c r="I295">
        <v>0</v>
      </c>
      <c r="J295">
        <v>0</v>
      </c>
      <c r="K295">
        <v>0</v>
      </c>
      <c r="L295">
        <v>0</v>
      </c>
      <c r="M295">
        <v>0</v>
      </c>
      <c r="N295">
        <v>0</v>
      </c>
      <c r="O295">
        <v>0</v>
      </c>
      <c r="P295">
        <v>0</v>
      </c>
      <c r="Q295">
        <v>0</v>
      </c>
      <c r="R295">
        <v>0</v>
      </c>
      <c r="S295">
        <v>0</v>
      </c>
      <c r="T295">
        <v>20</v>
      </c>
      <c r="U295">
        <v>26</v>
      </c>
      <c r="V295">
        <v>30</v>
      </c>
      <c r="W295">
        <v>7</v>
      </c>
      <c r="X295">
        <v>3</v>
      </c>
      <c r="Y295">
        <v>12</v>
      </c>
      <c r="Z295">
        <v>10</v>
      </c>
      <c r="AA295">
        <v>4</v>
      </c>
      <c r="AB295">
        <v>2</v>
      </c>
      <c r="AC295">
        <v>2</v>
      </c>
      <c r="AD295">
        <v>2</v>
      </c>
      <c r="AE295">
        <v>0</v>
      </c>
      <c r="AF295">
        <v>0</v>
      </c>
      <c r="AG295">
        <v>0</v>
      </c>
      <c r="AH295">
        <v>0</v>
      </c>
      <c r="AI295">
        <v>0</v>
      </c>
      <c r="AJ295">
        <v>0</v>
      </c>
      <c r="AK295">
        <v>0</v>
      </c>
      <c r="AL295">
        <v>0</v>
      </c>
      <c r="AM295">
        <v>0</v>
      </c>
      <c r="AN295">
        <v>0</v>
      </c>
      <c r="AO295">
        <v>0</v>
      </c>
      <c r="AP295">
        <v>0</v>
      </c>
      <c r="AQ295">
        <v>0</v>
      </c>
      <c r="AR295">
        <v>0</v>
      </c>
      <c r="AS295">
        <v>0</v>
      </c>
      <c r="AT295">
        <v>0</v>
      </c>
      <c r="AU295">
        <v>0</v>
      </c>
      <c r="AV295">
        <v>0</v>
      </c>
    </row>
    <row r="296" spans="1:48" ht="15.75" customHeight="1" x14ac:dyDescent="0.25">
      <c r="A296">
        <v>2</v>
      </c>
      <c r="B296">
        <v>1</v>
      </c>
      <c r="C296">
        <v>2</v>
      </c>
      <c r="D296">
        <v>1</v>
      </c>
      <c r="E296">
        <v>1993</v>
      </c>
      <c r="F296">
        <v>6</v>
      </c>
      <c r="G296">
        <v>265</v>
      </c>
      <c r="H296">
        <v>0</v>
      </c>
      <c r="I296">
        <v>0</v>
      </c>
      <c r="J296">
        <v>0</v>
      </c>
      <c r="K296">
        <v>0</v>
      </c>
      <c r="L296">
        <v>0</v>
      </c>
      <c r="M296">
        <v>0</v>
      </c>
      <c r="N296">
        <v>0</v>
      </c>
      <c r="O296">
        <v>0</v>
      </c>
      <c r="P296">
        <v>0</v>
      </c>
      <c r="Q296">
        <v>0</v>
      </c>
      <c r="R296">
        <v>0</v>
      </c>
      <c r="S296">
        <v>0</v>
      </c>
      <c r="T296">
        <v>10</v>
      </c>
      <c r="U296">
        <v>52</v>
      </c>
      <c r="V296">
        <v>76</v>
      </c>
      <c r="W296">
        <v>65</v>
      </c>
      <c r="X296">
        <v>34</v>
      </c>
      <c r="Y296">
        <v>14</v>
      </c>
      <c r="Z296">
        <v>2</v>
      </c>
      <c r="AA296">
        <v>6</v>
      </c>
      <c r="AB296">
        <v>2</v>
      </c>
      <c r="AC296">
        <v>0</v>
      </c>
      <c r="AD296">
        <v>0</v>
      </c>
      <c r="AE296">
        <v>0</v>
      </c>
      <c r="AF296">
        <v>2</v>
      </c>
      <c r="AG296">
        <v>0</v>
      </c>
      <c r="AH296">
        <v>0</v>
      </c>
      <c r="AI296">
        <v>0</v>
      </c>
      <c r="AJ296">
        <v>0</v>
      </c>
      <c r="AK296">
        <v>2</v>
      </c>
      <c r="AL296">
        <v>0</v>
      </c>
      <c r="AM296">
        <v>0</v>
      </c>
      <c r="AN296">
        <v>0</v>
      </c>
      <c r="AO296">
        <v>0</v>
      </c>
      <c r="AP296">
        <v>0</v>
      </c>
      <c r="AQ296">
        <v>0</v>
      </c>
      <c r="AR296">
        <v>0</v>
      </c>
      <c r="AS296">
        <v>0</v>
      </c>
      <c r="AT296">
        <v>0</v>
      </c>
      <c r="AU296">
        <v>0</v>
      </c>
      <c r="AV296">
        <v>0</v>
      </c>
    </row>
    <row r="297" spans="1:48" ht="15.75" customHeight="1" x14ac:dyDescent="0.25">
      <c r="A297">
        <v>2</v>
      </c>
      <c r="B297">
        <v>1</v>
      </c>
      <c r="C297">
        <v>2</v>
      </c>
      <c r="D297">
        <v>1</v>
      </c>
      <c r="E297">
        <v>1994</v>
      </c>
      <c r="F297">
        <v>1</v>
      </c>
      <c r="G297">
        <v>166</v>
      </c>
      <c r="H297">
        <v>0</v>
      </c>
      <c r="I297">
        <v>0</v>
      </c>
      <c r="J297">
        <v>0</v>
      </c>
      <c r="K297">
        <v>0</v>
      </c>
      <c r="L297">
        <v>0</v>
      </c>
      <c r="M297">
        <v>0</v>
      </c>
      <c r="N297">
        <v>0</v>
      </c>
      <c r="O297">
        <v>0</v>
      </c>
      <c r="P297">
        <v>0</v>
      </c>
      <c r="Q297">
        <v>0</v>
      </c>
      <c r="R297">
        <v>0</v>
      </c>
      <c r="S297">
        <v>0</v>
      </c>
      <c r="T297">
        <v>16</v>
      </c>
      <c r="U297">
        <v>46</v>
      </c>
      <c r="V297">
        <v>34</v>
      </c>
      <c r="W297">
        <v>38</v>
      </c>
      <c r="X297">
        <v>13</v>
      </c>
      <c r="Y297">
        <v>8</v>
      </c>
      <c r="Z297">
        <v>8</v>
      </c>
      <c r="AA297">
        <v>0</v>
      </c>
      <c r="AB297">
        <v>2</v>
      </c>
      <c r="AC297">
        <v>0</v>
      </c>
      <c r="AD297">
        <v>0</v>
      </c>
      <c r="AE297">
        <v>0</v>
      </c>
      <c r="AF297">
        <v>1</v>
      </c>
      <c r="AG297">
        <v>0</v>
      </c>
      <c r="AH297">
        <v>0</v>
      </c>
      <c r="AI297">
        <v>0</v>
      </c>
      <c r="AJ297">
        <v>0</v>
      </c>
      <c r="AK297">
        <v>0</v>
      </c>
      <c r="AL297">
        <v>0</v>
      </c>
      <c r="AM297">
        <v>0</v>
      </c>
      <c r="AN297">
        <v>0</v>
      </c>
      <c r="AO297">
        <v>0</v>
      </c>
      <c r="AP297">
        <v>0</v>
      </c>
      <c r="AQ297">
        <v>0</v>
      </c>
      <c r="AR297">
        <v>0</v>
      </c>
      <c r="AS297">
        <v>0</v>
      </c>
      <c r="AT297">
        <v>0</v>
      </c>
      <c r="AU297">
        <v>0</v>
      </c>
      <c r="AV297">
        <v>0</v>
      </c>
    </row>
    <row r="298" spans="1:48" ht="15.75" customHeight="1" x14ac:dyDescent="0.25">
      <c r="A298">
        <v>2</v>
      </c>
      <c r="B298">
        <v>1</v>
      </c>
      <c r="C298">
        <v>2</v>
      </c>
      <c r="D298">
        <v>1</v>
      </c>
      <c r="E298">
        <v>1994</v>
      </c>
      <c r="F298">
        <v>2</v>
      </c>
      <c r="G298">
        <v>259</v>
      </c>
      <c r="H298">
        <v>0</v>
      </c>
      <c r="I298">
        <v>0</v>
      </c>
      <c r="J298">
        <v>0</v>
      </c>
      <c r="K298">
        <v>0</v>
      </c>
      <c r="L298">
        <v>0</v>
      </c>
      <c r="M298">
        <v>0</v>
      </c>
      <c r="N298">
        <v>0</v>
      </c>
      <c r="O298">
        <v>0</v>
      </c>
      <c r="P298">
        <v>0</v>
      </c>
      <c r="Q298">
        <v>0</v>
      </c>
      <c r="R298">
        <v>0</v>
      </c>
      <c r="S298">
        <v>0</v>
      </c>
      <c r="T298">
        <v>17</v>
      </c>
      <c r="U298">
        <v>44</v>
      </c>
      <c r="V298">
        <v>42</v>
      </c>
      <c r="W298">
        <v>39</v>
      </c>
      <c r="X298">
        <v>24</v>
      </c>
      <c r="Y298">
        <v>19</v>
      </c>
      <c r="Z298">
        <v>22</v>
      </c>
      <c r="AA298">
        <v>18</v>
      </c>
      <c r="AB298">
        <v>10</v>
      </c>
      <c r="AC298">
        <v>8</v>
      </c>
      <c r="AD298">
        <v>6</v>
      </c>
      <c r="AE298">
        <v>6</v>
      </c>
      <c r="AF298">
        <v>2</v>
      </c>
      <c r="AG298">
        <v>2</v>
      </c>
      <c r="AH298">
        <v>0</v>
      </c>
      <c r="AI298">
        <v>0</v>
      </c>
      <c r="AJ298">
        <v>0</v>
      </c>
      <c r="AK298">
        <v>0</v>
      </c>
      <c r="AL298">
        <v>0</v>
      </c>
      <c r="AM298">
        <v>0</v>
      </c>
      <c r="AN298">
        <v>0</v>
      </c>
      <c r="AO298">
        <v>0</v>
      </c>
      <c r="AP298">
        <v>0</v>
      </c>
      <c r="AQ298">
        <v>0</v>
      </c>
      <c r="AR298">
        <v>0</v>
      </c>
      <c r="AS298">
        <v>0</v>
      </c>
      <c r="AT298">
        <v>0</v>
      </c>
      <c r="AU298">
        <v>0</v>
      </c>
      <c r="AV298">
        <v>0</v>
      </c>
    </row>
    <row r="299" spans="1:48" ht="15.75" customHeight="1" x14ac:dyDescent="0.25">
      <c r="A299">
        <v>2</v>
      </c>
      <c r="B299">
        <v>1</v>
      </c>
      <c r="C299">
        <v>2</v>
      </c>
      <c r="D299">
        <v>1</v>
      </c>
      <c r="E299">
        <v>1994</v>
      </c>
      <c r="F299">
        <v>3</v>
      </c>
      <c r="G299">
        <v>56</v>
      </c>
      <c r="H299">
        <v>0</v>
      </c>
      <c r="I299">
        <v>0</v>
      </c>
      <c r="J299">
        <v>0</v>
      </c>
      <c r="K299">
        <v>0</v>
      </c>
      <c r="L299">
        <v>0</v>
      </c>
      <c r="M299">
        <v>0</v>
      </c>
      <c r="N299">
        <v>0</v>
      </c>
      <c r="O299">
        <v>0</v>
      </c>
      <c r="P299">
        <v>0</v>
      </c>
      <c r="Q299">
        <v>0</v>
      </c>
      <c r="R299">
        <v>0</v>
      </c>
      <c r="S299">
        <v>0</v>
      </c>
      <c r="T299">
        <v>11</v>
      </c>
      <c r="U299">
        <v>11</v>
      </c>
      <c r="V299">
        <v>8</v>
      </c>
      <c r="W299">
        <v>8</v>
      </c>
      <c r="X299">
        <v>2</v>
      </c>
      <c r="Y299">
        <v>4</v>
      </c>
      <c r="Z299">
        <v>0</v>
      </c>
      <c r="AA299">
        <v>4</v>
      </c>
      <c r="AB299">
        <v>6</v>
      </c>
      <c r="AC299">
        <v>0</v>
      </c>
      <c r="AD299">
        <v>0</v>
      </c>
      <c r="AE299">
        <v>0</v>
      </c>
      <c r="AF299">
        <v>2</v>
      </c>
      <c r="AG299">
        <v>0</v>
      </c>
      <c r="AH299">
        <v>0</v>
      </c>
      <c r="AI299">
        <v>0</v>
      </c>
      <c r="AJ299">
        <v>0</v>
      </c>
      <c r="AK299">
        <v>0</v>
      </c>
      <c r="AL299">
        <v>0</v>
      </c>
      <c r="AM299">
        <v>0</v>
      </c>
      <c r="AN299">
        <v>0</v>
      </c>
      <c r="AO299">
        <v>0</v>
      </c>
      <c r="AP299">
        <v>0</v>
      </c>
      <c r="AQ299">
        <v>0</v>
      </c>
      <c r="AR299">
        <v>0</v>
      </c>
      <c r="AS299">
        <v>0</v>
      </c>
      <c r="AT299">
        <v>0</v>
      </c>
      <c r="AU299">
        <v>0</v>
      </c>
      <c r="AV299">
        <v>0</v>
      </c>
    </row>
    <row r="300" spans="1:48" ht="15.75" customHeight="1" x14ac:dyDescent="0.25">
      <c r="A300">
        <v>2</v>
      </c>
      <c r="B300">
        <v>1</v>
      </c>
      <c r="C300">
        <v>2</v>
      </c>
      <c r="D300">
        <v>1</v>
      </c>
      <c r="E300">
        <v>1994</v>
      </c>
      <c r="F300">
        <v>6</v>
      </c>
      <c r="G300">
        <v>24</v>
      </c>
      <c r="H300">
        <v>0</v>
      </c>
      <c r="I300">
        <v>0</v>
      </c>
      <c r="J300">
        <v>0</v>
      </c>
      <c r="K300">
        <v>0</v>
      </c>
      <c r="L300">
        <v>0</v>
      </c>
      <c r="M300">
        <v>0</v>
      </c>
      <c r="N300">
        <v>0</v>
      </c>
      <c r="O300">
        <v>0</v>
      </c>
      <c r="P300">
        <v>0</v>
      </c>
      <c r="Q300">
        <v>0</v>
      </c>
      <c r="R300">
        <v>0</v>
      </c>
      <c r="S300">
        <v>0</v>
      </c>
      <c r="T300">
        <v>0</v>
      </c>
      <c r="U300">
        <v>2</v>
      </c>
      <c r="V300">
        <v>2</v>
      </c>
      <c r="W300">
        <v>0</v>
      </c>
      <c r="X300">
        <v>0</v>
      </c>
      <c r="Y300">
        <v>0</v>
      </c>
      <c r="Z300">
        <v>6</v>
      </c>
      <c r="AA300">
        <v>6</v>
      </c>
      <c r="AB300">
        <v>2</v>
      </c>
      <c r="AC300">
        <v>2</v>
      </c>
      <c r="AD300">
        <v>0</v>
      </c>
      <c r="AE300">
        <v>0</v>
      </c>
      <c r="AF300">
        <v>2</v>
      </c>
      <c r="AG300">
        <v>2</v>
      </c>
      <c r="AH300">
        <v>0</v>
      </c>
      <c r="AI300">
        <v>0</v>
      </c>
      <c r="AJ300">
        <v>0</v>
      </c>
      <c r="AK300">
        <v>0</v>
      </c>
      <c r="AL300">
        <v>0</v>
      </c>
      <c r="AM300">
        <v>0</v>
      </c>
      <c r="AN300">
        <v>0</v>
      </c>
      <c r="AO300">
        <v>0</v>
      </c>
      <c r="AP300">
        <v>0</v>
      </c>
      <c r="AQ300">
        <v>0</v>
      </c>
      <c r="AR300">
        <v>0</v>
      </c>
      <c r="AS300">
        <v>0</v>
      </c>
      <c r="AT300">
        <v>0</v>
      </c>
      <c r="AU300">
        <v>0</v>
      </c>
      <c r="AV300">
        <v>0</v>
      </c>
    </row>
    <row r="301" spans="1:48" ht="15.75" customHeight="1" x14ac:dyDescent="0.25">
      <c r="A301">
        <v>2</v>
      </c>
      <c r="B301">
        <v>1</v>
      </c>
      <c r="C301">
        <v>2</v>
      </c>
      <c r="D301">
        <v>1</v>
      </c>
      <c r="E301">
        <v>1995</v>
      </c>
      <c r="F301">
        <v>1</v>
      </c>
      <c r="G301">
        <v>50</v>
      </c>
      <c r="H301">
        <v>0</v>
      </c>
      <c r="I301">
        <v>0</v>
      </c>
      <c r="J301">
        <v>0</v>
      </c>
      <c r="K301">
        <v>0</v>
      </c>
      <c r="L301">
        <v>0</v>
      </c>
      <c r="M301">
        <v>0</v>
      </c>
      <c r="N301">
        <v>0</v>
      </c>
      <c r="O301">
        <v>0</v>
      </c>
      <c r="P301">
        <v>0</v>
      </c>
      <c r="Q301">
        <v>0</v>
      </c>
      <c r="R301">
        <v>0</v>
      </c>
      <c r="S301">
        <v>0</v>
      </c>
      <c r="T301">
        <v>2</v>
      </c>
      <c r="U301">
        <v>6</v>
      </c>
      <c r="V301">
        <v>2</v>
      </c>
      <c r="W301">
        <v>6</v>
      </c>
      <c r="X301">
        <v>4</v>
      </c>
      <c r="Y301">
        <v>10</v>
      </c>
      <c r="Z301">
        <v>2</v>
      </c>
      <c r="AA301">
        <v>2</v>
      </c>
      <c r="AB301">
        <v>2</v>
      </c>
      <c r="AC301">
        <v>6</v>
      </c>
      <c r="AD301">
        <v>2</v>
      </c>
      <c r="AE301">
        <v>0</v>
      </c>
      <c r="AF301">
        <v>2</v>
      </c>
      <c r="AG301">
        <v>0</v>
      </c>
      <c r="AH301">
        <v>4</v>
      </c>
      <c r="AI301">
        <v>0</v>
      </c>
      <c r="AJ301">
        <v>0</v>
      </c>
      <c r="AK301">
        <v>0</v>
      </c>
      <c r="AL301">
        <v>0</v>
      </c>
      <c r="AM301">
        <v>0</v>
      </c>
      <c r="AN301">
        <v>0</v>
      </c>
      <c r="AO301">
        <v>0</v>
      </c>
      <c r="AP301">
        <v>0</v>
      </c>
      <c r="AQ301">
        <v>0</v>
      </c>
      <c r="AR301">
        <v>0</v>
      </c>
      <c r="AS301">
        <v>0</v>
      </c>
      <c r="AT301">
        <v>0</v>
      </c>
      <c r="AU301">
        <v>0</v>
      </c>
      <c r="AV301">
        <v>0</v>
      </c>
    </row>
    <row r="302" spans="1:48" ht="15.75" customHeight="1" x14ac:dyDescent="0.25">
      <c r="A302">
        <v>2</v>
      </c>
      <c r="B302">
        <v>1</v>
      </c>
      <c r="C302">
        <v>2</v>
      </c>
      <c r="D302">
        <v>1</v>
      </c>
      <c r="E302">
        <v>1995</v>
      </c>
      <c r="F302">
        <v>2</v>
      </c>
      <c r="G302">
        <v>201</v>
      </c>
      <c r="H302">
        <v>0</v>
      </c>
      <c r="I302">
        <v>0</v>
      </c>
      <c r="J302">
        <v>0</v>
      </c>
      <c r="K302">
        <v>0</v>
      </c>
      <c r="L302">
        <v>0</v>
      </c>
      <c r="M302">
        <v>0</v>
      </c>
      <c r="N302">
        <v>0</v>
      </c>
      <c r="O302">
        <v>0</v>
      </c>
      <c r="P302">
        <v>0</v>
      </c>
      <c r="Q302">
        <v>0</v>
      </c>
      <c r="R302">
        <v>0</v>
      </c>
      <c r="S302">
        <v>0</v>
      </c>
      <c r="T302">
        <v>16</v>
      </c>
      <c r="U302">
        <v>22</v>
      </c>
      <c r="V302">
        <v>8</v>
      </c>
      <c r="W302">
        <v>6</v>
      </c>
      <c r="X302">
        <v>12</v>
      </c>
      <c r="Y302">
        <v>4</v>
      </c>
      <c r="Z302">
        <v>6</v>
      </c>
      <c r="AA302">
        <v>10</v>
      </c>
      <c r="AB302">
        <v>16</v>
      </c>
      <c r="AC302">
        <v>16</v>
      </c>
      <c r="AD302">
        <v>16</v>
      </c>
      <c r="AE302">
        <v>12</v>
      </c>
      <c r="AF302">
        <v>14</v>
      </c>
      <c r="AG302">
        <v>10</v>
      </c>
      <c r="AH302">
        <v>16</v>
      </c>
      <c r="AI302">
        <v>2</v>
      </c>
      <c r="AJ302">
        <v>1</v>
      </c>
      <c r="AK302">
        <v>4</v>
      </c>
      <c r="AL302">
        <v>3</v>
      </c>
      <c r="AM302">
        <v>1</v>
      </c>
      <c r="AN302">
        <v>2</v>
      </c>
      <c r="AO302">
        <v>0</v>
      </c>
      <c r="AP302">
        <v>2</v>
      </c>
      <c r="AQ302">
        <v>2</v>
      </c>
      <c r="AR302">
        <v>0</v>
      </c>
      <c r="AS302">
        <v>0</v>
      </c>
      <c r="AT302">
        <v>0</v>
      </c>
      <c r="AU302">
        <v>0</v>
      </c>
      <c r="AV302">
        <v>0</v>
      </c>
    </row>
    <row r="303" spans="1:48" ht="15.75" customHeight="1" x14ac:dyDescent="0.25">
      <c r="A303">
        <v>2</v>
      </c>
      <c r="B303">
        <v>1</v>
      </c>
      <c r="C303">
        <v>2</v>
      </c>
      <c r="D303">
        <v>1</v>
      </c>
      <c r="E303">
        <v>1995</v>
      </c>
      <c r="F303">
        <v>3</v>
      </c>
      <c r="G303">
        <v>42</v>
      </c>
      <c r="H303">
        <v>0</v>
      </c>
      <c r="I303">
        <v>0</v>
      </c>
      <c r="J303">
        <v>0</v>
      </c>
      <c r="K303">
        <v>0</v>
      </c>
      <c r="L303">
        <v>0</v>
      </c>
      <c r="M303">
        <v>0</v>
      </c>
      <c r="N303">
        <v>0</v>
      </c>
      <c r="O303">
        <v>0</v>
      </c>
      <c r="P303">
        <v>0</v>
      </c>
      <c r="Q303">
        <v>0</v>
      </c>
      <c r="R303">
        <v>0</v>
      </c>
      <c r="S303">
        <v>0</v>
      </c>
      <c r="T303">
        <v>8</v>
      </c>
      <c r="U303">
        <v>4</v>
      </c>
      <c r="V303">
        <v>2</v>
      </c>
      <c r="W303">
        <v>6</v>
      </c>
      <c r="X303">
        <v>4</v>
      </c>
      <c r="Y303">
        <v>4</v>
      </c>
      <c r="Z303">
        <v>0</v>
      </c>
      <c r="AA303">
        <v>4</v>
      </c>
      <c r="AB303">
        <v>8</v>
      </c>
      <c r="AC303">
        <v>0</v>
      </c>
      <c r="AD303">
        <v>0</v>
      </c>
      <c r="AE303">
        <v>2</v>
      </c>
      <c r="AF303">
        <v>0</v>
      </c>
      <c r="AG303">
        <v>0</v>
      </c>
      <c r="AH303">
        <v>0</v>
      </c>
      <c r="AI303">
        <v>0</v>
      </c>
      <c r="AJ303">
        <v>0</v>
      </c>
      <c r="AK303">
        <v>0</v>
      </c>
      <c r="AL303">
        <v>0</v>
      </c>
      <c r="AM303">
        <v>0</v>
      </c>
      <c r="AN303">
        <v>0</v>
      </c>
      <c r="AO303">
        <v>0</v>
      </c>
      <c r="AP303">
        <v>0</v>
      </c>
      <c r="AQ303">
        <v>0</v>
      </c>
      <c r="AR303">
        <v>0</v>
      </c>
      <c r="AS303">
        <v>0</v>
      </c>
      <c r="AT303">
        <v>0</v>
      </c>
      <c r="AU303">
        <v>0</v>
      </c>
      <c r="AV303">
        <v>0</v>
      </c>
    </row>
    <row r="304" spans="1:48" ht="15.75" customHeight="1" x14ac:dyDescent="0.25">
      <c r="A304">
        <v>2</v>
      </c>
      <c r="B304">
        <v>1</v>
      </c>
      <c r="C304">
        <v>2</v>
      </c>
      <c r="D304">
        <v>1</v>
      </c>
      <c r="E304">
        <v>1995</v>
      </c>
      <c r="F304">
        <v>6</v>
      </c>
      <c r="G304">
        <v>22</v>
      </c>
      <c r="H304">
        <v>0</v>
      </c>
      <c r="I304">
        <v>0</v>
      </c>
      <c r="J304">
        <v>0</v>
      </c>
      <c r="K304">
        <v>0</v>
      </c>
      <c r="L304">
        <v>0</v>
      </c>
      <c r="M304">
        <v>0</v>
      </c>
      <c r="N304">
        <v>0</v>
      </c>
      <c r="O304">
        <v>0</v>
      </c>
      <c r="P304">
        <v>0</v>
      </c>
      <c r="Q304">
        <v>0</v>
      </c>
      <c r="R304">
        <v>0</v>
      </c>
      <c r="S304">
        <v>0</v>
      </c>
      <c r="T304">
        <v>0</v>
      </c>
      <c r="U304">
        <v>0</v>
      </c>
      <c r="V304">
        <v>0</v>
      </c>
      <c r="W304">
        <v>2</v>
      </c>
      <c r="X304">
        <v>0</v>
      </c>
      <c r="Y304">
        <v>0</v>
      </c>
      <c r="Z304">
        <v>4</v>
      </c>
      <c r="AA304">
        <v>0</v>
      </c>
      <c r="AB304">
        <v>0</v>
      </c>
      <c r="AC304">
        <v>0</v>
      </c>
      <c r="AD304">
        <v>2</v>
      </c>
      <c r="AE304">
        <v>4</v>
      </c>
      <c r="AF304">
        <v>2</v>
      </c>
      <c r="AG304">
        <v>0</v>
      </c>
      <c r="AH304">
        <v>2</v>
      </c>
      <c r="AI304">
        <v>0</v>
      </c>
      <c r="AJ304">
        <v>2</v>
      </c>
      <c r="AK304">
        <v>0</v>
      </c>
      <c r="AL304">
        <v>0</v>
      </c>
      <c r="AM304">
        <v>2</v>
      </c>
      <c r="AN304">
        <v>0</v>
      </c>
      <c r="AO304">
        <v>2</v>
      </c>
      <c r="AP304">
        <v>0</v>
      </c>
      <c r="AQ304">
        <v>0</v>
      </c>
      <c r="AR304">
        <v>0</v>
      </c>
      <c r="AS304">
        <v>0</v>
      </c>
      <c r="AT304">
        <v>0</v>
      </c>
      <c r="AU304">
        <v>0</v>
      </c>
      <c r="AV304">
        <v>0</v>
      </c>
    </row>
    <row r="305" spans="1:48" ht="15.75" customHeight="1" x14ac:dyDescent="0.25">
      <c r="A305">
        <v>2</v>
      </c>
      <c r="B305">
        <v>1</v>
      </c>
      <c r="C305">
        <v>2</v>
      </c>
      <c r="D305">
        <v>1</v>
      </c>
      <c r="E305">
        <v>1996</v>
      </c>
      <c r="F305">
        <v>1</v>
      </c>
      <c r="G305">
        <v>14</v>
      </c>
      <c r="H305">
        <v>0</v>
      </c>
      <c r="I305">
        <v>0</v>
      </c>
      <c r="J305">
        <v>0</v>
      </c>
      <c r="K305">
        <v>0</v>
      </c>
      <c r="L305">
        <v>0</v>
      </c>
      <c r="M305">
        <v>0</v>
      </c>
      <c r="N305">
        <v>0</v>
      </c>
      <c r="O305">
        <v>0</v>
      </c>
      <c r="P305">
        <v>0</v>
      </c>
      <c r="Q305">
        <v>0</v>
      </c>
      <c r="R305">
        <v>0</v>
      </c>
      <c r="S305">
        <v>0</v>
      </c>
      <c r="T305">
        <v>0</v>
      </c>
      <c r="U305">
        <v>4</v>
      </c>
      <c r="V305">
        <v>0</v>
      </c>
      <c r="W305">
        <v>0</v>
      </c>
      <c r="X305">
        <v>4</v>
      </c>
      <c r="Y305">
        <v>0</v>
      </c>
      <c r="Z305">
        <v>0</v>
      </c>
      <c r="AA305">
        <v>2</v>
      </c>
      <c r="AB305">
        <v>0</v>
      </c>
      <c r="AC305">
        <v>0</v>
      </c>
      <c r="AD305">
        <v>0</v>
      </c>
      <c r="AE305">
        <v>0</v>
      </c>
      <c r="AF305">
        <v>0</v>
      </c>
      <c r="AG305">
        <v>2</v>
      </c>
      <c r="AH305">
        <v>0</v>
      </c>
      <c r="AI305">
        <v>0</v>
      </c>
      <c r="AJ305">
        <v>0</v>
      </c>
      <c r="AK305">
        <v>0</v>
      </c>
      <c r="AL305">
        <v>0</v>
      </c>
      <c r="AM305">
        <v>2</v>
      </c>
      <c r="AN305">
        <v>0</v>
      </c>
      <c r="AO305">
        <v>0</v>
      </c>
      <c r="AP305">
        <v>0</v>
      </c>
      <c r="AQ305">
        <v>0</v>
      </c>
      <c r="AR305">
        <v>0</v>
      </c>
      <c r="AS305">
        <v>0</v>
      </c>
      <c r="AT305">
        <v>0</v>
      </c>
      <c r="AU305">
        <v>0</v>
      </c>
      <c r="AV305">
        <v>0</v>
      </c>
    </row>
    <row r="306" spans="1:48" ht="15.75" customHeight="1" x14ac:dyDescent="0.25">
      <c r="A306">
        <v>2</v>
      </c>
      <c r="B306">
        <v>1</v>
      </c>
      <c r="C306">
        <v>2</v>
      </c>
      <c r="D306">
        <v>1</v>
      </c>
      <c r="E306">
        <v>1996</v>
      </c>
      <c r="F306">
        <v>2</v>
      </c>
      <c r="G306">
        <v>241</v>
      </c>
      <c r="H306">
        <v>0</v>
      </c>
      <c r="I306">
        <v>0</v>
      </c>
      <c r="J306">
        <v>0</v>
      </c>
      <c r="K306">
        <v>0</v>
      </c>
      <c r="L306">
        <v>0</v>
      </c>
      <c r="M306">
        <v>0</v>
      </c>
      <c r="N306">
        <v>0</v>
      </c>
      <c r="O306">
        <v>0</v>
      </c>
      <c r="P306">
        <v>0</v>
      </c>
      <c r="Q306">
        <v>0</v>
      </c>
      <c r="R306">
        <v>0</v>
      </c>
      <c r="S306">
        <v>0</v>
      </c>
      <c r="T306">
        <v>11</v>
      </c>
      <c r="U306">
        <v>13</v>
      </c>
      <c r="V306">
        <v>13</v>
      </c>
      <c r="W306">
        <v>2</v>
      </c>
      <c r="X306">
        <v>12</v>
      </c>
      <c r="Y306">
        <v>1</v>
      </c>
      <c r="Z306">
        <v>2</v>
      </c>
      <c r="AA306">
        <v>16</v>
      </c>
      <c r="AB306">
        <v>14</v>
      </c>
      <c r="AC306">
        <v>22</v>
      </c>
      <c r="AD306">
        <v>25</v>
      </c>
      <c r="AE306">
        <v>24</v>
      </c>
      <c r="AF306">
        <v>26</v>
      </c>
      <c r="AG306">
        <v>19</v>
      </c>
      <c r="AH306">
        <v>21</v>
      </c>
      <c r="AI306">
        <v>8</v>
      </c>
      <c r="AJ306">
        <v>2</v>
      </c>
      <c r="AK306">
        <v>6</v>
      </c>
      <c r="AL306">
        <v>0</v>
      </c>
      <c r="AM306">
        <v>2</v>
      </c>
      <c r="AN306">
        <v>0</v>
      </c>
      <c r="AO306">
        <v>2</v>
      </c>
      <c r="AP306">
        <v>0</v>
      </c>
      <c r="AQ306">
        <v>0</v>
      </c>
      <c r="AR306">
        <v>0</v>
      </c>
      <c r="AS306">
        <v>0</v>
      </c>
      <c r="AT306">
        <v>0</v>
      </c>
      <c r="AU306">
        <v>0</v>
      </c>
      <c r="AV306">
        <v>0</v>
      </c>
    </row>
    <row r="307" spans="1:48" ht="15.75" customHeight="1" x14ac:dyDescent="0.25">
      <c r="A307">
        <v>2</v>
      </c>
      <c r="B307">
        <v>1</v>
      </c>
      <c r="C307">
        <v>2</v>
      </c>
      <c r="D307">
        <v>1</v>
      </c>
      <c r="E307">
        <v>1996</v>
      </c>
      <c r="F307">
        <v>3</v>
      </c>
      <c r="G307">
        <v>37</v>
      </c>
      <c r="H307">
        <v>0</v>
      </c>
      <c r="I307">
        <v>0</v>
      </c>
      <c r="J307">
        <v>0</v>
      </c>
      <c r="K307">
        <v>0</v>
      </c>
      <c r="L307">
        <v>0</v>
      </c>
      <c r="M307">
        <v>0</v>
      </c>
      <c r="N307">
        <v>0</v>
      </c>
      <c r="O307">
        <v>0</v>
      </c>
      <c r="P307">
        <v>0</v>
      </c>
      <c r="Q307">
        <v>0</v>
      </c>
      <c r="R307">
        <v>0</v>
      </c>
      <c r="S307">
        <v>0</v>
      </c>
      <c r="T307">
        <v>6</v>
      </c>
      <c r="U307">
        <v>0</v>
      </c>
      <c r="V307">
        <v>3</v>
      </c>
      <c r="W307">
        <v>0</v>
      </c>
      <c r="X307">
        <v>6</v>
      </c>
      <c r="Y307">
        <v>1</v>
      </c>
      <c r="Z307">
        <v>2</v>
      </c>
      <c r="AA307">
        <v>3</v>
      </c>
      <c r="AB307">
        <v>4</v>
      </c>
      <c r="AC307">
        <v>2</v>
      </c>
      <c r="AD307">
        <v>0</v>
      </c>
      <c r="AE307">
        <v>0</v>
      </c>
      <c r="AF307">
        <v>3</v>
      </c>
      <c r="AG307">
        <v>0</v>
      </c>
      <c r="AH307">
        <v>6</v>
      </c>
      <c r="AI307">
        <v>0</v>
      </c>
      <c r="AJ307">
        <v>0</v>
      </c>
      <c r="AK307">
        <v>0</v>
      </c>
      <c r="AL307">
        <v>0</v>
      </c>
      <c r="AM307">
        <v>1</v>
      </c>
      <c r="AN307">
        <v>0</v>
      </c>
      <c r="AO307">
        <v>0</v>
      </c>
      <c r="AP307">
        <v>0</v>
      </c>
      <c r="AQ307">
        <v>0</v>
      </c>
      <c r="AR307">
        <v>0</v>
      </c>
      <c r="AS307">
        <v>0</v>
      </c>
      <c r="AT307">
        <v>0</v>
      </c>
      <c r="AU307">
        <v>0</v>
      </c>
      <c r="AV307">
        <v>0</v>
      </c>
    </row>
    <row r="308" spans="1:48" ht="15.75" customHeight="1" x14ac:dyDescent="0.25">
      <c r="A308">
        <v>2</v>
      </c>
      <c r="B308">
        <v>1</v>
      </c>
      <c r="C308">
        <v>2</v>
      </c>
      <c r="D308">
        <v>1</v>
      </c>
      <c r="E308">
        <v>1996</v>
      </c>
      <c r="F308">
        <v>6</v>
      </c>
      <c r="G308">
        <v>23</v>
      </c>
      <c r="H308">
        <v>0</v>
      </c>
      <c r="I308">
        <v>0</v>
      </c>
      <c r="J308">
        <v>0</v>
      </c>
      <c r="K308">
        <v>0</v>
      </c>
      <c r="L308">
        <v>0</v>
      </c>
      <c r="M308">
        <v>0</v>
      </c>
      <c r="N308">
        <v>0</v>
      </c>
      <c r="O308">
        <v>0</v>
      </c>
      <c r="P308">
        <v>0</v>
      </c>
      <c r="Q308">
        <v>0</v>
      </c>
      <c r="R308">
        <v>0</v>
      </c>
      <c r="S308">
        <v>0</v>
      </c>
      <c r="T308">
        <v>1</v>
      </c>
      <c r="U308">
        <v>0</v>
      </c>
      <c r="V308">
        <v>2</v>
      </c>
      <c r="W308">
        <v>0</v>
      </c>
      <c r="X308">
        <v>0</v>
      </c>
      <c r="Y308">
        <v>0</v>
      </c>
      <c r="Z308">
        <v>0</v>
      </c>
      <c r="AA308">
        <v>0</v>
      </c>
      <c r="AB308">
        <v>0</v>
      </c>
      <c r="AC308">
        <v>1</v>
      </c>
      <c r="AD308">
        <v>1</v>
      </c>
      <c r="AE308">
        <v>4</v>
      </c>
      <c r="AF308">
        <v>4</v>
      </c>
      <c r="AG308">
        <v>0</v>
      </c>
      <c r="AH308">
        <v>1</v>
      </c>
      <c r="AI308">
        <v>0</v>
      </c>
      <c r="AJ308">
        <v>4</v>
      </c>
      <c r="AK308">
        <v>0</v>
      </c>
      <c r="AL308">
        <v>4</v>
      </c>
      <c r="AM308">
        <v>0</v>
      </c>
      <c r="AN308">
        <v>0</v>
      </c>
      <c r="AO308">
        <v>0</v>
      </c>
      <c r="AP308">
        <v>1</v>
      </c>
      <c r="AQ308">
        <v>0</v>
      </c>
      <c r="AR308">
        <v>0</v>
      </c>
      <c r="AS308">
        <v>0</v>
      </c>
      <c r="AT308">
        <v>0</v>
      </c>
      <c r="AU308">
        <v>0</v>
      </c>
      <c r="AV308">
        <v>0</v>
      </c>
    </row>
    <row r="309" spans="1:48" ht="15.75" customHeight="1" x14ac:dyDescent="0.25">
      <c r="A309">
        <v>2</v>
      </c>
      <c r="B309">
        <v>1</v>
      </c>
      <c r="C309">
        <v>2</v>
      </c>
      <c r="D309">
        <v>1</v>
      </c>
      <c r="E309">
        <v>1997</v>
      </c>
      <c r="F309">
        <v>1</v>
      </c>
      <c r="G309">
        <v>27</v>
      </c>
      <c r="H309">
        <v>0</v>
      </c>
      <c r="I309">
        <v>0</v>
      </c>
      <c r="J309">
        <v>0</v>
      </c>
      <c r="K309">
        <v>0</v>
      </c>
      <c r="L309">
        <v>0</v>
      </c>
      <c r="M309">
        <v>0</v>
      </c>
      <c r="N309">
        <v>0</v>
      </c>
      <c r="O309">
        <v>0</v>
      </c>
      <c r="P309">
        <v>0</v>
      </c>
      <c r="Q309">
        <v>0</v>
      </c>
      <c r="R309">
        <v>0</v>
      </c>
      <c r="S309">
        <v>0</v>
      </c>
      <c r="T309">
        <v>1</v>
      </c>
      <c r="U309">
        <v>1</v>
      </c>
      <c r="V309">
        <v>1</v>
      </c>
      <c r="W309">
        <v>2</v>
      </c>
      <c r="X309">
        <v>4</v>
      </c>
      <c r="Y309">
        <v>0</v>
      </c>
      <c r="Z309">
        <v>5</v>
      </c>
      <c r="AA309">
        <v>2</v>
      </c>
      <c r="AB309">
        <v>3</v>
      </c>
      <c r="AC309">
        <v>0</v>
      </c>
      <c r="AD309">
        <v>3</v>
      </c>
      <c r="AE309">
        <v>1</v>
      </c>
      <c r="AF309">
        <v>1</v>
      </c>
      <c r="AG309">
        <v>0</v>
      </c>
      <c r="AH309">
        <v>0</v>
      </c>
      <c r="AI309">
        <v>1</v>
      </c>
      <c r="AJ309">
        <v>0</v>
      </c>
      <c r="AK309">
        <v>0</v>
      </c>
      <c r="AL309">
        <v>2</v>
      </c>
      <c r="AM309">
        <v>0</v>
      </c>
      <c r="AN309">
        <v>0</v>
      </c>
      <c r="AO309">
        <v>0</v>
      </c>
      <c r="AP309">
        <v>0</v>
      </c>
      <c r="AQ309">
        <v>0</v>
      </c>
      <c r="AR309">
        <v>0</v>
      </c>
      <c r="AS309">
        <v>0</v>
      </c>
      <c r="AT309">
        <v>0</v>
      </c>
      <c r="AU309">
        <v>0</v>
      </c>
      <c r="AV309">
        <v>0</v>
      </c>
    </row>
    <row r="310" spans="1:48" ht="15.75" customHeight="1" x14ac:dyDescent="0.25">
      <c r="A310">
        <v>2</v>
      </c>
      <c r="B310">
        <v>1</v>
      </c>
      <c r="C310">
        <v>2</v>
      </c>
      <c r="D310">
        <v>1</v>
      </c>
      <c r="E310">
        <v>1997</v>
      </c>
      <c r="F310">
        <v>2</v>
      </c>
      <c r="G310">
        <v>300</v>
      </c>
      <c r="H310">
        <v>0</v>
      </c>
      <c r="I310">
        <v>0</v>
      </c>
      <c r="J310">
        <v>0</v>
      </c>
      <c r="K310">
        <v>0</v>
      </c>
      <c r="L310">
        <v>0</v>
      </c>
      <c r="M310">
        <v>0</v>
      </c>
      <c r="N310">
        <v>0</v>
      </c>
      <c r="O310">
        <v>0</v>
      </c>
      <c r="P310">
        <v>0</v>
      </c>
      <c r="Q310">
        <v>0</v>
      </c>
      <c r="R310">
        <v>0</v>
      </c>
      <c r="S310">
        <v>0</v>
      </c>
      <c r="T310">
        <v>10</v>
      </c>
      <c r="U310">
        <v>12</v>
      </c>
      <c r="V310">
        <v>12</v>
      </c>
      <c r="W310">
        <v>5</v>
      </c>
      <c r="X310">
        <v>8</v>
      </c>
      <c r="Y310">
        <v>8</v>
      </c>
      <c r="Z310">
        <v>10</v>
      </c>
      <c r="AA310">
        <v>12</v>
      </c>
      <c r="AB310">
        <v>21</v>
      </c>
      <c r="AC310">
        <v>16</v>
      </c>
      <c r="AD310">
        <v>29</v>
      </c>
      <c r="AE310">
        <v>30</v>
      </c>
      <c r="AF310">
        <v>20</v>
      </c>
      <c r="AG310">
        <v>21</v>
      </c>
      <c r="AH310">
        <v>21</v>
      </c>
      <c r="AI310">
        <v>22</v>
      </c>
      <c r="AJ310">
        <v>20</v>
      </c>
      <c r="AK310">
        <v>8</v>
      </c>
      <c r="AL310">
        <v>6</v>
      </c>
      <c r="AM310">
        <v>1</v>
      </c>
      <c r="AN310">
        <v>0</v>
      </c>
      <c r="AO310">
        <v>3</v>
      </c>
      <c r="AP310">
        <v>3</v>
      </c>
      <c r="AQ310">
        <v>2</v>
      </c>
      <c r="AR310">
        <v>0</v>
      </c>
      <c r="AS310">
        <v>0</v>
      </c>
      <c r="AT310">
        <v>0</v>
      </c>
      <c r="AU310">
        <v>0</v>
      </c>
      <c r="AV310">
        <v>0</v>
      </c>
    </row>
    <row r="311" spans="1:48" ht="15.75" customHeight="1" x14ac:dyDescent="0.25">
      <c r="A311">
        <v>2</v>
      </c>
      <c r="B311">
        <v>1</v>
      </c>
      <c r="C311">
        <v>2</v>
      </c>
      <c r="D311">
        <v>1</v>
      </c>
      <c r="E311">
        <v>1997</v>
      </c>
      <c r="F311">
        <v>3</v>
      </c>
      <c r="G311">
        <v>58</v>
      </c>
      <c r="H311">
        <v>0</v>
      </c>
      <c r="I311">
        <v>0</v>
      </c>
      <c r="J311">
        <v>0</v>
      </c>
      <c r="K311">
        <v>0</v>
      </c>
      <c r="L311">
        <v>0</v>
      </c>
      <c r="M311">
        <v>0</v>
      </c>
      <c r="N311">
        <v>0</v>
      </c>
      <c r="O311">
        <v>0</v>
      </c>
      <c r="P311">
        <v>0</v>
      </c>
      <c r="Q311">
        <v>0</v>
      </c>
      <c r="R311">
        <v>0</v>
      </c>
      <c r="S311">
        <v>0</v>
      </c>
      <c r="T311">
        <v>7</v>
      </c>
      <c r="U311">
        <v>4</v>
      </c>
      <c r="V311">
        <v>0</v>
      </c>
      <c r="W311">
        <v>2</v>
      </c>
      <c r="X311">
        <v>3</v>
      </c>
      <c r="Y311">
        <v>4</v>
      </c>
      <c r="Z311">
        <v>5</v>
      </c>
      <c r="AA311">
        <v>4</v>
      </c>
      <c r="AB311">
        <v>4</v>
      </c>
      <c r="AC311">
        <v>4</v>
      </c>
      <c r="AD311">
        <v>1</v>
      </c>
      <c r="AE311">
        <v>3</v>
      </c>
      <c r="AF311">
        <v>3</v>
      </c>
      <c r="AG311">
        <v>2</v>
      </c>
      <c r="AH311">
        <v>1</v>
      </c>
      <c r="AI311">
        <v>2</v>
      </c>
      <c r="AJ311">
        <v>0</v>
      </c>
      <c r="AK311">
        <v>4</v>
      </c>
      <c r="AL311">
        <v>1</v>
      </c>
      <c r="AM311">
        <v>1</v>
      </c>
      <c r="AN311">
        <v>1</v>
      </c>
      <c r="AO311">
        <v>0</v>
      </c>
      <c r="AP311">
        <v>0</v>
      </c>
      <c r="AQ311">
        <v>2</v>
      </c>
      <c r="AR311">
        <v>0</v>
      </c>
      <c r="AS311">
        <v>0</v>
      </c>
      <c r="AT311">
        <v>0</v>
      </c>
      <c r="AU311">
        <v>0</v>
      </c>
      <c r="AV311">
        <v>0</v>
      </c>
    </row>
    <row r="312" spans="1:48" ht="15.75" customHeight="1" x14ac:dyDescent="0.25">
      <c r="A312">
        <v>2</v>
      </c>
      <c r="B312">
        <v>1</v>
      </c>
      <c r="C312">
        <v>2</v>
      </c>
      <c r="D312">
        <v>1</v>
      </c>
      <c r="E312">
        <v>1997</v>
      </c>
      <c r="F312">
        <v>6</v>
      </c>
      <c r="G312">
        <v>21</v>
      </c>
      <c r="H312">
        <v>0</v>
      </c>
      <c r="I312">
        <v>0</v>
      </c>
      <c r="J312">
        <v>0</v>
      </c>
      <c r="K312">
        <v>0</v>
      </c>
      <c r="L312">
        <v>0</v>
      </c>
      <c r="M312">
        <v>0</v>
      </c>
      <c r="N312">
        <v>0</v>
      </c>
      <c r="O312">
        <v>0</v>
      </c>
      <c r="P312">
        <v>0</v>
      </c>
      <c r="Q312">
        <v>0</v>
      </c>
      <c r="R312">
        <v>0</v>
      </c>
      <c r="S312">
        <v>0</v>
      </c>
      <c r="T312">
        <v>0</v>
      </c>
      <c r="U312">
        <v>1</v>
      </c>
      <c r="V312">
        <v>1</v>
      </c>
      <c r="W312">
        <v>0</v>
      </c>
      <c r="X312">
        <v>0</v>
      </c>
      <c r="Y312">
        <v>1</v>
      </c>
      <c r="Z312">
        <v>1</v>
      </c>
      <c r="AA312">
        <v>1</v>
      </c>
      <c r="AB312">
        <v>0</v>
      </c>
      <c r="AC312">
        <v>0</v>
      </c>
      <c r="AD312">
        <v>0</v>
      </c>
      <c r="AE312">
        <v>1</v>
      </c>
      <c r="AF312">
        <v>2</v>
      </c>
      <c r="AG312">
        <v>0</v>
      </c>
      <c r="AH312">
        <v>0</v>
      </c>
      <c r="AI312">
        <v>2</v>
      </c>
      <c r="AJ312">
        <v>0</v>
      </c>
      <c r="AK312">
        <v>0</v>
      </c>
      <c r="AL312">
        <v>1</v>
      </c>
      <c r="AM312">
        <v>4</v>
      </c>
      <c r="AN312">
        <v>2</v>
      </c>
      <c r="AO312">
        <v>2</v>
      </c>
      <c r="AP312">
        <v>2</v>
      </c>
      <c r="AQ312">
        <v>0</v>
      </c>
      <c r="AR312">
        <v>0</v>
      </c>
      <c r="AS312">
        <v>0</v>
      </c>
      <c r="AT312">
        <v>0</v>
      </c>
      <c r="AU312">
        <v>0</v>
      </c>
      <c r="AV312">
        <v>0</v>
      </c>
    </row>
    <row r="313" spans="1:48" ht="15.75" customHeight="1" x14ac:dyDescent="0.25">
      <c r="A313">
        <v>2</v>
      </c>
      <c r="B313">
        <v>1</v>
      </c>
      <c r="C313">
        <v>2</v>
      </c>
      <c r="D313">
        <v>1</v>
      </c>
      <c r="E313">
        <v>1998</v>
      </c>
      <c r="F313">
        <v>1</v>
      </c>
      <c r="G313">
        <v>16</v>
      </c>
      <c r="H313">
        <v>0</v>
      </c>
      <c r="I313">
        <v>0</v>
      </c>
      <c r="J313">
        <v>0</v>
      </c>
      <c r="K313">
        <v>0</v>
      </c>
      <c r="L313">
        <v>0</v>
      </c>
      <c r="M313">
        <v>0</v>
      </c>
      <c r="N313">
        <v>0</v>
      </c>
      <c r="O313">
        <v>0</v>
      </c>
      <c r="P313">
        <v>0</v>
      </c>
      <c r="Q313">
        <v>0</v>
      </c>
      <c r="R313">
        <v>0</v>
      </c>
      <c r="S313">
        <v>0</v>
      </c>
      <c r="T313">
        <v>0</v>
      </c>
      <c r="U313">
        <v>1</v>
      </c>
      <c r="V313">
        <v>4</v>
      </c>
      <c r="W313">
        <v>0</v>
      </c>
      <c r="X313">
        <v>0</v>
      </c>
      <c r="Y313">
        <v>1</v>
      </c>
      <c r="Z313">
        <v>2</v>
      </c>
      <c r="AA313">
        <v>1</v>
      </c>
      <c r="AB313">
        <v>1</v>
      </c>
      <c r="AC313">
        <v>1</v>
      </c>
      <c r="AD313">
        <v>0</v>
      </c>
      <c r="AE313">
        <v>1</v>
      </c>
      <c r="AF313">
        <v>0</v>
      </c>
      <c r="AG313">
        <v>0</v>
      </c>
      <c r="AH313">
        <v>0</v>
      </c>
      <c r="AI313">
        <v>0</v>
      </c>
      <c r="AJ313">
        <v>0</v>
      </c>
      <c r="AK313">
        <v>0</v>
      </c>
      <c r="AL313">
        <v>0</v>
      </c>
      <c r="AM313">
        <v>2</v>
      </c>
      <c r="AN313">
        <v>0</v>
      </c>
      <c r="AO313">
        <v>0</v>
      </c>
      <c r="AP313">
        <v>0</v>
      </c>
      <c r="AQ313">
        <v>2</v>
      </c>
      <c r="AR313">
        <v>0</v>
      </c>
      <c r="AS313">
        <v>0</v>
      </c>
      <c r="AT313">
        <v>0</v>
      </c>
      <c r="AU313">
        <v>0</v>
      </c>
      <c r="AV313">
        <v>0</v>
      </c>
    </row>
    <row r="314" spans="1:48" ht="15.75" customHeight="1" x14ac:dyDescent="0.25">
      <c r="A314">
        <v>2</v>
      </c>
      <c r="B314">
        <v>1</v>
      </c>
      <c r="C314">
        <v>2</v>
      </c>
      <c r="D314">
        <v>1</v>
      </c>
      <c r="E314">
        <v>1998</v>
      </c>
      <c r="F314">
        <v>2</v>
      </c>
      <c r="G314">
        <v>162</v>
      </c>
      <c r="H314">
        <v>0</v>
      </c>
      <c r="I314">
        <v>0</v>
      </c>
      <c r="J314">
        <v>0</v>
      </c>
      <c r="K314">
        <v>0</v>
      </c>
      <c r="L314">
        <v>0</v>
      </c>
      <c r="M314">
        <v>0</v>
      </c>
      <c r="N314">
        <v>0</v>
      </c>
      <c r="O314">
        <v>0</v>
      </c>
      <c r="P314">
        <v>0</v>
      </c>
      <c r="Q314">
        <v>0</v>
      </c>
      <c r="R314">
        <v>0</v>
      </c>
      <c r="S314">
        <v>0</v>
      </c>
      <c r="T314">
        <v>10</v>
      </c>
      <c r="U314">
        <v>25</v>
      </c>
      <c r="V314">
        <v>25</v>
      </c>
      <c r="W314">
        <v>13</v>
      </c>
      <c r="X314">
        <v>4</v>
      </c>
      <c r="Y314">
        <v>9</v>
      </c>
      <c r="Z314">
        <v>8</v>
      </c>
      <c r="AA314">
        <v>10</v>
      </c>
      <c r="AB314">
        <v>8</v>
      </c>
      <c r="AC314">
        <v>4</v>
      </c>
      <c r="AD314">
        <v>0</v>
      </c>
      <c r="AE314">
        <v>9</v>
      </c>
      <c r="AF314">
        <v>9</v>
      </c>
      <c r="AG314">
        <v>5</v>
      </c>
      <c r="AH314">
        <v>3</v>
      </c>
      <c r="AI314">
        <v>2</v>
      </c>
      <c r="AJ314">
        <v>5</v>
      </c>
      <c r="AK314">
        <v>4</v>
      </c>
      <c r="AL314">
        <v>5</v>
      </c>
      <c r="AM314">
        <v>3</v>
      </c>
      <c r="AN314">
        <v>0</v>
      </c>
      <c r="AO314">
        <v>1</v>
      </c>
      <c r="AP314">
        <v>0</v>
      </c>
      <c r="AQ314">
        <v>0</v>
      </c>
      <c r="AR314">
        <v>0</v>
      </c>
      <c r="AS314">
        <v>0</v>
      </c>
      <c r="AT314">
        <v>0</v>
      </c>
      <c r="AU314">
        <v>0</v>
      </c>
      <c r="AV314">
        <v>0</v>
      </c>
    </row>
    <row r="315" spans="1:48" ht="15.75" customHeight="1" x14ac:dyDescent="0.25">
      <c r="A315">
        <v>2</v>
      </c>
      <c r="B315">
        <v>1</v>
      </c>
      <c r="C315">
        <v>2</v>
      </c>
      <c r="D315">
        <v>1</v>
      </c>
      <c r="E315">
        <v>1998</v>
      </c>
      <c r="F315">
        <v>3</v>
      </c>
      <c r="G315">
        <v>101</v>
      </c>
      <c r="H315">
        <v>0</v>
      </c>
      <c r="I315">
        <v>0</v>
      </c>
      <c r="J315">
        <v>0</v>
      </c>
      <c r="K315">
        <v>0</v>
      </c>
      <c r="L315">
        <v>0</v>
      </c>
      <c r="M315">
        <v>0</v>
      </c>
      <c r="N315">
        <v>0</v>
      </c>
      <c r="O315">
        <v>0</v>
      </c>
      <c r="P315">
        <v>0</v>
      </c>
      <c r="Q315">
        <v>0</v>
      </c>
      <c r="R315">
        <v>0</v>
      </c>
      <c r="S315">
        <v>0</v>
      </c>
      <c r="T315">
        <v>5</v>
      </c>
      <c r="U315">
        <v>8</v>
      </c>
      <c r="V315">
        <v>9</v>
      </c>
      <c r="W315">
        <v>10</v>
      </c>
      <c r="X315">
        <v>8</v>
      </c>
      <c r="Y315">
        <v>4</v>
      </c>
      <c r="Z315">
        <v>9</v>
      </c>
      <c r="AA315">
        <v>4</v>
      </c>
      <c r="AB315">
        <v>3</v>
      </c>
      <c r="AC315">
        <v>5</v>
      </c>
      <c r="AD315">
        <v>9</v>
      </c>
      <c r="AE315">
        <v>4</v>
      </c>
      <c r="AF315">
        <v>7</v>
      </c>
      <c r="AG315">
        <v>5</v>
      </c>
      <c r="AH315">
        <v>1</v>
      </c>
      <c r="AI315">
        <v>3</v>
      </c>
      <c r="AJ315">
        <v>0</v>
      </c>
      <c r="AK315">
        <v>4</v>
      </c>
      <c r="AL315">
        <v>0</v>
      </c>
      <c r="AM315">
        <v>1</v>
      </c>
      <c r="AN315">
        <v>0</v>
      </c>
      <c r="AO315">
        <v>0</v>
      </c>
      <c r="AP315">
        <v>0</v>
      </c>
      <c r="AQ315">
        <v>2</v>
      </c>
      <c r="AR315">
        <v>0</v>
      </c>
      <c r="AS315">
        <v>0</v>
      </c>
      <c r="AT315">
        <v>0</v>
      </c>
      <c r="AU315">
        <v>0</v>
      </c>
      <c r="AV315">
        <v>0</v>
      </c>
    </row>
    <row r="316" spans="1:48" ht="15.75" customHeight="1" x14ac:dyDescent="0.25">
      <c r="A316">
        <v>2</v>
      </c>
      <c r="B316">
        <v>1</v>
      </c>
      <c r="C316">
        <v>2</v>
      </c>
      <c r="D316">
        <v>1</v>
      </c>
      <c r="E316">
        <v>1998</v>
      </c>
      <c r="F316">
        <v>6</v>
      </c>
      <c r="G316">
        <v>10</v>
      </c>
      <c r="H316">
        <v>0</v>
      </c>
      <c r="I316">
        <v>0</v>
      </c>
      <c r="J316">
        <v>0</v>
      </c>
      <c r="K316">
        <v>0</v>
      </c>
      <c r="L316">
        <v>0</v>
      </c>
      <c r="M316">
        <v>0</v>
      </c>
      <c r="N316">
        <v>0</v>
      </c>
      <c r="O316">
        <v>0</v>
      </c>
      <c r="P316">
        <v>0</v>
      </c>
      <c r="Q316">
        <v>0</v>
      </c>
      <c r="R316">
        <v>0</v>
      </c>
      <c r="S316">
        <v>0</v>
      </c>
      <c r="T316">
        <v>0</v>
      </c>
      <c r="U316">
        <v>0</v>
      </c>
      <c r="V316">
        <v>2</v>
      </c>
      <c r="W316">
        <v>1</v>
      </c>
      <c r="X316">
        <v>1</v>
      </c>
      <c r="Y316">
        <v>0</v>
      </c>
      <c r="Z316">
        <v>1</v>
      </c>
      <c r="AA316">
        <v>1</v>
      </c>
      <c r="AB316">
        <v>1</v>
      </c>
      <c r="AC316">
        <v>0</v>
      </c>
      <c r="AD316">
        <v>1</v>
      </c>
      <c r="AE316">
        <v>0</v>
      </c>
      <c r="AF316">
        <v>0</v>
      </c>
      <c r="AG316">
        <v>0</v>
      </c>
      <c r="AH316">
        <v>0</v>
      </c>
      <c r="AI316">
        <v>0</v>
      </c>
      <c r="AJ316">
        <v>0</v>
      </c>
      <c r="AK316">
        <v>0</v>
      </c>
      <c r="AL316">
        <v>2</v>
      </c>
      <c r="AM316">
        <v>0</v>
      </c>
      <c r="AN316">
        <v>0</v>
      </c>
      <c r="AO316">
        <v>0</v>
      </c>
      <c r="AP316">
        <v>0</v>
      </c>
      <c r="AQ316">
        <v>0</v>
      </c>
      <c r="AR316">
        <v>0</v>
      </c>
      <c r="AS316">
        <v>0</v>
      </c>
      <c r="AT316">
        <v>0</v>
      </c>
      <c r="AU316">
        <v>0</v>
      </c>
      <c r="AV316">
        <v>0</v>
      </c>
    </row>
    <row r="317" spans="1:48" ht="15.75" customHeight="1" x14ac:dyDescent="0.25">
      <c r="A317">
        <v>2</v>
      </c>
      <c r="B317">
        <v>1</v>
      </c>
      <c r="C317">
        <v>2</v>
      </c>
      <c r="D317">
        <v>1</v>
      </c>
      <c r="E317">
        <v>1999</v>
      </c>
      <c r="F317">
        <v>1</v>
      </c>
      <c r="G317">
        <v>56</v>
      </c>
      <c r="H317">
        <v>0</v>
      </c>
      <c r="I317">
        <v>0</v>
      </c>
      <c r="J317">
        <v>0</v>
      </c>
      <c r="K317">
        <v>0</v>
      </c>
      <c r="L317">
        <v>0</v>
      </c>
      <c r="M317">
        <v>0</v>
      </c>
      <c r="N317">
        <v>0</v>
      </c>
      <c r="O317">
        <v>0</v>
      </c>
      <c r="P317">
        <v>0</v>
      </c>
      <c r="Q317">
        <v>0</v>
      </c>
      <c r="R317">
        <v>0</v>
      </c>
      <c r="S317">
        <v>0</v>
      </c>
      <c r="T317">
        <v>1</v>
      </c>
      <c r="U317">
        <v>6</v>
      </c>
      <c r="V317">
        <v>6</v>
      </c>
      <c r="W317">
        <v>5</v>
      </c>
      <c r="X317">
        <v>5</v>
      </c>
      <c r="Y317">
        <v>5</v>
      </c>
      <c r="Z317">
        <v>5</v>
      </c>
      <c r="AA317">
        <v>2</v>
      </c>
      <c r="AB317">
        <v>0</v>
      </c>
      <c r="AC317">
        <v>1</v>
      </c>
      <c r="AD317">
        <v>2</v>
      </c>
      <c r="AE317">
        <v>0</v>
      </c>
      <c r="AF317">
        <v>3</v>
      </c>
      <c r="AG317">
        <v>1</v>
      </c>
      <c r="AH317">
        <v>3</v>
      </c>
      <c r="AI317">
        <v>0</v>
      </c>
      <c r="AJ317">
        <v>8</v>
      </c>
      <c r="AK317">
        <v>0</v>
      </c>
      <c r="AL317">
        <v>1</v>
      </c>
      <c r="AM317">
        <v>0</v>
      </c>
      <c r="AN317">
        <v>2</v>
      </c>
      <c r="AO317">
        <v>0</v>
      </c>
      <c r="AP317">
        <v>0</v>
      </c>
      <c r="AQ317">
        <v>0</v>
      </c>
      <c r="AR317">
        <v>0</v>
      </c>
      <c r="AS317">
        <v>0</v>
      </c>
      <c r="AT317">
        <v>0</v>
      </c>
      <c r="AU317">
        <v>0</v>
      </c>
      <c r="AV317">
        <v>0</v>
      </c>
    </row>
    <row r="318" spans="1:48" ht="15.75" customHeight="1" x14ac:dyDescent="0.25">
      <c r="A318">
        <v>2</v>
      </c>
      <c r="B318">
        <v>1</v>
      </c>
      <c r="C318">
        <v>2</v>
      </c>
      <c r="D318">
        <v>1</v>
      </c>
      <c r="E318">
        <v>1999</v>
      </c>
      <c r="F318">
        <v>2</v>
      </c>
      <c r="G318">
        <v>222</v>
      </c>
      <c r="H318">
        <v>0</v>
      </c>
      <c r="I318">
        <v>0</v>
      </c>
      <c r="J318">
        <v>0</v>
      </c>
      <c r="K318">
        <v>0</v>
      </c>
      <c r="L318">
        <v>0</v>
      </c>
      <c r="M318">
        <v>0</v>
      </c>
      <c r="N318">
        <v>0</v>
      </c>
      <c r="O318">
        <v>0</v>
      </c>
      <c r="P318">
        <v>0</v>
      </c>
      <c r="Q318">
        <v>0</v>
      </c>
      <c r="R318">
        <v>0</v>
      </c>
      <c r="S318">
        <v>0</v>
      </c>
      <c r="T318">
        <v>13</v>
      </c>
      <c r="U318">
        <v>23</v>
      </c>
      <c r="V318">
        <v>20</v>
      </c>
      <c r="W318">
        <v>17</v>
      </c>
      <c r="X318">
        <v>11</v>
      </c>
      <c r="Y318">
        <v>20</v>
      </c>
      <c r="Z318">
        <v>10</v>
      </c>
      <c r="AA318">
        <v>22</v>
      </c>
      <c r="AB318">
        <v>9</v>
      </c>
      <c r="AC318">
        <v>11</v>
      </c>
      <c r="AD318">
        <v>10</v>
      </c>
      <c r="AE318">
        <v>5</v>
      </c>
      <c r="AF318">
        <v>11</v>
      </c>
      <c r="AG318">
        <v>6</v>
      </c>
      <c r="AH318">
        <v>8</v>
      </c>
      <c r="AI318">
        <v>6</v>
      </c>
      <c r="AJ318">
        <v>6</v>
      </c>
      <c r="AK318">
        <v>6</v>
      </c>
      <c r="AL318">
        <v>0</v>
      </c>
      <c r="AM318">
        <v>4</v>
      </c>
      <c r="AN318">
        <v>1</v>
      </c>
      <c r="AO318">
        <v>1</v>
      </c>
      <c r="AP318">
        <v>0</v>
      </c>
      <c r="AQ318">
        <v>2</v>
      </c>
      <c r="AR318">
        <v>0</v>
      </c>
      <c r="AS318">
        <v>0</v>
      </c>
      <c r="AT318">
        <v>0</v>
      </c>
      <c r="AU318">
        <v>0</v>
      </c>
      <c r="AV318">
        <v>0</v>
      </c>
    </row>
    <row r="319" spans="1:48" ht="15.75" customHeight="1" x14ac:dyDescent="0.25">
      <c r="A319">
        <v>2</v>
      </c>
      <c r="B319">
        <v>1</v>
      </c>
      <c r="C319">
        <v>2</v>
      </c>
      <c r="D319">
        <v>1</v>
      </c>
      <c r="E319">
        <v>1999</v>
      </c>
      <c r="F319">
        <v>3</v>
      </c>
      <c r="G319">
        <v>37</v>
      </c>
      <c r="H319">
        <v>0</v>
      </c>
      <c r="I319">
        <v>0</v>
      </c>
      <c r="J319">
        <v>0</v>
      </c>
      <c r="K319">
        <v>0</v>
      </c>
      <c r="L319">
        <v>0</v>
      </c>
      <c r="M319">
        <v>0</v>
      </c>
      <c r="N319">
        <v>0</v>
      </c>
      <c r="O319">
        <v>0</v>
      </c>
      <c r="P319">
        <v>0</v>
      </c>
      <c r="Q319">
        <v>0</v>
      </c>
      <c r="R319">
        <v>0</v>
      </c>
      <c r="S319">
        <v>0</v>
      </c>
      <c r="T319">
        <v>2</v>
      </c>
      <c r="U319">
        <v>0</v>
      </c>
      <c r="V319">
        <v>1</v>
      </c>
      <c r="W319">
        <v>0</v>
      </c>
      <c r="X319">
        <v>7</v>
      </c>
      <c r="Y319">
        <v>5</v>
      </c>
      <c r="Z319">
        <v>2</v>
      </c>
      <c r="AA319">
        <v>6</v>
      </c>
      <c r="AB319">
        <v>0</v>
      </c>
      <c r="AC319">
        <v>1</v>
      </c>
      <c r="AD319">
        <v>0</v>
      </c>
      <c r="AE319">
        <v>1</v>
      </c>
      <c r="AF319">
        <v>1</v>
      </c>
      <c r="AG319">
        <v>1</v>
      </c>
      <c r="AH319">
        <v>1</v>
      </c>
      <c r="AI319">
        <v>0</v>
      </c>
      <c r="AJ319">
        <v>4</v>
      </c>
      <c r="AK319">
        <v>5</v>
      </c>
      <c r="AL319">
        <v>0</v>
      </c>
      <c r="AM319">
        <v>0</v>
      </c>
      <c r="AN319">
        <v>0</v>
      </c>
      <c r="AO319">
        <v>0</v>
      </c>
      <c r="AP319">
        <v>0</v>
      </c>
      <c r="AQ319">
        <v>0</v>
      </c>
      <c r="AR319">
        <v>0</v>
      </c>
      <c r="AS319">
        <v>0</v>
      </c>
      <c r="AT319">
        <v>0</v>
      </c>
      <c r="AU319">
        <v>0</v>
      </c>
      <c r="AV319">
        <v>0</v>
      </c>
    </row>
    <row r="320" spans="1:48" ht="15.75" customHeight="1" x14ac:dyDescent="0.25">
      <c r="A320">
        <v>2</v>
      </c>
      <c r="B320">
        <v>1</v>
      </c>
      <c r="C320">
        <v>2</v>
      </c>
      <c r="D320">
        <v>1</v>
      </c>
      <c r="E320">
        <v>1999</v>
      </c>
      <c r="F320">
        <v>6</v>
      </c>
      <c r="G320">
        <v>1</v>
      </c>
      <c r="H320">
        <v>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1</v>
      </c>
      <c r="AK320">
        <v>0</v>
      </c>
      <c r="AL320">
        <v>0</v>
      </c>
      <c r="AM320">
        <v>0</v>
      </c>
      <c r="AN320">
        <v>0</v>
      </c>
      <c r="AO320">
        <v>0</v>
      </c>
      <c r="AP320">
        <v>0</v>
      </c>
      <c r="AQ320">
        <v>0</v>
      </c>
      <c r="AR320">
        <v>0</v>
      </c>
      <c r="AS320">
        <v>0</v>
      </c>
      <c r="AT320">
        <v>0</v>
      </c>
      <c r="AU320">
        <v>0</v>
      </c>
      <c r="AV320">
        <v>0</v>
      </c>
    </row>
    <row r="321" spans="1:48" ht="15.75" customHeight="1" x14ac:dyDescent="0.25">
      <c r="A321">
        <v>2</v>
      </c>
      <c r="B321">
        <v>1</v>
      </c>
      <c r="C321">
        <v>2</v>
      </c>
      <c r="D321">
        <v>1</v>
      </c>
      <c r="E321">
        <v>2000</v>
      </c>
      <c r="F321">
        <v>1</v>
      </c>
      <c r="G321">
        <v>13</v>
      </c>
      <c r="H321">
        <v>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1</v>
      </c>
      <c r="AD321">
        <v>1</v>
      </c>
      <c r="AE321">
        <v>0</v>
      </c>
      <c r="AF321">
        <v>0</v>
      </c>
      <c r="AG321">
        <v>1</v>
      </c>
      <c r="AH321">
        <v>1</v>
      </c>
      <c r="AI321">
        <v>1</v>
      </c>
      <c r="AJ321">
        <v>2</v>
      </c>
      <c r="AK321">
        <v>2</v>
      </c>
      <c r="AL321">
        <v>0</v>
      </c>
      <c r="AM321">
        <v>0</v>
      </c>
      <c r="AN321">
        <v>2</v>
      </c>
      <c r="AO321">
        <v>2</v>
      </c>
      <c r="AP321">
        <v>0</v>
      </c>
      <c r="AQ321">
        <v>0</v>
      </c>
      <c r="AR321">
        <v>0</v>
      </c>
      <c r="AS321">
        <v>0</v>
      </c>
      <c r="AT321">
        <v>0</v>
      </c>
      <c r="AU321">
        <v>0</v>
      </c>
      <c r="AV321">
        <v>0</v>
      </c>
    </row>
    <row r="322" spans="1:48" ht="15.75" customHeight="1" x14ac:dyDescent="0.25">
      <c r="A322">
        <v>2</v>
      </c>
      <c r="B322">
        <v>1</v>
      </c>
      <c r="C322">
        <v>2</v>
      </c>
      <c r="D322">
        <v>1</v>
      </c>
      <c r="E322">
        <v>2000</v>
      </c>
      <c r="F322">
        <v>2</v>
      </c>
      <c r="G322">
        <v>136</v>
      </c>
      <c r="H322">
        <v>0</v>
      </c>
      <c r="I322">
        <v>0</v>
      </c>
      <c r="J322">
        <v>0</v>
      </c>
      <c r="K322">
        <v>0</v>
      </c>
      <c r="L322">
        <v>0</v>
      </c>
      <c r="M322">
        <v>0</v>
      </c>
      <c r="N322">
        <v>0</v>
      </c>
      <c r="O322">
        <v>0</v>
      </c>
      <c r="P322">
        <v>0</v>
      </c>
      <c r="Q322">
        <v>0</v>
      </c>
      <c r="R322">
        <v>0</v>
      </c>
      <c r="S322">
        <v>0</v>
      </c>
      <c r="T322">
        <v>2</v>
      </c>
      <c r="U322">
        <v>1</v>
      </c>
      <c r="V322">
        <v>2</v>
      </c>
      <c r="W322">
        <v>1</v>
      </c>
      <c r="X322">
        <v>3</v>
      </c>
      <c r="Y322">
        <v>0</v>
      </c>
      <c r="Z322">
        <v>5</v>
      </c>
      <c r="AA322">
        <v>5</v>
      </c>
      <c r="AB322">
        <v>4</v>
      </c>
      <c r="AC322">
        <v>12</v>
      </c>
      <c r="AD322">
        <v>13</v>
      </c>
      <c r="AE322">
        <v>11</v>
      </c>
      <c r="AF322">
        <v>7</v>
      </c>
      <c r="AG322">
        <v>6</v>
      </c>
      <c r="AH322">
        <v>6</v>
      </c>
      <c r="AI322">
        <v>11</v>
      </c>
      <c r="AJ322">
        <v>11</v>
      </c>
      <c r="AK322">
        <v>14</v>
      </c>
      <c r="AL322">
        <v>6</v>
      </c>
      <c r="AM322">
        <v>5</v>
      </c>
      <c r="AN322">
        <v>3</v>
      </c>
      <c r="AO322">
        <v>5</v>
      </c>
      <c r="AP322">
        <v>0</v>
      </c>
      <c r="AQ322">
        <v>3</v>
      </c>
      <c r="AR322">
        <v>0</v>
      </c>
      <c r="AS322">
        <v>0</v>
      </c>
      <c r="AT322">
        <v>0</v>
      </c>
      <c r="AU322">
        <v>0</v>
      </c>
      <c r="AV322">
        <v>0</v>
      </c>
    </row>
    <row r="323" spans="1:48" ht="15.75" customHeight="1" x14ac:dyDescent="0.25">
      <c r="A323">
        <v>2</v>
      </c>
      <c r="B323">
        <v>1</v>
      </c>
      <c r="C323">
        <v>2</v>
      </c>
      <c r="D323">
        <v>1</v>
      </c>
      <c r="E323">
        <v>2000</v>
      </c>
      <c r="F323">
        <v>3</v>
      </c>
      <c r="G323">
        <v>22</v>
      </c>
      <c r="H323">
        <v>0</v>
      </c>
      <c r="I323">
        <v>0</v>
      </c>
      <c r="J323">
        <v>0</v>
      </c>
      <c r="K323">
        <v>0</v>
      </c>
      <c r="L323">
        <v>0</v>
      </c>
      <c r="M323">
        <v>0</v>
      </c>
      <c r="N323">
        <v>0</v>
      </c>
      <c r="O323">
        <v>0</v>
      </c>
      <c r="P323">
        <v>0</v>
      </c>
      <c r="Q323">
        <v>0</v>
      </c>
      <c r="R323">
        <v>0</v>
      </c>
      <c r="S323">
        <v>0</v>
      </c>
      <c r="T323">
        <v>0</v>
      </c>
      <c r="U323">
        <v>1</v>
      </c>
      <c r="V323">
        <v>0</v>
      </c>
      <c r="W323">
        <v>0</v>
      </c>
      <c r="X323">
        <v>0</v>
      </c>
      <c r="Y323">
        <v>0</v>
      </c>
      <c r="Z323">
        <v>0</v>
      </c>
      <c r="AA323">
        <v>2</v>
      </c>
      <c r="AB323">
        <v>0</v>
      </c>
      <c r="AC323">
        <v>0</v>
      </c>
      <c r="AD323">
        <v>0</v>
      </c>
      <c r="AE323">
        <v>1</v>
      </c>
      <c r="AF323">
        <v>1</v>
      </c>
      <c r="AG323">
        <v>0</v>
      </c>
      <c r="AH323">
        <v>0</v>
      </c>
      <c r="AI323">
        <v>0</v>
      </c>
      <c r="AJ323">
        <v>3</v>
      </c>
      <c r="AK323">
        <v>11</v>
      </c>
      <c r="AL323">
        <v>2</v>
      </c>
      <c r="AM323">
        <v>0</v>
      </c>
      <c r="AN323">
        <v>1</v>
      </c>
      <c r="AO323">
        <v>0</v>
      </c>
      <c r="AP323">
        <v>0</v>
      </c>
      <c r="AQ323">
        <v>0</v>
      </c>
      <c r="AR323">
        <v>0</v>
      </c>
      <c r="AS323">
        <v>0</v>
      </c>
      <c r="AT323">
        <v>0</v>
      </c>
      <c r="AU323">
        <v>0</v>
      </c>
      <c r="AV323">
        <v>0</v>
      </c>
    </row>
    <row r="324" spans="1:48" ht="15.75" customHeight="1" x14ac:dyDescent="0.25">
      <c r="A324">
        <v>2</v>
      </c>
      <c r="B324">
        <v>1</v>
      </c>
      <c r="C324">
        <v>2</v>
      </c>
      <c r="D324">
        <v>1</v>
      </c>
      <c r="E324">
        <v>2000</v>
      </c>
      <c r="F324">
        <v>6</v>
      </c>
      <c r="G324">
        <v>4</v>
      </c>
      <c r="H324">
        <v>0</v>
      </c>
      <c r="I324">
        <v>0</v>
      </c>
      <c r="J324">
        <v>0</v>
      </c>
      <c r="K324">
        <v>0</v>
      </c>
      <c r="L324">
        <v>0</v>
      </c>
      <c r="M324">
        <v>0</v>
      </c>
      <c r="N324">
        <v>0</v>
      </c>
      <c r="O324">
        <v>0</v>
      </c>
      <c r="P324">
        <v>0</v>
      </c>
      <c r="Q324">
        <v>0</v>
      </c>
      <c r="R324">
        <v>0</v>
      </c>
      <c r="S324">
        <v>0</v>
      </c>
      <c r="T324">
        <v>0</v>
      </c>
      <c r="U324">
        <v>0</v>
      </c>
      <c r="V324">
        <v>0</v>
      </c>
      <c r="W324">
        <v>0</v>
      </c>
      <c r="X324">
        <v>0</v>
      </c>
      <c r="Y324">
        <v>0</v>
      </c>
      <c r="Z324">
        <v>0</v>
      </c>
      <c r="AA324">
        <v>0</v>
      </c>
      <c r="AB324">
        <v>0</v>
      </c>
      <c r="AC324">
        <v>0</v>
      </c>
      <c r="AD324">
        <v>0</v>
      </c>
      <c r="AE324">
        <v>0</v>
      </c>
      <c r="AF324">
        <v>0</v>
      </c>
      <c r="AG324">
        <v>0</v>
      </c>
      <c r="AH324">
        <v>0</v>
      </c>
      <c r="AI324">
        <v>0</v>
      </c>
      <c r="AJ324">
        <v>1</v>
      </c>
      <c r="AK324">
        <v>0</v>
      </c>
      <c r="AL324">
        <v>0</v>
      </c>
      <c r="AM324">
        <v>0</v>
      </c>
      <c r="AN324">
        <v>0</v>
      </c>
      <c r="AO324">
        <v>2</v>
      </c>
      <c r="AP324">
        <v>0</v>
      </c>
      <c r="AQ324">
        <v>1</v>
      </c>
      <c r="AR324">
        <v>0</v>
      </c>
      <c r="AS324">
        <v>0</v>
      </c>
      <c r="AT324">
        <v>0</v>
      </c>
      <c r="AU324">
        <v>0</v>
      </c>
      <c r="AV324">
        <v>0</v>
      </c>
    </row>
    <row r="325" spans="1:48" ht="15.75" customHeight="1" x14ac:dyDescent="0.25">
      <c r="A325">
        <v>2</v>
      </c>
      <c r="B325">
        <v>1</v>
      </c>
      <c r="C325">
        <v>2</v>
      </c>
      <c r="D325">
        <v>1</v>
      </c>
      <c r="E325">
        <v>2001</v>
      </c>
      <c r="F325">
        <v>2</v>
      </c>
      <c r="G325">
        <v>18</v>
      </c>
      <c r="H325">
        <v>0</v>
      </c>
      <c r="I325">
        <v>0</v>
      </c>
      <c r="J325">
        <v>0</v>
      </c>
      <c r="K325">
        <v>0</v>
      </c>
      <c r="L325">
        <v>0</v>
      </c>
      <c r="M325">
        <v>0</v>
      </c>
      <c r="N325">
        <v>0</v>
      </c>
      <c r="O325">
        <v>0</v>
      </c>
      <c r="P325">
        <v>0</v>
      </c>
      <c r="Q325">
        <v>0</v>
      </c>
      <c r="R325">
        <v>0</v>
      </c>
      <c r="S325">
        <v>0</v>
      </c>
      <c r="T325">
        <v>0</v>
      </c>
      <c r="U325">
        <v>2</v>
      </c>
      <c r="V325">
        <v>2</v>
      </c>
      <c r="W325">
        <v>0</v>
      </c>
      <c r="X325">
        <v>0</v>
      </c>
      <c r="Y325">
        <v>1</v>
      </c>
      <c r="Z325">
        <v>0</v>
      </c>
      <c r="AA325">
        <v>0</v>
      </c>
      <c r="AB325">
        <v>0</v>
      </c>
      <c r="AC325">
        <v>2</v>
      </c>
      <c r="AD325">
        <v>0</v>
      </c>
      <c r="AE325">
        <v>1</v>
      </c>
      <c r="AF325">
        <v>0</v>
      </c>
      <c r="AG325">
        <v>0</v>
      </c>
      <c r="AH325">
        <v>2</v>
      </c>
      <c r="AI325">
        <v>0</v>
      </c>
      <c r="AJ325">
        <v>0</v>
      </c>
      <c r="AK325">
        <v>3</v>
      </c>
      <c r="AL325">
        <v>1</v>
      </c>
      <c r="AM325">
        <v>0</v>
      </c>
      <c r="AN325">
        <v>0</v>
      </c>
      <c r="AO325">
        <v>1</v>
      </c>
      <c r="AP325">
        <v>0</v>
      </c>
      <c r="AQ325">
        <v>3</v>
      </c>
      <c r="AR325">
        <v>0</v>
      </c>
      <c r="AS325">
        <v>0</v>
      </c>
      <c r="AT325">
        <v>0</v>
      </c>
      <c r="AU325">
        <v>0</v>
      </c>
      <c r="AV325">
        <v>0</v>
      </c>
    </row>
    <row r="326" spans="1:48" ht="15.75" customHeight="1" x14ac:dyDescent="0.25">
      <c r="A326">
        <v>2</v>
      </c>
      <c r="B326">
        <v>1</v>
      </c>
      <c r="C326">
        <v>2</v>
      </c>
      <c r="D326">
        <v>1</v>
      </c>
      <c r="E326">
        <v>2001</v>
      </c>
      <c r="F326">
        <v>3</v>
      </c>
      <c r="G326">
        <v>6</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c r="AI326">
        <v>2</v>
      </c>
      <c r="AJ326">
        <v>0</v>
      </c>
      <c r="AK326">
        <v>0</v>
      </c>
      <c r="AL326">
        <v>3</v>
      </c>
      <c r="AM326">
        <v>0</v>
      </c>
      <c r="AN326">
        <v>0</v>
      </c>
      <c r="AO326">
        <v>0</v>
      </c>
      <c r="AP326">
        <v>1</v>
      </c>
      <c r="AQ326">
        <v>0</v>
      </c>
      <c r="AR326">
        <v>0</v>
      </c>
      <c r="AS326">
        <v>0</v>
      </c>
      <c r="AT326">
        <v>0</v>
      </c>
      <c r="AU326">
        <v>0</v>
      </c>
      <c r="AV326">
        <v>0</v>
      </c>
    </row>
    <row r="327" spans="1:48" ht="15.75" customHeight="1" x14ac:dyDescent="0.25">
      <c r="A327">
        <v>2</v>
      </c>
      <c r="B327">
        <v>1</v>
      </c>
      <c r="C327">
        <v>2</v>
      </c>
      <c r="D327">
        <v>1</v>
      </c>
      <c r="E327">
        <v>2003</v>
      </c>
      <c r="F327">
        <v>2</v>
      </c>
      <c r="G327">
        <v>1</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c r="AD327">
        <v>0</v>
      </c>
      <c r="AE327">
        <v>0</v>
      </c>
      <c r="AF327">
        <v>0</v>
      </c>
      <c r="AG327">
        <v>0</v>
      </c>
      <c r="AH327">
        <v>0</v>
      </c>
      <c r="AI327">
        <v>0</v>
      </c>
      <c r="AJ327">
        <v>0</v>
      </c>
      <c r="AK327">
        <v>1</v>
      </c>
      <c r="AL327">
        <v>0</v>
      </c>
      <c r="AM327">
        <v>0</v>
      </c>
      <c r="AN327">
        <v>0</v>
      </c>
      <c r="AO327">
        <v>0</v>
      </c>
      <c r="AP327">
        <v>0</v>
      </c>
      <c r="AQ327">
        <v>0</v>
      </c>
      <c r="AR327">
        <v>0</v>
      </c>
      <c r="AS327">
        <v>0</v>
      </c>
      <c r="AT327">
        <v>0</v>
      </c>
      <c r="AU327">
        <v>0</v>
      </c>
      <c r="AV327">
        <v>0</v>
      </c>
    </row>
    <row r="328" spans="1:48" ht="15.75" customHeight="1" x14ac:dyDescent="0.25">
      <c r="A328">
        <v>2</v>
      </c>
      <c r="B328">
        <v>1</v>
      </c>
      <c r="C328">
        <v>2</v>
      </c>
      <c r="D328">
        <v>1</v>
      </c>
      <c r="E328">
        <v>2004</v>
      </c>
      <c r="F328">
        <v>2</v>
      </c>
      <c r="G328">
        <v>1</v>
      </c>
      <c r="H328">
        <v>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c r="AD328">
        <v>0</v>
      </c>
      <c r="AE328">
        <v>0</v>
      </c>
      <c r="AF328">
        <v>0</v>
      </c>
      <c r="AG328">
        <v>0</v>
      </c>
      <c r="AH328">
        <v>0</v>
      </c>
      <c r="AI328">
        <v>0</v>
      </c>
      <c r="AJ328">
        <v>0</v>
      </c>
      <c r="AK328">
        <v>0</v>
      </c>
      <c r="AL328">
        <v>0</v>
      </c>
      <c r="AM328">
        <v>1</v>
      </c>
      <c r="AN328">
        <v>0</v>
      </c>
      <c r="AO328">
        <v>0</v>
      </c>
      <c r="AP328">
        <v>0</v>
      </c>
      <c r="AQ328">
        <v>0</v>
      </c>
      <c r="AR328">
        <v>0</v>
      </c>
      <c r="AS328">
        <v>0</v>
      </c>
      <c r="AT328">
        <v>0</v>
      </c>
      <c r="AU328">
        <v>0</v>
      </c>
      <c r="AV328">
        <v>0</v>
      </c>
    </row>
    <row r="329" spans="1:48" ht="15.75" customHeight="1" x14ac:dyDescent="0.25">
      <c r="A329">
        <v>2</v>
      </c>
      <c r="B329">
        <v>1</v>
      </c>
      <c r="C329">
        <v>2</v>
      </c>
      <c r="D329">
        <v>1</v>
      </c>
      <c r="E329">
        <v>2004</v>
      </c>
      <c r="F329">
        <v>3</v>
      </c>
      <c r="G329">
        <v>1</v>
      </c>
      <c r="H329">
        <v>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1</v>
      </c>
      <c r="AI329">
        <v>0</v>
      </c>
      <c r="AJ329">
        <v>0</v>
      </c>
      <c r="AK329">
        <v>0</v>
      </c>
      <c r="AL329">
        <v>0</v>
      </c>
      <c r="AM329">
        <v>0</v>
      </c>
      <c r="AN329">
        <v>0</v>
      </c>
      <c r="AO329">
        <v>0</v>
      </c>
      <c r="AP329">
        <v>0</v>
      </c>
      <c r="AQ329">
        <v>0</v>
      </c>
      <c r="AR329">
        <v>0</v>
      </c>
      <c r="AS329">
        <v>0</v>
      </c>
      <c r="AT329">
        <v>0</v>
      </c>
      <c r="AU329">
        <v>0</v>
      </c>
      <c r="AV329">
        <v>0</v>
      </c>
    </row>
    <row r="330" spans="1:48" ht="15.75" customHeight="1" x14ac:dyDescent="0.25">
      <c r="A330">
        <v>2</v>
      </c>
      <c r="B330">
        <v>1</v>
      </c>
      <c r="C330">
        <v>2</v>
      </c>
      <c r="D330">
        <v>1</v>
      </c>
      <c r="E330">
        <v>2004</v>
      </c>
      <c r="F330">
        <v>6</v>
      </c>
      <c r="G330">
        <v>1</v>
      </c>
      <c r="H330">
        <v>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c r="AD330">
        <v>0</v>
      </c>
      <c r="AE330">
        <v>0</v>
      </c>
      <c r="AF330">
        <v>0</v>
      </c>
      <c r="AG330">
        <v>0</v>
      </c>
      <c r="AH330">
        <v>1</v>
      </c>
      <c r="AI330">
        <v>0</v>
      </c>
      <c r="AJ330">
        <v>0</v>
      </c>
      <c r="AK330">
        <v>0</v>
      </c>
      <c r="AL330">
        <v>0</v>
      </c>
      <c r="AM330">
        <v>0</v>
      </c>
      <c r="AN330">
        <v>0</v>
      </c>
      <c r="AO330">
        <v>0</v>
      </c>
      <c r="AP330">
        <v>0</v>
      </c>
      <c r="AQ330">
        <v>0</v>
      </c>
      <c r="AR330">
        <v>0</v>
      </c>
      <c r="AS330">
        <v>0</v>
      </c>
      <c r="AT330">
        <v>0</v>
      </c>
      <c r="AU330">
        <v>0</v>
      </c>
      <c r="AV330">
        <v>0</v>
      </c>
    </row>
    <row r="331" spans="1:48" ht="15.75" customHeight="1" x14ac:dyDescent="0.25">
      <c r="A331">
        <v>2</v>
      </c>
      <c r="B331">
        <v>1</v>
      </c>
      <c r="C331">
        <v>2</v>
      </c>
      <c r="D331">
        <v>1</v>
      </c>
      <c r="E331">
        <v>2005</v>
      </c>
      <c r="F331">
        <v>1</v>
      </c>
      <c r="G331">
        <v>1</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c r="AI331">
        <v>0</v>
      </c>
      <c r="AJ331">
        <v>0</v>
      </c>
      <c r="AK331">
        <v>0</v>
      </c>
      <c r="AL331">
        <v>0</v>
      </c>
      <c r="AM331">
        <v>0</v>
      </c>
      <c r="AN331">
        <v>0</v>
      </c>
      <c r="AO331">
        <v>0</v>
      </c>
      <c r="AP331">
        <v>0</v>
      </c>
      <c r="AQ331">
        <v>1</v>
      </c>
      <c r="AR331">
        <v>0</v>
      </c>
      <c r="AS331">
        <v>0</v>
      </c>
      <c r="AT331">
        <v>0</v>
      </c>
      <c r="AU331">
        <v>0</v>
      </c>
      <c r="AV331">
        <v>0</v>
      </c>
    </row>
    <row r="332" spans="1:48" ht="15.75" customHeight="1" x14ac:dyDescent="0.25">
      <c r="A332">
        <v>2</v>
      </c>
      <c r="B332">
        <v>1</v>
      </c>
      <c r="C332">
        <v>2</v>
      </c>
      <c r="D332">
        <v>1</v>
      </c>
      <c r="E332">
        <v>2006</v>
      </c>
      <c r="F332">
        <v>1</v>
      </c>
      <c r="G332">
        <v>1</v>
      </c>
      <c r="H332">
        <v>0</v>
      </c>
      <c r="I332">
        <v>0</v>
      </c>
      <c r="J332">
        <v>0</v>
      </c>
      <c r="K332">
        <v>0</v>
      </c>
      <c r="L332">
        <v>0</v>
      </c>
      <c r="M332">
        <v>0</v>
      </c>
      <c r="N332">
        <v>0</v>
      </c>
      <c r="O332">
        <v>0</v>
      </c>
      <c r="P332">
        <v>0</v>
      </c>
      <c r="Q332">
        <v>0</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c r="AK332">
        <v>0</v>
      </c>
      <c r="AL332">
        <v>0</v>
      </c>
      <c r="AM332">
        <v>0</v>
      </c>
      <c r="AN332">
        <v>0</v>
      </c>
      <c r="AO332">
        <v>0</v>
      </c>
      <c r="AP332">
        <v>0</v>
      </c>
      <c r="AQ332">
        <v>1</v>
      </c>
      <c r="AR332">
        <v>0</v>
      </c>
      <c r="AS332">
        <v>0</v>
      </c>
      <c r="AT332">
        <v>0</v>
      </c>
      <c r="AU332">
        <v>0</v>
      </c>
      <c r="AV332">
        <v>0</v>
      </c>
    </row>
    <row r="333" spans="1:48" ht="15.75" customHeight="1" x14ac:dyDescent="0.25">
      <c r="A333">
        <v>2</v>
      </c>
      <c r="B333">
        <v>1</v>
      </c>
      <c r="C333">
        <v>2</v>
      </c>
      <c r="D333">
        <v>1</v>
      </c>
      <c r="E333">
        <v>2006</v>
      </c>
      <c r="F333">
        <v>2</v>
      </c>
      <c r="G333">
        <v>1</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c r="AD333">
        <v>0</v>
      </c>
      <c r="AE333">
        <v>0</v>
      </c>
      <c r="AF333">
        <v>0</v>
      </c>
      <c r="AG333">
        <v>0</v>
      </c>
      <c r="AH333">
        <v>0</v>
      </c>
      <c r="AI333">
        <v>0</v>
      </c>
      <c r="AJ333">
        <v>0</v>
      </c>
      <c r="AK333">
        <v>0</v>
      </c>
      <c r="AL333">
        <v>0</v>
      </c>
      <c r="AM333">
        <v>1</v>
      </c>
      <c r="AN333">
        <v>0</v>
      </c>
      <c r="AO333">
        <v>0</v>
      </c>
      <c r="AP333">
        <v>0</v>
      </c>
      <c r="AQ333">
        <v>0</v>
      </c>
      <c r="AR333">
        <v>0</v>
      </c>
      <c r="AS333">
        <v>0</v>
      </c>
      <c r="AT333">
        <v>0</v>
      </c>
      <c r="AU333">
        <v>0</v>
      </c>
      <c r="AV333">
        <v>0</v>
      </c>
    </row>
    <row r="334" spans="1:48" ht="15.75" customHeight="1" x14ac:dyDescent="0.25">
      <c r="A334">
        <v>2</v>
      </c>
      <c r="B334">
        <v>1</v>
      </c>
      <c r="C334">
        <v>2</v>
      </c>
      <c r="D334">
        <v>1</v>
      </c>
      <c r="E334">
        <v>2008</v>
      </c>
      <c r="F334">
        <v>2</v>
      </c>
      <c r="G334">
        <v>1</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c r="AI334">
        <v>0</v>
      </c>
      <c r="AJ334">
        <v>0</v>
      </c>
      <c r="AK334">
        <v>0</v>
      </c>
      <c r="AL334">
        <v>0</v>
      </c>
      <c r="AM334">
        <v>1</v>
      </c>
      <c r="AN334">
        <v>0</v>
      </c>
      <c r="AO334">
        <v>0</v>
      </c>
      <c r="AP334">
        <v>0</v>
      </c>
      <c r="AQ334">
        <v>0</v>
      </c>
      <c r="AR334">
        <v>0</v>
      </c>
      <c r="AS334">
        <v>0</v>
      </c>
      <c r="AT334">
        <v>0</v>
      </c>
      <c r="AU334">
        <v>0</v>
      </c>
      <c r="AV334">
        <v>0</v>
      </c>
    </row>
    <row r="335" spans="1:48" ht="15.75" customHeight="1" x14ac:dyDescent="0.25">
      <c r="A335">
        <v>2</v>
      </c>
      <c r="B335">
        <v>1</v>
      </c>
      <c r="C335">
        <v>2</v>
      </c>
      <c r="D335">
        <v>1</v>
      </c>
      <c r="E335">
        <v>2008</v>
      </c>
      <c r="F335">
        <v>3</v>
      </c>
      <c r="G335">
        <v>1</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v>0</v>
      </c>
      <c r="AK335">
        <v>0</v>
      </c>
      <c r="AL335">
        <v>0</v>
      </c>
      <c r="AM335">
        <v>0</v>
      </c>
      <c r="AN335">
        <v>0</v>
      </c>
      <c r="AO335">
        <v>1</v>
      </c>
      <c r="AP335">
        <v>0</v>
      </c>
      <c r="AQ335">
        <v>0</v>
      </c>
      <c r="AR335">
        <v>0</v>
      </c>
      <c r="AS335">
        <v>0</v>
      </c>
      <c r="AT335">
        <v>0</v>
      </c>
      <c r="AU335">
        <v>0</v>
      </c>
      <c r="AV335">
        <v>0</v>
      </c>
    </row>
    <row r="336" spans="1:48" ht="15.75" customHeight="1" x14ac:dyDescent="0.25">
      <c r="A336">
        <v>2</v>
      </c>
      <c r="B336">
        <v>1</v>
      </c>
      <c r="C336">
        <v>2</v>
      </c>
      <c r="D336">
        <v>1</v>
      </c>
      <c r="E336">
        <v>2014</v>
      </c>
      <c r="F336">
        <v>6</v>
      </c>
      <c r="G336">
        <v>1</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c r="AK336">
        <v>0</v>
      </c>
      <c r="AL336">
        <v>0</v>
      </c>
      <c r="AM336">
        <v>0</v>
      </c>
      <c r="AN336">
        <v>0</v>
      </c>
      <c r="AO336">
        <v>0</v>
      </c>
      <c r="AP336">
        <v>0</v>
      </c>
      <c r="AQ336">
        <v>1</v>
      </c>
      <c r="AR336">
        <v>0</v>
      </c>
      <c r="AS336">
        <v>0</v>
      </c>
      <c r="AT336">
        <v>0</v>
      </c>
      <c r="AU336">
        <v>0</v>
      </c>
      <c r="AV336">
        <v>0</v>
      </c>
    </row>
    <row r="337" spans="1:48" ht="15.75" customHeight="1" x14ac:dyDescent="0.25">
      <c r="A337">
        <v>2</v>
      </c>
      <c r="B337">
        <v>2</v>
      </c>
      <c r="C337">
        <v>1</v>
      </c>
      <c r="D337">
        <v>1</v>
      </c>
      <c r="E337">
        <v>2006</v>
      </c>
      <c r="F337">
        <v>3</v>
      </c>
      <c r="G337">
        <v>2</v>
      </c>
      <c r="H337">
        <v>0</v>
      </c>
      <c r="I337">
        <v>0</v>
      </c>
      <c r="J337">
        <v>0</v>
      </c>
      <c r="K337">
        <v>0</v>
      </c>
      <c r="L337">
        <v>0</v>
      </c>
      <c r="M337">
        <v>0</v>
      </c>
      <c r="N337">
        <v>0</v>
      </c>
      <c r="O337">
        <v>0</v>
      </c>
      <c r="P337">
        <v>0</v>
      </c>
      <c r="Q337">
        <v>0</v>
      </c>
      <c r="R337">
        <v>0</v>
      </c>
      <c r="S337">
        <v>0</v>
      </c>
      <c r="T337">
        <v>1</v>
      </c>
      <c r="U337">
        <v>1</v>
      </c>
      <c r="V337">
        <v>0</v>
      </c>
      <c r="W337">
        <v>0</v>
      </c>
      <c r="X337">
        <v>0</v>
      </c>
      <c r="Y337">
        <v>0</v>
      </c>
      <c r="Z337">
        <v>0</v>
      </c>
      <c r="AA337">
        <v>0</v>
      </c>
      <c r="AB337">
        <v>0</v>
      </c>
      <c r="AC337">
        <v>0</v>
      </c>
      <c r="AD337">
        <v>0</v>
      </c>
      <c r="AE337">
        <v>0</v>
      </c>
      <c r="AF337">
        <v>0</v>
      </c>
      <c r="AG337">
        <v>0</v>
      </c>
      <c r="AH337">
        <v>0</v>
      </c>
      <c r="AI337">
        <v>0</v>
      </c>
      <c r="AJ337">
        <v>0</v>
      </c>
      <c r="AK337">
        <v>0</v>
      </c>
      <c r="AL337">
        <v>0</v>
      </c>
      <c r="AM337">
        <v>0</v>
      </c>
      <c r="AN337">
        <v>0</v>
      </c>
      <c r="AO337">
        <v>0</v>
      </c>
      <c r="AP337">
        <v>0</v>
      </c>
      <c r="AQ337">
        <v>0</v>
      </c>
      <c r="AR337">
        <v>0</v>
      </c>
      <c r="AS337">
        <v>0</v>
      </c>
      <c r="AT337">
        <v>0</v>
      </c>
      <c r="AU337">
        <v>0</v>
      </c>
      <c r="AV337">
        <v>0</v>
      </c>
    </row>
    <row r="338" spans="1:48" ht="15.75" customHeight="1" x14ac:dyDescent="0.25">
      <c r="A338">
        <v>2</v>
      </c>
      <c r="B338">
        <v>2</v>
      </c>
      <c r="C338">
        <v>1</v>
      </c>
      <c r="D338">
        <v>1</v>
      </c>
      <c r="E338">
        <v>2008</v>
      </c>
      <c r="F338">
        <v>1</v>
      </c>
      <c r="G338">
        <v>1</v>
      </c>
      <c r="H338">
        <v>0</v>
      </c>
      <c r="I338">
        <v>0</v>
      </c>
      <c r="J338">
        <v>0</v>
      </c>
      <c r="K338">
        <v>0</v>
      </c>
      <c r="L338">
        <v>0</v>
      </c>
      <c r="M338">
        <v>0</v>
      </c>
      <c r="N338">
        <v>0</v>
      </c>
      <c r="O338">
        <v>0</v>
      </c>
      <c r="P338">
        <v>0</v>
      </c>
      <c r="Q338">
        <v>0</v>
      </c>
      <c r="R338">
        <v>0</v>
      </c>
      <c r="S338">
        <v>0</v>
      </c>
      <c r="T338">
        <v>1</v>
      </c>
      <c r="U338">
        <v>0</v>
      </c>
      <c r="V338">
        <v>0</v>
      </c>
      <c r="W338">
        <v>0</v>
      </c>
      <c r="X338">
        <v>0</v>
      </c>
      <c r="Y338">
        <v>0</v>
      </c>
      <c r="Z338">
        <v>0</v>
      </c>
      <c r="AA338">
        <v>0</v>
      </c>
      <c r="AB338">
        <v>0</v>
      </c>
      <c r="AC338">
        <v>0</v>
      </c>
      <c r="AD338">
        <v>0</v>
      </c>
      <c r="AE338">
        <v>0</v>
      </c>
      <c r="AF338">
        <v>0</v>
      </c>
      <c r="AG338">
        <v>0</v>
      </c>
      <c r="AH338">
        <v>0</v>
      </c>
      <c r="AI338">
        <v>0</v>
      </c>
      <c r="AJ338">
        <v>0</v>
      </c>
      <c r="AK338">
        <v>0</v>
      </c>
      <c r="AL338">
        <v>0</v>
      </c>
      <c r="AM338">
        <v>0</v>
      </c>
      <c r="AN338">
        <v>0</v>
      </c>
      <c r="AO338">
        <v>0</v>
      </c>
      <c r="AP338">
        <v>0</v>
      </c>
      <c r="AQ338">
        <v>0</v>
      </c>
      <c r="AR338">
        <v>0</v>
      </c>
      <c r="AS338">
        <v>0</v>
      </c>
      <c r="AT338">
        <v>0</v>
      </c>
      <c r="AU338">
        <v>0</v>
      </c>
      <c r="AV338">
        <v>0</v>
      </c>
    </row>
    <row r="339" spans="1:48" ht="15.75" customHeight="1" x14ac:dyDescent="0.25">
      <c r="A339">
        <v>2</v>
      </c>
      <c r="B339">
        <v>2</v>
      </c>
      <c r="C339">
        <v>1</v>
      </c>
      <c r="D339">
        <v>1</v>
      </c>
      <c r="E339">
        <v>2014</v>
      </c>
      <c r="F339">
        <v>3</v>
      </c>
      <c r="G339">
        <v>1</v>
      </c>
      <c r="H339">
        <v>0</v>
      </c>
      <c r="I339">
        <v>0</v>
      </c>
      <c r="J339">
        <v>0</v>
      </c>
      <c r="K339">
        <v>0</v>
      </c>
      <c r="L339">
        <v>0</v>
      </c>
      <c r="M339">
        <v>0</v>
      </c>
      <c r="N339">
        <v>0</v>
      </c>
      <c r="O339">
        <v>0</v>
      </c>
      <c r="P339">
        <v>0</v>
      </c>
      <c r="Q339">
        <v>0</v>
      </c>
      <c r="R339">
        <v>0</v>
      </c>
      <c r="S339">
        <v>0</v>
      </c>
      <c r="T339">
        <v>0</v>
      </c>
      <c r="U339">
        <v>1</v>
      </c>
      <c r="V339">
        <v>0</v>
      </c>
      <c r="W339">
        <v>0</v>
      </c>
      <c r="X339">
        <v>0</v>
      </c>
      <c r="Y339">
        <v>0</v>
      </c>
      <c r="Z339">
        <v>0</v>
      </c>
      <c r="AA339">
        <v>0</v>
      </c>
      <c r="AB339">
        <v>0</v>
      </c>
      <c r="AC339">
        <v>0</v>
      </c>
      <c r="AD339">
        <v>0</v>
      </c>
      <c r="AE339">
        <v>0</v>
      </c>
      <c r="AF339">
        <v>0</v>
      </c>
      <c r="AG339">
        <v>0</v>
      </c>
      <c r="AH339">
        <v>0</v>
      </c>
      <c r="AI339">
        <v>0</v>
      </c>
      <c r="AJ339">
        <v>0</v>
      </c>
      <c r="AK339">
        <v>0</v>
      </c>
      <c r="AL339">
        <v>0</v>
      </c>
      <c r="AM339">
        <v>0</v>
      </c>
      <c r="AN339">
        <v>0</v>
      </c>
      <c r="AO339">
        <v>0</v>
      </c>
      <c r="AP339">
        <v>0</v>
      </c>
      <c r="AQ339">
        <v>0</v>
      </c>
      <c r="AR339">
        <v>0</v>
      </c>
      <c r="AS339">
        <v>0</v>
      </c>
      <c r="AT339">
        <v>0</v>
      </c>
      <c r="AU339">
        <v>0</v>
      </c>
      <c r="AV339">
        <v>0</v>
      </c>
    </row>
    <row r="340" spans="1:48" ht="15.75" customHeight="1" x14ac:dyDescent="0.25">
      <c r="A340">
        <v>2</v>
      </c>
      <c r="B340">
        <v>2</v>
      </c>
      <c r="C340">
        <v>1</v>
      </c>
      <c r="D340">
        <v>1</v>
      </c>
      <c r="E340">
        <v>2015</v>
      </c>
      <c r="F340">
        <v>2</v>
      </c>
      <c r="G340">
        <v>2</v>
      </c>
      <c r="H340">
        <v>0</v>
      </c>
      <c r="I340">
        <v>0</v>
      </c>
      <c r="J340">
        <v>0</v>
      </c>
      <c r="K340">
        <v>0</v>
      </c>
      <c r="L340">
        <v>0</v>
      </c>
      <c r="M340">
        <v>0</v>
      </c>
      <c r="N340">
        <v>0</v>
      </c>
      <c r="O340">
        <v>0</v>
      </c>
      <c r="P340">
        <v>0</v>
      </c>
      <c r="Q340">
        <v>0</v>
      </c>
      <c r="R340">
        <v>0</v>
      </c>
      <c r="S340">
        <v>0</v>
      </c>
      <c r="T340">
        <v>0</v>
      </c>
      <c r="U340">
        <v>1</v>
      </c>
      <c r="V340">
        <v>0</v>
      </c>
      <c r="W340">
        <v>0</v>
      </c>
      <c r="X340">
        <v>0</v>
      </c>
      <c r="Y340">
        <v>1</v>
      </c>
      <c r="Z340">
        <v>0</v>
      </c>
      <c r="AA340">
        <v>0</v>
      </c>
      <c r="AB340">
        <v>0</v>
      </c>
      <c r="AC340">
        <v>0</v>
      </c>
      <c r="AD340">
        <v>0</v>
      </c>
      <c r="AE340">
        <v>0</v>
      </c>
      <c r="AF340">
        <v>0</v>
      </c>
      <c r="AG340">
        <v>0</v>
      </c>
      <c r="AH340">
        <v>0</v>
      </c>
      <c r="AI340">
        <v>0</v>
      </c>
      <c r="AJ340">
        <v>0</v>
      </c>
      <c r="AK340">
        <v>0</v>
      </c>
      <c r="AL340">
        <v>0</v>
      </c>
      <c r="AM340">
        <v>0</v>
      </c>
      <c r="AN340">
        <v>0</v>
      </c>
      <c r="AO340">
        <v>0</v>
      </c>
      <c r="AP340">
        <v>0</v>
      </c>
      <c r="AQ340">
        <v>0</v>
      </c>
      <c r="AR340">
        <v>0</v>
      </c>
      <c r="AS340">
        <v>0</v>
      </c>
      <c r="AT340">
        <v>0</v>
      </c>
      <c r="AU340">
        <v>0</v>
      </c>
      <c r="AV340">
        <v>0</v>
      </c>
    </row>
    <row r="341" spans="1:48" ht="15.75" customHeight="1" x14ac:dyDescent="0.25">
      <c r="A341">
        <v>2</v>
      </c>
      <c r="B341">
        <v>2</v>
      </c>
      <c r="C341">
        <v>1</v>
      </c>
      <c r="D341">
        <v>1</v>
      </c>
      <c r="E341">
        <v>2015</v>
      </c>
      <c r="F341">
        <v>3</v>
      </c>
      <c r="G341">
        <v>9</v>
      </c>
      <c r="H341">
        <v>0</v>
      </c>
      <c r="I341">
        <v>0</v>
      </c>
      <c r="J341">
        <v>0</v>
      </c>
      <c r="K341">
        <v>0</v>
      </c>
      <c r="L341">
        <v>0</v>
      </c>
      <c r="M341">
        <v>0</v>
      </c>
      <c r="N341">
        <v>0</v>
      </c>
      <c r="O341">
        <v>0</v>
      </c>
      <c r="P341">
        <v>0</v>
      </c>
      <c r="Q341">
        <v>0</v>
      </c>
      <c r="R341">
        <v>0</v>
      </c>
      <c r="S341">
        <v>0</v>
      </c>
      <c r="T341">
        <v>0</v>
      </c>
      <c r="U341">
        <v>2</v>
      </c>
      <c r="V341">
        <v>2</v>
      </c>
      <c r="W341">
        <v>3</v>
      </c>
      <c r="X341">
        <v>0</v>
      </c>
      <c r="Y341">
        <v>0</v>
      </c>
      <c r="Z341">
        <v>0</v>
      </c>
      <c r="AA341">
        <v>1</v>
      </c>
      <c r="AB341">
        <v>0</v>
      </c>
      <c r="AC341">
        <v>0</v>
      </c>
      <c r="AD341">
        <v>0</v>
      </c>
      <c r="AE341">
        <v>1</v>
      </c>
      <c r="AF341">
        <v>0</v>
      </c>
      <c r="AG341">
        <v>0</v>
      </c>
      <c r="AH341">
        <v>0</v>
      </c>
      <c r="AI341">
        <v>0</v>
      </c>
      <c r="AJ341">
        <v>0</v>
      </c>
      <c r="AK341">
        <v>0</v>
      </c>
      <c r="AL341">
        <v>0</v>
      </c>
      <c r="AM341">
        <v>0</v>
      </c>
      <c r="AN341">
        <v>0</v>
      </c>
      <c r="AO341">
        <v>0</v>
      </c>
      <c r="AP341">
        <v>0</v>
      </c>
      <c r="AQ341">
        <v>0</v>
      </c>
      <c r="AR341">
        <v>0</v>
      </c>
      <c r="AS341">
        <v>0</v>
      </c>
      <c r="AT341">
        <v>0</v>
      </c>
      <c r="AU341">
        <v>0</v>
      </c>
      <c r="AV341">
        <v>0</v>
      </c>
    </row>
    <row r="342" spans="1:48" ht="15.75" customHeight="1" x14ac:dyDescent="0.25">
      <c r="A342">
        <v>2</v>
      </c>
      <c r="B342">
        <v>2</v>
      </c>
      <c r="C342">
        <v>1</v>
      </c>
      <c r="D342">
        <v>1</v>
      </c>
      <c r="E342">
        <v>2015</v>
      </c>
      <c r="F342">
        <v>4</v>
      </c>
      <c r="G342">
        <v>4</v>
      </c>
      <c r="H342">
        <v>0</v>
      </c>
      <c r="I342">
        <v>0</v>
      </c>
      <c r="J342">
        <v>0</v>
      </c>
      <c r="K342">
        <v>0</v>
      </c>
      <c r="L342">
        <v>0</v>
      </c>
      <c r="M342">
        <v>0</v>
      </c>
      <c r="N342">
        <v>0</v>
      </c>
      <c r="O342">
        <v>0</v>
      </c>
      <c r="P342">
        <v>0</v>
      </c>
      <c r="Q342">
        <v>0</v>
      </c>
      <c r="R342">
        <v>0</v>
      </c>
      <c r="S342">
        <v>0</v>
      </c>
      <c r="T342">
        <v>0</v>
      </c>
      <c r="U342">
        <v>3</v>
      </c>
      <c r="V342">
        <v>0</v>
      </c>
      <c r="W342">
        <v>0</v>
      </c>
      <c r="X342">
        <v>1</v>
      </c>
      <c r="Y342">
        <v>0</v>
      </c>
      <c r="Z342">
        <v>0</v>
      </c>
      <c r="AA342">
        <v>0</v>
      </c>
      <c r="AB342">
        <v>0</v>
      </c>
      <c r="AC342">
        <v>0</v>
      </c>
      <c r="AD342">
        <v>0</v>
      </c>
      <c r="AE342">
        <v>0</v>
      </c>
      <c r="AF342">
        <v>0</v>
      </c>
      <c r="AG342">
        <v>0</v>
      </c>
      <c r="AH342">
        <v>0</v>
      </c>
      <c r="AI342">
        <v>0</v>
      </c>
      <c r="AJ342">
        <v>0</v>
      </c>
      <c r="AK342">
        <v>0</v>
      </c>
      <c r="AL342">
        <v>0</v>
      </c>
      <c r="AM342">
        <v>0</v>
      </c>
      <c r="AN342">
        <v>0</v>
      </c>
      <c r="AO342">
        <v>0</v>
      </c>
      <c r="AP342">
        <v>0</v>
      </c>
      <c r="AQ342">
        <v>0</v>
      </c>
      <c r="AR342">
        <v>0</v>
      </c>
      <c r="AS342">
        <v>0</v>
      </c>
      <c r="AT342">
        <v>0</v>
      </c>
      <c r="AU342">
        <v>0</v>
      </c>
      <c r="AV342">
        <v>0</v>
      </c>
    </row>
    <row r="343" spans="1:48" ht="15.75" customHeight="1" x14ac:dyDescent="0.25">
      <c r="A343">
        <v>2</v>
      </c>
      <c r="B343">
        <v>2</v>
      </c>
      <c r="C343">
        <v>1</v>
      </c>
      <c r="D343">
        <v>1</v>
      </c>
      <c r="E343">
        <v>2015</v>
      </c>
      <c r="F343">
        <v>5</v>
      </c>
      <c r="G343">
        <v>6</v>
      </c>
      <c r="H343">
        <v>0</v>
      </c>
      <c r="I343">
        <v>0</v>
      </c>
      <c r="J343">
        <v>0</v>
      </c>
      <c r="K343">
        <v>0</v>
      </c>
      <c r="L343">
        <v>0</v>
      </c>
      <c r="M343">
        <v>0</v>
      </c>
      <c r="N343">
        <v>0</v>
      </c>
      <c r="O343">
        <v>0</v>
      </c>
      <c r="P343">
        <v>0</v>
      </c>
      <c r="Q343">
        <v>0</v>
      </c>
      <c r="R343">
        <v>0</v>
      </c>
      <c r="S343">
        <v>0</v>
      </c>
      <c r="T343">
        <v>0</v>
      </c>
      <c r="U343">
        <v>1</v>
      </c>
      <c r="V343">
        <v>0</v>
      </c>
      <c r="W343">
        <v>1</v>
      </c>
      <c r="X343">
        <v>2</v>
      </c>
      <c r="Y343">
        <v>1</v>
      </c>
      <c r="Z343">
        <v>0</v>
      </c>
      <c r="AA343">
        <v>0</v>
      </c>
      <c r="AB343">
        <v>0</v>
      </c>
      <c r="AC343">
        <v>0</v>
      </c>
      <c r="AD343">
        <v>0</v>
      </c>
      <c r="AE343">
        <v>0</v>
      </c>
      <c r="AF343">
        <v>0</v>
      </c>
      <c r="AG343">
        <v>0</v>
      </c>
      <c r="AH343">
        <v>0</v>
      </c>
      <c r="AI343">
        <v>0</v>
      </c>
      <c r="AJ343">
        <v>1</v>
      </c>
      <c r="AK343">
        <v>0</v>
      </c>
      <c r="AL343">
        <v>0</v>
      </c>
      <c r="AM343">
        <v>0</v>
      </c>
      <c r="AN343">
        <v>0</v>
      </c>
      <c r="AO343">
        <v>0</v>
      </c>
      <c r="AP343">
        <v>0</v>
      </c>
      <c r="AQ343">
        <v>0</v>
      </c>
      <c r="AR343">
        <v>0</v>
      </c>
      <c r="AS343">
        <v>0</v>
      </c>
      <c r="AT343">
        <v>0</v>
      </c>
      <c r="AU343">
        <v>0</v>
      </c>
      <c r="AV343">
        <v>0</v>
      </c>
    </row>
    <row r="344" spans="1:48" ht="15.75" customHeight="1" x14ac:dyDescent="0.25">
      <c r="A344">
        <v>2</v>
      </c>
      <c r="B344">
        <v>2</v>
      </c>
      <c r="C344">
        <v>1</v>
      </c>
      <c r="D344">
        <v>1</v>
      </c>
      <c r="E344">
        <v>2015</v>
      </c>
      <c r="F344">
        <v>6</v>
      </c>
      <c r="G344">
        <v>6</v>
      </c>
      <c r="H344">
        <v>0</v>
      </c>
      <c r="I344">
        <v>0</v>
      </c>
      <c r="J344">
        <v>0</v>
      </c>
      <c r="K344">
        <v>0</v>
      </c>
      <c r="L344">
        <v>0</v>
      </c>
      <c r="M344">
        <v>0</v>
      </c>
      <c r="N344">
        <v>0</v>
      </c>
      <c r="O344">
        <v>0</v>
      </c>
      <c r="P344">
        <v>0</v>
      </c>
      <c r="Q344">
        <v>0</v>
      </c>
      <c r="R344">
        <v>0</v>
      </c>
      <c r="S344">
        <v>0</v>
      </c>
      <c r="T344">
        <v>0</v>
      </c>
      <c r="U344">
        <v>2</v>
      </c>
      <c r="V344">
        <v>2</v>
      </c>
      <c r="W344">
        <v>0</v>
      </c>
      <c r="X344">
        <v>0</v>
      </c>
      <c r="Y344">
        <v>0</v>
      </c>
      <c r="Z344">
        <v>1</v>
      </c>
      <c r="AA344">
        <v>0</v>
      </c>
      <c r="AB344">
        <v>0</v>
      </c>
      <c r="AC344">
        <v>1</v>
      </c>
      <c r="AD344">
        <v>0</v>
      </c>
      <c r="AE344">
        <v>0</v>
      </c>
      <c r="AF344">
        <v>0</v>
      </c>
      <c r="AG344">
        <v>0</v>
      </c>
      <c r="AH344">
        <v>0</v>
      </c>
      <c r="AI344">
        <v>0</v>
      </c>
      <c r="AJ344">
        <v>0</v>
      </c>
      <c r="AK344">
        <v>0</v>
      </c>
      <c r="AL344">
        <v>0</v>
      </c>
      <c r="AM344">
        <v>0</v>
      </c>
      <c r="AN344">
        <v>0</v>
      </c>
      <c r="AO344">
        <v>0</v>
      </c>
      <c r="AP344">
        <v>0</v>
      </c>
      <c r="AQ344">
        <v>0</v>
      </c>
      <c r="AR344">
        <v>0</v>
      </c>
      <c r="AS344">
        <v>0</v>
      </c>
      <c r="AT344">
        <v>0</v>
      </c>
      <c r="AU344">
        <v>0</v>
      </c>
      <c r="AV344">
        <v>0</v>
      </c>
    </row>
    <row r="345" spans="1:48" ht="15.75" customHeight="1" x14ac:dyDescent="0.25">
      <c r="A345">
        <v>2</v>
      </c>
      <c r="B345">
        <v>2</v>
      </c>
      <c r="C345">
        <v>1</v>
      </c>
      <c r="D345">
        <v>1</v>
      </c>
      <c r="E345">
        <v>2016</v>
      </c>
      <c r="F345">
        <v>1</v>
      </c>
      <c r="G345">
        <v>7</v>
      </c>
      <c r="H345">
        <v>0</v>
      </c>
      <c r="I345">
        <v>0</v>
      </c>
      <c r="J345">
        <v>0</v>
      </c>
      <c r="K345">
        <v>0</v>
      </c>
      <c r="L345">
        <v>0</v>
      </c>
      <c r="M345">
        <v>0</v>
      </c>
      <c r="N345">
        <v>0</v>
      </c>
      <c r="O345">
        <v>0</v>
      </c>
      <c r="P345">
        <v>0</v>
      </c>
      <c r="Q345">
        <v>0</v>
      </c>
      <c r="R345">
        <v>0</v>
      </c>
      <c r="S345">
        <v>0</v>
      </c>
      <c r="T345">
        <v>0</v>
      </c>
      <c r="U345">
        <v>1</v>
      </c>
      <c r="V345">
        <v>1</v>
      </c>
      <c r="W345">
        <v>2</v>
      </c>
      <c r="X345">
        <v>0</v>
      </c>
      <c r="Y345">
        <v>0</v>
      </c>
      <c r="Z345">
        <v>0</v>
      </c>
      <c r="AA345">
        <v>2</v>
      </c>
      <c r="AB345">
        <v>0</v>
      </c>
      <c r="AC345">
        <v>0</v>
      </c>
      <c r="AD345">
        <v>0</v>
      </c>
      <c r="AE345">
        <v>0</v>
      </c>
      <c r="AF345">
        <v>0</v>
      </c>
      <c r="AG345">
        <v>0</v>
      </c>
      <c r="AH345">
        <v>0</v>
      </c>
      <c r="AI345">
        <v>0</v>
      </c>
      <c r="AJ345">
        <v>0</v>
      </c>
      <c r="AK345">
        <v>1</v>
      </c>
      <c r="AL345">
        <v>0</v>
      </c>
      <c r="AM345">
        <v>0</v>
      </c>
      <c r="AN345">
        <v>0</v>
      </c>
      <c r="AO345">
        <v>0</v>
      </c>
      <c r="AP345">
        <v>0</v>
      </c>
      <c r="AQ345">
        <v>0</v>
      </c>
      <c r="AR345">
        <v>0</v>
      </c>
      <c r="AS345">
        <v>0</v>
      </c>
      <c r="AT345">
        <v>0</v>
      </c>
      <c r="AU345">
        <v>0</v>
      </c>
      <c r="AV345">
        <v>0</v>
      </c>
    </row>
    <row r="346" spans="1:48" ht="15.75" customHeight="1" x14ac:dyDescent="0.25">
      <c r="A346">
        <v>2</v>
      </c>
      <c r="B346">
        <v>2</v>
      </c>
      <c r="C346">
        <v>1</v>
      </c>
      <c r="D346">
        <v>1</v>
      </c>
      <c r="E346">
        <v>2016</v>
      </c>
      <c r="F346">
        <v>2</v>
      </c>
      <c r="G346">
        <v>36</v>
      </c>
      <c r="H346">
        <v>0</v>
      </c>
      <c r="I346">
        <v>0</v>
      </c>
      <c r="J346">
        <v>0</v>
      </c>
      <c r="K346">
        <v>0</v>
      </c>
      <c r="L346">
        <v>0</v>
      </c>
      <c r="M346">
        <v>0</v>
      </c>
      <c r="N346">
        <v>0</v>
      </c>
      <c r="O346">
        <v>0</v>
      </c>
      <c r="P346">
        <v>0</v>
      </c>
      <c r="Q346">
        <v>0</v>
      </c>
      <c r="R346">
        <v>0</v>
      </c>
      <c r="S346">
        <v>0</v>
      </c>
      <c r="T346">
        <v>3</v>
      </c>
      <c r="U346">
        <v>3</v>
      </c>
      <c r="V346">
        <v>9</v>
      </c>
      <c r="W346">
        <v>3</v>
      </c>
      <c r="X346">
        <v>3</v>
      </c>
      <c r="Y346">
        <v>3</v>
      </c>
      <c r="Z346">
        <v>2</v>
      </c>
      <c r="AA346">
        <v>4</v>
      </c>
      <c r="AB346">
        <v>0</v>
      </c>
      <c r="AC346">
        <v>2</v>
      </c>
      <c r="AD346">
        <v>0</v>
      </c>
      <c r="AE346">
        <v>0</v>
      </c>
      <c r="AF346">
        <v>1</v>
      </c>
      <c r="AG346">
        <v>1</v>
      </c>
      <c r="AH346">
        <v>0</v>
      </c>
      <c r="AI346">
        <v>0</v>
      </c>
      <c r="AJ346">
        <v>0</v>
      </c>
      <c r="AK346">
        <v>1</v>
      </c>
      <c r="AL346">
        <v>1</v>
      </c>
      <c r="AM346">
        <v>0</v>
      </c>
      <c r="AN346">
        <v>0</v>
      </c>
      <c r="AO346">
        <v>0</v>
      </c>
      <c r="AP346">
        <v>0</v>
      </c>
      <c r="AQ346">
        <v>0</v>
      </c>
      <c r="AR346">
        <v>0</v>
      </c>
      <c r="AS346">
        <v>0</v>
      </c>
      <c r="AT346">
        <v>0</v>
      </c>
      <c r="AU346">
        <v>0</v>
      </c>
      <c r="AV346">
        <v>0</v>
      </c>
    </row>
    <row r="347" spans="1:48" ht="15.75" customHeight="1" x14ac:dyDescent="0.25">
      <c r="A347">
        <v>2</v>
      </c>
      <c r="B347">
        <v>2</v>
      </c>
      <c r="C347">
        <v>1</v>
      </c>
      <c r="D347">
        <v>1</v>
      </c>
      <c r="E347">
        <v>2016</v>
      </c>
      <c r="F347">
        <v>3</v>
      </c>
      <c r="G347">
        <v>26</v>
      </c>
      <c r="H347">
        <v>0</v>
      </c>
      <c r="I347">
        <v>0</v>
      </c>
      <c r="J347">
        <v>0</v>
      </c>
      <c r="K347">
        <v>0</v>
      </c>
      <c r="L347">
        <v>0</v>
      </c>
      <c r="M347">
        <v>0</v>
      </c>
      <c r="N347">
        <v>0</v>
      </c>
      <c r="O347">
        <v>0</v>
      </c>
      <c r="P347">
        <v>0</v>
      </c>
      <c r="Q347">
        <v>0</v>
      </c>
      <c r="R347">
        <v>0</v>
      </c>
      <c r="S347">
        <v>0</v>
      </c>
      <c r="T347">
        <v>5</v>
      </c>
      <c r="U347">
        <v>4</v>
      </c>
      <c r="V347">
        <v>2</v>
      </c>
      <c r="W347">
        <v>2</v>
      </c>
      <c r="X347">
        <v>3</v>
      </c>
      <c r="Y347">
        <v>3</v>
      </c>
      <c r="Z347">
        <v>1</v>
      </c>
      <c r="AA347">
        <v>4</v>
      </c>
      <c r="AB347">
        <v>1</v>
      </c>
      <c r="AC347">
        <v>0</v>
      </c>
      <c r="AD347">
        <v>0</v>
      </c>
      <c r="AE347">
        <v>1</v>
      </c>
      <c r="AF347">
        <v>0</v>
      </c>
      <c r="AG347">
        <v>0</v>
      </c>
      <c r="AH347">
        <v>0</v>
      </c>
      <c r="AI347">
        <v>0</v>
      </c>
      <c r="AJ347">
        <v>0</v>
      </c>
      <c r="AK347">
        <v>0</v>
      </c>
      <c r="AL347">
        <v>0</v>
      </c>
      <c r="AM347">
        <v>0</v>
      </c>
      <c r="AN347">
        <v>0</v>
      </c>
      <c r="AO347">
        <v>0</v>
      </c>
      <c r="AP347">
        <v>0</v>
      </c>
      <c r="AQ347">
        <v>0</v>
      </c>
      <c r="AR347">
        <v>0</v>
      </c>
      <c r="AS347">
        <v>0</v>
      </c>
      <c r="AT347">
        <v>0</v>
      </c>
      <c r="AU347">
        <v>0</v>
      </c>
      <c r="AV347">
        <v>0</v>
      </c>
    </row>
    <row r="348" spans="1:48" ht="15.75" customHeight="1" x14ac:dyDescent="0.25">
      <c r="A348">
        <v>2</v>
      </c>
      <c r="B348">
        <v>2</v>
      </c>
      <c r="C348">
        <v>1</v>
      </c>
      <c r="D348">
        <v>1</v>
      </c>
      <c r="E348">
        <v>2016</v>
      </c>
      <c r="F348">
        <v>4</v>
      </c>
      <c r="G348">
        <v>21</v>
      </c>
      <c r="H348">
        <v>0</v>
      </c>
      <c r="I348">
        <v>0</v>
      </c>
      <c r="J348">
        <v>0</v>
      </c>
      <c r="K348">
        <v>0</v>
      </c>
      <c r="L348">
        <v>0</v>
      </c>
      <c r="M348">
        <v>0</v>
      </c>
      <c r="N348">
        <v>0</v>
      </c>
      <c r="O348">
        <v>0</v>
      </c>
      <c r="P348">
        <v>0</v>
      </c>
      <c r="Q348">
        <v>0</v>
      </c>
      <c r="R348">
        <v>0</v>
      </c>
      <c r="S348">
        <v>0</v>
      </c>
      <c r="T348">
        <v>3</v>
      </c>
      <c r="U348">
        <v>8</v>
      </c>
      <c r="V348">
        <v>4</v>
      </c>
      <c r="W348">
        <v>3</v>
      </c>
      <c r="X348">
        <v>1</v>
      </c>
      <c r="Y348">
        <v>0</v>
      </c>
      <c r="Z348">
        <v>1</v>
      </c>
      <c r="AA348">
        <v>0</v>
      </c>
      <c r="AB348">
        <v>0</v>
      </c>
      <c r="AC348">
        <v>0</v>
      </c>
      <c r="AD348">
        <v>0</v>
      </c>
      <c r="AE348">
        <v>0</v>
      </c>
      <c r="AF348">
        <v>0</v>
      </c>
      <c r="AG348">
        <v>1</v>
      </c>
      <c r="AH348">
        <v>0</v>
      </c>
      <c r="AI348">
        <v>0</v>
      </c>
      <c r="AJ348">
        <v>0</v>
      </c>
      <c r="AK348">
        <v>0</v>
      </c>
      <c r="AL348">
        <v>0</v>
      </c>
      <c r="AM348">
        <v>0</v>
      </c>
      <c r="AN348">
        <v>0</v>
      </c>
      <c r="AO348">
        <v>0</v>
      </c>
      <c r="AP348">
        <v>0</v>
      </c>
      <c r="AQ348">
        <v>0</v>
      </c>
      <c r="AR348">
        <v>0</v>
      </c>
      <c r="AS348">
        <v>0</v>
      </c>
      <c r="AT348">
        <v>0</v>
      </c>
      <c r="AU348">
        <v>0</v>
      </c>
      <c r="AV348">
        <v>0</v>
      </c>
    </row>
    <row r="349" spans="1:48" ht="15.75" customHeight="1" x14ac:dyDescent="0.25">
      <c r="A349">
        <v>2</v>
      </c>
      <c r="B349">
        <v>2</v>
      </c>
      <c r="C349">
        <v>1</v>
      </c>
      <c r="D349">
        <v>1</v>
      </c>
      <c r="E349">
        <v>2016</v>
      </c>
      <c r="F349">
        <v>5</v>
      </c>
      <c r="G349">
        <v>11</v>
      </c>
      <c r="H349">
        <v>0</v>
      </c>
      <c r="I349">
        <v>0</v>
      </c>
      <c r="J349">
        <v>0</v>
      </c>
      <c r="K349">
        <v>0</v>
      </c>
      <c r="L349">
        <v>0</v>
      </c>
      <c r="M349">
        <v>0</v>
      </c>
      <c r="N349">
        <v>0</v>
      </c>
      <c r="O349">
        <v>0</v>
      </c>
      <c r="P349">
        <v>0</v>
      </c>
      <c r="Q349">
        <v>0</v>
      </c>
      <c r="R349">
        <v>0</v>
      </c>
      <c r="S349">
        <v>0</v>
      </c>
      <c r="T349">
        <v>2</v>
      </c>
      <c r="U349">
        <v>4</v>
      </c>
      <c r="V349">
        <v>2</v>
      </c>
      <c r="W349">
        <v>0</v>
      </c>
      <c r="X349">
        <v>1</v>
      </c>
      <c r="Y349">
        <v>0</v>
      </c>
      <c r="Z349">
        <v>0</v>
      </c>
      <c r="AA349">
        <v>0</v>
      </c>
      <c r="AB349">
        <v>1</v>
      </c>
      <c r="AC349">
        <v>1</v>
      </c>
      <c r="AD349">
        <v>0</v>
      </c>
      <c r="AE349">
        <v>0</v>
      </c>
      <c r="AF349">
        <v>0</v>
      </c>
      <c r="AG349">
        <v>0</v>
      </c>
      <c r="AH349">
        <v>0</v>
      </c>
      <c r="AI349">
        <v>0</v>
      </c>
      <c r="AJ349">
        <v>0</v>
      </c>
      <c r="AK349">
        <v>0</v>
      </c>
      <c r="AL349">
        <v>0</v>
      </c>
      <c r="AM349">
        <v>0</v>
      </c>
      <c r="AN349">
        <v>0</v>
      </c>
      <c r="AO349">
        <v>0</v>
      </c>
      <c r="AP349">
        <v>0</v>
      </c>
      <c r="AQ349">
        <v>0</v>
      </c>
      <c r="AR349">
        <v>0</v>
      </c>
      <c r="AS349">
        <v>0</v>
      </c>
      <c r="AT349">
        <v>0</v>
      </c>
      <c r="AU349">
        <v>0</v>
      </c>
      <c r="AV349">
        <v>0</v>
      </c>
    </row>
    <row r="350" spans="1:48" ht="15.75" customHeight="1" x14ac:dyDescent="0.25">
      <c r="A350">
        <v>2</v>
      </c>
      <c r="B350">
        <v>2</v>
      </c>
      <c r="C350">
        <v>1</v>
      </c>
      <c r="D350">
        <v>1</v>
      </c>
      <c r="E350">
        <v>2016</v>
      </c>
      <c r="F350">
        <v>6</v>
      </c>
      <c r="G350">
        <v>17</v>
      </c>
      <c r="H350">
        <v>0</v>
      </c>
      <c r="I350">
        <v>0</v>
      </c>
      <c r="J350">
        <v>0</v>
      </c>
      <c r="K350">
        <v>0</v>
      </c>
      <c r="L350">
        <v>0</v>
      </c>
      <c r="M350">
        <v>0</v>
      </c>
      <c r="N350">
        <v>0</v>
      </c>
      <c r="O350">
        <v>0</v>
      </c>
      <c r="P350">
        <v>0</v>
      </c>
      <c r="Q350">
        <v>0</v>
      </c>
      <c r="R350">
        <v>0</v>
      </c>
      <c r="S350">
        <v>0</v>
      </c>
      <c r="T350">
        <v>6</v>
      </c>
      <c r="U350">
        <v>2</v>
      </c>
      <c r="V350">
        <v>3</v>
      </c>
      <c r="W350">
        <v>0</v>
      </c>
      <c r="X350">
        <v>3</v>
      </c>
      <c r="Y350">
        <v>0</v>
      </c>
      <c r="Z350">
        <v>0</v>
      </c>
      <c r="AA350">
        <v>1</v>
      </c>
      <c r="AB350">
        <v>1</v>
      </c>
      <c r="AC350">
        <v>0</v>
      </c>
      <c r="AD350">
        <v>0</v>
      </c>
      <c r="AE350">
        <v>0</v>
      </c>
      <c r="AF350">
        <v>0</v>
      </c>
      <c r="AG350">
        <v>0</v>
      </c>
      <c r="AH350">
        <v>0</v>
      </c>
      <c r="AI350">
        <v>0</v>
      </c>
      <c r="AJ350">
        <v>0</v>
      </c>
      <c r="AK350">
        <v>0</v>
      </c>
      <c r="AL350">
        <v>0</v>
      </c>
      <c r="AM350">
        <v>0</v>
      </c>
      <c r="AN350">
        <v>1</v>
      </c>
      <c r="AO350">
        <v>0</v>
      </c>
      <c r="AP350">
        <v>0</v>
      </c>
      <c r="AQ350">
        <v>0</v>
      </c>
      <c r="AR350">
        <v>0</v>
      </c>
      <c r="AS350">
        <v>0</v>
      </c>
      <c r="AT350">
        <v>0</v>
      </c>
      <c r="AU350">
        <v>0</v>
      </c>
      <c r="AV350">
        <v>0</v>
      </c>
    </row>
    <row r="351" spans="1:48" ht="15.75" customHeight="1" x14ac:dyDescent="0.25">
      <c r="A351">
        <v>2</v>
      </c>
      <c r="B351">
        <v>2</v>
      </c>
      <c r="C351">
        <v>1</v>
      </c>
      <c r="D351">
        <v>1</v>
      </c>
      <c r="E351">
        <v>2017</v>
      </c>
      <c r="F351">
        <v>1</v>
      </c>
      <c r="G351">
        <v>5</v>
      </c>
      <c r="H351">
        <v>0</v>
      </c>
      <c r="I351">
        <v>0</v>
      </c>
      <c r="J351">
        <v>0</v>
      </c>
      <c r="K351">
        <v>0</v>
      </c>
      <c r="L351">
        <v>0</v>
      </c>
      <c r="M351">
        <v>0</v>
      </c>
      <c r="N351">
        <v>0</v>
      </c>
      <c r="O351">
        <v>0</v>
      </c>
      <c r="P351">
        <v>0</v>
      </c>
      <c r="Q351">
        <v>0</v>
      </c>
      <c r="R351">
        <v>0</v>
      </c>
      <c r="S351">
        <v>0</v>
      </c>
      <c r="T351">
        <v>1</v>
      </c>
      <c r="U351">
        <v>0</v>
      </c>
      <c r="V351">
        <v>0</v>
      </c>
      <c r="W351">
        <v>0</v>
      </c>
      <c r="X351">
        <v>0</v>
      </c>
      <c r="Y351">
        <v>0</v>
      </c>
      <c r="Z351">
        <v>0</v>
      </c>
      <c r="AA351">
        <v>0</v>
      </c>
      <c r="AB351">
        <v>2</v>
      </c>
      <c r="AC351">
        <v>0</v>
      </c>
      <c r="AD351">
        <v>0</v>
      </c>
      <c r="AE351">
        <v>0</v>
      </c>
      <c r="AF351">
        <v>0</v>
      </c>
      <c r="AG351">
        <v>0</v>
      </c>
      <c r="AH351">
        <v>0</v>
      </c>
      <c r="AI351">
        <v>0</v>
      </c>
      <c r="AJ351">
        <v>0</v>
      </c>
      <c r="AK351">
        <v>1</v>
      </c>
      <c r="AL351">
        <v>1</v>
      </c>
      <c r="AM351">
        <v>0</v>
      </c>
      <c r="AN351">
        <v>0</v>
      </c>
      <c r="AO351">
        <v>0</v>
      </c>
      <c r="AP351">
        <v>0</v>
      </c>
      <c r="AQ351">
        <v>0</v>
      </c>
      <c r="AR351">
        <v>0</v>
      </c>
      <c r="AS351">
        <v>0</v>
      </c>
      <c r="AT351">
        <v>0</v>
      </c>
      <c r="AU351">
        <v>0</v>
      </c>
      <c r="AV351">
        <v>0</v>
      </c>
    </row>
    <row r="352" spans="1:48" ht="15.75" customHeight="1" x14ac:dyDescent="0.25">
      <c r="A352">
        <v>2</v>
      </c>
      <c r="B352">
        <v>2</v>
      </c>
      <c r="C352">
        <v>1</v>
      </c>
      <c r="D352">
        <v>1</v>
      </c>
      <c r="E352">
        <v>2017</v>
      </c>
      <c r="F352">
        <v>2</v>
      </c>
      <c r="G352">
        <v>28</v>
      </c>
      <c r="H352">
        <v>0</v>
      </c>
      <c r="I352">
        <v>0</v>
      </c>
      <c r="J352">
        <v>0</v>
      </c>
      <c r="K352">
        <v>0</v>
      </c>
      <c r="L352">
        <v>0</v>
      </c>
      <c r="M352">
        <v>0</v>
      </c>
      <c r="N352">
        <v>0</v>
      </c>
      <c r="O352">
        <v>0</v>
      </c>
      <c r="P352">
        <v>0</v>
      </c>
      <c r="Q352">
        <v>0</v>
      </c>
      <c r="R352">
        <v>0</v>
      </c>
      <c r="S352">
        <v>0</v>
      </c>
      <c r="T352">
        <v>2</v>
      </c>
      <c r="U352">
        <v>4</v>
      </c>
      <c r="V352">
        <v>4</v>
      </c>
      <c r="W352">
        <v>7</v>
      </c>
      <c r="X352">
        <v>2</v>
      </c>
      <c r="Y352">
        <v>1</v>
      </c>
      <c r="Z352">
        <v>1</v>
      </c>
      <c r="AA352">
        <v>3</v>
      </c>
      <c r="AB352">
        <v>0</v>
      </c>
      <c r="AC352">
        <v>1</v>
      </c>
      <c r="AD352">
        <v>1</v>
      </c>
      <c r="AE352">
        <v>0</v>
      </c>
      <c r="AF352">
        <v>0</v>
      </c>
      <c r="AG352">
        <v>0</v>
      </c>
      <c r="AH352">
        <v>0</v>
      </c>
      <c r="AI352">
        <v>0</v>
      </c>
      <c r="AJ352">
        <v>0</v>
      </c>
      <c r="AK352">
        <v>2</v>
      </c>
      <c r="AL352">
        <v>0</v>
      </c>
      <c r="AM352">
        <v>0</v>
      </c>
      <c r="AN352">
        <v>0</v>
      </c>
      <c r="AO352">
        <v>0</v>
      </c>
      <c r="AP352">
        <v>0</v>
      </c>
      <c r="AQ352">
        <v>0</v>
      </c>
      <c r="AR352">
        <v>0</v>
      </c>
      <c r="AS352">
        <v>0</v>
      </c>
      <c r="AT352">
        <v>0</v>
      </c>
      <c r="AU352">
        <v>0</v>
      </c>
      <c r="AV352">
        <v>0</v>
      </c>
    </row>
    <row r="353" spans="1:48" ht="15.75" customHeight="1" x14ac:dyDescent="0.25">
      <c r="A353">
        <v>2</v>
      </c>
      <c r="B353">
        <v>2</v>
      </c>
      <c r="C353">
        <v>1</v>
      </c>
      <c r="D353">
        <v>1</v>
      </c>
      <c r="E353">
        <v>2017</v>
      </c>
      <c r="F353">
        <v>3</v>
      </c>
      <c r="G353">
        <v>20</v>
      </c>
      <c r="H353">
        <v>0</v>
      </c>
      <c r="I353">
        <v>0</v>
      </c>
      <c r="J353">
        <v>0</v>
      </c>
      <c r="K353">
        <v>0</v>
      </c>
      <c r="L353">
        <v>0</v>
      </c>
      <c r="M353">
        <v>0</v>
      </c>
      <c r="N353">
        <v>0</v>
      </c>
      <c r="O353">
        <v>0</v>
      </c>
      <c r="P353">
        <v>0</v>
      </c>
      <c r="Q353">
        <v>0</v>
      </c>
      <c r="R353">
        <v>0</v>
      </c>
      <c r="S353">
        <v>0</v>
      </c>
      <c r="T353">
        <v>2</v>
      </c>
      <c r="U353">
        <v>3</v>
      </c>
      <c r="V353">
        <v>0</v>
      </c>
      <c r="W353">
        <v>3</v>
      </c>
      <c r="X353">
        <v>4</v>
      </c>
      <c r="Y353">
        <v>1</v>
      </c>
      <c r="Z353">
        <v>1</v>
      </c>
      <c r="AA353">
        <v>4</v>
      </c>
      <c r="AB353">
        <v>1</v>
      </c>
      <c r="AC353">
        <v>1</v>
      </c>
      <c r="AD353">
        <v>0</v>
      </c>
      <c r="AE353">
        <v>0</v>
      </c>
      <c r="AF353">
        <v>0</v>
      </c>
      <c r="AG353">
        <v>0</v>
      </c>
      <c r="AH353">
        <v>0</v>
      </c>
      <c r="AI353">
        <v>0</v>
      </c>
      <c r="AJ353">
        <v>0</v>
      </c>
      <c r="AK353">
        <v>0</v>
      </c>
      <c r="AL353">
        <v>0</v>
      </c>
      <c r="AM353">
        <v>0</v>
      </c>
      <c r="AN353">
        <v>0</v>
      </c>
      <c r="AO353">
        <v>0</v>
      </c>
      <c r="AP353">
        <v>0</v>
      </c>
      <c r="AQ353">
        <v>0</v>
      </c>
      <c r="AR353">
        <v>0</v>
      </c>
      <c r="AS353">
        <v>0</v>
      </c>
      <c r="AT353">
        <v>0</v>
      </c>
      <c r="AU353">
        <v>0</v>
      </c>
      <c r="AV353">
        <v>0</v>
      </c>
    </row>
    <row r="354" spans="1:48" ht="15.75" customHeight="1" x14ac:dyDescent="0.25">
      <c r="A354">
        <v>2</v>
      </c>
      <c r="B354">
        <v>2</v>
      </c>
      <c r="C354">
        <v>1</v>
      </c>
      <c r="D354">
        <v>1</v>
      </c>
      <c r="E354">
        <v>2017</v>
      </c>
      <c r="F354">
        <v>4</v>
      </c>
      <c r="G354">
        <v>12</v>
      </c>
      <c r="H354">
        <v>0</v>
      </c>
      <c r="I354">
        <v>0</v>
      </c>
      <c r="J354">
        <v>0</v>
      </c>
      <c r="K354">
        <v>0</v>
      </c>
      <c r="L354">
        <v>0</v>
      </c>
      <c r="M354">
        <v>0</v>
      </c>
      <c r="N354">
        <v>0</v>
      </c>
      <c r="O354">
        <v>0</v>
      </c>
      <c r="P354">
        <v>0</v>
      </c>
      <c r="Q354">
        <v>0</v>
      </c>
      <c r="R354">
        <v>0</v>
      </c>
      <c r="S354">
        <v>0</v>
      </c>
      <c r="T354">
        <v>1</v>
      </c>
      <c r="U354">
        <v>1</v>
      </c>
      <c r="V354">
        <v>0</v>
      </c>
      <c r="W354">
        <v>0</v>
      </c>
      <c r="X354">
        <v>0</v>
      </c>
      <c r="Y354">
        <v>3</v>
      </c>
      <c r="Z354">
        <v>1</v>
      </c>
      <c r="AA354">
        <v>0</v>
      </c>
      <c r="AB354">
        <v>1</v>
      </c>
      <c r="AC354">
        <v>1</v>
      </c>
      <c r="AD354">
        <v>0</v>
      </c>
      <c r="AE354">
        <v>1</v>
      </c>
      <c r="AF354">
        <v>0</v>
      </c>
      <c r="AG354">
        <v>1</v>
      </c>
      <c r="AH354">
        <v>0</v>
      </c>
      <c r="AI354">
        <v>0</v>
      </c>
      <c r="AJ354">
        <v>0</v>
      </c>
      <c r="AK354">
        <v>0</v>
      </c>
      <c r="AL354">
        <v>1</v>
      </c>
      <c r="AM354">
        <v>1</v>
      </c>
      <c r="AN354">
        <v>0</v>
      </c>
      <c r="AO354">
        <v>0</v>
      </c>
      <c r="AP354">
        <v>0</v>
      </c>
      <c r="AQ354">
        <v>0</v>
      </c>
      <c r="AR354">
        <v>0</v>
      </c>
      <c r="AS354">
        <v>0</v>
      </c>
      <c r="AT354">
        <v>0</v>
      </c>
      <c r="AU354">
        <v>0</v>
      </c>
      <c r="AV354">
        <v>0</v>
      </c>
    </row>
    <row r="355" spans="1:48" ht="15.75" customHeight="1" x14ac:dyDescent="0.25">
      <c r="A355">
        <v>2</v>
      </c>
      <c r="B355">
        <v>2</v>
      </c>
      <c r="C355">
        <v>1</v>
      </c>
      <c r="D355">
        <v>1</v>
      </c>
      <c r="E355">
        <v>2017</v>
      </c>
      <c r="F355">
        <v>5</v>
      </c>
      <c r="G355">
        <v>19</v>
      </c>
      <c r="H355">
        <v>0</v>
      </c>
      <c r="I355">
        <v>0</v>
      </c>
      <c r="J355">
        <v>0</v>
      </c>
      <c r="K355">
        <v>0</v>
      </c>
      <c r="L355">
        <v>0</v>
      </c>
      <c r="M355">
        <v>0</v>
      </c>
      <c r="N355">
        <v>0</v>
      </c>
      <c r="O355">
        <v>0</v>
      </c>
      <c r="P355">
        <v>0</v>
      </c>
      <c r="Q355">
        <v>0</v>
      </c>
      <c r="R355">
        <v>0</v>
      </c>
      <c r="S355">
        <v>0</v>
      </c>
      <c r="T355">
        <v>1</v>
      </c>
      <c r="U355">
        <v>2</v>
      </c>
      <c r="V355">
        <v>0</v>
      </c>
      <c r="W355">
        <v>1</v>
      </c>
      <c r="X355">
        <v>0</v>
      </c>
      <c r="Y355">
        <v>0</v>
      </c>
      <c r="Z355">
        <v>3</v>
      </c>
      <c r="AA355">
        <v>0</v>
      </c>
      <c r="AB355">
        <v>1</v>
      </c>
      <c r="AC355">
        <v>1</v>
      </c>
      <c r="AD355">
        <v>2</v>
      </c>
      <c r="AE355">
        <v>1</v>
      </c>
      <c r="AF355">
        <v>0</v>
      </c>
      <c r="AG355">
        <v>1</v>
      </c>
      <c r="AH355">
        <v>1</v>
      </c>
      <c r="AI355">
        <v>0</v>
      </c>
      <c r="AJ355">
        <v>0</v>
      </c>
      <c r="AK355">
        <v>0</v>
      </c>
      <c r="AL355">
        <v>2</v>
      </c>
      <c r="AM355">
        <v>1</v>
      </c>
      <c r="AN355">
        <v>1</v>
      </c>
      <c r="AO355">
        <v>1</v>
      </c>
      <c r="AP355">
        <v>0</v>
      </c>
      <c r="AQ355">
        <v>0</v>
      </c>
      <c r="AR355">
        <v>0</v>
      </c>
      <c r="AS355">
        <v>0</v>
      </c>
      <c r="AT355">
        <v>0</v>
      </c>
      <c r="AU355">
        <v>0</v>
      </c>
      <c r="AV355">
        <v>0</v>
      </c>
    </row>
    <row r="356" spans="1:48" ht="15.75" customHeight="1" x14ac:dyDescent="0.25">
      <c r="A356">
        <v>2</v>
      </c>
      <c r="B356">
        <v>2</v>
      </c>
      <c r="C356">
        <v>1</v>
      </c>
      <c r="D356">
        <v>1</v>
      </c>
      <c r="E356">
        <v>2017</v>
      </c>
      <c r="F356">
        <v>6</v>
      </c>
      <c r="G356">
        <v>9</v>
      </c>
      <c r="H356">
        <v>0</v>
      </c>
      <c r="I356">
        <v>0</v>
      </c>
      <c r="J356">
        <v>0</v>
      </c>
      <c r="K356">
        <v>0</v>
      </c>
      <c r="L356">
        <v>0</v>
      </c>
      <c r="M356">
        <v>0</v>
      </c>
      <c r="N356">
        <v>0</v>
      </c>
      <c r="O356">
        <v>0</v>
      </c>
      <c r="P356">
        <v>0</v>
      </c>
      <c r="Q356">
        <v>0</v>
      </c>
      <c r="R356">
        <v>0</v>
      </c>
      <c r="S356">
        <v>0</v>
      </c>
      <c r="T356">
        <v>1</v>
      </c>
      <c r="U356">
        <v>3</v>
      </c>
      <c r="V356">
        <v>0</v>
      </c>
      <c r="W356">
        <v>2</v>
      </c>
      <c r="X356">
        <v>0</v>
      </c>
      <c r="Y356">
        <v>0</v>
      </c>
      <c r="Z356">
        <v>0</v>
      </c>
      <c r="AA356">
        <v>0</v>
      </c>
      <c r="AB356">
        <v>0</v>
      </c>
      <c r="AC356">
        <v>0</v>
      </c>
      <c r="AD356">
        <v>1</v>
      </c>
      <c r="AE356">
        <v>1</v>
      </c>
      <c r="AF356">
        <v>0</v>
      </c>
      <c r="AG356">
        <v>0</v>
      </c>
      <c r="AH356">
        <v>0</v>
      </c>
      <c r="AI356">
        <v>0</v>
      </c>
      <c r="AJ356">
        <v>0</v>
      </c>
      <c r="AK356">
        <v>0</v>
      </c>
      <c r="AL356">
        <v>0</v>
      </c>
      <c r="AM356">
        <v>0</v>
      </c>
      <c r="AN356">
        <v>1</v>
      </c>
      <c r="AO356">
        <v>0</v>
      </c>
      <c r="AP356">
        <v>0</v>
      </c>
      <c r="AQ356">
        <v>0</v>
      </c>
      <c r="AR356">
        <v>0</v>
      </c>
      <c r="AS356">
        <v>0</v>
      </c>
      <c r="AT356">
        <v>0</v>
      </c>
      <c r="AU356">
        <v>0</v>
      </c>
      <c r="AV356">
        <v>0</v>
      </c>
    </row>
    <row r="357" spans="1:48" ht="15.75" customHeight="1" x14ac:dyDescent="0.25">
      <c r="A357">
        <v>2</v>
      </c>
      <c r="B357">
        <v>2</v>
      </c>
      <c r="C357">
        <v>1</v>
      </c>
      <c r="D357">
        <v>1</v>
      </c>
      <c r="E357">
        <v>2018</v>
      </c>
      <c r="F357">
        <v>1</v>
      </c>
      <c r="G357">
        <v>14</v>
      </c>
      <c r="H357">
        <v>0</v>
      </c>
      <c r="I357">
        <v>0</v>
      </c>
      <c r="J357">
        <v>0</v>
      </c>
      <c r="K357">
        <v>0</v>
      </c>
      <c r="L357">
        <v>0</v>
      </c>
      <c r="M357">
        <v>0</v>
      </c>
      <c r="N357">
        <v>0</v>
      </c>
      <c r="O357">
        <v>0</v>
      </c>
      <c r="P357">
        <v>0</v>
      </c>
      <c r="Q357">
        <v>0</v>
      </c>
      <c r="R357">
        <v>0</v>
      </c>
      <c r="S357">
        <v>0</v>
      </c>
      <c r="T357">
        <v>2</v>
      </c>
      <c r="U357">
        <v>3</v>
      </c>
      <c r="V357">
        <v>2</v>
      </c>
      <c r="W357">
        <v>0</v>
      </c>
      <c r="X357">
        <v>2</v>
      </c>
      <c r="Y357">
        <v>1</v>
      </c>
      <c r="Z357">
        <v>0</v>
      </c>
      <c r="AA357">
        <v>1</v>
      </c>
      <c r="AB357">
        <v>0</v>
      </c>
      <c r="AC357">
        <v>1</v>
      </c>
      <c r="AD357">
        <v>0</v>
      </c>
      <c r="AE357">
        <v>0</v>
      </c>
      <c r="AF357">
        <v>0</v>
      </c>
      <c r="AG357">
        <v>0</v>
      </c>
      <c r="AH357">
        <v>1</v>
      </c>
      <c r="AI357">
        <v>0</v>
      </c>
      <c r="AJ357">
        <v>0</v>
      </c>
      <c r="AK357">
        <v>0</v>
      </c>
      <c r="AL357">
        <v>0</v>
      </c>
      <c r="AM357">
        <v>1</v>
      </c>
      <c r="AN357">
        <v>0</v>
      </c>
      <c r="AO357">
        <v>0</v>
      </c>
      <c r="AP357">
        <v>0</v>
      </c>
      <c r="AQ357">
        <v>0</v>
      </c>
      <c r="AR357">
        <v>0</v>
      </c>
      <c r="AS357">
        <v>0</v>
      </c>
      <c r="AT357">
        <v>0</v>
      </c>
      <c r="AU357">
        <v>0</v>
      </c>
      <c r="AV357">
        <v>0</v>
      </c>
    </row>
    <row r="358" spans="1:48" ht="15.75" customHeight="1" x14ac:dyDescent="0.25">
      <c r="A358">
        <v>2</v>
      </c>
      <c r="B358">
        <v>2</v>
      </c>
      <c r="C358">
        <v>1</v>
      </c>
      <c r="D358">
        <v>1</v>
      </c>
      <c r="E358">
        <v>2018</v>
      </c>
      <c r="F358">
        <v>2</v>
      </c>
      <c r="G358">
        <v>35</v>
      </c>
      <c r="H358">
        <v>0</v>
      </c>
      <c r="I358">
        <v>0</v>
      </c>
      <c r="J358">
        <v>0</v>
      </c>
      <c r="K358">
        <v>0</v>
      </c>
      <c r="L358">
        <v>0</v>
      </c>
      <c r="M358">
        <v>0</v>
      </c>
      <c r="N358">
        <v>0</v>
      </c>
      <c r="O358">
        <v>0</v>
      </c>
      <c r="P358">
        <v>0</v>
      </c>
      <c r="Q358">
        <v>0</v>
      </c>
      <c r="R358">
        <v>0</v>
      </c>
      <c r="S358">
        <v>0</v>
      </c>
      <c r="T358">
        <v>4</v>
      </c>
      <c r="U358">
        <v>6</v>
      </c>
      <c r="V358">
        <v>2</v>
      </c>
      <c r="W358">
        <v>2</v>
      </c>
      <c r="X358">
        <v>4</v>
      </c>
      <c r="Y358">
        <v>3</v>
      </c>
      <c r="Z358">
        <v>2</v>
      </c>
      <c r="AA358">
        <v>3</v>
      </c>
      <c r="AB358">
        <v>2</v>
      </c>
      <c r="AC358">
        <v>2</v>
      </c>
      <c r="AD358">
        <v>1</v>
      </c>
      <c r="AE358">
        <v>0</v>
      </c>
      <c r="AF358">
        <v>2</v>
      </c>
      <c r="AG358">
        <v>1</v>
      </c>
      <c r="AH358">
        <v>0</v>
      </c>
      <c r="AI358">
        <v>0</v>
      </c>
      <c r="AJ358">
        <v>1</v>
      </c>
      <c r="AK358">
        <v>0</v>
      </c>
      <c r="AL358">
        <v>0</v>
      </c>
      <c r="AM358">
        <v>0</v>
      </c>
      <c r="AN358">
        <v>0</v>
      </c>
      <c r="AO358">
        <v>0</v>
      </c>
      <c r="AP358">
        <v>0</v>
      </c>
      <c r="AQ358">
        <v>0</v>
      </c>
      <c r="AR358">
        <v>0</v>
      </c>
      <c r="AS358">
        <v>0</v>
      </c>
      <c r="AT358">
        <v>0</v>
      </c>
      <c r="AU358">
        <v>0</v>
      </c>
      <c r="AV358">
        <v>0</v>
      </c>
    </row>
    <row r="359" spans="1:48" ht="15.75" customHeight="1" x14ac:dyDescent="0.25">
      <c r="A359">
        <v>2</v>
      </c>
      <c r="B359">
        <v>2</v>
      </c>
      <c r="C359">
        <v>1</v>
      </c>
      <c r="D359">
        <v>1</v>
      </c>
      <c r="E359">
        <v>2018</v>
      </c>
      <c r="F359">
        <v>3</v>
      </c>
      <c r="G359">
        <v>2</v>
      </c>
      <c r="H359">
        <v>0</v>
      </c>
      <c r="I359">
        <v>0</v>
      </c>
      <c r="J359">
        <v>0</v>
      </c>
      <c r="K359">
        <v>0</v>
      </c>
      <c r="L359">
        <v>0</v>
      </c>
      <c r="M359">
        <v>0</v>
      </c>
      <c r="N359">
        <v>0</v>
      </c>
      <c r="O359">
        <v>0</v>
      </c>
      <c r="P359">
        <v>0</v>
      </c>
      <c r="Q359">
        <v>0</v>
      </c>
      <c r="R359">
        <v>0</v>
      </c>
      <c r="S359">
        <v>0</v>
      </c>
      <c r="T359">
        <v>0</v>
      </c>
      <c r="U359">
        <v>0</v>
      </c>
      <c r="V359">
        <v>0</v>
      </c>
      <c r="W359">
        <v>0</v>
      </c>
      <c r="X359">
        <v>0</v>
      </c>
      <c r="Y359">
        <v>0</v>
      </c>
      <c r="Z359">
        <v>1</v>
      </c>
      <c r="AA359">
        <v>0</v>
      </c>
      <c r="AB359">
        <v>0</v>
      </c>
      <c r="AC359">
        <v>0</v>
      </c>
      <c r="AD359">
        <v>0</v>
      </c>
      <c r="AE359">
        <v>0</v>
      </c>
      <c r="AF359">
        <v>0</v>
      </c>
      <c r="AG359">
        <v>0</v>
      </c>
      <c r="AH359">
        <v>0</v>
      </c>
      <c r="AI359">
        <v>0</v>
      </c>
      <c r="AJ359">
        <v>1</v>
      </c>
      <c r="AK359">
        <v>0</v>
      </c>
      <c r="AL359">
        <v>0</v>
      </c>
      <c r="AM359">
        <v>0</v>
      </c>
      <c r="AN359">
        <v>0</v>
      </c>
      <c r="AO359">
        <v>0</v>
      </c>
      <c r="AP359">
        <v>0</v>
      </c>
      <c r="AQ359">
        <v>0</v>
      </c>
      <c r="AR359">
        <v>0</v>
      </c>
      <c r="AS359">
        <v>0</v>
      </c>
      <c r="AT359">
        <v>0</v>
      </c>
      <c r="AU359">
        <v>0</v>
      </c>
      <c r="AV359">
        <v>0</v>
      </c>
    </row>
    <row r="360" spans="1:48" ht="15.75" customHeight="1" x14ac:dyDescent="0.25">
      <c r="A360">
        <v>2</v>
      </c>
      <c r="B360">
        <v>2</v>
      </c>
      <c r="C360">
        <v>1</v>
      </c>
      <c r="D360">
        <v>1</v>
      </c>
      <c r="E360">
        <v>2018</v>
      </c>
      <c r="F360">
        <v>4</v>
      </c>
      <c r="G360">
        <v>9</v>
      </c>
      <c r="H360">
        <v>0</v>
      </c>
      <c r="I360">
        <v>0</v>
      </c>
      <c r="J360">
        <v>0</v>
      </c>
      <c r="K360">
        <v>0</v>
      </c>
      <c r="L360">
        <v>0</v>
      </c>
      <c r="M360">
        <v>0</v>
      </c>
      <c r="N360">
        <v>0</v>
      </c>
      <c r="O360">
        <v>0</v>
      </c>
      <c r="P360">
        <v>0</v>
      </c>
      <c r="Q360">
        <v>0</v>
      </c>
      <c r="R360">
        <v>0</v>
      </c>
      <c r="S360">
        <v>0</v>
      </c>
      <c r="T360">
        <v>0</v>
      </c>
      <c r="U360">
        <v>1</v>
      </c>
      <c r="V360">
        <v>1</v>
      </c>
      <c r="W360">
        <v>1</v>
      </c>
      <c r="X360">
        <v>0</v>
      </c>
      <c r="Y360">
        <v>3</v>
      </c>
      <c r="Z360">
        <v>0</v>
      </c>
      <c r="AA360">
        <v>0</v>
      </c>
      <c r="AB360">
        <v>0</v>
      </c>
      <c r="AC360">
        <v>1</v>
      </c>
      <c r="AD360">
        <v>1</v>
      </c>
      <c r="AE360">
        <v>0</v>
      </c>
      <c r="AF360">
        <v>0</v>
      </c>
      <c r="AG360">
        <v>0</v>
      </c>
      <c r="AH360">
        <v>0</v>
      </c>
      <c r="AI360">
        <v>0</v>
      </c>
      <c r="AJ360">
        <v>0</v>
      </c>
      <c r="AK360">
        <v>1</v>
      </c>
      <c r="AL360">
        <v>0</v>
      </c>
      <c r="AM360">
        <v>0</v>
      </c>
      <c r="AN360">
        <v>0</v>
      </c>
      <c r="AO360">
        <v>0</v>
      </c>
      <c r="AP360">
        <v>0</v>
      </c>
      <c r="AQ360">
        <v>0</v>
      </c>
      <c r="AR360">
        <v>0</v>
      </c>
      <c r="AS360">
        <v>0</v>
      </c>
      <c r="AT360">
        <v>0</v>
      </c>
      <c r="AU360">
        <v>0</v>
      </c>
      <c r="AV360">
        <v>0</v>
      </c>
    </row>
    <row r="361" spans="1:48" ht="15.75" customHeight="1" x14ac:dyDescent="0.25">
      <c r="A361">
        <v>2</v>
      </c>
      <c r="B361">
        <v>2</v>
      </c>
      <c r="C361">
        <v>1</v>
      </c>
      <c r="D361">
        <v>1</v>
      </c>
      <c r="E361">
        <v>2018</v>
      </c>
      <c r="F361">
        <v>5</v>
      </c>
      <c r="G361">
        <v>5</v>
      </c>
      <c r="H361">
        <v>0</v>
      </c>
      <c r="I361">
        <v>0</v>
      </c>
      <c r="J361">
        <v>0</v>
      </c>
      <c r="K361">
        <v>0</v>
      </c>
      <c r="L361">
        <v>0</v>
      </c>
      <c r="M361">
        <v>0</v>
      </c>
      <c r="N361">
        <v>0</v>
      </c>
      <c r="O361">
        <v>0</v>
      </c>
      <c r="P361">
        <v>0</v>
      </c>
      <c r="Q361">
        <v>0</v>
      </c>
      <c r="R361">
        <v>0</v>
      </c>
      <c r="S361">
        <v>0</v>
      </c>
      <c r="T361">
        <v>0</v>
      </c>
      <c r="U361">
        <v>1</v>
      </c>
      <c r="V361">
        <v>0</v>
      </c>
      <c r="W361">
        <v>1</v>
      </c>
      <c r="X361">
        <v>0</v>
      </c>
      <c r="Y361">
        <v>0</v>
      </c>
      <c r="Z361">
        <v>3</v>
      </c>
      <c r="AA361">
        <v>0</v>
      </c>
      <c r="AB361">
        <v>0</v>
      </c>
      <c r="AC361">
        <v>0</v>
      </c>
      <c r="AD361">
        <v>0</v>
      </c>
      <c r="AE361">
        <v>0</v>
      </c>
      <c r="AF361">
        <v>0</v>
      </c>
      <c r="AG361">
        <v>0</v>
      </c>
      <c r="AH361">
        <v>0</v>
      </c>
      <c r="AI361">
        <v>0</v>
      </c>
      <c r="AJ361">
        <v>0</v>
      </c>
      <c r="AK361">
        <v>0</v>
      </c>
      <c r="AL361">
        <v>0</v>
      </c>
      <c r="AM361">
        <v>0</v>
      </c>
      <c r="AN361">
        <v>0</v>
      </c>
      <c r="AO361">
        <v>0</v>
      </c>
      <c r="AP361">
        <v>0</v>
      </c>
      <c r="AQ361">
        <v>0</v>
      </c>
      <c r="AR361">
        <v>0</v>
      </c>
      <c r="AS361">
        <v>0</v>
      </c>
      <c r="AT361">
        <v>0</v>
      </c>
      <c r="AU361">
        <v>0</v>
      </c>
      <c r="AV361">
        <v>0</v>
      </c>
    </row>
    <row r="362" spans="1:48" ht="15.75" customHeight="1" x14ac:dyDescent="0.25">
      <c r="A362">
        <v>2</v>
      </c>
      <c r="B362">
        <v>2</v>
      </c>
      <c r="C362">
        <v>1</v>
      </c>
      <c r="D362">
        <v>1</v>
      </c>
      <c r="E362">
        <v>2018</v>
      </c>
      <c r="F362">
        <v>6</v>
      </c>
      <c r="G362">
        <v>12</v>
      </c>
      <c r="H362">
        <v>0</v>
      </c>
      <c r="I362">
        <v>0</v>
      </c>
      <c r="J362">
        <v>0</v>
      </c>
      <c r="K362">
        <v>0</v>
      </c>
      <c r="L362">
        <v>0</v>
      </c>
      <c r="M362">
        <v>0</v>
      </c>
      <c r="N362">
        <v>0</v>
      </c>
      <c r="O362">
        <v>0</v>
      </c>
      <c r="P362">
        <v>0</v>
      </c>
      <c r="Q362">
        <v>0</v>
      </c>
      <c r="R362">
        <v>0</v>
      </c>
      <c r="S362">
        <v>0</v>
      </c>
      <c r="T362">
        <v>3</v>
      </c>
      <c r="U362">
        <v>3</v>
      </c>
      <c r="V362">
        <v>2</v>
      </c>
      <c r="W362">
        <v>3</v>
      </c>
      <c r="X362">
        <v>0</v>
      </c>
      <c r="Y362">
        <v>0</v>
      </c>
      <c r="Z362">
        <v>0</v>
      </c>
      <c r="AA362">
        <v>1</v>
      </c>
      <c r="AB362">
        <v>0</v>
      </c>
      <c r="AC362">
        <v>0</v>
      </c>
      <c r="AD362">
        <v>0</v>
      </c>
      <c r="AE362">
        <v>0</v>
      </c>
      <c r="AF362">
        <v>0</v>
      </c>
      <c r="AG362">
        <v>0</v>
      </c>
      <c r="AH362">
        <v>0</v>
      </c>
      <c r="AI362">
        <v>0</v>
      </c>
      <c r="AJ362">
        <v>0</v>
      </c>
      <c r="AK362">
        <v>0</v>
      </c>
      <c r="AL362">
        <v>0</v>
      </c>
      <c r="AM362">
        <v>0</v>
      </c>
      <c r="AN362">
        <v>0</v>
      </c>
      <c r="AO362">
        <v>0</v>
      </c>
      <c r="AP362">
        <v>0</v>
      </c>
      <c r="AQ362">
        <v>0</v>
      </c>
      <c r="AR362">
        <v>0</v>
      </c>
      <c r="AS362">
        <v>0</v>
      </c>
      <c r="AT362">
        <v>0</v>
      </c>
      <c r="AU362">
        <v>0</v>
      </c>
      <c r="AV362">
        <v>0</v>
      </c>
    </row>
    <row r="363" spans="1:48" ht="15.75" customHeight="1" x14ac:dyDescent="0.25">
      <c r="A363">
        <v>2</v>
      </c>
      <c r="B363">
        <v>2</v>
      </c>
      <c r="C363">
        <v>1</v>
      </c>
      <c r="D363">
        <v>2</v>
      </c>
      <c r="E363">
        <v>2015</v>
      </c>
      <c r="F363">
        <v>2</v>
      </c>
      <c r="G363">
        <v>2</v>
      </c>
      <c r="H363">
        <v>0</v>
      </c>
      <c r="I363">
        <v>0</v>
      </c>
      <c r="J363">
        <v>0</v>
      </c>
      <c r="K363">
        <v>0</v>
      </c>
      <c r="L363">
        <v>0</v>
      </c>
      <c r="M363">
        <v>0</v>
      </c>
      <c r="N363">
        <v>0</v>
      </c>
      <c r="O363">
        <v>0</v>
      </c>
      <c r="P363">
        <v>0</v>
      </c>
      <c r="Q363">
        <v>0</v>
      </c>
      <c r="R363">
        <v>0</v>
      </c>
      <c r="S363">
        <v>0</v>
      </c>
      <c r="T363">
        <v>1</v>
      </c>
      <c r="U363">
        <v>0</v>
      </c>
      <c r="V363">
        <v>0</v>
      </c>
      <c r="W363">
        <v>0</v>
      </c>
      <c r="X363">
        <v>0</v>
      </c>
      <c r="Y363">
        <v>0</v>
      </c>
      <c r="Z363">
        <v>0</v>
      </c>
      <c r="AA363">
        <v>0</v>
      </c>
      <c r="AB363">
        <v>0</v>
      </c>
      <c r="AC363">
        <v>0</v>
      </c>
      <c r="AD363">
        <v>0</v>
      </c>
      <c r="AE363">
        <v>0</v>
      </c>
      <c r="AF363">
        <v>0</v>
      </c>
      <c r="AG363">
        <v>0</v>
      </c>
      <c r="AH363">
        <v>0</v>
      </c>
      <c r="AI363">
        <v>0</v>
      </c>
      <c r="AJ363">
        <v>0</v>
      </c>
      <c r="AK363">
        <v>0</v>
      </c>
      <c r="AL363">
        <v>0</v>
      </c>
      <c r="AM363">
        <v>0</v>
      </c>
      <c r="AN363">
        <v>0</v>
      </c>
      <c r="AO363">
        <v>1</v>
      </c>
      <c r="AP363">
        <v>0</v>
      </c>
      <c r="AQ363">
        <v>0</v>
      </c>
      <c r="AR363">
        <v>0</v>
      </c>
      <c r="AS363">
        <v>0</v>
      </c>
      <c r="AT363">
        <v>0</v>
      </c>
      <c r="AU363">
        <v>0</v>
      </c>
      <c r="AV363">
        <v>0</v>
      </c>
    </row>
    <row r="364" spans="1:48" ht="15.75" customHeight="1" x14ac:dyDescent="0.25">
      <c r="A364">
        <v>2</v>
      </c>
      <c r="B364">
        <v>2</v>
      </c>
      <c r="C364">
        <v>1</v>
      </c>
      <c r="D364">
        <v>2</v>
      </c>
      <c r="E364">
        <v>2015</v>
      </c>
      <c r="F364">
        <v>5</v>
      </c>
      <c r="G364">
        <v>2</v>
      </c>
      <c r="H364">
        <v>0</v>
      </c>
      <c r="I364">
        <v>0</v>
      </c>
      <c r="J364">
        <v>0</v>
      </c>
      <c r="K364">
        <v>0</v>
      </c>
      <c r="L364">
        <v>0</v>
      </c>
      <c r="M364">
        <v>0</v>
      </c>
      <c r="N364">
        <v>0</v>
      </c>
      <c r="O364">
        <v>0</v>
      </c>
      <c r="P364">
        <v>0</v>
      </c>
      <c r="Q364">
        <v>0</v>
      </c>
      <c r="R364">
        <v>0</v>
      </c>
      <c r="S364">
        <v>0</v>
      </c>
      <c r="T364">
        <v>0</v>
      </c>
      <c r="U364">
        <v>0</v>
      </c>
      <c r="V364">
        <v>1</v>
      </c>
      <c r="W364">
        <v>0</v>
      </c>
      <c r="X364">
        <v>0</v>
      </c>
      <c r="Y364">
        <v>0</v>
      </c>
      <c r="Z364">
        <v>0</v>
      </c>
      <c r="AA364">
        <v>0</v>
      </c>
      <c r="AB364">
        <v>0</v>
      </c>
      <c r="AC364">
        <v>0</v>
      </c>
      <c r="AD364">
        <v>0</v>
      </c>
      <c r="AE364">
        <v>0</v>
      </c>
      <c r="AF364">
        <v>0</v>
      </c>
      <c r="AG364">
        <v>0</v>
      </c>
      <c r="AH364">
        <v>1</v>
      </c>
      <c r="AI364">
        <v>0</v>
      </c>
      <c r="AJ364">
        <v>0</v>
      </c>
      <c r="AK364">
        <v>0</v>
      </c>
      <c r="AL364">
        <v>0</v>
      </c>
      <c r="AM364">
        <v>0</v>
      </c>
      <c r="AN364">
        <v>0</v>
      </c>
      <c r="AO364">
        <v>0</v>
      </c>
      <c r="AP364">
        <v>0</v>
      </c>
      <c r="AQ364">
        <v>0</v>
      </c>
      <c r="AR364">
        <v>0</v>
      </c>
      <c r="AS364">
        <v>0</v>
      </c>
      <c r="AT364">
        <v>0</v>
      </c>
      <c r="AU364">
        <v>0</v>
      </c>
      <c r="AV364">
        <v>0</v>
      </c>
    </row>
    <row r="365" spans="1:48" ht="15.75" customHeight="1" x14ac:dyDescent="0.25">
      <c r="A365">
        <v>2</v>
      </c>
      <c r="B365">
        <v>2</v>
      </c>
      <c r="C365">
        <v>1</v>
      </c>
      <c r="D365">
        <v>2</v>
      </c>
      <c r="E365">
        <v>2016</v>
      </c>
      <c r="F365">
        <v>1</v>
      </c>
      <c r="G365">
        <v>2</v>
      </c>
      <c r="H365">
        <v>0</v>
      </c>
      <c r="I365">
        <v>0</v>
      </c>
      <c r="J365">
        <v>0</v>
      </c>
      <c r="K365">
        <v>0</v>
      </c>
      <c r="L365">
        <v>0</v>
      </c>
      <c r="M365">
        <v>0</v>
      </c>
      <c r="N365">
        <v>0</v>
      </c>
      <c r="O365">
        <v>0</v>
      </c>
      <c r="P365">
        <v>0</v>
      </c>
      <c r="Q365">
        <v>0</v>
      </c>
      <c r="R365">
        <v>0</v>
      </c>
      <c r="S365">
        <v>0</v>
      </c>
      <c r="T365">
        <v>0</v>
      </c>
      <c r="U365">
        <v>0</v>
      </c>
      <c r="V365">
        <v>0</v>
      </c>
      <c r="W365">
        <v>2</v>
      </c>
      <c r="X365">
        <v>0</v>
      </c>
      <c r="Y365">
        <v>0</v>
      </c>
      <c r="Z365">
        <v>0</v>
      </c>
      <c r="AA365">
        <v>0</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0</v>
      </c>
      <c r="AU365">
        <v>0</v>
      </c>
      <c r="AV365">
        <v>0</v>
      </c>
    </row>
    <row r="366" spans="1:48" ht="15.75" customHeight="1" x14ac:dyDescent="0.25">
      <c r="A366">
        <v>2</v>
      </c>
      <c r="B366">
        <v>2</v>
      </c>
      <c r="C366">
        <v>1</v>
      </c>
      <c r="D366">
        <v>2</v>
      </c>
      <c r="E366">
        <v>2016</v>
      </c>
      <c r="F366">
        <v>2</v>
      </c>
      <c r="G366">
        <v>1</v>
      </c>
      <c r="H366">
        <v>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c r="AD366">
        <v>0</v>
      </c>
      <c r="AE366">
        <v>0</v>
      </c>
      <c r="AF366">
        <v>0</v>
      </c>
      <c r="AG366">
        <v>0</v>
      </c>
      <c r="AH366">
        <v>0</v>
      </c>
      <c r="AI366">
        <v>0</v>
      </c>
      <c r="AJ366">
        <v>0</v>
      </c>
      <c r="AK366">
        <v>1</v>
      </c>
      <c r="AL366">
        <v>0</v>
      </c>
      <c r="AM366">
        <v>0</v>
      </c>
      <c r="AN366">
        <v>0</v>
      </c>
      <c r="AO366">
        <v>0</v>
      </c>
      <c r="AP366">
        <v>0</v>
      </c>
      <c r="AQ366">
        <v>0</v>
      </c>
      <c r="AR366">
        <v>0</v>
      </c>
      <c r="AS366">
        <v>0</v>
      </c>
      <c r="AT366">
        <v>0</v>
      </c>
      <c r="AU366">
        <v>0</v>
      </c>
      <c r="AV366">
        <v>0</v>
      </c>
    </row>
    <row r="367" spans="1:48" ht="15.75" customHeight="1" x14ac:dyDescent="0.25">
      <c r="A367">
        <v>2</v>
      </c>
      <c r="B367">
        <v>2</v>
      </c>
      <c r="C367">
        <v>1</v>
      </c>
      <c r="D367">
        <v>2</v>
      </c>
      <c r="E367">
        <v>2016</v>
      </c>
      <c r="F367">
        <v>4</v>
      </c>
      <c r="G367">
        <v>6</v>
      </c>
      <c r="H367">
        <v>0</v>
      </c>
      <c r="I367">
        <v>0</v>
      </c>
      <c r="J367">
        <v>0</v>
      </c>
      <c r="K367">
        <v>0</v>
      </c>
      <c r="L367">
        <v>0</v>
      </c>
      <c r="M367">
        <v>0</v>
      </c>
      <c r="N367">
        <v>0</v>
      </c>
      <c r="O367">
        <v>0</v>
      </c>
      <c r="P367">
        <v>0</v>
      </c>
      <c r="Q367">
        <v>0</v>
      </c>
      <c r="R367">
        <v>0</v>
      </c>
      <c r="S367">
        <v>0</v>
      </c>
      <c r="T367">
        <v>0</v>
      </c>
      <c r="U367">
        <v>0</v>
      </c>
      <c r="V367">
        <v>0</v>
      </c>
      <c r="W367">
        <v>4</v>
      </c>
      <c r="X367">
        <v>0</v>
      </c>
      <c r="Y367">
        <v>0</v>
      </c>
      <c r="Z367">
        <v>1</v>
      </c>
      <c r="AA367">
        <v>0</v>
      </c>
      <c r="AB367">
        <v>1</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row>
    <row r="368" spans="1:48" ht="15.75" customHeight="1" x14ac:dyDescent="0.25">
      <c r="A368">
        <v>2</v>
      </c>
      <c r="B368">
        <v>2</v>
      </c>
      <c r="C368">
        <v>1</v>
      </c>
      <c r="D368">
        <v>2</v>
      </c>
      <c r="E368">
        <v>2017</v>
      </c>
      <c r="F368">
        <v>1</v>
      </c>
      <c r="G368">
        <v>1</v>
      </c>
      <c r="H368">
        <v>0</v>
      </c>
      <c r="I368">
        <v>0</v>
      </c>
      <c r="J368">
        <v>0</v>
      </c>
      <c r="K368">
        <v>0</v>
      </c>
      <c r="L368">
        <v>0</v>
      </c>
      <c r="M368">
        <v>0</v>
      </c>
      <c r="N368">
        <v>0</v>
      </c>
      <c r="O368">
        <v>0</v>
      </c>
      <c r="P368">
        <v>0</v>
      </c>
      <c r="Q368">
        <v>0</v>
      </c>
      <c r="R368">
        <v>0</v>
      </c>
      <c r="S368">
        <v>0</v>
      </c>
      <c r="T368">
        <v>0</v>
      </c>
      <c r="U368">
        <v>1</v>
      </c>
      <c r="V368">
        <v>0</v>
      </c>
      <c r="W368">
        <v>0</v>
      </c>
      <c r="X368">
        <v>0</v>
      </c>
      <c r="Y368">
        <v>0</v>
      </c>
      <c r="Z368">
        <v>0</v>
      </c>
      <c r="AA368">
        <v>0</v>
      </c>
      <c r="AB368">
        <v>0</v>
      </c>
      <c r="AC368">
        <v>0</v>
      </c>
      <c r="AD368">
        <v>0</v>
      </c>
      <c r="AE368">
        <v>0</v>
      </c>
      <c r="AF368">
        <v>0</v>
      </c>
      <c r="AG368">
        <v>0</v>
      </c>
      <c r="AH368">
        <v>0</v>
      </c>
      <c r="AI368">
        <v>0</v>
      </c>
      <c r="AJ368">
        <v>0</v>
      </c>
      <c r="AK368">
        <v>0</v>
      </c>
      <c r="AL368">
        <v>0</v>
      </c>
      <c r="AM368">
        <v>0</v>
      </c>
      <c r="AN368">
        <v>0</v>
      </c>
      <c r="AO368">
        <v>0</v>
      </c>
      <c r="AP368">
        <v>0</v>
      </c>
      <c r="AQ368">
        <v>0</v>
      </c>
      <c r="AR368">
        <v>0</v>
      </c>
      <c r="AS368">
        <v>0</v>
      </c>
      <c r="AT368">
        <v>0</v>
      </c>
      <c r="AU368">
        <v>0</v>
      </c>
      <c r="AV368">
        <v>0</v>
      </c>
    </row>
    <row r="369" spans="1:48" ht="15.75" customHeight="1" x14ac:dyDescent="0.25">
      <c r="A369">
        <v>2</v>
      </c>
      <c r="B369">
        <v>2</v>
      </c>
      <c r="C369">
        <v>1</v>
      </c>
      <c r="D369">
        <v>2</v>
      </c>
      <c r="E369">
        <v>2017</v>
      </c>
      <c r="F369">
        <v>3</v>
      </c>
      <c r="G369">
        <v>1</v>
      </c>
      <c r="H369">
        <v>0</v>
      </c>
      <c r="I369">
        <v>0</v>
      </c>
      <c r="J369">
        <v>0</v>
      </c>
      <c r="K369">
        <v>0</v>
      </c>
      <c r="L369">
        <v>0</v>
      </c>
      <c r="M369">
        <v>0</v>
      </c>
      <c r="N369">
        <v>0</v>
      </c>
      <c r="O369">
        <v>0</v>
      </c>
      <c r="P369">
        <v>0</v>
      </c>
      <c r="Q369">
        <v>0</v>
      </c>
      <c r="R369">
        <v>0</v>
      </c>
      <c r="S369">
        <v>0</v>
      </c>
      <c r="T369">
        <v>0</v>
      </c>
      <c r="U369">
        <v>1</v>
      </c>
      <c r="V369">
        <v>0</v>
      </c>
      <c r="W369">
        <v>0</v>
      </c>
      <c r="X369">
        <v>0</v>
      </c>
      <c r="Y369">
        <v>0</v>
      </c>
      <c r="Z369">
        <v>0</v>
      </c>
      <c r="AA369">
        <v>0</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row>
    <row r="370" spans="1:48" ht="15.75" customHeight="1" x14ac:dyDescent="0.25">
      <c r="A370">
        <v>2</v>
      </c>
      <c r="B370">
        <v>2</v>
      </c>
      <c r="C370">
        <v>1</v>
      </c>
      <c r="D370">
        <v>2</v>
      </c>
      <c r="E370">
        <v>2017</v>
      </c>
      <c r="F370">
        <v>6</v>
      </c>
      <c r="G370">
        <v>1</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1</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row>
    <row r="371" spans="1:48" ht="15.75" customHeight="1" x14ac:dyDescent="0.25">
      <c r="A371">
        <v>2</v>
      </c>
      <c r="B371">
        <v>2</v>
      </c>
      <c r="C371">
        <v>1</v>
      </c>
      <c r="D371">
        <v>2</v>
      </c>
      <c r="E371">
        <v>2018</v>
      </c>
      <c r="F371">
        <v>1</v>
      </c>
      <c r="G371">
        <v>1</v>
      </c>
      <c r="H371">
        <v>0</v>
      </c>
      <c r="I371">
        <v>0</v>
      </c>
      <c r="J371">
        <v>0</v>
      </c>
      <c r="K371">
        <v>0</v>
      </c>
      <c r="L371">
        <v>0</v>
      </c>
      <c r="M371">
        <v>0</v>
      </c>
      <c r="N371">
        <v>0</v>
      </c>
      <c r="O371">
        <v>0</v>
      </c>
      <c r="P371">
        <v>0</v>
      </c>
      <c r="Q371">
        <v>0</v>
      </c>
      <c r="R371">
        <v>0</v>
      </c>
      <c r="S371">
        <v>0</v>
      </c>
      <c r="T371">
        <v>0</v>
      </c>
      <c r="U371">
        <v>0</v>
      </c>
      <c r="V371">
        <v>0</v>
      </c>
      <c r="W371">
        <v>0</v>
      </c>
      <c r="X371">
        <v>0</v>
      </c>
      <c r="Y371">
        <v>0</v>
      </c>
      <c r="Z371">
        <v>0</v>
      </c>
      <c r="AA371">
        <v>0</v>
      </c>
      <c r="AB371">
        <v>0</v>
      </c>
      <c r="AC371">
        <v>1</v>
      </c>
      <c r="AD371">
        <v>0</v>
      </c>
      <c r="AE371">
        <v>0</v>
      </c>
      <c r="AF371">
        <v>0</v>
      </c>
      <c r="AG371">
        <v>0</v>
      </c>
      <c r="AH371">
        <v>0</v>
      </c>
      <c r="AI371">
        <v>0</v>
      </c>
      <c r="AJ371">
        <v>0</v>
      </c>
      <c r="AK371">
        <v>0</v>
      </c>
      <c r="AL371">
        <v>0</v>
      </c>
      <c r="AM371">
        <v>0</v>
      </c>
      <c r="AN371">
        <v>0</v>
      </c>
      <c r="AO371">
        <v>0</v>
      </c>
      <c r="AP371">
        <v>0</v>
      </c>
      <c r="AQ371">
        <v>0</v>
      </c>
      <c r="AR371">
        <v>0</v>
      </c>
      <c r="AS371">
        <v>0</v>
      </c>
      <c r="AT371">
        <v>0</v>
      </c>
      <c r="AU371">
        <v>0</v>
      </c>
      <c r="AV371">
        <v>0</v>
      </c>
    </row>
    <row r="372" spans="1:48" ht="15.75" customHeight="1" x14ac:dyDescent="0.25">
      <c r="A372">
        <v>2</v>
      </c>
      <c r="B372">
        <v>2</v>
      </c>
      <c r="C372">
        <v>1</v>
      </c>
      <c r="D372">
        <v>2</v>
      </c>
      <c r="E372">
        <v>2018</v>
      </c>
      <c r="F372">
        <v>3</v>
      </c>
      <c r="G372">
        <v>1</v>
      </c>
      <c r="H372">
        <v>0</v>
      </c>
      <c r="I372">
        <v>0</v>
      </c>
      <c r="J372">
        <v>0</v>
      </c>
      <c r="K372">
        <v>0</v>
      </c>
      <c r="L372">
        <v>0</v>
      </c>
      <c r="M372">
        <v>0</v>
      </c>
      <c r="N372">
        <v>0</v>
      </c>
      <c r="O372">
        <v>0</v>
      </c>
      <c r="P372">
        <v>0</v>
      </c>
      <c r="Q372">
        <v>0</v>
      </c>
      <c r="R372">
        <v>0</v>
      </c>
      <c r="S372">
        <v>0</v>
      </c>
      <c r="T372">
        <v>0</v>
      </c>
      <c r="U372">
        <v>0</v>
      </c>
      <c r="V372">
        <v>0</v>
      </c>
      <c r="W372">
        <v>0</v>
      </c>
      <c r="X372">
        <v>0</v>
      </c>
      <c r="Y372">
        <v>0</v>
      </c>
      <c r="Z372">
        <v>0</v>
      </c>
      <c r="AA372">
        <v>0</v>
      </c>
      <c r="AB372">
        <v>1</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row>
    <row r="373" spans="1:48" ht="15.75" customHeight="1" x14ac:dyDescent="0.25">
      <c r="A373">
        <v>2</v>
      </c>
      <c r="B373">
        <v>2</v>
      </c>
      <c r="C373">
        <v>1</v>
      </c>
      <c r="D373">
        <v>2</v>
      </c>
      <c r="E373">
        <v>2018</v>
      </c>
      <c r="F373">
        <v>4</v>
      </c>
      <c r="G373">
        <v>1</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1</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row>
    <row r="374" spans="1:48" ht="15.75" customHeight="1" x14ac:dyDescent="0.25">
      <c r="A374">
        <v>2</v>
      </c>
      <c r="B374">
        <v>2</v>
      </c>
      <c r="C374">
        <v>2</v>
      </c>
      <c r="D374">
        <v>1</v>
      </c>
      <c r="E374">
        <v>2007</v>
      </c>
      <c r="F374">
        <v>1</v>
      </c>
      <c r="G374">
        <v>1</v>
      </c>
      <c r="H374">
        <v>0</v>
      </c>
      <c r="I374">
        <v>0</v>
      </c>
      <c r="J374">
        <v>0</v>
      </c>
      <c r="K374">
        <v>0</v>
      </c>
      <c r="L374">
        <v>0</v>
      </c>
      <c r="M374">
        <v>0</v>
      </c>
      <c r="N374">
        <v>0</v>
      </c>
      <c r="O374">
        <v>0</v>
      </c>
      <c r="P374">
        <v>0</v>
      </c>
      <c r="Q374">
        <v>0</v>
      </c>
      <c r="R374">
        <v>0</v>
      </c>
      <c r="S374">
        <v>0</v>
      </c>
      <c r="T374">
        <v>0</v>
      </c>
      <c r="U374">
        <v>1</v>
      </c>
      <c r="V374">
        <v>0</v>
      </c>
      <c r="W374">
        <v>0</v>
      </c>
      <c r="X374">
        <v>0</v>
      </c>
      <c r="Y374">
        <v>0</v>
      </c>
      <c r="Z374">
        <v>0</v>
      </c>
      <c r="AA374">
        <v>0</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row>
    <row r="375" spans="1:48" ht="15.75" customHeight="1" x14ac:dyDescent="0.25">
      <c r="A375">
        <v>2</v>
      </c>
      <c r="B375">
        <v>2</v>
      </c>
      <c r="C375">
        <v>2</v>
      </c>
      <c r="D375">
        <v>1</v>
      </c>
      <c r="E375">
        <v>2008</v>
      </c>
      <c r="F375">
        <v>1</v>
      </c>
      <c r="G375">
        <v>1</v>
      </c>
      <c r="H375">
        <v>0</v>
      </c>
      <c r="I375">
        <v>0</v>
      </c>
      <c r="J375">
        <v>0</v>
      </c>
      <c r="K375">
        <v>0</v>
      </c>
      <c r="L375">
        <v>0</v>
      </c>
      <c r="M375">
        <v>0</v>
      </c>
      <c r="N375">
        <v>0</v>
      </c>
      <c r="O375">
        <v>0</v>
      </c>
      <c r="P375">
        <v>0</v>
      </c>
      <c r="Q375">
        <v>0</v>
      </c>
      <c r="R375">
        <v>0</v>
      </c>
      <c r="S375">
        <v>0</v>
      </c>
      <c r="T375">
        <v>0</v>
      </c>
      <c r="U375">
        <v>1</v>
      </c>
      <c r="V375">
        <v>0</v>
      </c>
      <c r="W375">
        <v>0</v>
      </c>
      <c r="X375">
        <v>0</v>
      </c>
      <c r="Y375">
        <v>0</v>
      </c>
      <c r="Z375">
        <v>0</v>
      </c>
      <c r="AA375">
        <v>0</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row>
    <row r="376" spans="1:48" ht="15.75" customHeight="1" x14ac:dyDescent="0.25">
      <c r="A376">
        <v>2</v>
      </c>
      <c r="B376">
        <v>2</v>
      </c>
      <c r="C376">
        <v>2</v>
      </c>
      <c r="D376">
        <v>1</v>
      </c>
      <c r="E376">
        <v>2008</v>
      </c>
      <c r="F376">
        <v>2</v>
      </c>
      <c r="G376">
        <v>1</v>
      </c>
      <c r="H376">
        <v>0</v>
      </c>
      <c r="I376">
        <v>0</v>
      </c>
      <c r="J376">
        <v>0</v>
      </c>
      <c r="K376">
        <v>0</v>
      </c>
      <c r="L376">
        <v>0</v>
      </c>
      <c r="M376">
        <v>0</v>
      </c>
      <c r="N376">
        <v>0</v>
      </c>
      <c r="O376">
        <v>0</v>
      </c>
      <c r="P376">
        <v>0</v>
      </c>
      <c r="Q376">
        <v>0</v>
      </c>
      <c r="R376">
        <v>0</v>
      </c>
      <c r="S376">
        <v>0</v>
      </c>
      <c r="T376">
        <v>0</v>
      </c>
      <c r="U376">
        <v>0</v>
      </c>
      <c r="V376">
        <v>1</v>
      </c>
      <c r="W376">
        <v>0</v>
      </c>
      <c r="X376">
        <v>0</v>
      </c>
      <c r="Y376">
        <v>0</v>
      </c>
      <c r="Z376">
        <v>0</v>
      </c>
      <c r="AA376">
        <v>0</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row>
    <row r="377" spans="1:48" ht="15.75" customHeight="1" x14ac:dyDescent="0.25">
      <c r="A377">
        <v>2</v>
      </c>
      <c r="B377">
        <v>2</v>
      </c>
      <c r="C377">
        <v>2</v>
      </c>
      <c r="D377">
        <v>1</v>
      </c>
      <c r="E377">
        <v>2014</v>
      </c>
      <c r="F377">
        <v>2</v>
      </c>
      <c r="G377">
        <v>1</v>
      </c>
      <c r="H377">
        <v>0</v>
      </c>
      <c r="I377">
        <v>0</v>
      </c>
      <c r="J377">
        <v>0</v>
      </c>
      <c r="K377">
        <v>0</v>
      </c>
      <c r="L377">
        <v>0</v>
      </c>
      <c r="M377">
        <v>0</v>
      </c>
      <c r="N377">
        <v>0</v>
      </c>
      <c r="O377">
        <v>0</v>
      </c>
      <c r="P377">
        <v>0</v>
      </c>
      <c r="Q377">
        <v>0</v>
      </c>
      <c r="R377">
        <v>0</v>
      </c>
      <c r="S377">
        <v>0</v>
      </c>
      <c r="T377">
        <v>0</v>
      </c>
      <c r="U377">
        <v>0</v>
      </c>
      <c r="V377">
        <v>0</v>
      </c>
      <c r="W377">
        <v>1</v>
      </c>
      <c r="X377">
        <v>0</v>
      </c>
      <c r="Y377">
        <v>0</v>
      </c>
      <c r="Z377">
        <v>0</v>
      </c>
      <c r="AA377">
        <v>0</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row>
    <row r="378" spans="1:48" ht="15.75" customHeight="1" x14ac:dyDescent="0.25">
      <c r="A378">
        <v>2</v>
      </c>
      <c r="B378">
        <v>2</v>
      </c>
      <c r="C378">
        <v>2</v>
      </c>
      <c r="D378">
        <v>1</v>
      </c>
      <c r="E378">
        <v>2015</v>
      </c>
      <c r="F378">
        <v>2</v>
      </c>
      <c r="G378">
        <v>5</v>
      </c>
      <c r="H378">
        <v>0</v>
      </c>
      <c r="I378">
        <v>0</v>
      </c>
      <c r="J378">
        <v>0</v>
      </c>
      <c r="K378">
        <v>0</v>
      </c>
      <c r="L378">
        <v>0</v>
      </c>
      <c r="M378">
        <v>0</v>
      </c>
      <c r="N378">
        <v>0</v>
      </c>
      <c r="O378">
        <v>0</v>
      </c>
      <c r="P378">
        <v>0</v>
      </c>
      <c r="Q378">
        <v>0</v>
      </c>
      <c r="R378">
        <v>0</v>
      </c>
      <c r="S378">
        <v>0</v>
      </c>
      <c r="T378">
        <v>0</v>
      </c>
      <c r="U378">
        <v>1</v>
      </c>
      <c r="V378">
        <v>0</v>
      </c>
      <c r="W378">
        <v>1</v>
      </c>
      <c r="X378">
        <v>1</v>
      </c>
      <c r="Y378">
        <v>0</v>
      </c>
      <c r="Z378">
        <v>0</v>
      </c>
      <c r="AA378">
        <v>0</v>
      </c>
      <c r="AB378">
        <v>0</v>
      </c>
      <c r="AC378">
        <v>0</v>
      </c>
      <c r="AD378">
        <v>1</v>
      </c>
      <c r="AE378">
        <v>0</v>
      </c>
      <c r="AF378">
        <v>0</v>
      </c>
      <c r="AG378">
        <v>0</v>
      </c>
      <c r="AH378">
        <v>0</v>
      </c>
      <c r="AI378">
        <v>0</v>
      </c>
      <c r="AJ378">
        <v>0</v>
      </c>
      <c r="AK378">
        <v>1</v>
      </c>
      <c r="AL378">
        <v>0</v>
      </c>
      <c r="AM378">
        <v>0</v>
      </c>
      <c r="AN378">
        <v>0</v>
      </c>
      <c r="AO378">
        <v>0</v>
      </c>
      <c r="AP378">
        <v>0</v>
      </c>
      <c r="AQ378">
        <v>0</v>
      </c>
      <c r="AR378">
        <v>0</v>
      </c>
      <c r="AS378">
        <v>0</v>
      </c>
      <c r="AT378">
        <v>0</v>
      </c>
      <c r="AU378">
        <v>0</v>
      </c>
      <c r="AV378">
        <v>0</v>
      </c>
    </row>
    <row r="379" spans="1:48" ht="15.75" customHeight="1" x14ac:dyDescent="0.25">
      <c r="A379">
        <v>2</v>
      </c>
      <c r="B379">
        <v>2</v>
      </c>
      <c r="C379">
        <v>2</v>
      </c>
      <c r="D379">
        <v>1</v>
      </c>
      <c r="E379">
        <v>2015</v>
      </c>
      <c r="F379">
        <v>3</v>
      </c>
      <c r="G379">
        <v>6</v>
      </c>
      <c r="H379">
        <v>0</v>
      </c>
      <c r="I379">
        <v>0</v>
      </c>
      <c r="J379">
        <v>0</v>
      </c>
      <c r="K379">
        <v>0</v>
      </c>
      <c r="L379">
        <v>0</v>
      </c>
      <c r="M379">
        <v>0</v>
      </c>
      <c r="N379">
        <v>0</v>
      </c>
      <c r="O379">
        <v>0</v>
      </c>
      <c r="P379">
        <v>0</v>
      </c>
      <c r="Q379">
        <v>0</v>
      </c>
      <c r="R379">
        <v>0</v>
      </c>
      <c r="S379">
        <v>0</v>
      </c>
      <c r="T379">
        <v>1</v>
      </c>
      <c r="U379">
        <v>0</v>
      </c>
      <c r="V379">
        <v>1</v>
      </c>
      <c r="W379">
        <v>0</v>
      </c>
      <c r="X379">
        <v>1</v>
      </c>
      <c r="Y379">
        <v>1</v>
      </c>
      <c r="Z379">
        <v>1</v>
      </c>
      <c r="AA379">
        <v>0</v>
      </c>
      <c r="AB379">
        <v>1</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row>
    <row r="380" spans="1:48" ht="15.75" customHeight="1" x14ac:dyDescent="0.25">
      <c r="A380">
        <v>2</v>
      </c>
      <c r="B380">
        <v>2</v>
      </c>
      <c r="C380">
        <v>2</v>
      </c>
      <c r="D380">
        <v>1</v>
      </c>
      <c r="E380">
        <v>2015</v>
      </c>
      <c r="F380">
        <v>4</v>
      </c>
      <c r="G380">
        <v>3</v>
      </c>
      <c r="H380">
        <v>0</v>
      </c>
      <c r="I380">
        <v>0</v>
      </c>
      <c r="J380">
        <v>0</v>
      </c>
      <c r="K380">
        <v>0</v>
      </c>
      <c r="L380">
        <v>0</v>
      </c>
      <c r="M380">
        <v>0</v>
      </c>
      <c r="N380">
        <v>0</v>
      </c>
      <c r="O380">
        <v>0</v>
      </c>
      <c r="P380">
        <v>0</v>
      </c>
      <c r="Q380">
        <v>0</v>
      </c>
      <c r="R380">
        <v>0</v>
      </c>
      <c r="S380">
        <v>0</v>
      </c>
      <c r="T380">
        <v>1</v>
      </c>
      <c r="U380">
        <v>0</v>
      </c>
      <c r="V380">
        <v>1</v>
      </c>
      <c r="W380">
        <v>0</v>
      </c>
      <c r="X380">
        <v>0</v>
      </c>
      <c r="Y380">
        <v>0</v>
      </c>
      <c r="Z380">
        <v>0</v>
      </c>
      <c r="AA380">
        <v>0</v>
      </c>
      <c r="AB380">
        <v>0</v>
      </c>
      <c r="AC380">
        <v>0</v>
      </c>
      <c r="AD380">
        <v>0</v>
      </c>
      <c r="AE380">
        <v>0</v>
      </c>
      <c r="AF380">
        <v>0</v>
      </c>
      <c r="AG380">
        <v>0</v>
      </c>
      <c r="AH380">
        <v>0</v>
      </c>
      <c r="AI380">
        <v>0</v>
      </c>
      <c r="AJ380">
        <v>0</v>
      </c>
      <c r="AK380">
        <v>0</v>
      </c>
      <c r="AL380">
        <v>0</v>
      </c>
      <c r="AM380">
        <v>0</v>
      </c>
      <c r="AN380">
        <v>0</v>
      </c>
      <c r="AO380">
        <v>1</v>
      </c>
      <c r="AP380">
        <v>0</v>
      </c>
      <c r="AQ380">
        <v>0</v>
      </c>
      <c r="AR380">
        <v>0</v>
      </c>
      <c r="AS380">
        <v>0</v>
      </c>
      <c r="AT380">
        <v>0</v>
      </c>
      <c r="AU380">
        <v>0</v>
      </c>
      <c r="AV380">
        <v>0</v>
      </c>
    </row>
    <row r="381" spans="1:48" ht="15.75" customHeight="1" x14ac:dyDescent="0.25">
      <c r="A381">
        <v>2</v>
      </c>
      <c r="B381">
        <v>2</v>
      </c>
      <c r="C381">
        <v>2</v>
      </c>
      <c r="D381">
        <v>1</v>
      </c>
      <c r="E381">
        <v>2015</v>
      </c>
      <c r="F381">
        <v>5</v>
      </c>
      <c r="G381">
        <v>1</v>
      </c>
      <c r="H381">
        <v>0</v>
      </c>
      <c r="I381">
        <v>0</v>
      </c>
      <c r="J381">
        <v>0</v>
      </c>
      <c r="K381">
        <v>0</v>
      </c>
      <c r="L381">
        <v>0</v>
      </c>
      <c r="M381">
        <v>0</v>
      </c>
      <c r="N381">
        <v>0</v>
      </c>
      <c r="O381">
        <v>0</v>
      </c>
      <c r="P381">
        <v>0</v>
      </c>
      <c r="Q381">
        <v>0</v>
      </c>
      <c r="R381">
        <v>0</v>
      </c>
      <c r="S381">
        <v>0</v>
      </c>
      <c r="T381">
        <v>0</v>
      </c>
      <c r="U381">
        <v>0</v>
      </c>
      <c r="V381">
        <v>0</v>
      </c>
      <c r="W381">
        <v>0</v>
      </c>
      <c r="X381">
        <v>1</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row>
    <row r="382" spans="1:48" ht="15.75" customHeight="1" x14ac:dyDescent="0.25">
      <c r="A382">
        <v>2</v>
      </c>
      <c r="B382">
        <v>2</v>
      </c>
      <c r="C382">
        <v>2</v>
      </c>
      <c r="D382">
        <v>1</v>
      </c>
      <c r="E382">
        <v>2016</v>
      </c>
      <c r="F382">
        <v>1</v>
      </c>
      <c r="G382">
        <v>13</v>
      </c>
      <c r="H382">
        <v>0</v>
      </c>
      <c r="I382">
        <v>0</v>
      </c>
      <c r="J382">
        <v>0</v>
      </c>
      <c r="K382">
        <v>0</v>
      </c>
      <c r="L382">
        <v>0</v>
      </c>
      <c r="M382">
        <v>0</v>
      </c>
      <c r="N382">
        <v>0</v>
      </c>
      <c r="O382">
        <v>0</v>
      </c>
      <c r="P382">
        <v>0</v>
      </c>
      <c r="Q382">
        <v>0</v>
      </c>
      <c r="R382">
        <v>0</v>
      </c>
      <c r="S382">
        <v>0</v>
      </c>
      <c r="T382">
        <v>0</v>
      </c>
      <c r="U382">
        <v>1</v>
      </c>
      <c r="V382">
        <v>1</v>
      </c>
      <c r="W382">
        <v>2</v>
      </c>
      <c r="X382">
        <v>1</v>
      </c>
      <c r="Y382">
        <v>1</v>
      </c>
      <c r="Z382">
        <v>1</v>
      </c>
      <c r="AA382">
        <v>2</v>
      </c>
      <c r="AB382">
        <v>2</v>
      </c>
      <c r="AC382">
        <v>1</v>
      </c>
      <c r="AD382">
        <v>0</v>
      </c>
      <c r="AE382">
        <v>0</v>
      </c>
      <c r="AF382">
        <v>0</v>
      </c>
      <c r="AG382">
        <v>0</v>
      </c>
      <c r="AH382">
        <v>0</v>
      </c>
      <c r="AI382">
        <v>1</v>
      </c>
      <c r="AJ382">
        <v>0</v>
      </c>
      <c r="AK382">
        <v>0</v>
      </c>
      <c r="AL382">
        <v>0</v>
      </c>
      <c r="AM382">
        <v>0</v>
      </c>
      <c r="AN382">
        <v>0</v>
      </c>
      <c r="AO382">
        <v>0</v>
      </c>
      <c r="AP382">
        <v>0</v>
      </c>
      <c r="AQ382">
        <v>0</v>
      </c>
      <c r="AR382">
        <v>0</v>
      </c>
      <c r="AS382">
        <v>0</v>
      </c>
      <c r="AT382">
        <v>0</v>
      </c>
      <c r="AU382">
        <v>0</v>
      </c>
      <c r="AV382">
        <v>0</v>
      </c>
    </row>
    <row r="383" spans="1:48" ht="15.75" customHeight="1" x14ac:dyDescent="0.25">
      <c r="A383">
        <v>2</v>
      </c>
      <c r="B383">
        <v>2</v>
      </c>
      <c r="C383">
        <v>2</v>
      </c>
      <c r="D383">
        <v>1</v>
      </c>
      <c r="E383">
        <v>2016</v>
      </c>
      <c r="F383">
        <v>2</v>
      </c>
      <c r="G383">
        <v>16</v>
      </c>
      <c r="H383">
        <v>0</v>
      </c>
      <c r="I383">
        <v>0</v>
      </c>
      <c r="J383">
        <v>0</v>
      </c>
      <c r="K383">
        <v>0</v>
      </c>
      <c r="L383">
        <v>0</v>
      </c>
      <c r="M383">
        <v>0</v>
      </c>
      <c r="N383">
        <v>0</v>
      </c>
      <c r="O383">
        <v>0</v>
      </c>
      <c r="P383">
        <v>0</v>
      </c>
      <c r="Q383">
        <v>0</v>
      </c>
      <c r="R383">
        <v>0</v>
      </c>
      <c r="S383">
        <v>0</v>
      </c>
      <c r="T383">
        <v>0</v>
      </c>
      <c r="U383">
        <v>3</v>
      </c>
      <c r="V383">
        <v>1</v>
      </c>
      <c r="W383">
        <v>1</v>
      </c>
      <c r="X383">
        <v>1</v>
      </c>
      <c r="Y383">
        <v>2</v>
      </c>
      <c r="Z383">
        <v>2</v>
      </c>
      <c r="AA383">
        <v>2</v>
      </c>
      <c r="AB383">
        <v>1</v>
      </c>
      <c r="AC383">
        <v>0</v>
      </c>
      <c r="AD383">
        <v>0</v>
      </c>
      <c r="AE383">
        <v>0</v>
      </c>
      <c r="AF383">
        <v>1</v>
      </c>
      <c r="AG383">
        <v>0</v>
      </c>
      <c r="AH383">
        <v>0</v>
      </c>
      <c r="AI383">
        <v>0</v>
      </c>
      <c r="AJ383">
        <v>0</v>
      </c>
      <c r="AK383">
        <v>2</v>
      </c>
      <c r="AL383">
        <v>0</v>
      </c>
      <c r="AM383">
        <v>0</v>
      </c>
      <c r="AN383">
        <v>0</v>
      </c>
      <c r="AO383">
        <v>0</v>
      </c>
      <c r="AP383">
        <v>0</v>
      </c>
      <c r="AQ383">
        <v>0</v>
      </c>
      <c r="AR383">
        <v>0</v>
      </c>
      <c r="AS383">
        <v>0</v>
      </c>
      <c r="AT383">
        <v>0</v>
      </c>
      <c r="AU383">
        <v>0</v>
      </c>
      <c r="AV383">
        <v>0</v>
      </c>
    </row>
    <row r="384" spans="1:48" ht="15.75" customHeight="1" x14ac:dyDescent="0.25">
      <c r="A384">
        <v>2</v>
      </c>
      <c r="B384">
        <v>2</v>
      </c>
      <c r="C384">
        <v>2</v>
      </c>
      <c r="D384">
        <v>1</v>
      </c>
      <c r="E384">
        <v>2016</v>
      </c>
      <c r="F384">
        <v>3</v>
      </c>
      <c r="G384">
        <v>23</v>
      </c>
      <c r="H384">
        <v>0</v>
      </c>
      <c r="I384">
        <v>0</v>
      </c>
      <c r="J384">
        <v>0</v>
      </c>
      <c r="K384">
        <v>0</v>
      </c>
      <c r="L384">
        <v>0</v>
      </c>
      <c r="M384">
        <v>0</v>
      </c>
      <c r="N384">
        <v>0</v>
      </c>
      <c r="O384">
        <v>0</v>
      </c>
      <c r="P384">
        <v>0</v>
      </c>
      <c r="Q384">
        <v>0</v>
      </c>
      <c r="R384">
        <v>0</v>
      </c>
      <c r="S384">
        <v>0</v>
      </c>
      <c r="T384">
        <v>1</v>
      </c>
      <c r="U384">
        <v>3</v>
      </c>
      <c r="V384">
        <v>3</v>
      </c>
      <c r="W384">
        <v>2</v>
      </c>
      <c r="X384">
        <v>3</v>
      </c>
      <c r="Y384">
        <v>6</v>
      </c>
      <c r="Z384">
        <v>1</v>
      </c>
      <c r="AA384">
        <v>1</v>
      </c>
      <c r="AB384">
        <v>1</v>
      </c>
      <c r="AC384">
        <v>0</v>
      </c>
      <c r="AD384">
        <v>0</v>
      </c>
      <c r="AE384">
        <v>0</v>
      </c>
      <c r="AF384">
        <v>1</v>
      </c>
      <c r="AG384">
        <v>0</v>
      </c>
      <c r="AH384">
        <v>0</v>
      </c>
      <c r="AI384">
        <v>1</v>
      </c>
      <c r="AJ384">
        <v>0</v>
      </c>
      <c r="AK384">
        <v>0</v>
      </c>
      <c r="AL384">
        <v>0</v>
      </c>
      <c r="AM384">
        <v>0</v>
      </c>
      <c r="AN384">
        <v>0</v>
      </c>
      <c r="AO384">
        <v>0</v>
      </c>
      <c r="AP384">
        <v>0</v>
      </c>
      <c r="AQ384">
        <v>0</v>
      </c>
      <c r="AR384">
        <v>0</v>
      </c>
      <c r="AS384">
        <v>0</v>
      </c>
      <c r="AT384">
        <v>0</v>
      </c>
      <c r="AU384">
        <v>0</v>
      </c>
      <c r="AV384">
        <v>0</v>
      </c>
    </row>
    <row r="385" spans="1:48" ht="15.75" customHeight="1" x14ac:dyDescent="0.25">
      <c r="A385">
        <v>2</v>
      </c>
      <c r="B385">
        <v>2</v>
      </c>
      <c r="C385">
        <v>2</v>
      </c>
      <c r="D385">
        <v>1</v>
      </c>
      <c r="E385">
        <v>2016</v>
      </c>
      <c r="F385">
        <v>4</v>
      </c>
      <c r="G385">
        <v>23</v>
      </c>
      <c r="H385">
        <v>0</v>
      </c>
      <c r="I385">
        <v>0</v>
      </c>
      <c r="J385">
        <v>0</v>
      </c>
      <c r="K385">
        <v>0</v>
      </c>
      <c r="L385">
        <v>0</v>
      </c>
      <c r="M385">
        <v>0</v>
      </c>
      <c r="N385">
        <v>0</v>
      </c>
      <c r="O385">
        <v>0</v>
      </c>
      <c r="P385">
        <v>0</v>
      </c>
      <c r="Q385">
        <v>0</v>
      </c>
      <c r="R385">
        <v>0</v>
      </c>
      <c r="S385">
        <v>0</v>
      </c>
      <c r="T385">
        <v>2</v>
      </c>
      <c r="U385">
        <v>2</v>
      </c>
      <c r="V385">
        <v>4</v>
      </c>
      <c r="W385">
        <v>7</v>
      </c>
      <c r="X385">
        <v>0</v>
      </c>
      <c r="Y385">
        <v>1</v>
      </c>
      <c r="Z385">
        <v>2</v>
      </c>
      <c r="AA385">
        <v>2</v>
      </c>
      <c r="AB385">
        <v>0</v>
      </c>
      <c r="AC385">
        <v>0</v>
      </c>
      <c r="AD385">
        <v>1</v>
      </c>
      <c r="AE385">
        <v>0</v>
      </c>
      <c r="AF385">
        <v>0</v>
      </c>
      <c r="AG385">
        <v>1</v>
      </c>
      <c r="AH385">
        <v>1</v>
      </c>
      <c r="AI385">
        <v>0</v>
      </c>
      <c r="AJ385">
        <v>0</v>
      </c>
      <c r="AK385">
        <v>0</v>
      </c>
      <c r="AL385">
        <v>0</v>
      </c>
      <c r="AM385">
        <v>0</v>
      </c>
      <c r="AN385">
        <v>0</v>
      </c>
      <c r="AO385">
        <v>0</v>
      </c>
      <c r="AP385">
        <v>0</v>
      </c>
      <c r="AQ385">
        <v>0</v>
      </c>
      <c r="AR385">
        <v>0</v>
      </c>
      <c r="AS385">
        <v>0</v>
      </c>
      <c r="AT385">
        <v>0</v>
      </c>
      <c r="AU385">
        <v>0</v>
      </c>
      <c r="AV385">
        <v>0</v>
      </c>
    </row>
    <row r="386" spans="1:48" ht="15.75" customHeight="1" x14ac:dyDescent="0.25">
      <c r="A386">
        <v>2</v>
      </c>
      <c r="B386">
        <v>2</v>
      </c>
      <c r="C386">
        <v>2</v>
      </c>
      <c r="D386">
        <v>1</v>
      </c>
      <c r="E386">
        <v>2016</v>
      </c>
      <c r="F386">
        <v>5</v>
      </c>
      <c r="G386">
        <v>37</v>
      </c>
      <c r="H386">
        <v>0</v>
      </c>
      <c r="I386">
        <v>0</v>
      </c>
      <c r="J386">
        <v>0</v>
      </c>
      <c r="K386">
        <v>0</v>
      </c>
      <c r="L386">
        <v>0</v>
      </c>
      <c r="M386">
        <v>0</v>
      </c>
      <c r="N386">
        <v>0</v>
      </c>
      <c r="O386">
        <v>0</v>
      </c>
      <c r="P386">
        <v>0</v>
      </c>
      <c r="Q386">
        <v>0</v>
      </c>
      <c r="R386">
        <v>0</v>
      </c>
      <c r="S386">
        <v>0</v>
      </c>
      <c r="T386">
        <v>0</v>
      </c>
      <c r="U386">
        <v>1</v>
      </c>
      <c r="V386">
        <v>2</v>
      </c>
      <c r="W386">
        <v>2</v>
      </c>
      <c r="X386">
        <v>2</v>
      </c>
      <c r="Y386">
        <v>4</v>
      </c>
      <c r="Z386">
        <v>2</v>
      </c>
      <c r="AA386">
        <v>4</v>
      </c>
      <c r="AB386">
        <v>4</v>
      </c>
      <c r="AC386">
        <v>6</v>
      </c>
      <c r="AD386">
        <v>3</v>
      </c>
      <c r="AE386">
        <v>5</v>
      </c>
      <c r="AF386">
        <v>1</v>
      </c>
      <c r="AG386">
        <v>1</v>
      </c>
      <c r="AH386">
        <v>0</v>
      </c>
      <c r="AI386">
        <v>0</v>
      </c>
      <c r="AJ386">
        <v>0</v>
      </c>
      <c r="AK386">
        <v>0</v>
      </c>
      <c r="AL386">
        <v>0</v>
      </c>
      <c r="AM386">
        <v>0</v>
      </c>
      <c r="AN386">
        <v>0</v>
      </c>
      <c r="AO386">
        <v>0</v>
      </c>
      <c r="AP386">
        <v>0</v>
      </c>
      <c r="AQ386">
        <v>0</v>
      </c>
      <c r="AR386">
        <v>0</v>
      </c>
      <c r="AS386">
        <v>0</v>
      </c>
      <c r="AT386">
        <v>0</v>
      </c>
      <c r="AU386">
        <v>0</v>
      </c>
      <c r="AV386">
        <v>0</v>
      </c>
    </row>
    <row r="387" spans="1:48" ht="15.75" customHeight="1" x14ac:dyDescent="0.25">
      <c r="A387">
        <v>2</v>
      </c>
      <c r="B387">
        <v>2</v>
      </c>
      <c r="C387">
        <v>2</v>
      </c>
      <c r="D387">
        <v>1</v>
      </c>
      <c r="E387">
        <v>2016</v>
      </c>
      <c r="F387">
        <v>6</v>
      </c>
      <c r="G387">
        <v>1</v>
      </c>
      <c r="H387">
        <v>0</v>
      </c>
      <c r="I387">
        <v>0</v>
      </c>
      <c r="J387">
        <v>0</v>
      </c>
      <c r="K387">
        <v>0</v>
      </c>
      <c r="L387">
        <v>0</v>
      </c>
      <c r="M387">
        <v>0</v>
      </c>
      <c r="N387">
        <v>0</v>
      </c>
      <c r="O387">
        <v>0</v>
      </c>
      <c r="P387">
        <v>0</v>
      </c>
      <c r="Q387">
        <v>0</v>
      </c>
      <c r="R387">
        <v>0</v>
      </c>
      <c r="S387">
        <v>0</v>
      </c>
      <c r="T387">
        <v>0</v>
      </c>
      <c r="U387">
        <v>0</v>
      </c>
      <c r="V387">
        <v>0</v>
      </c>
      <c r="W387">
        <v>0</v>
      </c>
      <c r="X387">
        <v>0</v>
      </c>
      <c r="Y387">
        <v>0</v>
      </c>
      <c r="Z387">
        <v>0</v>
      </c>
      <c r="AA387">
        <v>0</v>
      </c>
      <c r="AB387">
        <v>1</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row>
    <row r="388" spans="1:48" ht="15.75" customHeight="1" x14ac:dyDescent="0.25">
      <c r="A388">
        <v>2</v>
      </c>
      <c r="B388">
        <v>2</v>
      </c>
      <c r="C388">
        <v>2</v>
      </c>
      <c r="D388">
        <v>1</v>
      </c>
      <c r="E388">
        <v>2017</v>
      </c>
      <c r="F388">
        <v>1</v>
      </c>
      <c r="G388">
        <v>27</v>
      </c>
      <c r="H388">
        <v>0</v>
      </c>
      <c r="I388">
        <v>0</v>
      </c>
      <c r="J388">
        <v>0</v>
      </c>
      <c r="K388">
        <v>0</v>
      </c>
      <c r="L388">
        <v>0</v>
      </c>
      <c r="M388">
        <v>0</v>
      </c>
      <c r="N388">
        <v>0</v>
      </c>
      <c r="O388">
        <v>0</v>
      </c>
      <c r="P388">
        <v>0</v>
      </c>
      <c r="Q388">
        <v>0</v>
      </c>
      <c r="R388">
        <v>0</v>
      </c>
      <c r="S388">
        <v>0</v>
      </c>
      <c r="T388">
        <v>5</v>
      </c>
      <c r="U388">
        <v>4</v>
      </c>
      <c r="V388">
        <v>1</v>
      </c>
      <c r="W388">
        <v>2</v>
      </c>
      <c r="X388">
        <v>3</v>
      </c>
      <c r="Y388">
        <v>2</v>
      </c>
      <c r="Z388">
        <v>4</v>
      </c>
      <c r="AA388">
        <v>1</v>
      </c>
      <c r="AB388">
        <v>0</v>
      </c>
      <c r="AC388">
        <v>0</v>
      </c>
      <c r="AD388">
        <v>0</v>
      </c>
      <c r="AE388">
        <v>1</v>
      </c>
      <c r="AF388">
        <v>2</v>
      </c>
      <c r="AG388">
        <v>0</v>
      </c>
      <c r="AH388">
        <v>0</v>
      </c>
      <c r="AI388">
        <v>0</v>
      </c>
      <c r="AJ388">
        <v>0</v>
      </c>
      <c r="AK388">
        <v>1</v>
      </c>
      <c r="AL388">
        <v>1</v>
      </c>
      <c r="AM388">
        <v>0</v>
      </c>
      <c r="AN388">
        <v>0</v>
      </c>
      <c r="AO388">
        <v>0</v>
      </c>
      <c r="AP388">
        <v>0</v>
      </c>
      <c r="AQ388">
        <v>0</v>
      </c>
      <c r="AR388">
        <v>0</v>
      </c>
      <c r="AS388">
        <v>0</v>
      </c>
      <c r="AT388">
        <v>0</v>
      </c>
      <c r="AU388">
        <v>0</v>
      </c>
      <c r="AV388">
        <v>0</v>
      </c>
    </row>
    <row r="389" spans="1:48" ht="15.75" customHeight="1" x14ac:dyDescent="0.25">
      <c r="A389">
        <v>2</v>
      </c>
      <c r="B389">
        <v>2</v>
      </c>
      <c r="C389">
        <v>2</v>
      </c>
      <c r="D389">
        <v>1</v>
      </c>
      <c r="E389">
        <v>2017</v>
      </c>
      <c r="F389">
        <v>2</v>
      </c>
      <c r="G389">
        <v>78</v>
      </c>
      <c r="H389">
        <v>0</v>
      </c>
      <c r="I389">
        <v>0</v>
      </c>
      <c r="J389">
        <v>0</v>
      </c>
      <c r="K389">
        <v>0</v>
      </c>
      <c r="L389">
        <v>0</v>
      </c>
      <c r="M389">
        <v>0</v>
      </c>
      <c r="N389">
        <v>0</v>
      </c>
      <c r="O389">
        <v>0</v>
      </c>
      <c r="P389">
        <v>0</v>
      </c>
      <c r="Q389">
        <v>0</v>
      </c>
      <c r="R389">
        <v>0</v>
      </c>
      <c r="S389">
        <v>0</v>
      </c>
      <c r="T389">
        <v>4</v>
      </c>
      <c r="U389">
        <v>2</v>
      </c>
      <c r="V389">
        <v>7</v>
      </c>
      <c r="W389">
        <v>3</v>
      </c>
      <c r="X389">
        <v>8</v>
      </c>
      <c r="Y389">
        <v>10</v>
      </c>
      <c r="Z389">
        <v>13</v>
      </c>
      <c r="AA389">
        <v>7</v>
      </c>
      <c r="AB389">
        <v>7</v>
      </c>
      <c r="AC389">
        <v>2</v>
      </c>
      <c r="AD389">
        <v>2</v>
      </c>
      <c r="AE389">
        <v>8</v>
      </c>
      <c r="AF389">
        <v>3</v>
      </c>
      <c r="AG389">
        <v>0</v>
      </c>
      <c r="AH389">
        <v>1</v>
      </c>
      <c r="AI389">
        <v>1</v>
      </c>
      <c r="AJ389">
        <v>0</v>
      </c>
      <c r="AK389">
        <v>0</v>
      </c>
      <c r="AL389">
        <v>0</v>
      </c>
      <c r="AM389">
        <v>0</v>
      </c>
      <c r="AN389">
        <v>0</v>
      </c>
      <c r="AO389">
        <v>0</v>
      </c>
      <c r="AP389">
        <v>0</v>
      </c>
      <c r="AQ389">
        <v>0</v>
      </c>
      <c r="AR389">
        <v>0</v>
      </c>
      <c r="AS389">
        <v>0</v>
      </c>
      <c r="AT389">
        <v>0</v>
      </c>
      <c r="AU389">
        <v>0</v>
      </c>
      <c r="AV389">
        <v>0</v>
      </c>
    </row>
    <row r="390" spans="1:48" ht="15.75" customHeight="1" x14ac:dyDescent="0.25">
      <c r="A390">
        <v>2</v>
      </c>
      <c r="B390">
        <v>2</v>
      </c>
      <c r="C390">
        <v>2</v>
      </c>
      <c r="D390">
        <v>1</v>
      </c>
      <c r="E390">
        <v>2017</v>
      </c>
      <c r="F390">
        <v>3</v>
      </c>
      <c r="G390">
        <v>61</v>
      </c>
      <c r="H390">
        <v>0</v>
      </c>
      <c r="I390">
        <v>0</v>
      </c>
      <c r="J390">
        <v>0</v>
      </c>
      <c r="K390">
        <v>0</v>
      </c>
      <c r="L390">
        <v>0</v>
      </c>
      <c r="M390">
        <v>0</v>
      </c>
      <c r="N390">
        <v>0</v>
      </c>
      <c r="O390">
        <v>0</v>
      </c>
      <c r="P390">
        <v>0</v>
      </c>
      <c r="Q390">
        <v>0</v>
      </c>
      <c r="R390">
        <v>0</v>
      </c>
      <c r="S390">
        <v>0</v>
      </c>
      <c r="T390">
        <v>0</v>
      </c>
      <c r="U390">
        <v>1</v>
      </c>
      <c r="V390">
        <v>2</v>
      </c>
      <c r="W390">
        <v>10</v>
      </c>
      <c r="X390">
        <v>8</v>
      </c>
      <c r="Y390">
        <v>8</v>
      </c>
      <c r="Z390">
        <v>5</v>
      </c>
      <c r="AA390">
        <v>6</v>
      </c>
      <c r="AB390">
        <v>4</v>
      </c>
      <c r="AC390">
        <v>4</v>
      </c>
      <c r="AD390">
        <v>2</v>
      </c>
      <c r="AE390">
        <v>3</v>
      </c>
      <c r="AF390">
        <v>4</v>
      </c>
      <c r="AG390">
        <v>1</v>
      </c>
      <c r="AH390">
        <v>0</v>
      </c>
      <c r="AI390">
        <v>1</v>
      </c>
      <c r="AJ390">
        <v>0</v>
      </c>
      <c r="AK390">
        <v>2</v>
      </c>
      <c r="AL390">
        <v>0</v>
      </c>
      <c r="AM390">
        <v>0</v>
      </c>
      <c r="AN390">
        <v>0</v>
      </c>
      <c r="AO390">
        <v>0</v>
      </c>
      <c r="AP390">
        <v>0</v>
      </c>
      <c r="AQ390">
        <v>0</v>
      </c>
      <c r="AR390">
        <v>0</v>
      </c>
      <c r="AS390">
        <v>0</v>
      </c>
      <c r="AT390">
        <v>0</v>
      </c>
      <c r="AU390">
        <v>0</v>
      </c>
      <c r="AV390">
        <v>0</v>
      </c>
    </row>
    <row r="391" spans="1:48" ht="15.75" customHeight="1" x14ac:dyDescent="0.25">
      <c r="A391">
        <v>2</v>
      </c>
      <c r="B391">
        <v>2</v>
      </c>
      <c r="C391">
        <v>2</v>
      </c>
      <c r="D391">
        <v>1</v>
      </c>
      <c r="E391">
        <v>2017</v>
      </c>
      <c r="F391">
        <v>4</v>
      </c>
      <c r="G391">
        <v>73</v>
      </c>
      <c r="H391">
        <v>0</v>
      </c>
      <c r="I391">
        <v>0</v>
      </c>
      <c r="J391">
        <v>0</v>
      </c>
      <c r="K391">
        <v>0</v>
      </c>
      <c r="L391">
        <v>0</v>
      </c>
      <c r="M391">
        <v>0</v>
      </c>
      <c r="N391">
        <v>0</v>
      </c>
      <c r="O391">
        <v>0</v>
      </c>
      <c r="P391">
        <v>0</v>
      </c>
      <c r="Q391">
        <v>0</v>
      </c>
      <c r="R391">
        <v>0</v>
      </c>
      <c r="S391">
        <v>0</v>
      </c>
      <c r="T391">
        <v>0</v>
      </c>
      <c r="U391">
        <v>0</v>
      </c>
      <c r="V391">
        <v>5</v>
      </c>
      <c r="W391">
        <v>1</v>
      </c>
      <c r="X391">
        <v>8</v>
      </c>
      <c r="Y391">
        <v>9</v>
      </c>
      <c r="Z391">
        <v>8</v>
      </c>
      <c r="AA391">
        <v>9</v>
      </c>
      <c r="AB391">
        <v>9</v>
      </c>
      <c r="AC391">
        <v>9</v>
      </c>
      <c r="AD391">
        <v>3</v>
      </c>
      <c r="AE391">
        <v>3</v>
      </c>
      <c r="AF391">
        <v>5</v>
      </c>
      <c r="AG391">
        <v>2</v>
      </c>
      <c r="AH391">
        <v>0</v>
      </c>
      <c r="AI391">
        <v>1</v>
      </c>
      <c r="AJ391">
        <v>0</v>
      </c>
      <c r="AK391">
        <v>1</v>
      </c>
      <c r="AL391">
        <v>0</v>
      </c>
      <c r="AM391">
        <v>0</v>
      </c>
      <c r="AN391">
        <v>0</v>
      </c>
      <c r="AO391">
        <v>0</v>
      </c>
      <c r="AP391">
        <v>0</v>
      </c>
      <c r="AQ391">
        <v>0</v>
      </c>
      <c r="AR391">
        <v>0</v>
      </c>
      <c r="AS391">
        <v>0</v>
      </c>
      <c r="AT391">
        <v>0</v>
      </c>
      <c r="AU391">
        <v>0</v>
      </c>
      <c r="AV391">
        <v>0</v>
      </c>
    </row>
    <row r="392" spans="1:48" ht="15.75" customHeight="1" x14ac:dyDescent="0.25">
      <c r="A392">
        <v>2</v>
      </c>
      <c r="B392">
        <v>2</v>
      </c>
      <c r="C392">
        <v>2</v>
      </c>
      <c r="D392">
        <v>1</v>
      </c>
      <c r="E392">
        <v>2017</v>
      </c>
      <c r="F392">
        <v>5</v>
      </c>
      <c r="G392">
        <v>4</v>
      </c>
      <c r="H392">
        <v>0</v>
      </c>
      <c r="I392">
        <v>0</v>
      </c>
      <c r="J392">
        <v>0</v>
      </c>
      <c r="K392">
        <v>0</v>
      </c>
      <c r="L392">
        <v>0</v>
      </c>
      <c r="M392">
        <v>0</v>
      </c>
      <c r="N392">
        <v>0</v>
      </c>
      <c r="O392">
        <v>0</v>
      </c>
      <c r="P392">
        <v>0</v>
      </c>
      <c r="Q392">
        <v>0</v>
      </c>
      <c r="R392">
        <v>0</v>
      </c>
      <c r="S392">
        <v>0</v>
      </c>
      <c r="T392">
        <v>0</v>
      </c>
      <c r="U392">
        <v>1</v>
      </c>
      <c r="V392">
        <v>1</v>
      </c>
      <c r="W392">
        <v>1</v>
      </c>
      <c r="X392">
        <v>0</v>
      </c>
      <c r="Y392">
        <v>0</v>
      </c>
      <c r="Z392">
        <v>0</v>
      </c>
      <c r="AA392">
        <v>0</v>
      </c>
      <c r="AB392">
        <v>0</v>
      </c>
      <c r="AC392">
        <v>0</v>
      </c>
      <c r="AD392">
        <v>0</v>
      </c>
      <c r="AE392">
        <v>1</v>
      </c>
      <c r="AF392">
        <v>0</v>
      </c>
      <c r="AG392">
        <v>0</v>
      </c>
      <c r="AH392">
        <v>0</v>
      </c>
      <c r="AI392">
        <v>0</v>
      </c>
      <c r="AJ392">
        <v>0</v>
      </c>
      <c r="AK392">
        <v>0</v>
      </c>
      <c r="AL392">
        <v>0</v>
      </c>
      <c r="AM392">
        <v>0</v>
      </c>
      <c r="AN392">
        <v>0</v>
      </c>
      <c r="AO392">
        <v>0</v>
      </c>
      <c r="AP392">
        <v>0</v>
      </c>
      <c r="AQ392">
        <v>0</v>
      </c>
      <c r="AR392">
        <v>0</v>
      </c>
      <c r="AS392">
        <v>0</v>
      </c>
      <c r="AT392">
        <v>0</v>
      </c>
      <c r="AU392">
        <v>0</v>
      </c>
      <c r="AV392">
        <v>0</v>
      </c>
    </row>
    <row r="393" spans="1:48" ht="15.75" customHeight="1" x14ac:dyDescent="0.25">
      <c r="A393">
        <v>2</v>
      </c>
      <c r="B393">
        <v>2</v>
      </c>
      <c r="C393">
        <v>2</v>
      </c>
      <c r="D393">
        <v>1</v>
      </c>
      <c r="E393">
        <v>2017</v>
      </c>
      <c r="F393">
        <v>6</v>
      </c>
      <c r="G393">
        <v>1</v>
      </c>
      <c r="H393">
        <v>0</v>
      </c>
      <c r="I393">
        <v>0</v>
      </c>
      <c r="J393">
        <v>0</v>
      </c>
      <c r="K393">
        <v>0</v>
      </c>
      <c r="L393">
        <v>0</v>
      </c>
      <c r="M393">
        <v>0</v>
      </c>
      <c r="N393">
        <v>0</v>
      </c>
      <c r="O393">
        <v>0</v>
      </c>
      <c r="P393">
        <v>0</v>
      </c>
      <c r="Q393">
        <v>0</v>
      </c>
      <c r="R393">
        <v>0</v>
      </c>
      <c r="S393">
        <v>0</v>
      </c>
      <c r="T393">
        <v>0</v>
      </c>
      <c r="U393">
        <v>0</v>
      </c>
      <c r="V393">
        <v>0</v>
      </c>
      <c r="W393">
        <v>0</v>
      </c>
      <c r="X393">
        <v>0</v>
      </c>
      <c r="Y393">
        <v>0</v>
      </c>
      <c r="Z393">
        <v>1</v>
      </c>
      <c r="AA393">
        <v>0</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row>
    <row r="394" spans="1:48" ht="15.75" customHeight="1" x14ac:dyDescent="0.25">
      <c r="A394">
        <v>2</v>
      </c>
      <c r="B394">
        <v>2</v>
      </c>
      <c r="C394">
        <v>2</v>
      </c>
      <c r="D394">
        <v>1</v>
      </c>
      <c r="E394">
        <v>2018</v>
      </c>
      <c r="F394">
        <v>1</v>
      </c>
      <c r="G394">
        <v>26</v>
      </c>
      <c r="H394">
        <v>0</v>
      </c>
      <c r="I394">
        <v>0</v>
      </c>
      <c r="J394">
        <v>0</v>
      </c>
      <c r="K394">
        <v>0</v>
      </c>
      <c r="L394">
        <v>0</v>
      </c>
      <c r="M394">
        <v>0</v>
      </c>
      <c r="N394">
        <v>0</v>
      </c>
      <c r="O394">
        <v>0</v>
      </c>
      <c r="P394">
        <v>0</v>
      </c>
      <c r="Q394">
        <v>0</v>
      </c>
      <c r="R394">
        <v>0</v>
      </c>
      <c r="S394">
        <v>0</v>
      </c>
      <c r="T394">
        <v>4</v>
      </c>
      <c r="U394">
        <v>5</v>
      </c>
      <c r="V394">
        <v>3</v>
      </c>
      <c r="W394">
        <v>1</v>
      </c>
      <c r="X394">
        <v>3</v>
      </c>
      <c r="Y394">
        <v>3</v>
      </c>
      <c r="Z394">
        <v>2</v>
      </c>
      <c r="AA394">
        <v>1</v>
      </c>
      <c r="AB394">
        <v>1</v>
      </c>
      <c r="AC394">
        <v>0</v>
      </c>
      <c r="AD394">
        <v>1</v>
      </c>
      <c r="AE394">
        <v>2</v>
      </c>
      <c r="AF394">
        <v>0</v>
      </c>
      <c r="AG394">
        <v>0</v>
      </c>
      <c r="AH394">
        <v>0</v>
      </c>
      <c r="AI394">
        <v>0</v>
      </c>
      <c r="AJ394">
        <v>0</v>
      </c>
      <c r="AK394">
        <v>0</v>
      </c>
      <c r="AL394">
        <v>0</v>
      </c>
      <c r="AM394">
        <v>0</v>
      </c>
      <c r="AN394">
        <v>0</v>
      </c>
      <c r="AO394">
        <v>0</v>
      </c>
      <c r="AP394">
        <v>0</v>
      </c>
      <c r="AQ394">
        <v>0</v>
      </c>
      <c r="AR394">
        <v>0</v>
      </c>
      <c r="AS394">
        <v>0</v>
      </c>
      <c r="AT394">
        <v>0</v>
      </c>
      <c r="AU394">
        <v>0</v>
      </c>
      <c r="AV394">
        <v>0</v>
      </c>
    </row>
    <row r="395" spans="1:48" ht="15.75" customHeight="1" x14ac:dyDescent="0.25">
      <c r="A395">
        <v>2</v>
      </c>
      <c r="B395">
        <v>2</v>
      </c>
      <c r="C395">
        <v>2</v>
      </c>
      <c r="D395">
        <v>1</v>
      </c>
      <c r="E395">
        <v>2018</v>
      </c>
      <c r="F395">
        <v>2</v>
      </c>
      <c r="G395">
        <v>61</v>
      </c>
      <c r="H395">
        <v>0</v>
      </c>
      <c r="I395">
        <v>0</v>
      </c>
      <c r="J395">
        <v>0</v>
      </c>
      <c r="K395">
        <v>0</v>
      </c>
      <c r="L395">
        <v>0</v>
      </c>
      <c r="M395">
        <v>0</v>
      </c>
      <c r="N395">
        <v>0</v>
      </c>
      <c r="O395">
        <v>0</v>
      </c>
      <c r="P395">
        <v>0</v>
      </c>
      <c r="Q395">
        <v>0</v>
      </c>
      <c r="R395">
        <v>0</v>
      </c>
      <c r="S395">
        <v>0</v>
      </c>
      <c r="T395">
        <v>2</v>
      </c>
      <c r="U395">
        <v>1</v>
      </c>
      <c r="V395">
        <v>5</v>
      </c>
      <c r="W395">
        <v>4</v>
      </c>
      <c r="X395">
        <v>6</v>
      </c>
      <c r="Y395">
        <v>6</v>
      </c>
      <c r="Z395">
        <v>3</v>
      </c>
      <c r="AA395">
        <v>6</v>
      </c>
      <c r="AB395">
        <v>10</v>
      </c>
      <c r="AC395">
        <v>7</v>
      </c>
      <c r="AD395">
        <v>2</v>
      </c>
      <c r="AE395">
        <v>1</v>
      </c>
      <c r="AF395">
        <v>2</v>
      </c>
      <c r="AG395">
        <v>3</v>
      </c>
      <c r="AH395">
        <v>2</v>
      </c>
      <c r="AI395">
        <v>1</v>
      </c>
      <c r="AJ395">
        <v>0</v>
      </c>
      <c r="AK395">
        <v>0</v>
      </c>
      <c r="AL395">
        <v>0</v>
      </c>
      <c r="AM395">
        <v>0</v>
      </c>
      <c r="AN395">
        <v>0</v>
      </c>
      <c r="AO395">
        <v>0</v>
      </c>
      <c r="AP395">
        <v>0</v>
      </c>
      <c r="AQ395">
        <v>0</v>
      </c>
      <c r="AR395">
        <v>0</v>
      </c>
      <c r="AS395">
        <v>0</v>
      </c>
      <c r="AT395">
        <v>0</v>
      </c>
      <c r="AU395">
        <v>0</v>
      </c>
      <c r="AV395">
        <v>0</v>
      </c>
    </row>
    <row r="396" spans="1:48" ht="15.75" customHeight="1" x14ac:dyDescent="0.25">
      <c r="A396">
        <v>2</v>
      </c>
      <c r="B396">
        <v>2</v>
      </c>
      <c r="C396">
        <v>2</v>
      </c>
      <c r="D396">
        <v>1</v>
      </c>
      <c r="E396">
        <v>2018</v>
      </c>
      <c r="F396">
        <v>3</v>
      </c>
      <c r="G396">
        <v>51</v>
      </c>
      <c r="H396">
        <v>0</v>
      </c>
      <c r="I396">
        <v>0</v>
      </c>
      <c r="J396">
        <v>0</v>
      </c>
      <c r="K396">
        <v>0</v>
      </c>
      <c r="L396">
        <v>0</v>
      </c>
      <c r="M396">
        <v>0</v>
      </c>
      <c r="N396">
        <v>0</v>
      </c>
      <c r="O396">
        <v>0</v>
      </c>
      <c r="P396">
        <v>0</v>
      </c>
      <c r="Q396">
        <v>0</v>
      </c>
      <c r="R396">
        <v>0</v>
      </c>
      <c r="S396">
        <v>0</v>
      </c>
      <c r="T396">
        <v>1</v>
      </c>
      <c r="U396">
        <v>1</v>
      </c>
      <c r="V396">
        <v>6</v>
      </c>
      <c r="W396">
        <v>4</v>
      </c>
      <c r="X396">
        <v>9</v>
      </c>
      <c r="Y396">
        <v>7</v>
      </c>
      <c r="Z396">
        <v>1</v>
      </c>
      <c r="AA396">
        <v>4</v>
      </c>
      <c r="AB396">
        <v>4</v>
      </c>
      <c r="AC396">
        <v>6</v>
      </c>
      <c r="AD396">
        <v>2</v>
      </c>
      <c r="AE396">
        <v>2</v>
      </c>
      <c r="AF396">
        <v>0</v>
      </c>
      <c r="AG396">
        <v>1</v>
      </c>
      <c r="AH396">
        <v>1</v>
      </c>
      <c r="AI396">
        <v>1</v>
      </c>
      <c r="AJ396">
        <v>1</v>
      </c>
      <c r="AK396">
        <v>0</v>
      </c>
      <c r="AL396">
        <v>0</v>
      </c>
      <c r="AM396">
        <v>0</v>
      </c>
      <c r="AN396">
        <v>0</v>
      </c>
      <c r="AO396">
        <v>0</v>
      </c>
      <c r="AP396">
        <v>0</v>
      </c>
      <c r="AQ396">
        <v>0</v>
      </c>
      <c r="AR396">
        <v>0</v>
      </c>
      <c r="AS396">
        <v>0</v>
      </c>
      <c r="AT396">
        <v>0</v>
      </c>
      <c r="AU396">
        <v>0</v>
      </c>
      <c r="AV396">
        <v>0</v>
      </c>
    </row>
    <row r="397" spans="1:48" ht="15.75" customHeight="1" x14ac:dyDescent="0.25">
      <c r="A397">
        <v>2</v>
      </c>
      <c r="B397">
        <v>2</v>
      </c>
      <c r="C397">
        <v>2</v>
      </c>
      <c r="D397">
        <v>1</v>
      </c>
      <c r="E397">
        <v>2018</v>
      </c>
      <c r="F397">
        <v>4</v>
      </c>
      <c r="G397">
        <v>7</v>
      </c>
      <c r="H397">
        <v>0</v>
      </c>
      <c r="I397">
        <v>0</v>
      </c>
      <c r="J397">
        <v>0</v>
      </c>
      <c r="K397">
        <v>0</v>
      </c>
      <c r="L397">
        <v>0</v>
      </c>
      <c r="M397">
        <v>0</v>
      </c>
      <c r="N397">
        <v>0</v>
      </c>
      <c r="O397">
        <v>0</v>
      </c>
      <c r="P397">
        <v>0</v>
      </c>
      <c r="Q397">
        <v>0</v>
      </c>
      <c r="R397">
        <v>0</v>
      </c>
      <c r="S397">
        <v>0</v>
      </c>
      <c r="T397">
        <v>0</v>
      </c>
      <c r="U397">
        <v>0</v>
      </c>
      <c r="V397">
        <v>0</v>
      </c>
      <c r="W397">
        <v>1</v>
      </c>
      <c r="X397">
        <v>1</v>
      </c>
      <c r="Y397">
        <v>1</v>
      </c>
      <c r="Z397">
        <v>1</v>
      </c>
      <c r="AA397">
        <v>0</v>
      </c>
      <c r="AB397">
        <v>1</v>
      </c>
      <c r="AC397">
        <v>2</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row>
    <row r="398" spans="1:48" ht="15.75" customHeight="1" x14ac:dyDescent="0.25">
      <c r="A398">
        <v>2</v>
      </c>
      <c r="B398">
        <v>2</v>
      </c>
      <c r="C398">
        <v>2</v>
      </c>
      <c r="D398">
        <v>1</v>
      </c>
      <c r="E398">
        <v>2018</v>
      </c>
      <c r="F398">
        <v>5</v>
      </c>
      <c r="G398">
        <v>3</v>
      </c>
      <c r="H398">
        <v>0</v>
      </c>
      <c r="I398">
        <v>0</v>
      </c>
      <c r="J398">
        <v>0</v>
      </c>
      <c r="K398">
        <v>0</v>
      </c>
      <c r="L398">
        <v>0</v>
      </c>
      <c r="M398">
        <v>0</v>
      </c>
      <c r="N398">
        <v>0</v>
      </c>
      <c r="O398">
        <v>0</v>
      </c>
      <c r="P398">
        <v>0</v>
      </c>
      <c r="Q398">
        <v>0</v>
      </c>
      <c r="R398">
        <v>0</v>
      </c>
      <c r="S398">
        <v>0</v>
      </c>
      <c r="T398">
        <v>0</v>
      </c>
      <c r="U398">
        <v>0</v>
      </c>
      <c r="V398">
        <v>1</v>
      </c>
      <c r="W398">
        <v>0</v>
      </c>
      <c r="X398">
        <v>0</v>
      </c>
      <c r="Y398">
        <v>0</v>
      </c>
      <c r="Z398">
        <v>0</v>
      </c>
      <c r="AA398">
        <v>0</v>
      </c>
      <c r="AB398">
        <v>1</v>
      </c>
      <c r="AC398">
        <v>0</v>
      </c>
      <c r="AD398">
        <v>0</v>
      </c>
      <c r="AE398">
        <v>1</v>
      </c>
      <c r="AF398">
        <v>0</v>
      </c>
      <c r="AG398">
        <v>0</v>
      </c>
      <c r="AH398">
        <v>0</v>
      </c>
      <c r="AI398">
        <v>0</v>
      </c>
      <c r="AJ398">
        <v>0</v>
      </c>
      <c r="AK398">
        <v>0</v>
      </c>
      <c r="AL398">
        <v>0</v>
      </c>
      <c r="AM398">
        <v>0</v>
      </c>
      <c r="AN398">
        <v>0</v>
      </c>
      <c r="AO398">
        <v>0</v>
      </c>
      <c r="AP398">
        <v>0</v>
      </c>
      <c r="AQ398">
        <v>0</v>
      </c>
      <c r="AR398">
        <v>0</v>
      </c>
      <c r="AS398">
        <v>0</v>
      </c>
      <c r="AT398">
        <v>0</v>
      </c>
      <c r="AU398">
        <v>0</v>
      </c>
      <c r="AV398">
        <v>0</v>
      </c>
    </row>
    <row r="399" spans="1:48" ht="15.75" customHeight="1" x14ac:dyDescent="0.25">
      <c r="A399">
        <v>2</v>
      </c>
      <c r="B399">
        <v>2</v>
      </c>
      <c r="C399">
        <v>2</v>
      </c>
      <c r="D399">
        <v>1</v>
      </c>
      <c r="E399">
        <v>2018</v>
      </c>
      <c r="F399">
        <v>6</v>
      </c>
      <c r="G399">
        <v>2</v>
      </c>
      <c r="H399">
        <v>0</v>
      </c>
      <c r="I399">
        <v>0</v>
      </c>
      <c r="J399">
        <v>0</v>
      </c>
      <c r="K399">
        <v>0</v>
      </c>
      <c r="L399">
        <v>0</v>
      </c>
      <c r="M399">
        <v>0</v>
      </c>
      <c r="N399">
        <v>0</v>
      </c>
      <c r="O399">
        <v>0</v>
      </c>
      <c r="P399">
        <v>0</v>
      </c>
      <c r="Q399">
        <v>0</v>
      </c>
      <c r="R399">
        <v>0</v>
      </c>
      <c r="S399">
        <v>0</v>
      </c>
      <c r="T399">
        <v>0</v>
      </c>
      <c r="U399">
        <v>0</v>
      </c>
      <c r="V399">
        <v>0</v>
      </c>
      <c r="W399">
        <v>0</v>
      </c>
      <c r="X399">
        <v>0</v>
      </c>
      <c r="Y399">
        <v>0</v>
      </c>
      <c r="Z399">
        <v>1</v>
      </c>
      <c r="AA399">
        <v>0</v>
      </c>
      <c r="AB399">
        <v>0</v>
      </c>
      <c r="AC399">
        <v>0</v>
      </c>
      <c r="AD399">
        <v>0</v>
      </c>
      <c r="AE399">
        <v>0</v>
      </c>
      <c r="AF399">
        <v>0</v>
      </c>
      <c r="AG399">
        <v>0</v>
      </c>
      <c r="AH399">
        <v>0</v>
      </c>
      <c r="AI399">
        <v>0</v>
      </c>
      <c r="AJ399">
        <v>1</v>
      </c>
      <c r="AK399">
        <v>0</v>
      </c>
      <c r="AL399">
        <v>0</v>
      </c>
      <c r="AM399">
        <v>0</v>
      </c>
      <c r="AN399">
        <v>0</v>
      </c>
      <c r="AO399">
        <v>0</v>
      </c>
      <c r="AP399">
        <v>0</v>
      </c>
      <c r="AQ399">
        <v>0</v>
      </c>
      <c r="AR399">
        <v>0</v>
      </c>
      <c r="AS399">
        <v>0</v>
      </c>
      <c r="AT399">
        <v>0</v>
      </c>
      <c r="AU399">
        <v>0</v>
      </c>
      <c r="AV399">
        <v>0</v>
      </c>
    </row>
    <row r="400" spans="1:48" ht="15.75" customHeight="1" x14ac:dyDescent="0.25">
      <c r="A400">
        <v>2</v>
      </c>
      <c r="B400">
        <v>2</v>
      </c>
      <c r="C400">
        <v>2</v>
      </c>
      <c r="D400">
        <v>2</v>
      </c>
      <c r="E400">
        <v>2016</v>
      </c>
      <c r="F400">
        <v>1</v>
      </c>
      <c r="G400">
        <v>1</v>
      </c>
      <c r="H400">
        <v>0</v>
      </c>
      <c r="I400">
        <v>0</v>
      </c>
      <c r="J400">
        <v>0</v>
      </c>
      <c r="K400">
        <v>0</v>
      </c>
      <c r="L400">
        <v>0</v>
      </c>
      <c r="M400">
        <v>0</v>
      </c>
      <c r="N400">
        <v>0</v>
      </c>
      <c r="O400">
        <v>0</v>
      </c>
      <c r="P400">
        <v>0</v>
      </c>
      <c r="Q400">
        <v>0</v>
      </c>
      <c r="R400">
        <v>0</v>
      </c>
      <c r="S400">
        <v>0</v>
      </c>
      <c r="T400">
        <v>0</v>
      </c>
      <c r="U400">
        <v>0</v>
      </c>
      <c r="V400">
        <v>0</v>
      </c>
      <c r="W400">
        <v>0</v>
      </c>
      <c r="X400">
        <v>0</v>
      </c>
      <c r="Y400">
        <v>0</v>
      </c>
      <c r="Z400">
        <v>0</v>
      </c>
      <c r="AA400">
        <v>0</v>
      </c>
      <c r="AB400">
        <v>0</v>
      </c>
      <c r="AC400">
        <v>0</v>
      </c>
      <c r="AD400">
        <v>0</v>
      </c>
      <c r="AE400">
        <v>0</v>
      </c>
      <c r="AF400">
        <v>0</v>
      </c>
      <c r="AG400">
        <v>0</v>
      </c>
      <c r="AH400">
        <v>0</v>
      </c>
      <c r="AI400">
        <v>0</v>
      </c>
      <c r="AJ400">
        <v>1</v>
      </c>
      <c r="AK400">
        <v>0</v>
      </c>
      <c r="AL400">
        <v>0</v>
      </c>
      <c r="AM400">
        <v>0</v>
      </c>
      <c r="AN400">
        <v>0</v>
      </c>
      <c r="AO400">
        <v>0</v>
      </c>
      <c r="AP400">
        <v>0</v>
      </c>
      <c r="AQ400">
        <v>0</v>
      </c>
      <c r="AR400">
        <v>0</v>
      </c>
      <c r="AS400">
        <v>0</v>
      </c>
      <c r="AT400">
        <v>0</v>
      </c>
      <c r="AU400">
        <v>0</v>
      </c>
      <c r="AV400">
        <v>0</v>
      </c>
    </row>
    <row r="401" spans="1:48" ht="15.75" customHeight="1" x14ac:dyDescent="0.25">
      <c r="A401">
        <v>2</v>
      </c>
      <c r="B401">
        <v>2</v>
      </c>
      <c r="C401">
        <v>2</v>
      </c>
      <c r="D401">
        <v>2</v>
      </c>
      <c r="E401">
        <v>2016</v>
      </c>
      <c r="F401">
        <v>4</v>
      </c>
      <c r="G401">
        <v>1</v>
      </c>
      <c r="H401">
        <v>0</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1</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row>
    <row r="402" spans="1:48" ht="15.75" customHeight="1" x14ac:dyDescent="0.25">
      <c r="A402">
        <v>2</v>
      </c>
      <c r="B402">
        <v>2</v>
      </c>
      <c r="C402">
        <v>2</v>
      </c>
      <c r="D402">
        <v>2</v>
      </c>
      <c r="E402">
        <v>2017</v>
      </c>
      <c r="F402">
        <v>1</v>
      </c>
      <c r="G402">
        <v>2</v>
      </c>
      <c r="H402">
        <v>0</v>
      </c>
      <c r="I402">
        <v>0</v>
      </c>
      <c r="J402">
        <v>0</v>
      </c>
      <c r="K402">
        <v>0</v>
      </c>
      <c r="L402">
        <v>0</v>
      </c>
      <c r="M402">
        <v>0</v>
      </c>
      <c r="N402">
        <v>0</v>
      </c>
      <c r="O402">
        <v>0</v>
      </c>
      <c r="P402">
        <v>0</v>
      </c>
      <c r="Q402">
        <v>0</v>
      </c>
      <c r="R402">
        <v>0</v>
      </c>
      <c r="S402">
        <v>0</v>
      </c>
      <c r="T402">
        <v>0</v>
      </c>
      <c r="U402">
        <v>0</v>
      </c>
      <c r="V402">
        <v>1</v>
      </c>
      <c r="W402">
        <v>0</v>
      </c>
      <c r="X402">
        <v>1</v>
      </c>
      <c r="Y402">
        <v>0</v>
      </c>
      <c r="Z402">
        <v>0</v>
      </c>
      <c r="AA402">
        <v>0</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row>
    <row r="403" spans="1:48" ht="15.75" customHeight="1" x14ac:dyDescent="0.25">
      <c r="A403">
        <v>2</v>
      </c>
      <c r="B403">
        <v>2</v>
      </c>
      <c r="C403">
        <v>2</v>
      </c>
      <c r="D403">
        <v>2</v>
      </c>
      <c r="E403">
        <v>2017</v>
      </c>
      <c r="F403">
        <v>4</v>
      </c>
      <c r="G403">
        <v>1</v>
      </c>
      <c r="H403">
        <v>0</v>
      </c>
      <c r="I403">
        <v>0</v>
      </c>
      <c r="J403">
        <v>0</v>
      </c>
      <c r="K403">
        <v>0</v>
      </c>
      <c r="L403">
        <v>0</v>
      </c>
      <c r="M403">
        <v>0</v>
      </c>
      <c r="N403">
        <v>0</v>
      </c>
      <c r="O403">
        <v>0</v>
      </c>
      <c r="P403">
        <v>0</v>
      </c>
      <c r="Q403">
        <v>0</v>
      </c>
      <c r="R403">
        <v>0</v>
      </c>
      <c r="S403">
        <v>0</v>
      </c>
      <c r="T403">
        <v>0</v>
      </c>
      <c r="U403">
        <v>0</v>
      </c>
      <c r="V403">
        <v>0</v>
      </c>
      <c r="W403">
        <v>0</v>
      </c>
      <c r="X403">
        <v>1</v>
      </c>
      <c r="Y403">
        <v>0</v>
      </c>
      <c r="Z403">
        <v>0</v>
      </c>
      <c r="AA403">
        <v>0</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row>
    <row r="404" spans="1:48" ht="15.75" customHeight="1" x14ac:dyDescent="0.25">
      <c r="A404">
        <v>2</v>
      </c>
      <c r="B404">
        <v>2</v>
      </c>
      <c r="C404">
        <v>2</v>
      </c>
      <c r="D404">
        <v>2</v>
      </c>
      <c r="E404">
        <v>2017</v>
      </c>
      <c r="F404">
        <v>6</v>
      </c>
      <c r="G404">
        <v>2</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c r="AD404">
        <v>0</v>
      </c>
      <c r="AE404">
        <v>0</v>
      </c>
      <c r="AF404">
        <v>0</v>
      </c>
      <c r="AG404">
        <v>0</v>
      </c>
      <c r="AH404">
        <v>0</v>
      </c>
      <c r="AI404">
        <v>0</v>
      </c>
      <c r="AJ404">
        <v>0</v>
      </c>
      <c r="AK404">
        <v>1</v>
      </c>
      <c r="AL404">
        <v>0</v>
      </c>
      <c r="AM404">
        <v>0</v>
      </c>
      <c r="AN404">
        <v>0</v>
      </c>
      <c r="AO404">
        <v>0</v>
      </c>
      <c r="AP404">
        <v>1</v>
      </c>
      <c r="AQ404">
        <v>0</v>
      </c>
      <c r="AR404">
        <v>0</v>
      </c>
      <c r="AS404">
        <v>0</v>
      </c>
      <c r="AT404">
        <v>0</v>
      </c>
      <c r="AU404">
        <v>0</v>
      </c>
      <c r="AV404">
        <v>0</v>
      </c>
    </row>
    <row r="405" spans="1:48" ht="15.75" customHeight="1" x14ac:dyDescent="0.25">
      <c r="A405">
        <v>2</v>
      </c>
      <c r="B405">
        <v>2</v>
      </c>
      <c r="C405">
        <v>2</v>
      </c>
      <c r="D405">
        <v>2</v>
      </c>
      <c r="E405">
        <v>2018</v>
      </c>
      <c r="F405">
        <v>1</v>
      </c>
      <c r="G405">
        <v>2</v>
      </c>
      <c r="H405">
        <v>0</v>
      </c>
      <c r="I405">
        <v>0</v>
      </c>
      <c r="J405">
        <v>0</v>
      </c>
      <c r="K405">
        <v>0</v>
      </c>
      <c r="L405">
        <v>0</v>
      </c>
      <c r="M405">
        <v>0</v>
      </c>
      <c r="N405">
        <v>0</v>
      </c>
      <c r="O405">
        <v>0</v>
      </c>
      <c r="P405">
        <v>0</v>
      </c>
      <c r="Q405">
        <v>0</v>
      </c>
      <c r="R405">
        <v>0</v>
      </c>
      <c r="S405">
        <v>0</v>
      </c>
      <c r="T405">
        <v>0</v>
      </c>
      <c r="U405">
        <v>0</v>
      </c>
      <c r="V405">
        <v>0</v>
      </c>
      <c r="W405">
        <v>0</v>
      </c>
      <c r="X405">
        <v>1</v>
      </c>
      <c r="Y405">
        <v>0</v>
      </c>
      <c r="Z405">
        <v>0</v>
      </c>
      <c r="AA405">
        <v>0</v>
      </c>
      <c r="AB405">
        <v>0</v>
      </c>
      <c r="AC405">
        <v>0</v>
      </c>
      <c r="AD405">
        <v>0</v>
      </c>
      <c r="AE405">
        <v>0</v>
      </c>
      <c r="AF405">
        <v>0</v>
      </c>
      <c r="AG405">
        <v>0</v>
      </c>
      <c r="AH405">
        <v>0</v>
      </c>
      <c r="AI405">
        <v>0</v>
      </c>
      <c r="AJ405">
        <v>1</v>
      </c>
      <c r="AK405">
        <v>0</v>
      </c>
      <c r="AL405">
        <v>0</v>
      </c>
      <c r="AM405">
        <v>0</v>
      </c>
      <c r="AN405">
        <v>0</v>
      </c>
      <c r="AO405">
        <v>0</v>
      </c>
      <c r="AP405">
        <v>0</v>
      </c>
      <c r="AQ405">
        <v>0</v>
      </c>
      <c r="AR405">
        <v>0</v>
      </c>
      <c r="AS405">
        <v>0</v>
      </c>
      <c r="AT405">
        <v>0</v>
      </c>
      <c r="AU405">
        <v>0</v>
      </c>
      <c r="AV405">
        <v>0</v>
      </c>
    </row>
    <row r="406" spans="1:48" ht="15.75" customHeight="1" x14ac:dyDescent="0.25">
      <c r="A406">
        <v>2</v>
      </c>
      <c r="B406">
        <v>2</v>
      </c>
      <c r="C406">
        <v>2</v>
      </c>
      <c r="D406">
        <v>2</v>
      </c>
      <c r="E406">
        <v>2018</v>
      </c>
      <c r="F406">
        <v>3</v>
      </c>
      <c r="G406">
        <v>2</v>
      </c>
      <c r="H406">
        <v>0</v>
      </c>
      <c r="I406">
        <v>0</v>
      </c>
      <c r="J406">
        <v>0</v>
      </c>
      <c r="K406">
        <v>0</v>
      </c>
      <c r="L406">
        <v>0</v>
      </c>
      <c r="M406">
        <v>0</v>
      </c>
      <c r="N406">
        <v>0</v>
      </c>
      <c r="O406">
        <v>0</v>
      </c>
      <c r="P406">
        <v>0</v>
      </c>
      <c r="Q406">
        <v>0</v>
      </c>
      <c r="R406">
        <v>0</v>
      </c>
      <c r="S406">
        <v>0</v>
      </c>
      <c r="T406">
        <v>0</v>
      </c>
      <c r="U406">
        <v>0</v>
      </c>
      <c r="V406">
        <v>0</v>
      </c>
      <c r="W406">
        <v>0</v>
      </c>
      <c r="X406">
        <v>0</v>
      </c>
      <c r="Y406">
        <v>0</v>
      </c>
      <c r="Z406">
        <v>0</v>
      </c>
      <c r="AA406">
        <v>0</v>
      </c>
      <c r="AB406">
        <v>0</v>
      </c>
      <c r="AC406">
        <v>1</v>
      </c>
      <c r="AD406">
        <v>0</v>
      </c>
      <c r="AE406">
        <v>0</v>
      </c>
      <c r="AF406">
        <v>1</v>
      </c>
      <c r="AG406">
        <v>0</v>
      </c>
      <c r="AH406">
        <v>0</v>
      </c>
      <c r="AI406">
        <v>0</v>
      </c>
      <c r="AJ406">
        <v>0</v>
      </c>
      <c r="AK406">
        <v>0</v>
      </c>
      <c r="AL406">
        <v>0</v>
      </c>
      <c r="AM406">
        <v>0</v>
      </c>
      <c r="AN406">
        <v>0</v>
      </c>
      <c r="AO406">
        <v>0</v>
      </c>
      <c r="AP406">
        <v>0</v>
      </c>
      <c r="AQ406">
        <v>0</v>
      </c>
      <c r="AR406">
        <v>0</v>
      </c>
      <c r="AS406">
        <v>0</v>
      </c>
      <c r="AT406">
        <v>0</v>
      </c>
      <c r="AU406">
        <v>0</v>
      </c>
      <c r="AV406">
        <v>0</v>
      </c>
    </row>
    <row r="407" spans="1:48" ht="15.75" customHeight="1" x14ac:dyDescent="0.25"/>
    <row r="408" spans="1:48" ht="15.75" customHeight="1" x14ac:dyDescent="0.25">
      <c r="A408" t="s">
        <v>417</v>
      </c>
    </row>
    <row r="409" spans="1:48" ht="15.75" customHeight="1" x14ac:dyDescent="0.25">
      <c r="A409" t="s">
        <v>217</v>
      </c>
      <c r="B409" t="s">
        <v>42</v>
      </c>
      <c r="C409" t="s">
        <v>132</v>
      </c>
      <c r="D409" t="s">
        <v>418</v>
      </c>
      <c r="E409" t="s">
        <v>419</v>
      </c>
    </row>
    <row r="410" spans="1:48" ht="15.75" customHeight="1" x14ac:dyDescent="0.25">
      <c r="A410">
        <v>1991</v>
      </c>
      <c r="B410">
        <v>1</v>
      </c>
      <c r="C410">
        <v>1</v>
      </c>
      <c r="D410">
        <v>1</v>
      </c>
      <c r="E410">
        <v>0</v>
      </c>
    </row>
    <row r="411" spans="1:48" ht="15.75" customHeight="1" x14ac:dyDescent="0.25">
      <c r="A411">
        <v>1991</v>
      </c>
      <c r="B411">
        <v>1</v>
      </c>
      <c r="C411">
        <v>2</v>
      </c>
      <c r="D411">
        <v>1</v>
      </c>
      <c r="E411">
        <v>0</v>
      </c>
    </row>
    <row r="412" spans="1:48" ht="15.75" customHeight="1" x14ac:dyDescent="0.25">
      <c r="A412">
        <v>1991</v>
      </c>
      <c r="B412">
        <v>2</v>
      </c>
      <c r="C412">
        <v>1</v>
      </c>
      <c r="D412">
        <v>1</v>
      </c>
      <c r="E412">
        <v>0</v>
      </c>
    </row>
    <row r="413" spans="1:48" ht="15.75" customHeight="1" x14ac:dyDescent="0.25">
      <c r="A413">
        <v>1991</v>
      </c>
      <c r="B413">
        <v>2</v>
      </c>
      <c r="C413">
        <v>2</v>
      </c>
      <c r="D413">
        <v>1</v>
      </c>
      <c r="E413">
        <v>0</v>
      </c>
    </row>
    <row r="414" spans="1:48" ht="15.75" customHeight="1" x14ac:dyDescent="0.25">
      <c r="A414">
        <v>1991</v>
      </c>
      <c r="B414">
        <v>3</v>
      </c>
      <c r="C414">
        <v>1</v>
      </c>
      <c r="D414">
        <v>1</v>
      </c>
      <c r="E414">
        <v>0</v>
      </c>
    </row>
    <row r="415" spans="1:48" ht="15.75" customHeight="1" x14ac:dyDescent="0.25">
      <c r="A415">
        <v>1991</v>
      </c>
      <c r="B415">
        <v>3</v>
      </c>
      <c r="C415">
        <v>2</v>
      </c>
      <c r="D415">
        <v>1</v>
      </c>
      <c r="E415">
        <v>0</v>
      </c>
    </row>
    <row r="416" spans="1:48" ht="15.75" customHeight="1" x14ac:dyDescent="0.25">
      <c r="A416">
        <v>1991</v>
      </c>
      <c r="B416">
        <v>4</v>
      </c>
      <c r="C416">
        <v>1</v>
      </c>
      <c r="D416">
        <v>1</v>
      </c>
      <c r="E416">
        <v>0</v>
      </c>
    </row>
    <row r="417" spans="1:5" ht="15.75" customHeight="1" x14ac:dyDescent="0.25">
      <c r="A417">
        <v>1991</v>
      </c>
      <c r="B417">
        <v>4</v>
      </c>
      <c r="C417">
        <v>2</v>
      </c>
      <c r="D417">
        <v>1</v>
      </c>
      <c r="E417">
        <v>0</v>
      </c>
    </row>
    <row r="418" spans="1:5" ht="15.75" customHeight="1" x14ac:dyDescent="0.25">
      <c r="A418">
        <v>1991</v>
      </c>
      <c r="B418">
        <v>5</v>
      </c>
      <c r="C418">
        <v>1</v>
      </c>
      <c r="D418">
        <v>1</v>
      </c>
      <c r="E418">
        <v>0</v>
      </c>
    </row>
    <row r="419" spans="1:5" ht="15.75" customHeight="1" x14ac:dyDescent="0.25">
      <c r="A419">
        <v>1991</v>
      </c>
      <c r="B419">
        <v>5</v>
      </c>
      <c r="C419">
        <v>2</v>
      </c>
      <c r="D419">
        <v>1</v>
      </c>
      <c r="E419">
        <v>0</v>
      </c>
    </row>
    <row r="420" spans="1:5" ht="15.75" customHeight="1" x14ac:dyDescent="0.25">
      <c r="A420">
        <v>1991</v>
      </c>
      <c r="B420">
        <v>6</v>
      </c>
      <c r="C420">
        <v>1</v>
      </c>
      <c r="D420">
        <v>1</v>
      </c>
      <c r="E420">
        <v>0</v>
      </c>
    </row>
    <row r="421" spans="1:5" ht="15.75" customHeight="1" x14ac:dyDescent="0.25">
      <c r="A421">
        <v>1991</v>
      </c>
      <c r="B421">
        <v>6</v>
      </c>
      <c r="C421">
        <v>2</v>
      </c>
      <c r="D421">
        <v>1</v>
      </c>
      <c r="E421">
        <v>0</v>
      </c>
    </row>
    <row r="422" spans="1:5" ht="15.75" customHeight="1" x14ac:dyDescent="0.25">
      <c r="A422">
        <v>1992</v>
      </c>
      <c r="B422">
        <v>1</v>
      </c>
      <c r="C422">
        <v>1</v>
      </c>
      <c r="D422">
        <v>1</v>
      </c>
      <c r="E422">
        <v>0</v>
      </c>
    </row>
    <row r="423" spans="1:5" ht="15.75" customHeight="1" x14ac:dyDescent="0.25">
      <c r="A423">
        <v>1992</v>
      </c>
      <c r="B423">
        <v>1</v>
      </c>
      <c r="C423">
        <v>2</v>
      </c>
      <c r="D423">
        <v>1</v>
      </c>
      <c r="E423">
        <v>0</v>
      </c>
    </row>
    <row r="424" spans="1:5" ht="15.75" customHeight="1" x14ac:dyDescent="0.25">
      <c r="A424">
        <v>1992</v>
      </c>
      <c r="B424">
        <v>2</v>
      </c>
      <c r="C424">
        <v>1</v>
      </c>
      <c r="D424">
        <v>1</v>
      </c>
      <c r="E424">
        <v>0</v>
      </c>
    </row>
    <row r="425" spans="1:5" ht="15.75" customHeight="1" x14ac:dyDescent="0.25">
      <c r="A425">
        <v>1992</v>
      </c>
      <c r="B425">
        <v>2</v>
      </c>
      <c r="C425">
        <v>2</v>
      </c>
      <c r="D425">
        <v>1</v>
      </c>
      <c r="E425">
        <v>0</v>
      </c>
    </row>
    <row r="426" spans="1:5" ht="15.75" customHeight="1" x14ac:dyDescent="0.25">
      <c r="A426">
        <v>1992</v>
      </c>
      <c r="B426">
        <v>3</v>
      </c>
      <c r="C426">
        <v>1</v>
      </c>
      <c r="D426">
        <v>1</v>
      </c>
      <c r="E426">
        <v>0</v>
      </c>
    </row>
    <row r="427" spans="1:5" ht="15.75" customHeight="1" x14ac:dyDescent="0.25">
      <c r="A427">
        <v>1992</v>
      </c>
      <c r="B427">
        <v>3</v>
      </c>
      <c r="C427">
        <v>2</v>
      </c>
      <c r="D427">
        <v>1</v>
      </c>
      <c r="E427">
        <v>0</v>
      </c>
    </row>
    <row r="428" spans="1:5" ht="15.75" customHeight="1" x14ac:dyDescent="0.25">
      <c r="A428">
        <v>1992</v>
      </c>
      <c r="B428">
        <v>4</v>
      </c>
      <c r="C428">
        <v>1</v>
      </c>
      <c r="D428">
        <v>1</v>
      </c>
      <c r="E428">
        <v>0</v>
      </c>
    </row>
    <row r="429" spans="1:5" ht="15.75" customHeight="1" x14ac:dyDescent="0.25">
      <c r="A429">
        <v>1992</v>
      </c>
      <c r="B429">
        <v>4</v>
      </c>
      <c r="C429">
        <v>2</v>
      </c>
      <c r="D429">
        <v>1</v>
      </c>
      <c r="E429">
        <v>0</v>
      </c>
    </row>
    <row r="430" spans="1:5" ht="15.75" customHeight="1" x14ac:dyDescent="0.25">
      <c r="A430">
        <v>1992</v>
      </c>
      <c r="B430">
        <v>5</v>
      </c>
      <c r="C430">
        <v>1</v>
      </c>
      <c r="D430">
        <v>1</v>
      </c>
      <c r="E430">
        <v>0</v>
      </c>
    </row>
    <row r="431" spans="1:5" ht="15.75" customHeight="1" x14ac:dyDescent="0.25">
      <c r="A431">
        <v>1992</v>
      </c>
      <c r="B431">
        <v>5</v>
      </c>
      <c r="C431">
        <v>2</v>
      </c>
      <c r="D431">
        <v>1</v>
      </c>
      <c r="E431">
        <v>0</v>
      </c>
    </row>
    <row r="432" spans="1:5" ht="15.75" customHeight="1" x14ac:dyDescent="0.25">
      <c r="A432">
        <v>1992</v>
      </c>
      <c r="B432">
        <v>6</v>
      </c>
      <c r="C432">
        <v>1</v>
      </c>
      <c r="D432">
        <v>1</v>
      </c>
      <c r="E432">
        <v>0</v>
      </c>
    </row>
    <row r="433" spans="1:5" ht="15.75" customHeight="1" x14ac:dyDescent="0.25">
      <c r="A433">
        <v>1992</v>
      </c>
      <c r="B433">
        <v>6</v>
      </c>
      <c r="C433">
        <v>2</v>
      </c>
      <c r="D433">
        <v>1</v>
      </c>
      <c r="E433">
        <v>0</v>
      </c>
    </row>
    <row r="434" spans="1:5" ht="15.75" customHeight="1" x14ac:dyDescent="0.25">
      <c r="A434">
        <v>1993</v>
      </c>
      <c r="B434">
        <v>1</v>
      </c>
      <c r="C434">
        <v>1</v>
      </c>
      <c r="D434">
        <v>1</v>
      </c>
      <c r="E434">
        <v>0</v>
      </c>
    </row>
    <row r="435" spans="1:5" ht="15.75" customHeight="1" x14ac:dyDescent="0.25">
      <c r="A435">
        <v>1993</v>
      </c>
      <c r="B435">
        <v>1</v>
      </c>
      <c r="C435">
        <v>2</v>
      </c>
      <c r="D435">
        <v>1</v>
      </c>
      <c r="E435">
        <v>0</v>
      </c>
    </row>
    <row r="436" spans="1:5" ht="15.75" customHeight="1" x14ac:dyDescent="0.25">
      <c r="A436">
        <v>1993</v>
      </c>
      <c r="B436">
        <v>2</v>
      </c>
      <c r="C436">
        <v>1</v>
      </c>
      <c r="D436">
        <v>1</v>
      </c>
      <c r="E436">
        <v>0</v>
      </c>
    </row>
    <row r="437" spans="1:5" ht="15.75" customHeight="1" x14ac:dyDescent="0.25">
      <c r="A437">
        <v>1993</v>
      </c>
      <c r="B437">
        <v>2</v>
      </c>
      <c r="C437">
        <v>2</v>
      </c>
      <c r="D437">
        <v>1</v>
      </c>
      <c r="E437">
        <v>0</v>
      </c>
    </row>
    <row r="438" spans="1:5" ht="15.75" customHeight="1" x14ac:dyDescent="0.25">
      <c r="A438">
        <v>1993</v>
      </c>
      <c r="B438">
        <v>3</v>
      </c>
      <c r="C438">
        <v>1</v>
      </c>
      <c r="D438">
        <v>1</v>
      </c>
      <c r="E438">
        <v>0</v>
      </c>
    </row>
    <row r="439" spans="1:5" ht="15.75" customHeight="1" x14ac:dyDescent="0.25">
      <c r="A439">
        <v>1993</v>
      </c>
      <c r="B439">
        <v>3</v>
      </c>
      <c r="C439">
        <v>2</v>
      </c>
      <c r="D439">
        <v>1</v>
      </c>
      <c r="E439">
        <v>0</v>
      </c>
    </row>
    <row r="440" spans="1:5" ht="15.75" customHeight="1" x14ac:dyDescent="0.25">
      <c r="A440">
        <v>1993</v>
      </c>
      <c r="B440">
        <v>4</v>
      </c>
      <c r="C440">
        <v>1</v>
      </c>
      <c r="D440">
        <v>1</v>
      </c>
      <c r="E440">
        <v>0</v>
      </c>
    </row>
    <row r="441" spans="1:5" ht="15.75" customHeight="1" x14ac:dyDescent="0.25">
      <c r="A441">
        <v>1993</v>
      </c>
      <c r="B441">
        <v>4</v>
      </c>
      <c r="C441">
        <v>2</v>
      </c>
      <c r="D441">
        <v>1</v>
      </c>
      <c r="E441">
        <v>0</v>
      </c>
    </row>
    <row r="442" spans="1:5" ht="15.75" customHeight="1" x14ac:dyDescent="0.25">
      <c r="A442">
        <v>1993</v>
      </c>
      <c r="B442">
        <v>5</v>
      </c>
      <c r="C442">
        <v>1</v>
      </c>
      <c r="D442">
        <v>1</v>
      </c>
      <c r="E442">
        <v>0</v>
      </c>
    </row>
    <row r="443" spans="1:5" ht="15.75" customHeight="1" x14ac:dyDescent="0.25">
      <c r="A443">
        <v>1993</v>
      </c>
      <c r="B443">
        <v>5</v>
      </c>
      <c r="C443">
        <v>2</v>
      </c>
      <c r="D443">
        <v>1</v>
      </c>
      <c r="E443">
        <v>0</v>
      </c>
    </row>
    <row r="444" spans="1:5" ht="15.75" customHeight="1" x14ac:dyDescent="0.25">
      <c r="A444">
        <v>1993</v>
      </c>
      <c r="B444">
        <v>6</v>
      </c>
      <c r="C444">
        <v>1</v>
      </c>
      <c r="D444">
        <v>1</v>
      </c>
      <c r="E444">
        <v>0</v>
      </c>
    </row>
    <row r="445" spans="1:5" ht="15.75" customHeight="1" x14ac:dyDescent="0.25">
      <c r="A445">
        <v>1993</v>
      </c>
      <c r="B445">
        <v>6</v>
      </c>
      <c r="C445">
        <v>2</v>
      </c>
      <c r="D445">
        <v>1</v>
      </c>
      <c r="E445">
        <v>0</v>
      </c>
    </row>
    <row r="446" spans="1:5" ht="15.75" customHeight="1" x14ac:dyDescent="0.25">
      <c r="A446">
        <v>1994</v>
      </c>
      <c r="B446">
        <v>1</v>
      </c>
      <c r="C446">
        <v>1</v>
      </c>
      <c r="D446">
        <v>1</v>
      </c>
      <c r="E446">
        <v>0</v>
      </c>
    </row>
    <row r="447" spans="1:5" ht="15.75" customHeight="1" x14ac:dyDescent="0.25">
      <c r="A447">
        <v>1994</v>
      </c>
      <c r="B447">
        <v>1</v>
      </c>
      <c r="C447">
        <v>2</v>
      </c>
      <c r="D447">
        <v>1</v>
      </c>
      <c r="E447">
        <v>0</v>
      </c>
    </row>
    <row r="448" spans="1:5" ht="15.75" customHeight="1" x14ac:dyDescent="0.25">
      <c r="A448">
        <v>1994</v>
      </c>
      <c r="B448">
        <v>2</v>
      </c>
      <c r="C448">
        <v>1</v>
      </c>
      <c r="D448">
        <v>1</v>
      </c>
      <c r="E448">
        <v>0</v>
      </c>
    </row>
    <row r="449" spans="1:5" ht="15.75" customHeight="1" x14ac:dyDescent="0.25">
      <c r="A449">
        <v>1994</v>
      </c>
      <c r="B449">
        <v>2</v>
      </c>
      <c r="C449">
        <v>2</v>
      </c>
      <c r="D449">
        <v>1</v>
      </c>
      <c r="E449">
        <v>0</v>
      </c>
    </row>
    <row r="450" spans="1:5" ht="15.75" customHeight="1" x14ac:dyDescent="0.25">
      <c r="A450">
        <v>1994</v>
      </c>
      <c r="B450">
        <v>3</v>
      </c>
      <c r="C450">
        <v>1</v>
      </c>
      <c r="D450">
        <v>1</v>
      </c>
      <c r="E450">
        <v>0</v>
      </c>
    </row>
    <row r="451" spans="1:5" ht="15.75" customHeight="1" x14ac:dyDescent="0.25">
      <c r="A451">
        <v>1994</v>
      </c>
      <c r="B451">
        <v>3</v>
      </c>
      <c r="C451">
        <v>2</v>
      </c>
      <c r="D451">
        <v>1</v>
      </c>
      <c r="E451">
        <v>0</v>
      </c>
    </row>
    <row r="452" spans="1:5" ht="15.75" customHeight="1" x14ac:dyDescent="0.25">
      <c r="A452">
        <v>1994</v>
      </c>
      <c r="B452">
        <v>4</v>
      </c>
      <c r="C452">
        <v>1</v>
      </c>
      <c r="D452">
        <v>1</v>
      </c>
      <c r="E452">
        <v>0</v>
      </c>
    </row>
    <row r="453" spans="1:5" ht="15.75" customHeight="1" x14ac:dyDescent="0.25">
      <c r="A453">
        <v>1994</v>
      </c>
      <c r="B453">
        <v>4</v>
      </c>
      <c r="C453">
        <v>2</v>
      </c>
      <c r="D453">
        <v>1</v>
      </c>
      <c r="E453">
        <v>0</v>
      </c>
    </row>
    <row r="454" spans="1:5" ht="15.75" customHeight="1" x14ac:dyDescent="0.25">
      <c r="A454">
        <v>1994</v>
      </c>
      <c r="B454">
        <v>5</v>
      </c>
      <c r="C454">
        <v>1</v>
      </c>
      <c r="D454">
        <v>1</v>
      </c>
      <c r="E454">
        <v>0</v>
      </c>
    </row>
    <row r="455" spans="1:5" ht="15.75" customHeight="1" x14ac:dyDescent="0.25">
      <c r="A455">
        <v>1994</v>
      </c>
      <c r="B455">
        <v>5</v>
      </c>
      <c r="C455">
        <v>2</v>
      </c>
      <c r="D455">
        <v>1</v>
      </c>
      <c r="E455">
        <v>0</v>
      </c>
    </row>
    <row r="456" spans="1:5" ht="15.75" customHeight="1" x14ac:dyDescent="0.25">
      <c r="A456">
        <v>1994</v>
      </c>
      <c r="B456">
        <v>6</v>
      </c>
      <c r="C456">
        <v>1</v>
      </c>
      <c r="D456">
        <v>1</v>
      </c>
      <c r="E456">
        <v>0</v>
      </c>
    </row>
    <row r="457" spans="1:5" ht="15.75" customHeight="1" x14ac:dyDescent="0.25">
      <c r="A457">
        <v>1994</v>
      </c>
      <c r="B457">
        <v>6</v>
      </c>
      <c r="C457">
        <v>2</v>
      </c>
      <c r="D457">
        <v>1</v>
      </c>
      <c r="E457">
        <v>0</v>
      </c>
    </row>
    <row r="458" spans="1:5" ht="15.75" customHeight="1" x14ac:dyDescent="0.25">
      <c r="A458">
        <v>1995</v>
      </c>
      <c r="B458">
        <v>1</v>
      </c>
      <c r="C458">
        <v>1</v>
      </c>
      <c r="D458">
        <v>1</v>
      </c>
      <c r="E458">
        <v>0</v>
      </c>
    </row>
    <row r="459" spans="1:5" ht="15.75" customHeight="1" x14ac:dyDescent="0.25">
      <c r="A459">
        <v>1995</v>
      </c>
      <c r="B459">
        <v>1</v>
      </c>
      <c r="C459">
        <v>2</v>
      </c>
      <c r="D459">
        <v>1</v>
      </c>
      <c r="E459">
        <v>0</v>
      </c>
    </row>
    <row r="460" spans="1:5" ht="15.75" customHeight="1" x14ac:dyDescent="0.25">
      <c r="A460">
        <v>1995</v>
      </c>
      <c r="B460">
        <v>2</v>
      </c>
      <c r="C460">
        <v>1</v>
      </c>
      <c r="D460">
        <v>1</v>
      </c>
      <c r="E460">
        <v>0</v>
      </c>
    </row>
    <row r="461" spans="1:5" ht="15.75" customHeight="1" x14ac:dyDescent="0.25">
      <c r="A461">
        <v>1995</v>
      </c>
      <c r="B461">
        <v>2</v>
      </c>
      <c r="C461">
        <v>2</v>
      </c>
      <c r="D461">
        <v>1</v>
      </c>
      <c r="E461">
        <v>0</v>
      </c>
    </row>
    <row r="462" spans="1:5" ht="15.75" customHeight="1" x14ac:dyDescent="0.25">
      <c r="A462">
        <v>1995</v>
      </c>
      <c r="B462">
        <v>3</v>
      </c>
      <c r="C462">
        <v>1</v>
      </c>
      <c r="D462">
        <v>1</v>
      </c>
      <c r="E462">
        <v>0</v>
      </c>
    </row>
    <row r="463" spans="1:5" ht="15.75" customHeight="1" x14ac:dyDescent="0.25">
      <c r="A463">
        <v>1995</v>
      </c>
      <c r="B463">
        <v>3</v>
      </c>
      <c r="C463">
        <v>2</v>
      </c>
      <c r="D463">
        <v>1</v>
      </c>
      <c r="E463">
        <v>0</v>
      </c>
    </row>
    <row r="464" spans="1:5" ht="15.75" customHeight="1" x14ac:dyDescent="0.25">
      <c r="A464">
        <v>1995</v>
      </c>
      <c r="B464">
        <v>4</v>
      </c>
      <c r="C464">
        <v>1</v>
      </c>
      <c r="D464">
        <v>1</v>
      </c>
      <c r="E464">
        <v>0</v>
      </c>
    </row>
    <row r="465" spans="1:5" ht="15.75" customHeight="1" x14ac:dyDescent="0.25">
      <c r="A465">
        <v>1995</v>
      </c>
      <c r="B465">
        <v>4</v>
      </c>
      <c r="C465">
        <v>2</v>
      </c>
      <c r="D465">
        <v>1</v>
      </c>
      <c r="E465">
        <v>0</v>
      </c>
    </row>
    <row r="466" spans="1:5" ht="15.75" customHeight="1" x14ac:dyDescent="0.25">
      <c r="A466">
        <v>1995</v>
      </c>
      <c r="B466">
        <v>5</v>
      </c>
      <c r="C466">
        <v>1</v>
      </c>
      <c r="D466">
        <v>1</v>
      </c>
      <c r="E466">
        <v>0</v>
      </c>
    </row>
    <row r="467" spans="1:5" ht="15.75" customHeight="1" x14ac:dyDescent="0.25">
      <c r="A467">
        <v>1995</v>
      </c>
      <c r="B467">
        <v>5</v>
      </c>
      <c r="C467">
        <v>2</v>
      </c>
      <c r="D467">
        <v>1</v>
      </c>
      <c r="E467">
        <v>0</v>
      </c>
    </row>
    <row r="468" spans="1:5" ht="15.75" customHeight="1" x14ac:dyDescent="0.25">
      <c r="A468">
        <v>1995</v>
      </c>
      <c r="B468">
        <v>6</v>
      </c>
      <c r="C468">
        <v>1</v>
      </c>
      <c r="D468">
        <v>1</v>
      </c>
      <c r="E468">
        <v>0</v>
      </c>
    </row>
    <row r="469" spans="1:5" ht="15.75" customHeight="1" x14ac:dyDescent="0.25">
      <c r="A469">
        <v>1995</v>
      </c>
      <c r="B469">
        <v>6</v>
      </c>
      <c r="C469">
        <v>2</v>
      </c>
      <c r="D469">
        <v>1</v>
      </c>
      <c r="E469">
        <v>0</v>
      </c>
    </row>
    <row r="470" spans="1:5" ht="15.75" customHeight="1" x14ac:dyDescent="0.25">
      <c r="A470">
        <v>1996</v>
      </c>
      <c r="B470">
        <v>1</v>
      </c>
      <c r="C470">
        <v>1</v>
      </c>
      <c r="D470">
        <v>1</v>
      </c>
      <c r="E470">
        <v>0</v>
      </c>
    </row>
    <row r="471" spans="1:5" ht="15.75" customHeight="1" x14ac:dyDescent="0.25">
      <c r="A471">
        <v>1996</v>
      </c>
      <c r="B471">
        <v>1</v>
      </c>
      <c r="C471">
        <v>2</v>
      </c>
      <c r="D471">
        <v>1</v>
      </c>
      <c r="E471">
        <v>0</v>
      </c>
    </row>
    <row r="472" spans="1:5" ht="15.75" customHeight="1" x14ac:dyDescent="0.25">
      <c r="A472">
        <v>1996</v>
      </c>
      <c r="B472">
        <v>2</v>
      </c>
      <c r="C472">
        <v>1</v>
      </c>
      <c r="D472">
        <v>1</v>
      </c>
      <c r="E472">
        <v>0</v>
      </c>
    </row>
    <row r="473" spans="1:5" ht="15.75" customHeight="1" x14ac:dyDescent="0.25">
      <c r="A473">
        <v>1996</v>
      </c>
      <c r="B473">
        <v>2</v>
      </c>
      <c r="C473">
        <v>2</v>
      </c>
      <c r="D473">
        <v>1</v>
      </c>
      <c r="E473">
        <v>0</v>
      </c>
    </row>
    <row r="474" spans="1:5" ht="15.75" customHeight="1" x14ac:dyDescent="0.25">
      <c r="A474">
        <v>1996</v>
      </c>
      <c r="B474">
        <v>3</v>
      </c>
      <c r="C474">
        <v>1</v>
      </c>
      <c r="D474">
        <v>1</v>
      </c>
      <c r="E474">
        <v>0</v>
      </c>
    </row>
    <row r="475" spans="1:5" ht="15.75" customHeight="1" x14ac:dyDescent="0.25">
      <c r="A475">
        <v>1996</v>
      </c>
      <c r="B475">
        <v>3</v>
      </c>
      <c r="C475">
        <v>2</v>
      </c>
      <c r="D475">
        <v>1</v>
      </c>
      <c r="E475">
        <v>0</v>
      </c>
    </row>
    <row r="476" spans="1:5" ht="15.75" customHeight="1" x14ac:dyDescent="0.25">
      <c r="A476">
        <v>1996</v>
      </c>
      <c r="B476">
        <v>4</v>
      </c>
      <c r="C476">
        <v>1</v>
      </c>
      <c r="D476">
        <v>1</v>
      </c>
      <c r="E476">
        <v>0</v>
      </c>
    </row>
    <row r="477" spans="1:5" ht="15.75" customHeight="1" x14ac:dyDescent="0.25">
      <c r="A477">
        <v>1996</v>
      </c>
      <c r="B477">
        <v>4</v>
      </c>
      <c r="C477">
        <v>2</v>
      </c>
      <c r="D477">
        <v>1</v>
      </c>
      <c r="E477">
        <v>0</v>
      </c>
    </row>
    <row r="478" spans="1:5" ht="15.75" customHeight="1" x14ac:dyDescent="0.25">
      <c r="A478">
        <v>1996</v>
      </c>
      <c r="B478">
        <v>5</v>
      </c>
      <c r="C478">
        <v>1</v>
      </c>
      <c r="D478">
        <v>1</v>
      </c>
      <c r="E478">
        <v>0</v>
      </c>
    </row>
    <row r="479" spans="1:5" ht="15.75" customHeight="1" x14ac:dyDescent="0.25">
      <c r="A479">
        <v>1996</v>
      </c>
      <c r="B479">
        <v>5</v>
      </c>
      <c r="C479">
        <v>2</v>
      </c>
      <c r="D479">
        <v>1</v>
      </c>
      <c r="E479">
        <v>0</v>
      </c>
    </row>
    <row r="480" spans="1:5" ht="15.75" customHeight="1" x14ac:dyDescent="0.25">
      <c r="A480">
        <v>1996</v>
      </c>
      <c r="B480">
        <v>6</v>
      </c>
      <c r="C480">
        <v>1</v>
      </c>
      <c r="D480">
        <v>1</v>
      </c>
      <c r="E480">
        <v>0</v>
      </c>
    </row>
    <row r="481" spans="1:5" ht="15.75" customHeight="1" x14ac:dyDescent="0.25">
      <c r="A481">
        <v>1996</v>
      </c>
      <c r="B481">
        <v>6</v>
      </c>
      <c r="C481">
        <v>2</v>
      </c>
      <c r="D481">
        <v>1</v>
      </c>
      <c r="E481">
        <v>0</v>
      </c>
    </row>
    <row r="482" spans="1:5" ht="15.75" customHeight="1" x14ac:dyDescent="0.25">
      <c r="A482">
        <v>1997</v>
      </c>
      <c r="B482">
        <v>1</v>
      </c>
      <c r="C482">
        <v>1</v>
      </c>
      <c r="D482">
        <v>1</v>
      </c>
      <c r="E482">
        <v>0</v>
      </c>
    </row>
    <row r="483" spans="1:5" ht="15.75" customHeight="1" x14ac:dyDescent="0.25">
      <c r="A483">
        <v>1997</v>
      </c>
      <c r="B483">
        <v>1</v>
      </c>
      <c r="C483">
        <v>2</v>
      </c>
      <c r="D483">
        <v>1</v>
      </c>
      <c r="E483">
        <v>0</v>
      </c>
    </row>
    <row r="484" spans="1:5" ht="15.75" customHeight="1" x14ac:dyDescent="0.25">
      <c r="A484">
        <v>1997</v>
      </c>
      <c r="B484">
        <v>2</v>
      </c>
      <c r="C484">
        <v>1</v>
      </c>
      <c r="D484">
        <v>1</v>
      </c>
      <c r="E484">
        <v>0</v>
      </c>
    </row>
    <row r="485" spans="1:5" ht="15.75" customHeight="1" x14ac:dyDescent="0.25">
      <c r="A485">
        <v>1997</v>
      </c>
      <c r="B485">
        <v>2</v>
      </c>
      <c r="C485">
        <v>2</v>
      </c>
      <c r="D485">
        <v>1</v>
      </c>
      <c r="E485">
        <v>0</v>
      </c>
    </row>
    <row r="486" spans="1:5" ht="15.75" customHeight="1" x14ac:dyDescent="0.25">
      <c r="A486">
        <v>1997</v>
      </c>
      <c r="B486">
        <v>3</v>
      </c>
      <c r="C486">
        <v>1</v>
      </c>
      <c r="D486">
        <v>1</v>
      </c>
      <c r="E486">
        <v>0</v>
      </c>
    </row>
    <row r="487" spans="1:5" ht="15.75" customHeight="1" x14ac:dyDescent="0.25">
      <c r="A487">
        <v>1997</v>
      </c>
      <c r="B487">
        <v>3</v>
      </c>
      <c r="C487">
        <v>2</v>
      </c>
      <c r="D487">
        <v>1</v>
      </c>
      <c r="E487">
        <v>0</v>
      </c>
    </row>
    <row r="488" spans="1:5" ht="15.75" customHeight="1" x14ac:dyDescent="0.25">
      <c r="A488">
        <v>1997</v>
      </c>
      <c r="B488">
        <v>4</v>
      </c>
      <c r="C488">
        <v>1</v>
      </c>
      <c r="D488">
        <v>1</v>
      </c>
      <c r="E488">
        <v>0</v>
      </c>
    </row>
    <row r="489" spans="1:5" ht="15.75" customHeight="1" x14ac:dyDescent="0.25">
      <c r="A489">
        <v>1997</v>
      </c>
      <c r="B489">
        <v>4</v>
      </c>
      <c r="C489">
        <v>2</v>
      </c>
      <c r="D489">
        <v>1</v>
      </c>
      <c r="E489">
        <v>0</v>
      </c>
    </row>
    <row r="490" spans="1:5" ht="15.75" customHeight="1" x14ac:dyDescent="0.25">
      <c r="A490">
        <v>1997</v>
      </c>
      <c r="B490">
        <v>5</v>
      </c>
      <c r="C490">
        <v>1</v>
      </c>
      <c r="D490">
        <v>1</v>
      </c>
      <c r="E490">
        <v>0</v>
      </c>
    </row>
    <row r="491" spans="1:5" ht="15.75" customHeight="1" x14ac:dyDescent="0.25">
      <c r="A491">
        <v>1997</v>
      </c>
      <c r="B491">
        <v>5</v>
      </c>
      <c r="C491">
        <v>2</v>
      </c>
      <c r="D491">
        <v>1</v>
      </c>
      <c r="E491">
        <v>0</v>
      </c>
    </row>
    <row r="492" spans="1:5" ht="15.75" customHeight="1" x14ac:dyDescent="0.25">
      <c r="A492">
        <v>1997</v>
      </c>
      <c r="B492">
        <v>6</v>
      </c>
      <c r="C492">
        <v>1</v>
      </c>
      <c r="D492">
        <v>1</v>
      </c>
      <c r="E492">
        <v>0</v>
      </c>
    </row>
    <row r="493" spans="1:5" ht="15.75" customHeight="1" x14ac:dyDescent="0.25">
      <c r="A493">
        <v>1997</v>
      </c>
      <c r="B493">
        <v>6</v>
      </c>
      <c r="C493">
        <v>2</v>
      </c>
      <c r="D493">
        <v>1</v>
      </c>
      <c r="E493">
        <v>0</v>
      </c>
    </row>
    <row r="494" spans="1:5" ht="15.75" customHeight="1" x14ac:dyDescent="0.25">
      <c r="A494">
        <v>1998</v>
      </c>
      <c r="B494">
        <v>1</v>
      </c>
      <c r="C494">
        <v>1</v>
      </c>
      <c r="D494">
        <v>1</v>
      </c>
      <c r="E494">
        <v>0</v>
      </c>
    </row>
    <row r="495" spans="1:5" ht="15.75" customHeight="1" x14ac:dyDescent="0.25">
      <c r="A495">
        <v>1998</v>
      </c>
      <c r="B495">
        <v>1</v>
      </c>
      <c r="C495">
        <v>2</v>
      </c>
      <c r="D495">
        <v>1</v>
      </c>
      <c r="E495">
        <v>0</v>
      </c>
    </row>
    <row r="496" spans="1:5" ht="15.75" customHeight="1" x14ac:dyDescent="0.25">
      <c r="A496">
        <v>1998</v>
      </c>
      <c r="B496">
        <v>2</v>
      </c>
      <c r="C496">
        <v>1</v>
      </c>
      <c r="D496">
        <v>1</v>
      </c>
      <c r="E496">
        <v>0</v>
      </c>
    </row>
    <row r="497" spans="1:5" ht="15.75" customHeight="1" x14ac:dyDescent="0.25">
      <c r="A497">
        <v>1998</v>
      </c>
      <c r="B497">
        <v>2</v>
      </c>
      <c r="C497">
        <v>2</v>
      </c>
      <c r="D497">
        <v>1</v>
      </c>
      <c r="E497">
        <v>0</v>
      </c>
    </row>
    <row r="498" spans="1:5" ht="15.75" customHeight="1" x14ac:dyDescent="0.25">
      <c r="A498">
        <v>1998</v>
      </c>
      <c r="B498">
        <v>3</v>
      </c>
      <c r="C498">
        <v>1</v>
      </c>
      <c r="D498">
        <v>1</v>
      </c>
      <c r="E498">
        <v>0</v>
      </c>
    </row>
    <row r="499" spans="1:5" ht="15.75" customHeight="1" x14ac:dyDescent="0.25">
      <c r="A499">
        <v>1998</v>
      </c>
      <c r="B499">
        <v>3</v>
      </c>
      <c r="C499">
        <v>2</v>
      </c>
      <c r="D499">
        <v>1</v>
      </c>
      <c r="E499">
        <v>0</v>
      </c>
    </row>
    <row r="500" spans="1:5" ht="15.75" customHeight="1" x14ac:dyDescent="0.25">
      <c r="A500">
        <v>1998</v>
      </c>
      <c r="B500">
        <v>4</v>
      </c>
      <c r="C500">
        <v>1</v>
      </c>
      <c r="D500">
        <v>1</v>
      </c>
      <c r="E500">
        <v>0</v>
      </c>
    </row>
    <row r="501" spans="1:5" ht="15.75" customHeight="1" x14ac:dyDescent="0.25">
      <c r="A501">
        <v>1998</v>
      </c>
      <c r="B501">
        <v>4</v>
      </c>
      <c r="C501">
        <v>2</v>
      </c>
      <c r="D501">
        <v>1</v>
      </c>
      <c r="E501">
        <v>0</v>
      </c>
    </row>
    <row r="502" spans="1:5" ht="15.75" customHeight="1" x14ac:dyDescent="0.25">
      <c r="A502">
        <v>1998</v>
      </c>
      <c r="B502">
        <v>5</v>
      </c>
      <c r="C502">
        <v>1</v>
      </c>
      <c r="D502">
        <v>1</v>
      </c>
      <c r="E502">
        <v>0</v>
      </c>
    </row>
    <row r="503" spans="1:5" ht="15.75" customHeight="1" x14ac:dyDescent="0.25">
      <c r="A503">
        <v>1998</v>
      </c>
      <c r="B503">
        <v>5</v>
      </c>
      <c r="C503">
        <v>2</v>
      </c>
      <c r="D503">
        <v>1</v>
      </c>
      <c r="E503">
        <v>0</v>
      </c>
    </row>
    <row r="504" spans="1:5" ht="15.75" customHeight="1" x14ac:dyDescent="0.25">
      <c r="A504">
        <v>1998</v>
      </c>
      <c r="B504">
        <v>6</v>
      </c>
      <c r="C504">
        <v>1</v>
      </c>
      <c r="D504">
        <v>1</v>
      </c>
      <c r="E504">
        <v>0</v>
      </c>
    </row>
    <row r="505" spans="1:5" ht="15.75" customHeight="1" x14ac:dyDescent="0.25">
      <c r="A505">
        <v>1998</v>
      </c>
      <c r="B505">
        <v>6</v>
      </c>
      <c r="C505">
        <v>2</v>
      </c>
      <c r="D505">
        <v>1</v>
      </c>
      <c r="E505">
        <v>0</v>
      </c>
    </row>
    <row r="506" spans="1:5" ht="15.75" customHeight="1" x14ac:dyDescent="0.25">
      <c r="A506">
        <v>1999</v>
      </c>
      <c r="B506">
        <v>1</v>
      </c>
      <c r="C506">
        <v>1</v>
      </c>
      <c r="D506">
        <v>1</v>
      </c>
      <c r="E506">
        <v>0</v>
      </c>
    </row>
    <row r="507" spans="1:5" ht="15.75" customHeight="1" x14ac:dyDescent="0.25">
      <c r="A507">
        <v>1999</v>
      </c>
      <c r="B507">
        <v>1</v>
      </c>
      <c r="C507">
        <v>2</v>
      </c>
      <c r="D507">
        <v>1</v>
      </c>
      <c r="E507">
        <v>0</v>
      </c>
    </row>
    <row r="508" spans="1:5" ht="15.75" customHeight="1" x14ac:dyDescent="0.25">
      <c r="A508">
        <v>1999</v>
      </c>
      <c r="B508">
        <v>2</v>
      </c>
      <c r="C508">
        <v>1</v>
      </c>
      <c r="D508">
        <v>1</v>
      </c>
      <c r="E508">
        <v>0</v>
      </c>
    </row>
    <row r="509" spans="1:5" ht="15.75" customHeight="1" x14ac:dyDescent="0.25">
      <c r="A509">
        <v>1999</v>
      </c>
      <c r="B509">
        <v>2</v>
      </c>
      <c r="C509">
        <v>2</v>
      </c>
      <c r="D509">
        <v>1</v>
      </c>
      <c r="E509">
        <v>0</v>
      </c>
    </row>
    <row r="510" spans="1:5" ht="15.75" customHeight="1" x14ac:dyDescent="0.25">
      <c r="A510">
        <v>1999</v>
      </c>
      <c r="B510">
        <v>3</v>
      </c>
      <c r="C510">
        <v>1</v>
      </c>
      <c r="D510">
        <v>1</v>
      </c>
      <c r="E510">
        <v>0</v>
      </c>
    </row>
    <row r="511" spans="1:5" ht="15.75" customHeight="1" x14ac:dyDescent="0.25">
      <c r="A511">
        <v>1999</v>
      </c>
      <c r="B511">
        <v>3</v>
      </c>
      <c r="C511">
        <v>2</v>
      </c>
      <c r="D511">
        <v>1</v>
      </c>
      <c r="E511">
        <v>0</v>
      </c>
    </row>
    <row r="512" spans="1:5" ht="15.75" customHeight="1" x14ac:dyDescent="0.25">
      <c r="A512">
        <v>1999</v>
      </c>
      <c r="B512">
        <v>4</v>
      </c>
      <c r="C512">
        <v>1</v>
      </c>
      <c r="D512">
        <v>1</v>
      </c>
      <c r="E512">
        <v>0</v>
      </c>
    </row>
    <row r="513" spans="1:5" ht="15.75" customHeight="1" x14ac:dyDescent="0.25">
      <c r="A513">
        <v>1999</v>
      </c>
      <c r="B513">
        <v>4</v>
      </c>
      <c r="C513">
        <v>2</v>
      </c>
      <c r="D513">
        <v>1</v>
      </c>
      <c r="E513">
        <v>0</v>
      </c>
    </row>
    <row r="514" spans="1:5" ht="15.75" customHeight="1" x14ac:dyDescent="0.25">
      <c r="A514">
        <v>1999</v>
      </c>
      <c r="B514">
        <v>5</v>
      </c>
      <c r="C514">
        <v>1</v>
      </c>
      <c r="D514">
        <v>1</v>
      </c>
      <c r="E514">
        <v>0</v>
      </c>
    </row>
    <row r="515" spans="1:5" ht="15.75" customHeight="1" x14ac:dyDescent="0.25">
      <c r="A515">
        <v>1999</v>
      </c>
      <c r="B515">
        <v>5</v>
      </c>
      <c r="C515">
        <v>2</v>
      </c>
      <c r="D515">
        <v>1</v>
      </c>
      <c r="E515">
        <v>0</v>
      </c>
    </row>
    <row r="516" spans="1:5" ht="15.75" customHeight="1" x14ac:dyDescent="0.25">
      <c r="A516">
        <v>1999</v>
      </c>
      <c r="B516">
        <v>6</v>
      </c>
      <c r="C516">
        <v>1</v>
      </c>
      <c r="D516">
        <v>1</v>
      </c>
      <c r="E516">
        <v>0</v>
      </c>
    </row>
    <row r="517" spans="1:5" ht="15.75" customHeight="1" x14ac:dyDescent="0.25">
      <c r="A517">
        <v>1999</v>
      </c>
      <c r="B517">
        <v>6</v>
      </c>
      <c r="C517">
        <v>2</v>
      </c>
      <c r="D517">
        <v>1</v>
      </c>
      <c r="E517">
        <v>0</v>
      </c>
    </row>
    <row r="518" spans="1:5" ht="15.75" customHeight="1" x14ac:dyDescent="0.25">
      <c r="A518">
        <v>2000</v>
      </c>
      <c r="B518">
        <v>1</v>
      </c>
      <c r="C518">
        <v>1</v>
      </c>
      <c r="D518">
        <v>1</v>
      </c>
      <c r="E518">
        <v>0</v>
      </c>
    </row>
    <row r="519" spans="1:5" ht="15.75" customHeight="1" x14ac:dyDescent="0.25">
      <c r="A519">
        <v>2000</v>
      </c>
      <c r="B519">
        <v>1</v>
      </c>
      <c r="C519">
        <v>2</v>
      </c>
      <c r="D519">
        <v>1</v>
      </c>
      <c r="E519">
        <v>0</v>
      </c>
    </row>
    <row r="520" spans="1:5" ht="15.75" customHeight="1" x14ac:dyDescent="0.25">
      <c r="A520">
        <v>2000</v>
      </c>
      <c r="B520">
        <v>2</v>
      </c>
      <c r="C520">
        <v>1</v>
      </c>
      <c r="D520">
        <v>1</v>
      </c>
      <c r="E520">
        <v>0</v>
      </c>
    </row>
    <row r="521" spans="1:5" ht="15.75" customHeight="1" x14ac:dyDescent="0.25">
      <c r="A521">
        <v>2000</v>
      </c>
      <c r="B521">
        <v>2</v>
      </c>
      <c r="C521">
        <v>2</v>
      </c>
      <c r="D521">
        <v>1</v>
      </c>
      <c r="E521">
        <v>0</v>
      </c>
    </row>
    <row r="522" spans="1:5" ht="15.75" customHeight="1" x14ac:dyDescent="0.25">
      <c r="A522">
        <v>2000</v>
      </c>
      <c r="B522">
        <v>3</v>
      </c>
      <c r="C522">
        <v>1</v>
      </c>
      <c r="D522">
        <v>1</v>
      </c>
      <c r="E522">
        <v>0</v>
      </c>
    </row>
    <row r="523" spans="1:5" ht="15.75" customHeight="1" x14ac:dyDescent="0.25">
      <c r="A523">
        <v>2000</v>
      </c>
      <c r="B523">
        <v>3</v>
      </c>
      <c r="C523">
        <v>2</v>
      </c>
      <c r="D523">
        <v>1</v>
      </c>
      <c r="E523">
        <v>0</v>
      </c>
    </row>
    <row r="524" spans="1:5" ht="15.75" customHeight="1" x14ac:dyDescent="0.25">
      <c r="A524">
        <v>2000</v>
      </c>
      <c r="B524">
        <v>4</v>
      </c>
      <c r="C524">
        <v>1</v>
      </c>
      <c r="D524">
        <v>1</v>
      </c>
      <c r="E524">
        <v>0</v>
      </c>
    </row>
    <row r="525" spans="1:5" ht="15.75" customHeight="1" x14ac:dyDescent="0.25">
      <c r="A525">
        <v>2000</v>
      </c>
      <c r="B525">
        <v>4</v>
      </c>
      <c r="C525">
        <v>2</v>
      </c>
      <c r="D525">
        <v>1</v>
      </c>
      <c r="E525">
        <v>0</v>
      </c>
    </row>
    <row r="526" spans="1:5" ht="15.75" customHeight="1" x14ac:dyDescent="0.25">
      <c r="A526">
        <v>2000</v>
      </c>
      <c r="B526">
        <v>5</v>
      </c>
      <c r="C526">
        <v>1</v>
      </c>
      <c r="D526">
        <v>1</v>
      </c>
      <c r="E526">
        <v>0</v>
      </c>
    </row>
    <row r="527" spans="1:5" ht="15.75" customHeight="1" x14ac:dyDescent="0.25">
      <c r="A527">
        <v>2000</v>
      </c>
      <c r="B527">
        <v>5</v>
      </c>
      <c r="C527">
        <v>2</v>
      </c>
      <c r="D527">
        <v>1</v>
      </c>
      <c r="E527">
        <v>0</v>
      </c>
    </row>
    <row r="528" spans="1:5" ht="15.75" customHeight="1" x14ac:dyDescent="0.25">
      <c r="A528">
        <v>2000</v>
      </c>
      <c r="B528">
        <v>6</v>
      </c>
      <c r="C528">
        <v>1</v>
      </c>
      <c r="D528">
        <v>1</v>
      </c>
      <c r="E528">
        <v>0</v>
      </c>
    </row>
    <row r="529" spans="1:5" ht="15.75" customHeight="1" x14ac:dyDescent="0.25">
      <c r="A529">
        <v>2000</v>
      </c>
      <c r="B529">
        <v>6</v>
      </c>
      <c r="C529">
        <v>2</v>
      </c>
      <c r="D529">
        <v>1</v>
      </c>
      <c r="E529">
        <v>0</v>
      </c>
    </row>
    <row r="530" spans="1:5" ht="15.75" customHeight="1" x14ac:dyDescent="0.25">
      <c r="A530">
        <v>2001</v>
      </c>
      <c r="B530">
        <v>1</v>
      </c>
      <c r="C530">
        <v>1</v>
      </c>
      <c r="D530">
        <v>1</v>
      </c>
      <c r="E530">
        <v>0</v>
      </c>
    </row>
    <row r="531" spans="1:5" ht="15.75" customHeight="1" x14ac:dyDescent="0.25">
      <c r="A531">
        <v>2001</v>
      </c>
      <c r="B531">
        <v>1</v>
      </c>
      <c r="C531">
        <v>2</v>
      </c>
      <c r="D531">
        <v>1</v>
      </c>
      <c r="E531">
        <v>0</v>
      </c>
    </row>
    <row r="532" spans="1:5" ht="15.75" customHeight="1" x14ac:dyDescent="0.25">
      <c r="A532">
        <v>2001</v>
      </c>
      <c r="B532">
        <v>2</v>
      </c>
      <c r="C532">
        <v>1</v>
      </c>
      <c r="D532">
        <v>1</v>
      </c>
      <c r="E532">
        <v>0</v>
      </c>
    </row>
    <row r="533" spans="1:5" ht="15.75" customHeight="1" x14ac:dyDescent="0.25">
      <c r="A533">
        <v>2001</v>
      </c>
      <c r="B533">
        <v>2</v>
      </c>
      <c r="C533">
        <v>2</v>
      </c>
      <c r="D533">
        <v>1</v>
      </c>
      <c r="E533">
        <v>0</v>
      </c>
    </row>
    <row r="534" spans="1:5" ht="15.75" customHeight="1" x14ac:dyDescent="0.25">
      <c r="A534">
        <v>2001</v>
      </c>
      <c r="B534">
        <v>3</v>
      </c>
      <c r="C534">
        <v>1</v>
      </c>
      <c r="D534">
        <v>1</v>
      </c>
      <c r="E534">
        <v>0</v>
      </c>
    </row>
    <row r="535" spans="1:5" ht="15.75" customHeight="1" x14ac:dyDescent="0.25">
      <c r="A535">
        <v>2001</v>
      </c>
      <c r="B535">
        <v>3</v>
      </c>
      <c r="C535">
        <v>2</v>
      </c>
      <c r="D535">
        <v>1</v>
      </c>
      <c r="E535">
        <v>0</v>
      </c>
    </row>
    <row r="536" spans="1:5" ht="15.75" customHeight="1" x14ac:dyDescent="0.25">
      <c r="A536">
        <v>2001</v>
      </c>
      <c r="B536">
        <v>4</v>
      </c>
      <c r="C536">
        <v>1</v>
      </c>
      <c r="D536">
        <v>1</v>
      </c>
      <c r="E536">
        <v>0</v>
      </c>
    </row>
    <row r="537" spans="1:5" ht="15.75" customHeight="1" x14ac:dyDescent="0.25">
      <c r="A537">
        <v>2001</v>
      </c>
      <c r="B537">
        <v>4</v>
      </c>
      <c r="C537">
        <v>2</v>
      </c>
      <c r="D537">
        <v>1</v>
      </c>
      <c r="E537">
        <v>0</v>
      </c>
    </row>
    <row r="538" spans="1:5" ht="15.75" customHeight="1" x14ac:dyDescent="0.25">
      <c r="A538">
        <v>2001</v>
      </c>
      <c r="B538">
        <v>5</v>
      </c>
      <c r="C538">
        <v>1</v>
      </c>
      <c r="D538">
        <v>1</v>
      </c>
      <c r="E538">
        <v>0</v>
      </c>
    </row>
    <row r="539" spans="1:5" ht="15.75" customHeight="1" x14ac:dyDescent="0.25">
      <c r="A539">
        <v>2001</v>
      </c>
      <c r="B539">
        <v>5</v>
      </c>
      <c r="C539">
        <v>2</v>
      </c>
      <c r="D539">
        <v>1</v>
      </c>
      <c r="E539">
        <v>0</v>
      </c>
    </row>
    <row r="540" spans="1:5" ht="15.75" customHeight="1" x14ac:dyDescent="0.25">
      <c r="A540">
        <v>2001</v>
      </c>
      <c r="B540">
        <v>6</v>
      </c>
      <c r="C540">
        <v>1</v>
      </c>
      <c r="D540">
        <v>1</v>
      </c>
      <c r="E540">
        <v>0</v>
      </c>
    </row>
    <row r="541" spans="1:5" ht="15.75" customHeight="1" x14ac:dyDescent="0.25">
      <c r="A541">
        <v>2001</v>
      </c>
      <c r="B541">
        <v>6</v>
      </c>
      <c r="C541">
        <v>2</v>
      </c>
      <c r="D541">
        <v>1</v>
      </c>
      <c r="E541">
        <v>0</v>
      </c>
    </row>
    <row r="542" spans="1:5" ht="15.75" customHeight="1" x14ac:dyDescent="0.25">
      <c r="A542">
        <v>2002</v>
      </c>
      <c r="B542">
        <v>1</v>
      </c>
      <c r="C542">
        <v>1</v>
      </c>
      <c r="D542">
        <v>1</v>
      </c>
      <c r="E542">
        <v>0</v>
      </c>
    </row>
    <row r="543" spans="1:5" ht="15.75" customHeight="1" x14ac:dyDescent="0.25">
      <c r="A543">
        <v>2002</v>
      </c>
      <c r="B543">
        <v>1</v>
      </c>
      <c r="C543">
        <v>2</v>
      </c>
      <c r="D543">
        <v>1</v>
      </c>
      <c r="E543">
        <v>0</v>
      </c>
    </row>
    <row r="544" spans="1:5" ht="15.75" customHeight="1" x14ac:dyDescent="0.25">
      <c r="A544">
        <v>2002</v>
      </c>
      <c r="B544">
        <v>2</v>
      </c>
      <c r="C544">
        <v>1</v>
      </c>
      <c r="D544">
        <v>1</v>
      </c>
      <c r="E544">
        <v>0</v>
      </c>
    </row>
    <row r="545" spans="1:5" ht="15.75" customHeight="1" x14ac:dyDescent="0.25">
      <c r="A545">
        <v>2002</v>
      </c>
      <c r="B545">
        <v>2</v>
      </c>
      <c r="C545">
        <v>2</v>
      </c>
      <c r="D545">
        <v>1</v>
      </c>
      <c r="E545">
        <v>0</v>
      </c>
    </row>
    <row r="546" spans="1:5" ht="15.75" customHeight="1" x14ac:dyDescent="0.25">
      <c r="A546">
        <v>2002</v>
      </c>
      <c r="B546">
        <v>3</v>
      </c>
      <c r="C546">
        <v>1</v>
      </c>
      <c r="D546">
        <v>1</v>
      </c>
      <c r="E546">
        <v>0</v>
      </c>
    </row>
    <row r="547" spans="1:5" ht="15.75" customHeight="1" x14ac:dyDescent="0.25">
      <c r="A547">
        <v>2002</v>
      </c>
      <c r="B547">
        <v>3</v>
      </c>
      <c r="C547">
        <v>2</v>
      </c>
      <c r="D547">
        <v>1</v>
      </c>
      <c r="E547">
        <v>0</v>
      </c>
    </row>
    <row r="548" spans="1:5" ht="15.75" customHeight="1" x14ac:dyDescent="0.25">
      <c r="A548">
        <v>2002</v>
      </c>
      <c r="B548">
        <v>4</v>
      </c>
      <c r="C548">
        <v>1</v>
      </c>
      <c r="D548">
        <v>1</v>
      </c>
      <c r="E548">
        <v>0</v>
      </c>
    </row>
    <row r="549" spans="1:5" ht="15.75" customHeight="1" x14ac:dyDescent="0.25">
      <c r="A549">
        <v>2002</v>
      </c>
      <c r="B549">
        <v>4</v>
      </c>
      <c r="C549">
        <v>2</v>
      </c>
      <c r="D549">
        <v>1</v>
      </c>
      <c r="E549">
        <v>0</v>
      </c>
    </row>
    <row r="550" spans="1:5" ht="15.75" customHeight="1" x14ac:dyDescent="0.25">
      <c r="A550">
        <v>2002</v>
      </c>
      <c r="B550">
        <v>5</v>
      </c>
      <c r="C550">
        <v>1</v>
      </c>
      <c r="D550">
        <v>1</v>
      </c>
      <c r="E550">
        <v>0</v>
      </c>
    </row>
    <row r="551" spans="1:5" ht="15.75" customHeight="1" x14ac:dyDescent="0.25">
      <c r="A551">
        <v>2002</v>
      </c>
      <c r="B551">
        <v>5</v>
      </c>
      <c r="C551">
        <v>2</v>
      </c>
      <c r="D551">
        <v>1</v>
      </c>
      <c r="E551">
        <v>0</v>
      </c>
    </row>
    <row r="552" spans="1:5" ht="15.75" customHeight="1" x14ac:dyDescent="0.25">
      <c r="A552">
        <v>2002</v>
      </c>
      <c r="B552">
        <v>6</v>
      </c>
      <c r="C552">
        <v>1</v>
      </c>
      <c r="D552">
        <v>1</v>
      </c>
      <c r="E552">
        <v>0</v>
      </c>
    </row>
    <row r="553" spans="1:5" ht="15.75" customHeight="1" x14ac:dyDescent="0.25">
      <c r="A553">
        <v>2002</v>
      </c>
      <c r="B553">
        <v>6</v>
      </c>
      <c r="C553">
        <v>2</v>
      </c>
      <c r="D553">
        <v>1</v>
      </c>
      <c r="E553">
        <v>0</v>
      </c>
    </row>
    <row r="554" spans="1:5" ht="15.75" customHeight="1" x14ac:dyDescent="0.25">
      <c r="A554">
        <v>2003</v>
      </c>
      <c r="B554">
        <v>1</v>
      </c>
      <c r="C554">
        <v>1</v>
      </c>
      <c r="D554">
        <v>1</v>
      </c>
      <c r="E554">
        <v>0</v>
      </c>
    </row>
    <row r="555" spans="1:5" ht="15.75" customHeight="1" x14ac:dyDescent="0.25">
      <c r="A555">
        <v>2003</v>
      </c>
      <c r="B555">
        <v>1</v>
      </c>
      <c r="C555">
        <v>2</v>
      </c>
      <c r="D555">
        <v>1</v>
      </c>
      <c r="E555">
        <v>0</v>
      </c>
    </row>
    <row r="556" spans="1:5" ht="15.75" customHeight="1" x14ac:dyDescent="0.25">
      <c r="A556">
        <v>2003</v>
      </c>
      <c r="B556">
        <v>2</v>
      </c>
      <c r="C556">
        <v>1</v>
      </c>
      <c r="D556">
        <v>1</v>
      </c>
      <c r="E556">
        <v>0</v>
      </c>
    </row>
    <row r="557" spans="1:5" ht="15.75" customHeight="1" x14ac:dyDescent="0.25">
      <c r="A557">
        <v>2003</v>
      </c>
      <c r="B557">
        <v>2</v>
      </c>
      <c r="C557">
        <v>2</v>
      </c>
      <c r="D557">
        <v>1</v>
      </c>
      <c r="E557">
        <v>0</v>
      </c>
    </row>
    <row r="558" spans="1:5" ht="15.75" customHeight="1" x14ac:dyDescent="0.25">
      <c r="A558">
        <v>2003</v>
      </c>
      <c r="B558">
        <v>3</v>
      </c>
      <c r="C558">
        <v>1</v>
      </c>
      <c r="D558">
        <v>1</v>
      </c>
      <c r="E558">
        <v>0</v>
      </c>
    </row>
    <row r="559" spans="1:5" ht="15.75" customHeight="1" x14ac:dyDescent="0.25">
      <c r="A559">
        <v>2003</v>
      </c>
      <c r="B559">
        <v>3</v>
      </c>
      <c r="C559">
        <v>2</v>
      </c>
      <c r="D559">
        <v>1</v>
      </c>
      <c r="E559">
        <v>0</v>
      </c>
    </row>
    <row r="560" spans="1:5" ht="15.75" customHeight="1" x14ac:dyDescent="0.25">
      <c r="A560">
        <v>2003</v>
      </c>
      <c r="B560">
        <v>4</v>
      </c>
      <c r="C560">
        <v>1</v>
      </c>
      <c r="D560">
        <v>1</v>
      </c>
      <c r="E560">
        <v>0</v>
      </c>
    </row>
    <row r="561" spans="1:5" ht="15.75" customHeight="1" x14ac:dyDescent="0.25">
      <c r="A561">
        <v>2003</v>
      </c>
      <c r="B561">
        <v>4</v>
      </c>
      <c r="C561">
        <v>2</v>
      </c>
      <c r="D561">
        <v>1</v>
      </c>
      <c r="E561">
        <v>0</v>
      </c>
    </row>
    <row r="562" spans="1:5" ht="15.75" customHeight="1" x14ac:dyDescent="0.25">
      <c r="A562">
        <v>2003</v>
      </c>
      <c r="B562">
        <v>5</v>
      </c>
      <c r="C562">
        <v>1</v>
      </c>
      <c r="D562">
        <v>1</v>
      </c>
      <c r="E562">
        <v>0</v>
      </c>
    </row>
    <row r="563" spans="1:5" ht="15.75" customHeight="1" x14ac:dyDescent="0.25">
      <c r="A563">
        <v>2003</v>
      </c>
      <c r="B563">
        <v>5</v>
      </c>
      <c r="C563">
        <v>2</v>
      </c>
      <c r="D563">
        <v>1</v>
      </c>
      <c r="E563">
        <v>0</v>
      </c>
    </row>
    <row r="564" spans="1:5" ht="15.75" customHeight="1" x14ac:dyDescent="0.25">
      <c r="A564">
        <v>2003</v>
      </c>
      <c r="B564">
        <v>6</v>
      </c>
      <c r="C564">
        <v>1</v>
      </c>
      <c r="D564">
        <v>1</v>
      </c>
      <c r="E564">
        <v>0</v>
      </c>
    </row>
    <row r="565" spans="1:5" ht="15.75" customHeight="1" x14ac:dyDescent="0.25">
      <c r="A565">
        <v>2003</v>
      </c>
      <c r="B565">
        <v>6</v>
      </c>
      <c r="C565">
        <v>2</v>
      </c>
      <c r="D565">
        <v>1</v>
      </c>
      <c r="E565">
        <v>0</v>
      </c>
    </row>
    <row r="566" spans="1:5" ht="15.75" customHeight="1" x14ac:dyDescent="0.25">
      <c r="A566">
        <v>2004</v>
      </c>
      <c r="B566">
        <v>1</v>
      </c>
      <c r="C566">
        <v>1</v>
      </c>
      <c r="D566">
        <v>1</v>
      </c>
      <c r="E566">
        <v>0</v>
      </c>
    </row>
    <row r="567" spans="1:5" ht="15.75" customHeight="1" x14ac:dyDescent="0.25">
      <c r="A567">
        <v>2004</v>
      </c>
      <c r="B567">
        <v>1</v>
      </c>
      <c r="C567">
        <v>2</v>
      </c>
      <c r="D567">
        <v>1</v>
      </c>
      <c r="E567">
        <v>0</v>
      </c>
    </row>
    <row r="568" spans="1:5" ht="15.75" customHeight="1" x14ac:dyDescent="0.25">
      <c r="A568">
        <v>2004</v>
      </c>
      <c r="B568">
        <v>2</v>
      </c>
      <c r="C568">
        <v>1</v>
      </c>
      <c r="D568">
        <v>1</v>
      </c>
      <c r="E568">
        <v>0</v>
      </c>
    </row>
    <row r="569" spans="1:5" ht="15.75" customHeight="1" x14ac:dyDescent="0.25">
      <c r="A569">
        <v>2004</v>
      </c>
      <c r="B569">
        <v>2</v>
      </c>
      <c r="C569">
        <v>2</v>
      </c>
      <c r="D569">
        <v>1</v>
      </c>
      <c r="E569">
        <v>0</v>
      </c>
    </row>
    <row r="570" spans="1:5" ht="15.75" customHeight="1" x14ac:dyDescent="0.25">
      <c r="A570">
        <v>2004</v>
      </c>
      <c r="B570">
        <v>3</v>
      </c>
      <c r="C570">
        <v>1</v>
      </c>
      <c r="D570">
        <v>1</v>
      </c>
      <c r="E570">
        <v>0</v>
      </c>
    </row>
    <row r="571" spans="1:5" ht="15.75" customHeight="1" x14ac:dyDescent="0.25">
      <c r="A571">
        <v>2004</v>
      </c>
      <c r="B571">
        <v>3</v>
      </c>
      <c r="C571">
        <v>2</v>
      </c>
      <c r="D571">
        <v>1</v>
      </c>
      <c r="E571">
        <v>0</v>
      </c>
    </row>
    <row r="572" spans="1:5" ht="15.75" customHeight="1" x14ac:dyDescent="0.25">
      <c r="A572">
        <v>2004</v>
      </c>
      <c r="B572">
        <v>4</v>
      </c>
      <c r="C572">
        <v>1</v>
      </c>
      <c r="D572">
        <v>1</v>
      </c>
      <c r="E572">
        <v>0</v>
      </c>
    </row>
    <row r="573" spans="1:5" ht="15.75" customHeight="1" x14ac:dyDescent="0.25">
      <c r="A573">
        <v>2004</v>
      </c>
      <c r="B573">
        <v>4</v>
      </c>
      <c r="C573">
        <v>2</v>
      </c>
      <c r="D573">
        <v>1</v>
      </c>
      <c r="E573">
        <v>0</v>
      </c>
    </row>
    <row r="574" spans="1:5" ht="15.75" customHeight="1" x14ac:dyDescent="0.25">
      <c r="A574">
        <v>2004</v>
      </c>
      <c r="B574">
        <v>5</v>
      </c>
      <c r="C574">
        <v>1</v>
      </c>
      <c r="D574">
        <v>1</v>
      </c>
      <c r="E574">
        <v>0</v>
      </c>
    </row>
    <row r="575" spans="1:5" ht="15.75" customHeight="1" x14ac:dyDescent="0.25">
      <c r="A575">
        <v>2004</v>
      </c>
      <c r="B575">
        <v>5</v>
      </c>
      <c r="C575">
        <v>2</v>
      </c>
      <c r="D575">
        <v>1</v>
      </c>
      <c r="E575">
        <v>0</v>
      </c>
    </row>
    <row r="576" spans="1:5" ht="15.75" customHeight="1" x14ac:dyDescent="0.25">
      <c r="A576">
        <v>2004</v>
      </c>
      <c r="B576">
        <v>6</v>
      </c>
      <c r="C576">
        <v>1</v>
      </c>
      <c r="D576">
        <v>1</v>
      </c>
      <c r="E576">
        <v>0</v>
      </c>
    </row>
    <row r="577" spans="1:5" ht="15.75" customHeight="1" x14ac:dyDescent="0.25">
      <c r="A577">
        <v>2004</v>
      </c>
      <c r="B577">
        <v>6</v>
      </c>
      <c r="C577">
        <v>2</v>
      </c>
      <c r="D577">
        <v>1</v>
      </c>
      <c r="E577">
        <v>0</v>
      </c>
    </row>
    <row r="578" spans="1:5" ht="15.75" customHeight="1" x14ac:dyDescent="0.25">
      <c r="A578">
        <v>2005</v>
      </c>
      <c r="B578">
        <v>1</v>
      </c>
      <c r="C578">
        <v>1</v>
      </c>
      <c r="D578">
        <v>1</v>
      </c>
      <c r="E578">
        <v>0</v>
      </c>
    </row>
    <row r="579" spans="1:5" ht="15.75" customHeight="1" x14ac:dyDescent="0.25">
      <c r="A579">
        <v>2005</v>
      </c>
      <c r="B579">
        <v>1</v>
      </c>
      <c r="C579">
        <v>2</v>
      </c>
      <c r="D579">
        <v>1</v>
      </c>
      <c r="E579">
        <v>0</v>
      </c>
    </row>
    <row r="580" spans="1:5" ht="15.75" customHeight="1" x14ac:dyDescent="0.25">
      <c r="A580">
        <v>2005</v>
      </c>
      <c r="B580">
        <v>2</v>
      </c>
      <c r="C580">
        <v>1</v>
      </c>
      <c r="D580">
        <v>1</v>
      </c>
      <c r="E580">
        <v>0</v>
      </c>
    </row>
    <row r="581" spans="1:5" ht="15.75" customHeight="1" x14ac:dyDescent="0.25">
      <c r="A581">
        <v>2005</v>
      </c>
      <c r="B581">
        <v>2</v>
      </c>
      <c r="C581">
        <v>2</v>
      </c>
      <c r="D581">
        <v>1</v>
      </c>
      <c r="E581">
        <v>0</v>
      </c>
    </row>
    <row r="582" spans="1:5" ht="15.75" customHeight="1" x14ac:dyDescent="0.25">
      <c r="A582">
        <v>2005</v>
      </c>
      <c r="B582">
        <v>3</v>
      </c>
      <c r="C582">
        <v>1</v>
      </c>
      <c r="D582">
        <v>1</v>
      </c>
      <c r="E582">
        <v>0</v>
      </c>
    </row>
    <row r="583" spans="1:5" ht="15.75" customHeight="1" x14ac:dyDescent="0.25">
      <c r="A583">
        <v>2005</v>
      </c>
      <c r="B583">
        <v>3</v>
      </c>
      <c r="C583">
        <v>2</v>
      </c>
      <c r="D583">
        <v>1</v>
      </c>
      <c r="E583">
        <v>0</v>
      </c>
    </row>
    <row r="584" spans="1:5" ht="15.75" customHeight="1" x14ac:dyDescent="0.25">
      <c r="A584">
        <v>2005</v>
      </c>
      <c r="B584">
        <v>4</v>
      </c>
      <c r="C584">
        <v>1</v>
      </c>
      <c r="D584">
        <v>1</v>
      </c>
      <c r="E584">
        <v>0</v>
      </c>
    </row>
    <row r="585" spans="1:5" ht="15.75" customHeight="1" x14ac:dyDescent="0.25">
      <c r="A585">
        <v>2005</v>
      </c>
      <c r="B585">
        <v>4</v>
      </c>
      <c r="C585">
        <v>2</v>
      </c>
      <c r="D585">
        <v>1</v>
      </c>
      <c r="E585">
        <v>0</v>
      </c>
    </row>
    <row r="586" spans="1:5" ht="15.75" customHeight="1" x14ac:dyDescent="0.25">
      <c r="A586">
        <v>2005</v>
      </c>
      <c r="B586">
        <v>5</v>
      </c>
      <c r="C586">
        <v>1</v>
      </c>
      <c r="D586">
        <v>1</v>
      </c>
      <c r="E586">
        <v>0</v>
      </c>
    </row>
    <row r="587" spans="1:5" ht="15.75" customHeight="1" x14ac:dyDescent="0.25">
      <c r="A587">
        <v>2005</v>
      </c>
      <c r="B587">
        <v>5</v>
      </c>
      <c r="C587">
        <v>2</v>
      </c>
      <c r="D587">
        <v>1</v>
      </c>
      <c r="E587">
        <v>0</v>
      </c>
    </row>
    <row r="588" spans="1:5" ht="15.75" customHeight="1" x14ac:dyDescent="0.25">
      <c r="A588">
        <v>2005</v>
      </c>
      <c r="B588">
        <v>6</v>
      </c>
      <c r="C588">
        <v>1</v>
      </c>
      <c r="D588">
        <v>1</v>
      </c>
      <c r="E588">
        <v>0</v>
      </c>
    </row>
    <row r="589" spans="1:5" ht="15.75" customHeight="1" x14ac:dyDescent="0.25">
      <c r="A589">
        <v>2005</v>
      </c>
      <c r="B589">
        <v>6</v>
      </c>
      <c r="C589">
        <v>2</v>
      </c>
      <c r="D589">
        <v>1</v>
      </c>
      <c r="E589">
        <v>0</v>
      </c>
    </row>
    <row r="590" spans="1:5" ht="15.75" customHeight="1" x14ac:dyDescent="0.25">
      <c r="A590">
        <v>2006</v>
      </c>
      <c r="B590">
        <v>1</v>
      </c>
      <c r="C590">
        <v>1</v>
      </c>
      <c r="D590">
        <v>1</v>
      </c>
      <c r="E590">
        <v>0</v>
      </c>
    </row>
    <row r="591" spans="1:5" ht="15.75" customHeight="1" x14ac:dyDescent="0.25">
      <c r="A591">
        <v>2006</v>
      </c>
      <c r="B591">
        <v>1</v>
      </c>
      <c r="C591">
        <v>2</v>
      </c>
      <c r="D591">
        <v>1</v>
      </c>
      <c r="E591">
        <v>0</v>
      </c>
    </row>
    <row r="592" spans="1:5" ht="15.75" customHeight="1" x14ac:dyDescent="0.25">
      <c r="A592">
        <v>2006</v>
      </c>
      <c r="B592">
        <v>2</v>
      </c>
      <c r="C592">
        <v>1</v>
      </c>
      <c r="D592">
        <v>1</v>
      </c>
      <c r="E592">
        <v>0</v>
      </c>
    </row>
    <row r="593" spans="1:5" ht="15.75" customHeight="1" x14ac:dyDescent="0.25">
      <c r="A593">
        <v>2006</v>
      </c>
      <c r="B593">
        <v>2</v>
      </c>
      <c r="C593">
        <v>2</v>
      </c>
      <c r="D593">
        <v>1</v>
      </c>
      <c r="E593">
        <v>0</v>
      </c>
    </row>
    <row r="594" spans="1:5" ht="15.75" customHeight="1" x14ac:dyDescent="0.25">
      <c r="A594">
        <v>2006</v>
      </c>
      <c r="B594">
        <v>3</v>
      </c>
      <c r="C594">
        <v>1</v>
      </c>
      <c r="D594">
        <v>1</v>
      </c>
      <c r="E594">
        <v>0</v>
      </c>
    </row>
    <row r="595" spans="1:5" ht="15.75" customHeight="1" x14ac:dyDescent="0.25">
      <c r="A595">
        <v>2006</v>
      </c>
      <c r="B595">
        <v>3</v>
      </c>
      <c r="C595">
        <v>2</v>
      </c>
      <c r="D595">
        <v>1</v>
      </c>
      <c r="E595">
        <v>0</v>
      </c>
    </row>
    <row r="596" spans="1:5" ht="15.75" customHeight="1" x14ac:dyDescent="0.25">
      <c r="A596">
        <v>2006</v>
      </c>
      <c r="B596">
        <v>4</v>
      </c>
      <c r="C596">
        <v>1</v>
      </c>
      <c r="D596">
        <v>1</v>
      </c>
      <c r="E596">
        <v>0</v>
      </c>
    </row>
    <row r="597" spans="1:5" ht="15.75" customHeight="1" x14ac:dyDescent="0.25">
      <c r="A597">
        <v>2006</v>
      </c>
      <c r="B597">
        <v>4</v>
      </c>
      <c r="C597">
        <v>2</v>
      </c>
      <c r="D597">
        <v>1</v>
      </c>
      <c r="E597">
        <v>0</v>
      </c>
    </row>
    <row r="598" spans="1:5" ht="15.75" customHeight="1" x14ac:dyDescent="0.25">
      <c r="A598">
        <v>2006</v>
      </c>
      <c r="B598">
        <v>5</v>
      </c>
      <c r="C598">
        <v>1</v>
      </c>
      <c r="D598">
        <v>1</v>
      </c>
      <c r="E598">
        <v>0</v>
      </c>
    </row>
    <row r="599" spans="1:5" ht="15.75" customHeight="1" x14ac:dyDescent="0.25">
      <c r="A599">
        <v>2006</v>
      </c>
      <c r="B599">
        <v>5</v>
      </c>
      <c r="C599">
        <v>2</v>
      </c>
      <c r="D599">
        <v>1</v>
      </c>
      <c r="E599">
        <v>0</v>
      </c>
    </row>
    <row r="600" spans="1:5" ht="15.75" customHeight="1" x14ac:dyDescent="0.25">
      <c r="A600">
        <v>2006</v>
      </c>
      <c r="B600">
        <v>6</v>
      </c>
      <c r="C600">
        <v>1</v>
      </c>
      <c r="D600">
        <v>1</v>
      </c>
      <c r="E600">
        <v>0</v>
      </c>
    </row>
    <row r="601" spans="1:5" ht="15.75" customHeight="1" x14ac:dyDescent="0.25">
      <c r="A601">
        <v>2006</v>
      </c>
      <c r="B601">
        <v>6</v>
      </c>
      <c r="C601">
        <v>2</v>
      </c>
      <c r="D601">
        <v>1</v>
      </c>
      <c r="E601">
        <v>0</v>
      </c>
    </row>
    <row r="602" spans="1:5" ht="15.75" customHeight="1" x14ac:dyDescent="0.25">
      <c r="A602">
        <v>2007</v>
      </c>
      <c r="B602">
        <v>1</v>
      </c>
      <c r="C602">
        <v>1</v>
      </c>
      <c r="D602">
        <v>1</v>
      </c>
      <c r="E602">
        <v>0</v>
      </c>
    </row>
    <row r="603" spans="1:5" ht="15.75" customHeight="1" x14ac:dyDescent="0.25">
      <c r="A603">
        <v>2007</v>
      </c>
      <c r="B603">
        <v>1</v>
      </c>
      <c r="C603">
        <v>2</v>
      </c>
      <c r="D603">
        <v>1</v>
      </c>
      <c r="E603">
        <v>0</v>
      </c>
    </row>
    <row r="604" spans="1:5" ht="15.75" customHeight="1" x14ac:dyDescent="0.25">
      <c r="A604">
        <v>2007</v>
      </c>
      <c r="B604">
        <v>2</v>
      </c>
      <c r="C604">
        <v>1</v>
      </c>
      <c r="D604">
        <v>1</v>
      </c>
      <c r="E604">
        <v>0</v>
      </c>
    </row>
    <row r="605" spans="1:5" ht="15.75" customHeight="1" x14ac:dyDescent="0.25">
      <c r="A605">
        <v>2007</v>
      </c>
      <c r="B605">
        <v>2</v>
      </c>
      <c r="C605">
        <v>2</v>
      </c>
      <c r="D605">
        <v>1</v>
      </c>
      <c r="E605">
        <v>0</v>
      </c>
    </row>
    <row r="606" spans="1:5" ht="15.75" customHeight="1" x14ac:dyDescent="0.25">
      <c r="A606">
        <v>2007</v>
      </c>
      <c r="B606">
        <v>3</v>
      </c>
      <c r="C606">
        <v>1</v>
      </c>
      <c r="D606">
        <v>1</v>
      </c>
      <c r="E606">
        <v>0</v>
      </c>
    </row>
    <row r="607" spans="1:5" ht="15.75" customHeight="1" x14ac:dyDescent="0.25">
      <c r="A607">
        <v>2007</v>
      </c>
      <c r="B607">
        <v>3</v>
      </c>
      <c r="C607">
        <v>2</v>
      </c>
      <c r="D607">
        <v>1</v>
      </c>
      <c r="E607">
        <v>0</v>
      </c>
    </row>
    <row r="608" spans="1:5" ht="15.75" customHeight="1" x14ac:dyDescent="0.25">
      <c r="A608">
        <v>2007</v>
      </c>
      <c r="B608">
        <v>4</v>
      </c>
      <c r="C608">
        <v>1</v>
      </c>
      <c r="D608">
        <v>1</v>
      </c>
      <c r="E608">
        <v>0</v>
      </c>
    </row>
    <row r="609" spans="1:5" ht="15.75" customHeight="1" x14ac:dyDescent="0.25">
      <c r="A609">
        <v>2007</v>
      </c>
      <c r="B609">
        <v>4</v>
      </c>
      <c r="C609">
        <v>2</v>
      </c>
      <c r="D609">
        <v>1</v>
      </c>
      <c r="E609">
        <v>0</v>
      </c>
    </row>
    <row r="610" spans="1:5" ht="15.75" customHeight="1" x14ac:dyDescent="0.25">
      <c r="A610">
        <v>2007</v>
      </c>
      <c r="B610">
        <v>5</v>
      </c>
      <c r="C610">
        <v>1</v>
      </c>
      <c r="D610">
        <v>1</v>
      </c>
      <c r="E610">
        <v>0</v>
      </c>
    </row>
    <row r="611" spans="1:5" ht="15.75" customHeight="1" x14ac:dyDescent="0.25">
      <c r="A611">
        <v>2007</v>
      </c>
      <c r="B611">
        <v>5</v>
      </c>
      <c r="C611">
        <v>2</v>
      </c>
      <c r="D611">
        <v>1</v>
      </c>
      <c r="E611">
        <v>0</v>
      </c>
    </row>
    <row r="612" spans="1:5" ht="15.75" customHeight="1" x14ac:dyDescent="0.25">
      <c r="A612">
        <v>2007</v>
      </c>
      <c r="B612">
        <v>6</v>
      </c>
      <c r="C612">
        <v>1</v>
      </c>
      <c r="D612">
        <v>1</v>
      </c>
      <c r="E612">
        <v>0</v>
      </c>
    </row>
    <row r="613" spans="1:5" ht="15.75" customHeight="1" x14ac:dyDescent="0.25">
      <c r="A613">
        <v>2007</v>
      </c>
      <c r="B613">
        <v>6</v>
      </c>
      <c r="C613">
        <v>2</v>
      </c>
      <c r="D613">
        <v>1</v>
      </c>
      <c r="E613">
        <v>0</v>
      </c>
    </row>
    <row r="614" spans="1:5" ht="15.75" customHeight="1" x14ac:dyDescent="0.25">
      <c r="A614">
        <v>2008</v>
      </c>
      <c r="B614">
        <v>1</v>
      </c>
      <c r="C614">
        <v>1</v>
      </c>
      <c r="D614">
        <v>1</v>
      </c>
      <c r="E614">
        <v>0</v>
      </c>
    </row>
    <row r="615" spans="1:5" ht="15.75" customHeight="1" x14ac:dyDescent="0.25">
      <c r="A615">
        <v>2008</v>
      </c>
      <c r="B615">
        <v>1</v>
      </c>
      <c r="C615">
        <v>2</v>
      </c>
      <c r="D615">
        <v>1</v>
      </c>
      <c r="E615">
        <v>0</v>
      </c>
    </row>
    <row r="616" spans="1:5" ht="15.75" customHeight="1" x14ac:dyDescent="0.25">
      <c r="A616">
        <v>2008</v>
      </c>
      <c r="B616">
        <v>2</v>
      </c>
      <c r="C616">
        <v>1</v>
      </c>
      <c r="D616">
        <v>1</v>
      </c>
      <c r="E616">
        <v>0</v>
      </c>
    </row>
    <row r="617" spans="1:5" ht="15.75" customHeight="1" x14ac:dyDescent="0.25">
      <c r="A617">
        <v>2008</v>
      </c>
      <c r="B617">
        <v>2</v>
      </c>
      <c r="C617">
        <v>2</v>
      </c>
      <c r="D617">
        <v>1</v>
      </c>
      <c r="E617">
        <v>0</v>
      </c>
    </row>
    <row r="618" spans="1:5" ht="15.75" customHeight="1" x14ac:dyDescent="0.25">
      <c r="A618">
        <v>2008</v>
      </c>
      <c r="B618">
        <v>3</v>
      </c>
      <c r="C618">
        <v>1</v>
      </c>
      <c r="D618">
        <v>1</v>
      </c>
      <c r="E618">
        <v>0</v>
      </c>
    </row>
    <row r="619" spans="1:5" ht="15.75" customHeight="1" x14ac:dyDescent="0.25">
      <c r="A619">
        <v>2008</v>
      </c>
      <c r="B619">
        <v>3</v>
      </c>
      <c r="C619">
        <v>2</v>
      </c>
      <c r="D619">
        <v>1</v>
      </c>
      <c r="E619">
        <v>0</v>
      </c>
    </row>
    <row r="620" spans="1:5" ht="15.75" customHeight="1" x14ac:dyDescent="0.25">
      <c r="A620">
        <v>2008</v>
      </c>
      <c r="B620">
        <v>4</v>
      </c>
      <c r="C620">
        <v>1</v>
      </c>
      <c r="D620">
        <v>1</v>
      </c>
      <c r="E620">
        <v>0</v>
      </c>
    </row>
    <row r="621" spans="1:5" ht="15.75" customHeight="1" x14ac:dyDescent="0.25">
      <c r="A621">
        <v>2008</v>
      </c>
      <c r="B621">
        <v>4</v>
      </c>
      <c r="C621">
        <v>2</v>
      </c>
      <c r="D621">
        <v>1</v>
      </c>
      <c r="E621">
        <v>0</v>
      </c>
    </row>
    <row r="622" spans="1:5" ht="15.75" customHeight="1" x14ac:dyDescent="0.25">
      <c r="A622">
        <v>2008</v>
      </c>
      <c r="B622">
        <v>5</v>
      </c>
      <c r="C622">
        <v>1</v>
      </c>
      <c r="D622">
        <v>1</v>
      </c>
      <c r="E622">
        <v>0</v>
      </c>
    </row>
    <row r="623" spans="1:5" ht="15.75" customHeight="1" x14ac:dyDescent="0.25">
      <c r="A623">
        <v>2008</v>
      </c>
      <c r="B623">
        <v>5</v>
      </c>
      <c r="C623">
        <v>2</v>
      </c>
      <c r="D623">
        <v>1</v>
      </c>
      <c r="E623">
        <v>0</v>
      </c>
    </row>
    <row r="624" spans="1:5" ht="15.75" customHeight="1" x14ac:dyDescent="0.25">
      <c r="A624">
        <v>2008</v>
      </c>
      <c r="B624">
        <v>6</v>
      </c>
      <c r="C624">
        <v>1</v>
      </c>
      <c r="D624">
        <v>1</v>
      </c>
      <c r="E624">
        <v>0</v>
      </c>
    </row>
    <row r="625" spans="1:5" ht="15.75" customHeight="1" x14ac:dyDescent="0.25">
      <c r="A625">
        <v>2008</v>
      </c>
      <c r="B625">
        <v>6</v>
      </c>
      <c r="C625">
        <v>2</v>
      </c>
      <c r="D625">
        <v>1</v>
      </c>
      <c r="E625">
        <v>0</v>
      </c>
    </row>
    <row r="626" spans="1:5" ht="15.75" customHeight="1" x14ac:dyDescent="0.25">
      <c r="A626">
        <v>2009</v>
      </c>
      <c r="B626">
        <v>1</v>
      </c>
      <c r="C626">
        <v>1</v>
      </c>
      <c r="D626">
        <v>1</v>
      </c>
      <c r="E626">
        <v>0</v>
      </c>
    </row>
    <row r="627" spans="1:5" ht="15.75" customHeight="1" x14ac:dyDescent="0.25">
      <c r="A627">
        <v>2009</v>
      </c>
      <c r="B627">
        <v>1</v>
      </c>
      <c r="C627">
        <v>2</v>
      </c>
      <c r="D627">
        <v>1</v>
      </c>
      <c r="E627">
        <v>0</v>
      </c>
    </row>
    <row r="628" spans="1:5" ht="15.75" customHeight="1" x14ac:dyDescent="0.25">
      <c r="A628">
        <v>2009</v>
      </c>
      <c r="B628">
        <v>2</v>
      </c>
      <c r="C628">
        <v>1</v>
      </c>
      <c r="D628">
        <v>1</v>
      </c>
      <c r="E628">
        <v>0</v>
      </c>
    </row>
    <row r="629" spans="1:5" ht="15.75" customHeight="1" x14ac:dyDescent="0.25">
      <c r="A629">
        <v>2009</v>
      </c>
      <c r="B629">
        <v>2</v>
      </c>
      <c r="C629">
        <v>2</v>
      </c>
      <c r="D629">
        <v>1</v>
      </c>
      <c r="E629">
        <v>0</v>
      </c>
    </row>
    <row r="630" spans="1:5" ht="15.75" customHeight="1" x14ac:dyDescent="0.25">
      <c r="A630">
        <v>2009</v>
      </c>
      <c r="B630">
        <v>3</v>
      </c>
      <c r="C630">
        <v>1</v>
      </c>
      <c r="D630">
        <v>1</v>
      </c>
      <c r="E630">
        <v>0</v>
      </c>
    </row>
    <row r="631" spans="1:5" ht="15.75" customHeight="1" x14ac:dyDescent="0.25">
      <c r="A631">
        <v>2009</v>
      </c>
      <c r="B631">
        <v>3</v>
      </c>
      <c r="C631">
        <v>2</v>
      </c>
      <c r="D631">
        <v>1</v>
      </c>
      <c r="E631">
        <v>0</v>
      </c>
    </row>
    <row r="632" spans="1:5" ht="15.75" customHeight="1" x14ac:dyDescent="0.25">
      <c r="A632">
        <v>2009</v>
      </c>
      <c r="B632">
        <v>4</v>
      </c>
      <c r="C632">
        <v>1</v>
      </c>
      <c r="D632">
        <v>1</v>
      </c>
      <c r="E632">
        <v>0</v>
      </c>
    </row>
    <row r="633" spans="1:5" ht="15.75" customHeight="1" x14ac:dyDescent="0.25">
      <c r="A633">
        <v>2009</v>
      </c>
      <c r="B633">
        <v>4</v>
      </c>
      <c r="C633">
        <v>2</v>
      </c>
      <c r="D633">
        <v>1</v>
      </c>
      <c r="E633">
        <v>0</v>
      </c>
    </row>
    <row r="634" spans="1:5" ht="15.75" customHeight="1" x14ac:dyDescent="0.25">
      <c r="A634">
        <v>2009</v>
      </c>
      <c r="B634">
        <v>5</v>
      </c>
      <c r="C634">
        <v>1</v>
      </c>
      <c r="D634">
        <v>1</v>
      </c>
      <c r="E634">
        <v>0</v>
      </c>
    </row>
    <row r="635" spans="1:5" ht="15.75" customHeight="1" x14ac:dyDescent="0.25">
      <c r="A635">
        <v>2009</v>
      </c>
      <c r="B635">
        <v>5</v>
      </c>
      <c r="C635">
        <v>2</v>
      </c>
      <c r="D635">
        <v>1</v>
      </c>
      <c r="E635">
        <v>0</v>
      </c>
    </row>
    <row r="636" spans="1:5" ht="15.75" customHeight="1" x14ac:dyDescent="0.25">
      <c r="A636">
        <v>2009</v>
      </c>
      <c r="B636">
        <v>6</v>
      </c>
      <c r="C636">
        <v>1</v>
      </c>
      <c r="D636">
        <v>1</v>
      </c>
      <c r="E636">
        <v>0</v>
      </c>
    </row>
    <row r="637" spans="1:5" ht="15.75" customHeight="1" x14ac:dyDescent="0.25">
      <c r="A637">
        <v>2009</v>
      </c>
      <c r="B637">
        <v>6</v>
      </c>
      <c r="C637">
        <v>2</v>
      </c>
      <c r="D637">
        <v>1</v>
      </c>
      <c r="E637">
        <v>0</v>
      </c>
    </row>
    <row r="638" spans="1:5" ht="15.75" customHeight="1" x14ac:dyDescent="0.25">
      <c r="A638">
        <v>2010</v>
      </c>
      <c r="B638">
        <v>1</v>
      </c>
      <c r="C638">
        <v>1</v>
      </c>
      <c r="D638">
        <v>1</v>
      </c>
      <c r="E638">
        <v>0</v>
      </c>
    </row>
    <row r="639" spans="1:5" ht="15.75" customHeight="1" x14ac:dyDescent="0.25">
      <c r="A639">
        <v>2010</v>
      </c>
      <c r="B639">
        <v>1</v>
      </c>
      <c r="C639">
        <v>2</v>
      </c>
      <c r="D639">
        <v>1</v>
      </c>
      <c r="E639">
        <v>0</v>
      </c>
    </row>
    <row r="640" spans="1:5" ht="15.75" customHeight="1" x14ac:dyDescent="0.25">
      <c r="A640">
        <v>2010</v>
      </c>
      <c r="B640">
        <v>2</v>
      </c>
      <c r="C640">
        <v>1</v>
      </c>
      <c r="D640">
        <v>1</v>
      </c>
      <c r="E640">
        <v>0</v>
      </c>
    </row>
    <row r="641" spans="1:5" ht="15.75" customHeight="1" x14ac:dyDescent="0.25">
      <c r="A641">
        <v>2010</v>
      </c>
      <c r="B641">
        <v>2</v>
      </c>
      <c r="C641">
        <v>2</v>
      </c>
      <c r="D641">
        <v>1</v>
      </c>
      <c r="E641">
        <v>0</v>
      </c>
    </row>
    <row r="642" spans="1:5" ht="15.75" customHeight="1" x14ac:dyDescent="0.25">
      <c r="A642">
        <v>2010</v>
      </c>
      <c r="B642">
        <v>3</v>
      </c>
      <c r="C642">
        <v>1</v>
      </c>
      <c r="D642">
        <v>1</v>
      </c>
      <c r="E642">
        <v>0</v>
      </c>
    </row>
    <row r="643" spans="1:5" ht="15.75" customHeight="1" x14ac:dyDescent="0.25">
      <c r="A643">
        <v>2010</v>
      </c>
      <c r="B643">
        <v>3</v>
      </c>
      <c r="C643">
        <v>2</v>
      </c>
      <c r="D643">
        <v>1</v>
      </c>
      <c r="E643">
        <v>0</v>
      </c>
    </row>
    <row r="644" spans="1:5" ht="15.75" customHeight="1" x14ac:dyDescent="0.25">
      <c r="A644">
        <v>2010</v>
      </c>
      <c r="B644">
        <v>4</v>
      </c>
      <c r="C644">
        <v>1</v>
      </c>
      <c r="D644">
        <v>1</v>
      </c>
      <c r="E644">
        <v>0</v>
      </c>
    </row>
    <row r="645" spans="1:5" ht="15.75" customHeight="1" x14ac:dyDescent="0.25">
      <c r="A645">
        <v>2010</v>
      </c>
      <c r="B645">
        <v>4</v>
      </c>
      <c r="C645">
        <v>2</v>
      </c>
      <c r="D645">
        <v>1</v>
      </c>
      <c r="E645">
        <v>0</v>
      </c>
    </row>
    <row r="646" spans="1:5" ht="15.75" customHeight="1" x14ac:dyDescent="0.25">
      <c r="A646">
        <v>2010</v>
      </c>
      <c r="B646">
        <v>5</v>
      </c>
      <c r="C646">
        <v>1</v>
      </c>
      <c r="D646">
        <v>1</v>
      </c>
      <c r="E646">
        <v>0</v>
      </c>
    </row>
    <row r="647" spans="1:5" ht="15.75" customHeight="1" x14ac:dyDescent="0.25">
      <c r="A647">
        <v>2010</v>
      </c>
      <c r="B647">
        <v>5</v>
      </c>
      <c r="C647">
        <v>2</v>
      </c>
      <c r="D647">
        <v>1</v>
      </c>
      <c r="E647">
        <v>0</v>
      </c>
    </row>
    <row r="648" spans="1:5" ht="15.75" customHeight="1" x14ac:dyDescent="0.25">
      <c r="A648">
        <v>2010</v>
      </c>
      <c r="B648">
        <v>6</v>
      </c>
      <c r="C648">
        <v>1</v>
      </c>
      <c r="D648">
        <v>1</v>
      </c>
      <c r="E648">
        <v>0</v>
      </c>
    </row>
    <row r="649" spans="1:5" ht="15.75" customHeight="1" x14ac:dyDescent="0.25">
      <c r="A649">
        <v>2010</v>
      </c>
      <c r="B649">
        <v>6</v>
      </c>
      <c r="C649">
        <v>2</v>
      </c>
      <c r="D649">
        <v>1</v>
      </c>
      <c r="E649">
        <v>0</v>
      </c>
    </row>
    <row r="650" spans="1:5" ht="15.75" customHeight="1" x14ac:dyDescent="0.25">
      <c r="A650">
        <v>2011</v>
      </c>
      <c r="B650">
        <v>1</v>
      </c>
      <c r="C650">
        <v>1</v>
      </c>
      <c r="D650">
        <v>1</v>
      </c>
      <c r="E650">
        <v>0</v>
      </c>
    </row>
    <row r="651" spans="1:5" ht="15.75" customHeight="1" x14ac:dyDescent="0.25">
      <c r="A651">
        <v>2011</v>
      </c>
      <c r="B651">
        <v>1</v>
      </c>
      <c r="C651">
        <v>2</v>
      </c>
      <c r="D651">
        <v>1</v>
      </c>
      <c r="E651">
        <v>0</v>
      </c>
    </row>
    <row r="652" spans="1:5" ht="15.75" customHeight="1" x14ac:dyDescent="0.25">
      <c r="A652">
        <v>2011</v>
      </c>
      <c r="B652">
        <v>2</v>
      </c>
      <c r="C652">
        <v>1</v>
      </c>
      <c r="D652">
        <v>1</v>
      </c>
      <c r="E652">
        <v>0</v>
      </c>
    </row>
    <row r="653" spans="1:5" ht="15.75" customHeight="1" x14ac:dyDescent="0.25">
      <c r="A653">
        <v>2011</v>
      </c>
      <c r="B653">
        <v>2</v>
      </c>
      <c r="C653">
        <v>2</v>
      </c>
      <c r="D653">
        <v>1</v>
      </c>
      <c r="E653">
        <v>0</v>
      </c>
    </row>
    <row r="654" spans="1:5" ht="15.75" customHeight="1" x14ac:dyDescent="0.25">
      <c r="A654">
        <v>2011</v>
      </c>
      <c r="B654">
        <v>3</v>
      </c>
      <c r="C654">
        <v>1</v>
      </c>
      <c r="D654">
        <v>1</v>
      </c>
      <c r="E654">
        <v>0</v>
      </c>
    </row>
    <row r="655" spans="1:5" ht="15.75" customHeight="1" x14ac:dyDescent="0.25">
      <c r="A655">
        <v>2011</v>
      </c>
      <c r="B655">
        <v>3</v>
      </c>
      <c r="C655">
        <v>2</v>
      </c>
      <c r="D655">
        <v>1</v>
      </c>
      <c r="E655">
        <v>0</v>
      </c>
    </row>
    <row r="656" spans="1:5" ht="15.75" customHeight="1" x14ac:dyDescent="0.25">
      <c r="A656">
        <v>2011</v>
      </c>
      <c r="B656">
        <v>4</v>
      </c>
      <c r="C656">
        <v>1</v>
      </c>
      <c r="D656">
        <v>1</v>
      </c>
      <c r="E656">
        <v>0</v>
      </c>
    </row>
    <row r="657" spans="1:5" ht="15.75" customHeight="1" x14ac:dyDescent="0.25">
      <c r="A657">
        <v>2011</v>
      </c>
      <c r="B657">
        <v>4</v>
      </c>
      <c r="C657">
        <v>2</v>
      </c>
      <c r="D657">
        <v>1</v>
      </c>
      <c r="E657">
        <v>0</v>
      </c>
    </row>
    <row r="658" spans="1:5" ht="15.75" customHeight="1" x14ac:dyDescent="0.25">
      <c r="A658">
        <v>2011</v>
      </c>
      <c r="B658">
        <v>5</v>
      </c>
      <c r="C658">
        <v>1</v>
      </c>
      <c r="D658">
        <v>1</v>
      </c>
      <c r="E658">
        <v>0</v>
      </c>
    </row>
    <row r="659" spans="1:5" ht="15.75" customHeight="1" x14ac:dyDescent="0.25">
      <c r="A659">
        <v>2011</v>
      </c>
      <c r="B659">
        <v>5</v>
      </c>
      <c r="C659">
        <v>2</v>
      </c>
      <c r="D659">
        <v>1</v>
      </c>
      <c r="E659">
        <v>0</v>
      </c>
    </row>
    <row r="660" spans="1:5" ht="15.75" customHeight="1" x14ac:dyDescent="0.25">
      <c r="A660">
        <v>2011</v>
      </c>
      <c r="B660">
        <v>6</v>
      </c>
      <c r="C660">
        <v>1</v>
      </c>
      <c r="D660">
        <v>1</v>
      </c>
      <c r="E660">
        <v>0</v>
      </c>
    </row>
    <row r="661" spans="1:5" ht="15.75" customHeight="1" x14ac:dyDescent="0.25">
      <c r="A661">
        <v>2011</v>
      </c>
      <c r="B661">
        <v>6</v>
      </c>
      <c r="C661">
        <v>2</v>
      </c>
      <c r="D661">
        <v>1</v>
      </c>
      <c r="E661">
        <v>0</v>
      </c>
    </row>
    <row r="662" spans="1:5" ht="15.75" customHeight="1" x14ac:dyDescent="0.25">
      <c r="A662">
        <v>2012</v>
      </c>
      <c r="B662">
        <v>1</v>
      </c>
      <c r="C662">
        <v>1</v>
      </c>
      <c r="D662">
        <v>0.99446999999999997</v>
      </c>
      <c r="E662">
        <v>5.5300000000000002E-3</v>
      </c>
    </row>
    <row r="663" spans="1:5" ht="15.75" customHeight="1" x14ac:dyDescent="0.25">
      <c r="A663">
        <v>2012</v>
      </c>
      <c r="B663">
        <v>1</v>
      </c>
      <c r="C663">
        <v>2</v>
      </c>
      <c r="D663">
        <v>0.99460999999999999</v>
      </c>
      <c r="E663">
        <v>5.3899999999999998E-3</v>
      </c>
    </row>
    <row r="664" spans="1:5" ht="15.75" customHeight="1" x14ac:dyDescent="0.25">
      <c r="A664">
        <v>2012</v>
      </c>
      <c r="B664">
        <v>2</v>
      </c>
      <c r="C664">
        <v>1</v>
      </c>
      <c r="D664">
        <v>0.99614999999999998</v>
      </c>
      <c r="E664">
        <v>3.8500000000000001E-3</v>
      </c>
    </row>
    <row r="665" spans="1:5" ht="15.75" customHeight="1" x14ac:dyDescent="0.25">
      <c r="A665">
        <v>2012</v>
      </c>
      <c r="B665">
        <v>2</v>
      </c>
      <c r="C665">
        <v>2</v>
      </c>
      <c r="D665">
        <v>0.99095</v>
      </c>
      <c r="E665">
        <v>9.0500000000000008E-3</v>
      </c>
    </row>
    <row r="666" spans="1:5" ht="15.75" customHeight="1" x14ac:dyDescent="0.25">
      <c r="A666">
        <v>2012</v>
      </c>
      <c r="B666">
        <v>3</v>
      </c>
      <c r="C666">
        <v>1</v>
      </c>
      <c r="D666">
        <v>0.99512999999999996</v>
      </c>
      <c r="E666">
        <v>4.8700000000000002E-3</v>
      </c>
    </row>
    <row r="667" spans="1:5" ht="15.75" customHeight="1" x14ac:dyDescent="0.25">
      <c r="A667">
        <v>2012</v>
      </c>
      <c r="B667">
        <v>3</v>
      </c>
      <c r="C667">
        <v>2</v>
      </c>
      <c r="D667">
        <v>0.99267000000000005</v>
      </c>
      <c r="E667">
        <v>7.3299999999999997E-3</v>
      </c>
    </row>
    <row r="668" spans="1:5" ht="15.75" customHeight="1" x14ac:dyDescent="0.25">
      <c r="A668">
        <v>2012</v>
      </c>
      <c r="B668">
        <v>4</v>
      </c>
      <c r="C668">
        <v>1</v>
      </c>
      <c r="D668">
        <v>0.99441999999999997</v>
      </c>
      <c r="E668">
        <v>5.5799999999999999E-3</v>
      </c>
    </row>
    <row r="669" spans="1:5" ht="15.75" customHeight="1" x14ac:dyDescent="0.25">
      <c r="A669">
        <v>2012</v>
      </c>
      <c r="B669">
        <v>4</v>
      </c>
      <c r="C669">
        <v>2</v>
      </c>
      <c r="D669">
        <v>0.99521000000000004</v>
      </c>
      <c r="E669">
        <v>4.79E-3</v>
      </c>
    </row>
    <row r="670" spans="1:5" ht="15.75" customHeight="1" x14ac:dyDescent="0.25">
      <c r="A670">
        <v>2012</v>
      </c>
      <c r="B670">
        <v>5</v>
      </c>
      <c r="C670">
        <v>1</v>
      </c>
      <c r="D670">
        <v>0.99297000000000002</v>
      </c>
      <c r="E670">
        <v>7.0299999999999998E-3</v>
      </c>
    </row>
    <row r="671" spans="1:5" ht="15.75" customHeight="1" x14ac:dyDescent="0.25">
      <c r="A671">
        <v>2012</v>
      </c>
      <c r="B671">
        <v>5</v>
      </c>
      <c r="C671">
        <v>2</v>
      </c>
      <c r="D671">
        <v>0.99895999999999996</v>
      </c>
      <c r="E671">
        <v>1.0399999999999999E-3</v>
      </c>
    </row>
    <row r="672" spans="1:5" ht="15.75" customHeight="1" x14ac:dyDescent="0.25">
      <c r="A672">
        <v>2012</v>
      </c>
      <c r="B672">
        <v>6</v>
      </c>
      <c r="C672">
        <v>1</v>
      </c>
      <c r="D672">
        <v>0.99563000000000001</v>
      </c>
      <c r="E672">
        <v>4.3699999999999998E-3</v>
      </c>
    </row>
    <row r="673" spans="1:5" ht="15.75" customHeight="1" x14ac:dyDescent="0.25">
      <c r="A673">
        <v>2012</v>
      </c>
      <c r="B673">
        <v>6</v>
      </c>
      <c r="C673">
        <v>2</v>
      </c>
      <c r="D673">
        <v>0.99465999999999999</v>
      </c>
      <c r="E673">
        <v>5.3400000000000001E-3</v>
      </c>
    </row>
    <row r="674" spans="1:5" ht="15.75" customHeight="1" x14ac:dyDescent="0.25">
      <c r="A674">
        <v>2013</v>
      </c>
      <c r="B674">
        <v>1</v>
      </c>
      <c r="C674">
        <v>1</v>
      </c>
      <c r="D674">
        <v>0.99751000000000001</v>
      </c>
      <c r="E674">
        <v>2.49E-3</v>
      </c>
    </row>
    <row r="675" spans="1:5" ht="15.75" customHeight="1" x14ac:dyDescent="0.25">
      <c r="A675">
        <v>2013</v>
      </c>
      <c r="B675">
        <v>1</v>
      </c>
      <c r="C675">
        <v>2</v>
      </c>
      <c r="D675">
        <v>0.99658999999999998</v>
      </c>
      <c r="E675">
        <v>3.4099999999999998E-3</v>
      </c>
    </row>
    <row r="676" spans="1:5" ht="15.75" customHeight="1" x14ac:dyDescent="0.25">
      <c r="A676">
        <v>2013</v>
      </c>
      <c r="B676">
        <v>2</v>
      </c>
      <c r="C676">
        <v>1</v>
      </c>
      <c r="D676">
        <v>0.99404000000000003</v>
      </c>
      <c r="E676">
        <v>5.96E-3</v>
      </c>
    </row>
    <row r="677" spans="1:5" ht="15.75" customHeight="1" x14ac:dyDescent="0.25">
      <c r="A677">
        <v>2013</v>
      </c>
      <c r="B677">
        <v>2</v>
      </c>
      <c r="C677">
        <v>2</v>
      </c>
      <c r="D677">
        <v>0.99578</v>
      </c>
      <c r="E677">
        <v>4.2199999999999998E-3</v>
      </c>
    </row>
    <row r="678" spans="1:5" ht="15.75" customHeight="1" x14ac:dyDescent="0.25">
      <c r="A678">
        <v>2013</v>
      </c>
      <c r="B678">
        <v>3</v>
      </c>
      <c r="C678">
        <v>1</v>
      </c>
      <c r="D678">
        <v>0.99368000000000001</v>
      </c>
      <c r="E678">
        <v>6.3200000000000001E-3</v>
      </c>
    </row>
    <row r="679" spans="1:5" ht="15.75" customHeight="1" x14ac:dyDescent="0.25">
      <c r="A679">
        <v>2013</v>
      </c>
      <c r="B679">
        <v>3</v>
      </c>
      <c r="C679">
        <v>2</v>
      </c>
      <c r="D679">
        <v>0.99519999999999997</v>
      </c>
      <c r="E679">
        <v>4.7999999999999996E-3</v>
      </c>
    </row>
    <row r="680" spans="1:5" ht="15.75" customHeight="1" x14ac:dyDescent="0.25">
      <c r="A680">
        <v>2013</v>
      </c>
      <c r="B680">
        <v>4</v>
      </c>
      <c r="C680">
        <v>1</v>
      </c>
      <c r="D680">
        <v>0.99387000000000003</v>
      </c>
      <c r="E680">
        <v>6.13E-3</v>
      </c>
    </row>
    <row r="681" spans="1:5" ht="15.75" customHeight="1" x14ac:dyDescent="0.25">
      <c r="A681">
        <v>2013</v>
      </c>
      <c r="B681">
        <v>4</v>
      </c>
      <c r="C681">
        <v>2</v>
      </c>
      <c r="D681">
        <v>0.99622999999999995</v>
      </c>
      <c r="E681">
        <v>3.7699999999999999E-3</v>
      </c>
    </row>
    <row r="682" spans="1:5" ht="15.75" customHeight="1" x14ac:dyDescent="0.25">
      <c r="A682">
        <v>2013</v>
      </c>
      <c r="B682">
        <v>5</v>
      </c>
      <c r="C682">
        <v>1</v>
      </c>
      <c r="D682">
        <v>0.99534</v>
      </c>
      <c r="E682">
        <v>4.6600000000000001E-3</v>
      </c>
    </row>
    <row r="683" spans="1:5" ht="15.75" customHeight="1" x14ac:dyDescent="0.25">
      <c r="A683">
        <v>2013</v>
      </c>
      <c r="B683">
        <v>5</v>
      </c>
      <c r="C683">
        <v>2</v>
      </c>
      <c r="D683">
        <v>0.99456999999999995</v>
      </c>
      <c r="E683">
        <v>5.4299999999999999E-3</v>
      </c>
    </row>
    <row r="684" spans="1:5" ht="15.75" customHeight="1" x14ac:dyDescent="0.25">
      <c r="A684">
        <v>2013</v>
      </c>
      <c r="B684">
        <v>6</v>
      </c>
      <c r="C684">
        <v>1</v>
      </c>
      <c r="D684">
        <v>0.99283999999999994</v>
      </c>
      <c r="E684">
        <v>7.1599999999999997E-3</v>
      </c>
    </row>
    <row r="685" spans="1:5" ht="15.75" customHeight="1" x14ac:dyDescent="0.25">
      <c r="A685">
        <v>2013</v>
      </c>
      <c r="B685">
        <v>6</v>
      </c>
      <c r="C685">
        <v>2</v>
      </c>
      <c r="D685">
        <v>0.99434999999999996</v>
      </c>
      <c r="E685">
        <v>5.6499999999999996E-3</v>
      </c>
    </row>
    <row r="686" spans="1:5" ht="15.75" customHeight="1" x14ac:dyDescent="0.25">
      <c r="A686">
        <v>2014</v>
      </c>
      <c r="B686">
        <v>1</v>
      </c>
      <c r="C686">
        <v>1</v>
      </c>
      <c r="D686">
        <v>0.99409999999999998</v>
      </c>
      <c r="E686">
        <v>5.8999999999999999E-3</v>
      </c>
    </row>
    <row r="687" spans="1:5" ht="15.75" customHeight="1" x14ac:dyDescent="0.25">
      <c r="A687">
        <v>2014</v>
      </c>
      <c r="B687">
        <v>1</v>
      </c>
      <c r="C687">
        <v>2</v>
      </c>
      <c r="D687">
        <v>0.99724000000000002</v>
      </c>
      <c r="E687">
        <v>2.7599999999999999E-3</v>
      </c>
    </row>
    <row r="688" spans="1:5" ht="15.75" customHeight="1" x14ac:dyDescent="0.25">
      <c r="A688">
        <v>2014</v>
      </c>
      <c r="B688">
        <v>2</v>
      </c>
      <c r="C688">
        <v>1</v>
      </c>
      <c r="D688">
        <v>0.99519999999999997</v>
      </c>
      <c r="E688">
        <v>4.7999999999999996E-3</v>
      </c>
    </row>
    <row r="689" spans="1:5" ht="15.75" customHeight="1" x14ac:dyDescent="0.25">
      <c r="A689">
        <v>2014</v>
      </c>
      <c r="B689">
        <v>2</v>
      </c>
      <c r="C689">
        <v>2</v>
      </c>
      <c r="D689">
        <v>0.99539999999999995</v>
      </c>
      <c r="E689">
        <v>4.5999999999999999E-3</v>
      </c>
    </row>
    <row r="690" spans="1:5" ht="15.75" customHeight="1" x14ac:dyDescent="0.25">
      <c r="A690">
        <v>2014</v>
      </c>
      <c r="B690">
        <v>3</v>
      </c>
      <c r="C690">
        <v>1</v>
      </c>
      <c r="D690">
        <v>0.99136999999999997</v>
      </c>
      <c r="E690">
        <v>8.6300000000000005E-3</v>
      </c>
    </row>
    <row r="691" spans="1:5" ht="15.75" customHeight="1" x14ac:dyDescent="0.25">
      <c r="A691">
        <v>2014</v>
      </c>
      <c r="B691">
        <v>3</v>
      </c>
      <c r="C691">
        <v>2</v>
      </c>
      <c r="D691">
        <v>0.99239999999999995</v>
      </c>
      <c r="E691">
        <v>7.6E-3</v>
      </c>
    </row>
    <row r="692" spans="1:5" ht="15.75" customHeight="1" x14ac:dyDescent="0.25">
      <c r="A692">
        <v>2014</v>
      </c>
      <c r="B692">
        <v>4</v>
      </c>
      <c r="C692">
        <v>1</v>
      </c>
      <c r="D692">
        <v>0.99673</v>
      </c>
      <c r="E692">
        <v>3.2699999999999999E-3</v>
      </c>
    </row>
    <row r="693" spans="1:5" ht="15.75" customHeight="1" x14ac:dyDescent="0.25">
      <c r="A693">
        <v>2014</v>
      </c>
      <c r="B693">
        <v>4</v>
      </c>
      <c r="C693">
        <v>2</v>
      </c>
      <c r="D693">
        <v>0.99614000000000003</v>
      </c>
      <c r="E693">
        <v>3.8600000000000001E-3</v>
      </c>
    </row>
    <row r="694" spans="1:5" ht="15.75" customHeight="1" x14ac:dyDescent="0.25">
      <c r="A694">
        <v>2014</v>
      </c>
      <c r="B694">
        <v>5</v>
      </c>
      <c r="C694">
        <v>1</v>
      </c>
      <c r="D694">
        <v>0.99419000000000002</v>
      </c>
      <c r="E694">
        <v>5.8100000000000001E-3</v>
      </c>
    </row>
    <row r="695" spans="1:5" ht="15.75" customHeight="1" x14ac:dyDescent="0.25">
      <c r="A695">
        <v>2014</v>
      </c>
      <c r="B695">
        <v>5</v>
      </c>
      <c r="C695">
        <v>2</v>
      </c>
      <c r="D695">
        <v>0.99121000000000004</v>
      </c>
      <c r="E695">
        <v>8.7899999999999992E-3</v>
      </c>
    </row>
    <row r="696" spans="1:5" ht="15.75" customHeight="1" x14ac:dyDescent="0.25">
      <c r="A696">
        <v>2014</v>
      </c>
      <c r="B696">
        <v>6</v>
      </c>
      <c r="C696">
        <v>1</v>
      </c>
      <c r="D696">
        <v>0.98792000000000002</v>
      </c>
      <c r="E696">
        <v>1.208E-2</v>
      </c>
    </row>
    <row r="697" spans="1:5" ht="15.75" customHeight="1" x14ac:dyDescent="0.25">
      <c r="A697">
        <v>2014</v>
      </c>
      <c r="B697">
        <v>6</v>
      </c>
      <c r="C697">
        <v>2</v>
      </c>
      <c r="D697">
        <v>0.99153000000000002</v>
      </c>
      <c r="E697">
        <v>8.4700000000000001E-3</v>
      </c>
    </row>
    <row r="698" spans="1:5" ht="15.75" customHeight="1" x14ac:dyDescent="0.25">
      <c r="A698">
        <v>2015</v>
      </c>
      <c r="B698">
        <v>1</v>
      </c>
      <c r="C698">
        <v>1</v>
      </c>
      <c r="D698">
        <v>0.99195</v>
      </c>
      <c r="E698">
        <v>8.0499999999999999E-3</v>
      </c>
    </row>
    <row r="699" spans="1:5" ht="15.75" customHeight="1" x14ac:dyDescent="0.25">
      <c r="A699">
        <v>2015</v>
      </c>
      <c r="B699">
        <v>1</v>
      </c>
      <c r="C699">
        <v>2</v>
      </c>
      <c r="D699">
        <v>0.99617</v>
      </c>
      <c r="E699">
        <v>3.8300000000000001E-3</v>
      </c>
    </row>
    <row r="700" spans="1:5" ht="15.75" customHeight="1" x14ac:dyDescent="0.25">
      <c r="A700">
        <v>2015</v>
      </c>
      <c r="B700">
        <v>2</v>
      </c>
      <c r="C700">
        <v>1</v>
      </c>
      <c r="D700">
        <v>0.99500999999999995</v>
      </c>
      <c r="E700">
        <v>4.9899999999999996E-3</v>
      </c>
    </row>
    <row r="701" spans="1:5" ht="15.75" customHeight="1" x14ac:dyDescent="0.25">
      <c r="A701">
        <v>2015</v>
      </c>
      <c r="B701">
        <v>2</v>
      </c>
      <c r="C701">
        <v>2</v>
      </c>
      <c r="D701">
        <v>0.99339</v>
      </c>
      <c r="E701">
        <v>6.6100000000000004E-3</v>
      </c>
    </row>
    <row r="702" spans="1:5" ht="15.75" customHeight="1" x14ac:dyDescent="0.25">
      <c r="A702">
        <v>2015</v>
      </c>
      <c r="B702">
        <v>3</v>
      </c>
      <c r="C702">
        <v>1</v>
      </c>
      <c r="D702">
        <v>0.99324000000000001</v>
      </c>
      <c r="E702">
        <v>6.7600000000000004E-3</v>
      </c>
    </row>
    <row r="703" spans="1:5" ht="15.75" customHeight="1" x14ac:dyDescent="0.25">
      <c r="A703">
        <v>2015</v>
      </c>
      <c r="B703">
        <v>3</v>
      </c>
      <c r="C703">
        <v>2</v>
      </c>
      <c r="D703">
        <v>0.99643000000000004</v>
      </c>
      <c r="E703">
        <v>3.5699999999999998E-3</v>
      </c>
    </row>
    <row r="704" spans="1:5" ht="15.75" customHeight="1" x14ac:dyDescent="0.25">
      <c r="A704">
        <v>2015</v>
      </c>
      <c r="B704">
        <v>4</v>
      </c>
      <c r="C704">
        <v>1</v>
      </c>
      <c r="D704">
        <v>0.99400999999999995</v>
      </c>
      <c r="E704">
        <v>5.9899999999999997E-3</v>
      </c>
    </row>
    <row r="705" spans="1:5" ht="15.75" customHeight="1" x14ac:dyDescent="0.25">
      <c r="A705">
        <v>2015</v>
      </c>
      <c r="B705">
        <v>4</v>
      </c>
      <c r="C705">
        <v>2</v>
      </c>
      <c r="D705">
        <v>0.99409999999999998</v>
      </c>
      <c r="E705">
        <v>5.8999999999999999E-3</v>
      </c>
    </row>
    <row r="706" spans="1:5" ht="15.75" customHeight="1" x14ac:dyDescent="0.25">
      <c r="A706">
        <v>2015</v>
      </c>
      <c r="B706">
        <v>5</v>
      </c>
      <c r="C706">
        <v>1</v>
      </c>
      <c r="D706">
        <v>0.99824000000000002</v>
      </c>
      <c r="E706">
        <v>1.7600000000000001E-3</v>
      </c>
    </row>
    <row r="707" spans="1:5" ht="15.75" customHeight="1" x14ac:dyDescent="0.25">
      <c r="A707">
        <v>2015</v>
      </c>
      <c r="B707">
        <v>5</v>
      </c>
      <c r="C707">
        <v>2</v>
      </c>
      <c r="D707">
        <v>0.99333000000000005</v>
      </c>
      <c r="E707">
        <v>6.6699999999999997E-3</v>
      </c>
    </row>
    <row r="708" spans="1:5" ht="15.75" customHeight="1" x14ac:dyDescent="0.25">
      <c r="A708">
        <v>2015</v>
      </c>
      <c r="B708">
        <v>6</v>
      </c>
      <c r="C708">
        <v>1</v>
      </c>
      <c r="D708">
        <v>0.99504000000000004</v>
      </c>
      <c r="E708">
        <v>4.96E-3</v>
      </c>
    </row>
    <row r="709" spans="1:5" ht="15.75" customHeight="1" x14ac:dyDescent="0.25">
      <c r="A709">
        <v>2015</v>
      </c>
      <c r="B709">
        <v>6</v>
      </c>
      <c r="C709">
        <v>2</v>
      </c>
      <c r="D709">
        <v>0.98946000000000001</v>
      </c>
      <c r="E709">
        <v>1.0540000000000001E-2</v>
      </c>
    </row>
    <row r="710" spans="1:5" ht="15.75" customHeight="1" x14ac:dyDescent="0.25">
      <c r="A710">
        <v>2016</v>
      </c>
      <c r="B710">
        <v>1</v>
      </c>
      <c r="C710">
        <v>1</v>
      </c>
      <c r="D710">
        <v>0.99221000000000004</v>
      </c>
      <c r="E710">
        <v>7.79E-3</v>
      </c>
    </row>
    <row r="711" spans="1:5" ht="15.75" customHeight="1" x14ac:dyDescent="0.25">
      <c r="A711">
        <v>2016</v>
      </c>
      <c r="B711">
        <v>1</v>
      </c>
      <c r="C711">
        <v>2</v>
      </c>
      <c r="D711">
        <v>0.99631000000000003</v>
      </c>
      <c r="E711">
        <v>3.6900000000000001E-3</v>
      </c>
    </row>
    <row r="712" spans="1:5" ht="15.75" customHeight="1" x14ac:dyDescent="0.25">
      <c r="A712">
        <v>2016</v>
      </c>
      <c r="B712">
        <v>2</v>
      </c>
      <c r="C712">
        <v>1</v>
      </c>
      <c r="D712">
        <v>0.99407999999999996</v>
      </c>
      <c r="E712">
        <v>5.9199999999999999E-3</v>
      </c>
    </row>
    <row r="713" spans="1:5" ht="15.75" customHeight="1" x14ac:dyDescent="0.25">
      <c r="A713">
        <v>2016</v>
      </c>
      <c r="B713">
        <v>2</v>
      </c>
      <c r="C713">
        <v>2</v>
      </c>
      <c r="D713">
        <v>0.99670000000000003</v>
      </c>
      <c r="E713">
        <v>3.3E-3</v>
      </c>
    </row>
    <row r="714" spans="1:5" ht="15.75" customHeight="1" x14ac:dyDescent="0.25">
      <c r="A714">
        <v>2016</v>
      </c>
      <c r="B714">
        <v>3</v>
      </c>
      <c r="C714">
        <v>1</v>
      </c>
      <c r="D714">
        <v>0.99345000000000006</v>
      </c>
      <c r="E714">
        <v>6.5500000000000003E-3</v>
      </c>
    </row>
    <row r="715" spans="1:5" ht="15.75" customHeight="1" x14ac:dyDescent="0.25">
      <c r="A715">
        <v>2016</v>
      </c>
      <c r="B715">
        <v>3</v>
      </c>
      <c r="C715">
        <v>2</v>
      </c>
      <c r="D715">
        <v>0.99434</v>
      </c>
      <c r="E715">
        <v>5.6600000000000001E-3</v>
      </c>
    </row>
    <row r="716" spans="1:5" ht="15.75" customHeight="1" x14ac:dyDescent="0.25">
      <c r="A716">
        <v>2016</v>
      </c>
      <c r="B716">
        <v>4</v>
      </c>
      <c r="C716">
        <v>1</v>
      </c>
      <c r="D716">
        <v>0.99390000000000001</v>
      </c>
      <c r="E716">
        <v>6.1000000000000004E-3</v>
      </c>
    </row>
    <row r="717" spans="1:5" ht="15.75" customHeight="1" x14ac:dyDescent="0.25">
      <c r="A717">
        <v>2016</v>
      </c>
      <c r="B717">
        <v>4</v>
      </c>
      <c r="C717">
        <v>2</v>
      </c>
      <c r="D717">
        <v>0.99443000000000004</v>
      </c>
      <c r="E717">
        <v>5.5700000000000003E-3</v>
      </c>
    </row>
    <row r="718" spans="1:5" ht="15.75" customHeight="1" x14ac:dyDescent="0.25">
      <c r="A718">
        <v>2016</v>
      </c>
      <c r="B718">
        <v>5</v>
      </c>
      <c r="C718">
        <v>1</v>
      </c>
      <c r="D718">
        <v>0.99941999999999998</v>
      </c>
      <c r="E718">
        <v>5.8E-4</v>
      </c>
    </row>
    <row r="719" spans="1:5" ht="15.75" customHeight="1" x14ac:dyDescent="0.25">
      <c r="A719">
        <v>2016</v>
      </c>
      <c r="B719">
        <v>5</v>
      </c>
      <c r="C719">
        <v>2</v>
      </c>
      <c r="D719">
        <v>0.99851999999999996</v>
      </c>
      <c r="E719">
        <v>1.48E-3</v>
      </c>
    </row>
    <row r="720" spans="1:5" ht="15.75" customHeight="1" x14ac:dyDescent="0.25">
      <c r="A720">
        <v>2016</v>
      </c>
      <c r="B720">
        <v>6</v>
      </c>
      <c r="C720">
        <v>1</v>
      </c>
      <c r="D720">
        <v>0.99470000000000003</v>
      </c>
      <c r="E720">
        <v>5.3E-3</v>
      </c>
    </row>
    <row r="721" spans="1:5" ht="15.75" customHeight="1" x14ac:dyDescent="0.25">
      <c r="A721">
        <v>2016</v>
      </c>
      <c r="B721">
        <v>6</v>
      </c>
      <c r="C721">
        <v>2</v>
      </c>
      <c r="D721">
        <v>0.98841000000000001</v>
      </c>
      <c r="E721">
        <v>1.159E-2</v>
      </c>
    </row>
    <row r="722" spans="1:5" ht="15.75" customHeight="1" x14ac:dyDescent="0.25">
      <c r="A722">
        <v>2017</v>
      </c>
      <c r="B722">
        <v>1</v>
      </c>
      <c r="C722">
        <v>1</v>
      </c>
      <c r="D722">
        <v>0.98775000000000002</v>
      </c>
      <c r="E722">
        <v>1.225E-2</v>
      </c>
    </row>
    <row r="723" spans="1:5" ht="15.75" customHeight="1" x14ac:dyDescent="0.25">
      <c r="A723">
        <v>2017</v>
      </c>
      <c r="B723">
        <v>1</v>
      </c>
      <c r="C723">
        <v>2</v>
      </c>
      <c r="D723">
        <v>0.99602999999999997</v>
      </c>
      <c r="E723">
        <v>3.9699999999999996E-3</v>
      </c>
    </row>
    <row r="724" spans="1:5" ht="15.75" customHeight="1" x14ac:dyDescent="0.25">
      <c r="A724">
        <v>2017</v>
      </c>
      <c r="B724">
        <v>2</v>
      </c>
      <c r="C724">
        <v>1</v>
      </c>
      <c r="D724">
        <v>0.99658999999999998</v>
      </c>
      <c r="E724">
        <v>3.4099999999999998E-3</v>
      </c>
    </row>
    <row r="725" spans="1:5" ht="15.75" customHeight="1" x14ac:dyDescent="0.25">
      <c r="A725">
        <v>2017</v>
      </c>
      <c r="B725">
        <v>2</v>
      </c>
      <c r="C725">
        <v>2</v>
      </c>
      <c r="D725">
        <v>0.99497000000000002</v>
      </c>
      <c r="E725">
        <v>5.0299999999999997E-3</v>
      </c>
    </row>
    <row r="726" spans="1:5" ht="15.75" customHeight="1" x14ac:dyDescent="0.25">
      <c r="A726">
        <v>2017</v>
      </c>
      <c r="B726">
        <v>3</v>
      </c>
      <c r="C726">
        <v>1</v>
      </c>
      <c r="D726">
        <v>0.99319000000000002</v>
      </c>
      <c r="E726">
        <v>6.8100000000000001E-3</v>
      </c>
    </row>
    <row r="727" spans="1:5" ht="15.75" customHeight="1" x14ac:dyDescent="0.25">
      <c r="A727">
        <v>2017</v>
      </c>
      <c r="B727">
        <v>3</v>
      </c>
      <c r="C727">
        <v>2</v>
      </c>
      <c r="D727">
        <v>0.99565999999999999</v>
      </c>
      <c r="E727">
        <v>4.3400000000000001E-3</v>
      </c>
    </row>
    <row r="728" spans="1:5" ht="15.75" customHeight="1" x14ac:dyDescent="0.25">
      <c r="A728">
        <v>2017</v>
      </c>
      <c r="B728">
        <v>4</v>
      </c>
      <c r="C728">
        <v>1</v>
      </c>
      <c r="D728">
        <v>0.98967000000000005</v>
      </c>
      <c r="E728">
        <v>1.0330000000000001E-2</v>
      </c>
    </row>
    <row r="729" spans="1:5" ht="15.75" customHeight="1" x14ac:dyDescent="0.25">
      <c r="A729">
        <v>2017</v>
      </c>
      <c r="B729">
        <v>4</v>
      </c>
      <c r="C729">
        <v>2</v>
      </c>
      <c r="D729">
        <v>0.99395999999999995</v>
      </c>
      <c r="E729">
        <v>6.0400000000000002E-3</v>
      </c>
    </row>
    <row r="730" spans="1:5" ht="15.75" customHeight="1" x14ac:dyDescent="0.25">
      <c r="A730">
        <v>2017</v>
      </c>
      <c r="B730">
        <v>5</v>
      </c>
      <c r="C730">
        <v>1</v>
      </c>
      <c r="D730">
        <v>0.99672000000000005</v>
      </c>
      <c r="E730">
        <v>3.2799999999999999E-3</v>
      </c>
    </row>
    <row r="731" spans="1:5" ht="15.75" customHeight="1" x14ac:dyDescent="0.25">
      <c r="A731">
        <v>2017</v>
      </c>
      <c r="B731">
        <v>5</v>
      </c>
      <c r="C731">
        <v>2</v>
      </c>
      <c r="D731">
        <v>0.99748999999999999</v>
      </c>
      <c r="E731">
        <v>2.5100000000000001E-3</v>
      </c>
    </row>
    <row r="732" spans="1:5" ht="15.75" customHeight="1" x14ac:dyDescent="0.25">
      <c r="A732">
        <v>2017</v>
      </c>
      <c r="B732">
        <v>6</v>
      </c>
      <c r="C732">
        <v>1</v>
      </c>
      <c r="D732">
        <v>0.99406000000000005</v>
      </c>
      <c r="E732">
        <v>5.94E-3</v>
      </c>
    </row>
    <row r="733" spans="1:5" ht="15.75" customHeight="1" x14ac:dyDescent="0.25">
      <c r="A733">
        <v>2017</v>
      </c>
      <c r="B733">
        <v>6</v>
      </c>
      <c r="C733">
        <v>2</v>
      </c>
      <c r="D733">
        <v>0.99424999999999997</v>
      </c>
      <c r="E733">
        <v>5.7499999999999999E-3</v>
      </c>
    </row>
    <row r="734" spans="1:5" ht="15.75" customHeight="1" x14ac:dyDescent="0.25">
      <c r="A734">
        <v>2018</v>
      </c>
      <c r="B734">
        <v>1</v>
      </c>
      <c r="C734">
        <v>1</v>
      </c>
      <c r="D734">
        <v>0.99414000000000002</v>
      </c>
      <c r="E734">
        <v>5.8599999999999998E-3</v>
      </c>
    </row>
    <row r="735" spans="1:5" ht="15.75" customHeight="1" x14ac:dyDescent="0.25">
      <c r="A735">
        <v>2018</v>
      </c>
      <c r="B735">
        <v>1</v>
      </c>
      <c r="C735">
        <v>2</v>
      </c>
      <c r="D735">
        <v>0.99609999999999999</v>
      </c>
      <c r="E735">
        <v>3.8999999999999998E-3</v>
      </c>
    </row>
    <row r="736" spans="1:5" ht="15.75" customHeight="1" x14ac:dyDescent="0.25">
      <c r="A736">
        <v>2018</v>
      </c>
      <c r="B736">
        <v>2</v>
      </c>
      <c r="C736">
        <v>1</v>
      </c>
      <c r="D736">
        <v>0.99424999999999997</v>
      </c>
      <c r="E736">
        <v>5.7499999999999999E-3</v>
      </c>
    </row>
    <row r="737" spans="1:5" ht="15.75" customHeight="1" x14ac:dyDescent="0.25">
      <c r="A737">
        <v>2018</v>
      </c>
      <c r="B737">
        <v>2</v>
      </c>
      <c r="C737">
        <v>2</v>
      </c>
      <c r="D737">
        <v>0.99702999999999997</v>
      </c>
      <c r="E737">
        <v>2.97E-3</v>
      </c>
    </row>
    <row r="738" spans="1:5" ht="15.75" customHeight="1" x14ac:dyDescent="0.25">
      <c r="A738">
        <v>2018</v>
      </c>
      <c r="B738">
        <v>3</v>
      </c>
      <c r="C738">
        <v>1</v>
      </c>
      <c r="D738">
        <v>0.99134999999999995</v>
      </c>
      <c r="E738">
        <v>8.6499999999999997E-3</v>
      </c>
    </row>
    <row r="739" spans="1:5" ht="15.75" customHeight="1" x14ac:dyDescent="0.25">
      <c r="A739">
        <v>2018</v>
      </c>
      <c r="B739">
        <v>3</v>
      </c>
      <c r="C739">
        <v>2</v>
      </c>
      <c r="D739">
        <v>0.99434</v>
      </c>
      <c r="E739">
        <v>5.6600000000000001E-3</v>
      </c>
    </row>
    <row r="740" spans="1:5" ht="15.75" customHeight="1" x14ac:dyDescent="0.25">
      <c r="A740">
        <v>2018</v>
      </c>
      <c r="B740">
        <v>4</v>
      </c>
      <c r="C740">
        <v>1</v>
      </c>
      <c r="D740">
        <v>0.99509000000000003</v>
      </c>
      <c r="E740">
        <v>4.9100000000000003E-3</v>
      </c>
    </row>
    <row r="741" spans="1:5" ht="15.75" customHeight="1" x14ac:dyDescent="0.25">
      <c r="A741">
        <v>2018</v>
      </c>
      <c r="B741">
        <v>4</v>
      </c>
      <c r="C741">
        <v>2</v>
      </c>
      <c r="D741">
        <v>0.99436999999999998</v>
      </c>
      <c r="E741">
        <v>5.6299999999999996E-3</v>
      </c>
    </row>
    <row r="742" spans="1:5" ht="15.75" customHeight="1" x14ac:dyDescent="0.25">
      <c r="A742">
        <v>2018</v>
      </c>
      <c r="B742">
        <v>5</v>
      </c>
      <c r="C742">
        <v>1</v>
      </c>
      <c r="D742">
        <v>0.99865999999999999</v>
      </c>
      <c r="E742">
        <v>1.34E-3</v>
      </c>
    </row>
    <row r="743" spans="1:5" ht="15.75" customHeight="1" x14ac:dyDescent="0.25">
      <c r="A743">
        <v>2018</v>
      </c>
      <c r="B743">
        <v>5</v>
      </c>
      <c r="C743">
        <v>2</v>
      </c>
      <c r="D743">
        <v>1</v>
      </c>
      <c r="E743">
        <v>0</v>
      </c>
    </row>
    <row r="744" spans="1:5" ht="15.75" customHeight="1" x14ac:dyDescent="0.25">
      <c r="A744">
        <v>2018</v>
      </c>
      <c r="B744">
        <v>6</v>
      </c>
      <c r="C744">
        <v>1</v>
      </c>
      <c r="D744">
        <v>0.99056</v>
      </c>
      <c r="E744">
        <v>9.4400000000000005E-3</v>
      </c>
    </row>
    <row r="745" spans="1:5" ht="15.75" customHeight="1" x14ac:dyDescent="0.25">
      <c r="A745">
        <v>2018</v>
      </c>
      <c r="B745">
        <v>6</v>
      </c>
      <c r="C745">
        <v>2</v>
      </c>
      <c r="D745">
        <v>0.98612</v>
      </c>
      <c r="E745">
        <v>1.388E-2</v>
      </c>
    </row>
    <row r="746" spans="1:5" ht="15.75" customHeight="1" x14ac:dyDescent="0.25"/>
    <row r="747" spans="1:5" ht="15.75" customHeight="1" x14ac:dyDescent="0.25"/>
    <row r="748" spans="1:5" ht="15.75" customHeight="1" x14ac:dyDescent="0.25"/>
    <row r="749" spans="1:5" ht="15.75" customHeight="1" x14ac:dyDescent="0.25"/>
    <row r="750" spans="1:5" ht="15.75" customHeight="1" x14ac:dyDescent="0.25"/>
    <row r="751" spans="1:5" ht="15.75" customHeight="1" x14ac:dyDescent="0.25"/>
    <row r="752" spans="1:5" ht="15.75" customHeight="1" x14ac:dyDescent="0.25"/>
    <row r="753" customFormat="1" ht="15.75" customHeight="1" x14ac:dyDescent="0.25"/>
    <row r="754" customFormat="1" ht="15.75" customHeight="1" x14ac:dyDescent="0.25"/>
    <row r="755" customFormat="1" ht="15.75" customHeight="1" x14ac:dyDescent="0.25"/>
    <row r="756" customFormat="1" ht="15.75" customHeight="1" x14ac:dyDescent="0.25"/>
    <row r="757" customFormat="1" ht="15.75" customHeight="1" x14ac:dyDescent="0.25"/>
    <row r="758" customFormat="1" ht="15.75" customHeight="1" x14ac:dyDescent="0.25"/>
    <row r="759" customFormat="1" ht="15.75" customHeight="1" x14ac:dyDescent="0.25"/>
    <row r="760" customFormat="1" ht="15.75" customHeight="1" x14ac:dyDescent="0.25"/>
    <row r="761" customFormat="1" ht="15.75" customHeight="1" x14ac:dyDescent="0.25"/>
    <row r="762" customFormat="1" ht="15.75" customHeight="1" x14ac:dyDescent="0.25"/>
    <row r="763" customFormat="1" ht="15.75" customHeight="1" x14ac:dyDescent="0.25"/>
    <row r="764" customFormat="1" ht="15.75" customHeight="1" x14ac:dyDescent="0.25"/>
    <row r="765" customFormat="1" ht="15.75" customHeight="1" x14ac:dyDescent="0.25"/>
    <row r="766" customFormat="1" ht="15.75" customHeight="1" x14ac:dyDescent="0.25"/>
    <row r="767" customFormat="1" ht="15.75" customHeight="1" x14ac:dyDescent="0.25"/>
    <row r="768" customFormat="1" ht="15.75" customHeight="1" x14ac:dyDescent="0.25"/>
    <row r="769" customFormat="1" ht="15.75" customHeight="1" x14ac:dyDescent="0.25"/>
    <row r="770" customFormat="1" ht="15.75" customHeight="1" x14ac:dyDescent="0.25"/>
    <row r="771" customFormat="1" ht="15.75" customHeight="1" x14ac:dyDescent="0.25"/>
    <row r="772" customFormat="1" ht="15.75" customHeight="1" x14ac:dyDescent="0.25"/>
    <row r="773" customFormat="1" ht="15.75" customHeight="1" x14ac:dyDescent="0.25"/>
    <row r="774" customFormat="1" ht="15.75" customHeight="1" x14ac:dyDescent="0.25"/>
    <row r="775" customFormat="1" ht="15.75" customHeight="1" x14ac:dyDescent="0.25"/>
    <row r="776" customFormat="1" ht="15.75" customHeight="1" x14ac:dyDescent="0.25"/>
    <row r="777" customFormat="1" ht="15.75" customHeight="1" x14ac:dyDescent="0.25"/>
    <row r="778" customFormat="1" ht="15.75" customHeight="1" x14ac:dyDescent="0.25"/>
    <row r="779" customFormat="1" ht="15.75" customHeight="1" x14ac:dyDescent="0.25"/>
    <row r="780" customFormat="1" ht="15.75" customHeight="1" x14ac:dyDescent="0.25"/>
    <row r="781" customFormat="1" ht="15.75" customHeight="1" x14ac:dyDescent="0.25"/>
    <row r="782" customFormat="1" ht="15.75" customHeight="1" x14ac:dyDescent="0.25"/>
    <row r="783" customFormat="1" ht="15.75" customHeight="1" x14ac:dyDescent="0.25"/>
    <row r="784" customFormat="1" ht="15.75" customHeight="1" x14ac:dyDescent="0.25"/>
    <row r="785" customFormat="1" ht="15.75" customHeight="1" x14ac:dyDescent="0.25"/>
    <row r="786" customFormat="1" ht="15.75" customHeight="1" x14ac:dyDescent="0.25"/>
    <row r="787" customFormat="1" ht="15.75" customHeight="1" x14ac:dyDescent="0.25"/>
    <row r="788" customFormat="1" ht="15.75" customHeight="1" x14ac:dyDescent="0.25"/>
    <row r="789" customFormat="1" ht="15.75" customHeight="1" x14ac:dyDescent="0.25"/>
    <row r="790" customFormat="1" ht="15.75" customHeight="1" x14ac:dyDescent="0.25"/>
    <row r="791" customFormat="1" ht="15.75" customHeight="1" x14ac:dyDescent="0.25"/>
    <row r="792" customFormat="1" ht="15.75" customHeight="1" x14ac:dyDescent="0.25"/>
    <row r="793" customFormat="1" ht="15.75" customHeight="1" x14ac:dyDescent="0.25"/>
    <row r="794" customFormat="1" ht="15.75" customHeight="1" x14ac:dyDescent="0.25"/>
    <row r="795" customFormat="1" ht="15.75" customHeight="1" x14ac:dyDescent="0.25"/>
    <row r="796" customFormat="1" ht="15.75" customHeight="1" x14ac:dyDescent="0.25"/>
    <row r="797" customFormat="1" ht="15.75" customHeight="1" x14ac:dyDescent="0.25"/>
    <row r="798" customFormat="1" ht="15.75" customHeight="1" x14ac:dyDescent="0.25"/>
    <row r="799" customFormat="1" ht="15.75" customHeight="1" x14ac:dyDescent="0.25"/>
    <row r="800" customFormat="1" ht="15.75" customHeight="1" x14ac:dyDescent="0.25"/>
    <row r="801" customFormat="1" ht="15.75" customHeight="1" x14ac:dyDescent="0.25"/>
    <row r="802" customFormat="1" ht="15.75" customHeight="1" x14ac:dyDescent="0.25"/>
    <row r="803" customFormat="1" ht="15.75" customHeight="1" x14ac:dyDescent="0.25"/>
    <row r="804" customFormat="1" ht="15.75" customHeight="1" x14ac:dyDescent="0.25"/>
    <row r="805" customFormat="1" ht="15.75" customHeight="1" x14ac:dyDescent="0.25"/>
    <row r="806" customFormat="1" ht="15.75" customHeight="1" x14ac:dyDescent="0.25"/>
    <row r="807" customFormat="1" ht="15.75" customHeight="1" x14ac:dyDescent="0.25"/>
    <row r="808" customFormat="1" ht="15.75" customHeight="1" x14ac:dyDescent="0.25"/>
    <row r="809" customFormat="1" ht="15.75" customHeight="1" x14ac:dyDescent="0.25"/>
    <row r="810" customFormat="1" ht="15.75" customHeight="1" x14ac:dyDescent="0.25"/>
    <row r="811" customFormat="1" ht="15.75" customHeight="1" x14ac:dyDescent="0.25"/>
    <row r="812" customFormat="1" ht="15.75" customHeight="1" x14ac:dyDescent="0.25"/>
    <row r="813" customFormat="1" ht="15.75" customHeight="1" x14ac:dyDescent="0.25"/>
    <row r="814" customFormat="1" ht="15.75" customHeight="1" x14ac:dyDescent="0.25"/>
    <row r="815" customFormat="1" ht="15.75" customHeight="1" x14ac:dyDescent="0.25"/>
    <row r="816" customFormat="1" ht="15.75" customHeight="1" x14ac:dyDescent="0.25"/>
    <row r="817" customFormat="1" ht="15.75" customHeight="1" x14ac:dyDescent="0.25"/>
    <row r="818" customFormat="1" ht="15.75" customHeight="1" x14ac:dyDescent="0.25"/>
    <row r="819" customFormat="1" ht="15.75" customHeight="1" x14ac:dyDescent="0.25"/>
    <row r="820" customFormat="1" ht="15.75" customHeight="1" x14ac:dyDescent="0.25"/>
    <row r="821" customFormat="1" ht="15.75" customHeight="1" x14ac:dyDescent="0.25"/>
    <row r="822" customFormat="1" ht="15.75" customHeight="1" x14ac:dyDescent="0.25"/>
    <row r="823" customFormat="1" ht="15.75" customHeight="1" x14ac:dyDescent="0.25"/>
    <row r="824" customFormat="1" ht="15.75" customHeight="1" x14ac:dyDescent="0.25"/>
    <row r="825" customFormat="1" ht="15.75" customHeight="1" x14ac:dyDescent="0.25"/>
    <row r="826" customFormat="1" ht="15.75" customHeight="1" x14ac:dyDescent="0.25"/>
    <row r="827" customFormat="1" ht="15.75" customHeight="1" x14ac:dyDescent="0.25"/>
    <row r="828" customFormat="1" ht="15.75" customHeight="1" x14ac:dyDescent="0.25"/>
    <row r="829" customFormat="1" ht="15.75" customHeight="1" x14ac:dyDescent="0.25"/>
    <row r="830" customFormat="1" ht="15.75" customHeight="1" x14ac:dyDescent="0.25"/>
    <row r="831" customFormat="1" ht="15.75" customHeight="1" x14ac:dyDescent="0.25"/>
    <row r="832" customFormat="1" ht="15.75" customHeight="1" x14ac:dyDescent="0.25"/>
    <row r="833" customFormat="1" ht="15.75" customHeight="1" x14ac:dyDescent="0.25"/>
    <row r="834" customFormat="1" ht="15.75" customHeight="1" x14ac:dyDescent="0.25"/>
    <row r="835" customFormat="1" ht="15.75" customHeight="1" x14ac:dyDescent="0.25"/>
    <row r="836" customFormat="1" ht="15.75" customHeight="1" x14ac:dyDescent="0.25"/>
    <row r="837" customFormat="1" ht="15.75" customHeight="1" x14ac:dyDescent="0.25"/>
    <row r="838" customFormat="1" ht="15.75" customHeight="1" x14ac:dyDescent="0.25"/>
    <row r="839" customFormat="1" ht="15.75" customHeight="1" x14ac:dyDescent="0.25"/>
    <row r="840" customFormat="1" ht="15.75" customHeight="1" x14ac:dyDescent="0.25"/>
    <row r="841" customFormat="1" ht="15.75" customHeight="1" x14ac:dyDescent="0.25"/>
    <row r="842" customFormat="1" ht="15.75" customHeight="1" x14ac:dyDescent="0.25"/>
    <row r="843" customFormat="1" ht="15.75" customHeight="1" x14ac:dyDescent="0.25"/>
    <row r="844" customFormat="1" ht="15.75" customHeight="1" x14ac:dyDescent="0.25"/>
    <row r="845" customFormat="1" ht="15.75" customHeight="1" x14ac:dyDescent="0.25"/>
    <row r="846" customFormat="1" ht="15.75" customHeight="1" x14ac:dyDescent="0.25"/>
    <row r="847" customFormat="1" ht="15.75" customHeight="1" x14ac:dyDescent="0.25"/>
    <row r="848" customFormat="1" ht="15.75" customHeight="1" x14ac:dyDescent="0.25"/>
    <row r="849" customFormat="1" ht="15.75" customHeight="1" x14ac:dyDescent="0.25"/>
    <row r="850" customFormat="1" ht="15.75" customHeight="1" x14ac:dyDescent="0.25"/>
    <row r="851" customFormat="1" ht="15.75" customHeight="1" x14ac:dyDescent="0.25"/>
    <row r="852" customFormat="1" ht="15.75" customHeight="1" x14ac:dyDescent="0.25"/>
    <row r="853" customFormat="1" ht="15.75" customHeight="1" x14ac:dyDescent="0.25"/>
    <row r="854" customFormat="1" ht="15.75" customHeight="1" x14ac:dyDescent="0.25"/>
    <row r="855" customFormat="1" ht="15.75" customHeight="1" x14ac:dyDescent="0.25"/>
    <row r="856" customFormat="1" ht="15.75" customHeight="1" x14ac:dyDescent="0.25"/>
    <row r="857" customFormat="1" ht="15.75" customHeight="1" x14ac:dyDescent="0.25"/>
    <row r="858" customFormat="1" ht="15.75" customHeight="1" x14ac:dyDescent="0.25"/>
    <row r="859" customFormat="1" ht="15.75" customHeight="1" x14ac:dyDescent="0.25"/>
    <row r="860" customFormat="1" ht="15.75" customHeight="1" x14ac:dyDescent="0.25"/>
    <row r="861" customFormat="1" ht="15.75" customHeight="1" x14ac:dyDescent="0.25"/>
    <row r="862" customFormat="1" ht="15.75" customHeight="1" x14ac:dyDescent="0.25"/>
    <row r="863" customFormat="1" ht="15.75" customHeight="1" x14ac:dyDescent="0.25"/>
    <row r="864" customFormat="1" ht="15.75" customHeight="1" x14ac:dyDescent="0.25"/>
    <row r="865" customFormat="1" ht="15.75" customHeight="1" x14ac:dyDescent="0.25"/>
    <row r="866" customFormat="1" ht="15.75" customHeight="1" x14ac:dyDescent="0.25"/>
    <row r="867" customFormat="1" ht="15" customHeight="1" x14ac:dyDescent="0.25"/>
    <row r="868" customFormat="1" ht="15" customHeight="1" x14ac:dyDescent="0.25"/>
    <row r="869" customFormat="1" ht="15" customHeight="1" x14ac:dyDescent="0.25"/>
    <row r="870" customFormat="1" ht="15" customHeight="1" x14ac:dyDescent="0.25"/>
    <row r="871" customFormat="1" ht="15" customHeight="1" x14ac:dyDescent="0.25"/>
    <row r="872" customFormat="1" ht="15" customHeight="1" x14ac:dyDescent="0.25"/>
    <row r="873" customFormat="1" ht="15" customHeight="1" x14ac:dyDescent="0.25"/>
    <row r="874" customFormat="1" ht="15" customHeight="1" x14ac:dyDescent="0.25"/>
    <row r="875" customFormat="1" ht="15" customHeight="1" x14ac:dyDescent="0.25"/>
    <row r="876" customFormat="1" ht="15" customHeight="1" x14ac:dyDescent="0.25"/>
    <row r="877" customFormat="1" ht="15" customHeight="1" x14ac:dyDescent="0.25"/>
    <row r="878" customFormat="1" ht="15" customHeight="1" x14ac:dyDescent="0.25"/>
    <row r="879" customFormat="1" ht="15" customHeight="1" x14ac:dyDescent="0.25"/>
    <row r="880" customFormat="1" ht="15" customHeight="1" x14ac:dyDescent="0.25"/>
    <row r="881" customFormat="1" ht="15" customHeight="1" x14ac:dyDescent="0.25"/>
    <row r="882" customFormat="1" ht="15" customHeight="1" x14ac:dyDescent="0.25"/>
    <row r="883" customFormat="1" ht="15" customHeight="1" x14ac:dyDescent="0.25"/>
    <row r="884" customFormat="1" ht="15" customHeight="1" x14ac:dyDescent="0.25"/>
    <row r="885" customFormat="1" ht="15" customHeight="1" x14ac:dyDescent="0.25"/>
    <row r="886" customFormat="1" ht="15" customHeight="1" x14ac:dyDescent="0.25"/>
    <row r="887" customFormat="1" ht="15" customHeight="1" x14ac:dyDescent="0.25"/>
    <row r="888" customFormat="1" ht="15" customHeight="1" x14ac:dyDescent="0.25"/>
    <row r="889" customFormat="1" ht="15" customHeight="1" x14ac:dyDescent="0.25"/>
    <row r="890" customFormat="1" ht="15" customHeight="1" x14ac:dyDescent="0.25"/>
    <row r="891" customFormat="1" ht="15" customHeight="1" x14ac:dyDescent="0.25"/>
    <row r="892" customFormat="1" ht="15" customHeight="1" x14ac:dyDescent="0.25"/>
    <row r="893" customFormat="1" ht="15" customHeight="1" x14ac:dyDescent="0.25"/>
    <row r="894" customFormat="1" ht="15" customHeight="1" x14ac:dyDescent="0.25"/>
    <row r="895" customFormat="1" ht="15" customHeight="1" x14ac:dyDescent="0.25"/>
    <row r="896" customFormat="1" ht="15" customHeight="1" x14ac:dyDescent="0.25"/>
    <row r="897" customFormat="1" ht="15" customHeight="1" x14ac:dyDescent="0.25"/>
    <row r="898" customFormat="1" ht="15" customHeight="1" x14ac:dyDescent="0.25"/>
    <row r="899" customFormat="1" ht="15" customHeight="1" x14ac:dyDescent="0.25"/>
    <row r="900" customFormat="1" ht="15" customHeight="1" x14ac:dyDescent="0.25"/>
    <row r="901" customFormat="1" ht="15" customHeight="1" x14ac:dyDescent="0.25"/>
    <row r="902" customFormat="1" ht="15" customHeight="1" x14ac:dyDescent="0.25"/>
    <row r="903" customFormat="1" ht="15" customHeight="1" x14ac:dyDescent="0.25"/>
    <row r="904" customFormat="1" ht="15" customHeight="1" x14ac:dyDescent="0.25"/>
    <row r="905" customFormat="1" ht="15" customHeight="1" x14ac:dyDescent="0.25"/>
    <row r="906" customFormat="1" ht="15" customHeight="1" x14ac:dyDescent="0.25"/>
    <row r="907" customFormat="1" ht="15" customHeight="1" x14ac:dyDescent="0.25"/>
    <row r="908" customFormat="1" ht="15" customHeight="1" x14ac:dyDescent="0.25"/>
    <row r="909" customFormat="1" ht="15" customHeight="1" x14ac:dyDescent="0.25"/>
    <row r="910" customFormat="1" ht="15" customHeight="1" x14ac:dyDescent="0.25"/>
    <row r="911" customFormat="1" ht="15" customHeight="1" x14ac:dyDescent="0.25"/>
    <row r="912" customFormat="1" ht="15" customHeight="1" x14ac:dyDescent="0.25"/>
    <row r="913" customFormat="1" ht="15" customHeight="1" x14ac:dyDescent="0.25"/>
    <row r="914" customFormat="1" ht="15" customHeight="1" x14ac:dyDescent="0.25"/>
    <row r="915" customFormat="1" ht="15" customHeight="1" x14ac:dyDescent="0.25"/>
    <row r="916" customFormat="1" ht="15" customHeight="1" x14ac:dyDescent="0.25"/>
    <row r="917" customFormat="1" ht="15" customHeight="1" x14ac:dyDescent="0.25"/>
    <row r="918" customFormat="1" ht="15" customHeight="1" x14ac:dyDescent="0.25"/>
    <row r="919" customFormat="1" ht="15" customHeight="1" x14ac:dyDescent="0.25"/>
    <row r="920" customFormat="1" ht="15" customHeight="1" x14ac:dyDescent="0.25"/>
    <row r="921" customFormat="1" ht="15" customHeight="1" x14ac:dyDescent="0.25"/>
    <row r="922" customFormat="1" ht="15" customHeight="1" x14ac:dyDescent="0.25"/>
    <row r="923" customFormat="1" ht="15" customHeight="1" x14ac:dyDescent="0.25"/>
    <row r="924" customFormat="1" ht="15" customHeight="1" x14ac:dyDescent="0.25"/>
    <row r="925" customFormat="1" ht="15" customHeight="1" x14ac:dyDescent="0.25"/>
    <row r="926" customFormat="1" ht="15" customHeight="1" x14ac:dyDescent="0.25"/>
    <row r="927" customFormat="1" ht="15" customHeight="1" x14ac:dyDescent="0.25"/>
    <row r="928" customFormat="1" ht="15" customHeight="1" x14ac:dyDescent="0.25"/>
    <row r="929" customFormat="1" ht="15" customHeight="1" x14ac:dyDescent="0.25"/>
    <row r="930" customFormat="1" ht="15" customHeight="1" x14ac:dyDescent="0.25"/>
    <row r="931" customFormat="1" ht="15" customHeight="1" x14ac:dyDescent="0.25"/>
    <row r="932" customFormat="1" ht="15" customHeight="1" x14ac:dyDescent="0.25"/>
    <row r="933" customFormat="1" ht="15" customHeight="1" x14ac:dyDescent="0.25"/>
    <row r="934" customFormat="1" ht="15" customHeight="1" x14ac:dyDescent="0.25"/>
    <row r="935" customFormat="1" ht="15" customHeight="1" x14ac:dyDescent="0.25"/>
    <row r="936" customFormat="1" ht="15" customHeight="1" x14ac:dyDescent="0.25"/>
    <row r="937" customFormat="1" ht="15" customHeight="1" x14ac:dyDescent="0.25"/>
    <row r="938" customFormat="1" ht="15" customHeight="1" x14ac:dyDescent="0.25"/>
    <row r="939" customFormat="1" ht="15" customHeight="1" x14ac:dyDescent="0.25"/>
    <row r="940" customFormat="1" ht="15" customHeight="1" x14ac:dyDescent="0.25"/>
    <row r="941" customFormat="1" ht="15" customHeight="1" x14ac:dyDescent="0.25"/>
    <row r="942" customFormat="1" ht="15" customHeight="1" x14ac:dyDescent="0.25"/>
    <row r="943" customFormat="1" ht="15" customHeight="1" x14ac:dyDescent="0.25"/>
    <row r="944" customFormat="1" ht="15" customHeight="1" x14ac:dyDescent="0.25"/>
    <row r="945" customFormat="1" ht="15" customHeight="1" x14ac:dyDescent="0.25"/>
    <row r="946" customFormat="1" ht="15" customHeight="1" x14ac:dyDescent="0.25"/>
    <row r="947" customFormat="1" ht="15" customHeight="1" x14ac:dyDescent="0.25"/>
    <row r="948" customFormat="1" ht="15" customHeight="1" x14ac:dyDescent="0.25"/>
    <row r="949" customFormat="1" ht="15" customHeight="1" x14ac:dyDescent="0.25"/>
    <row r="950" customFormat="1" ht="15" customHeight="1" x14ac:dyDescent="0.25"/>
    <row r="951" customFormat="1" ht="15" customHeight="1" x14ac:dyDescent="0.25"/>
    <row r="952" customFormat="1" ht="15" customHeight="1" x14ac:dyDescent="0.25"/>
    <row r="953" customFormat="1" ht="15" customHeight="1" x14ac:dyDescent="0.25"/>
    <row r="954" customFormat="1" ht="15" customHeight="1" x14ac:dyDescent="0.25"/>
    <row r="955" customFormat="1" ht="15" customHeight="1" x14ac:dyDescent="0.25"/>
    <row r="956" customFormat="1" ht="15" customHeight="1" x14ac:dyDescent="0.25"/>
    <row r="957" customFormat="1" ht="15" customHeight="1" x14ac:dyDescent="0.25"/>
    <row r="958" customFormat="1" ht="15" customHeight="1" x14ac:dyDescent="0.25"/>
    <row r="959" customFormat="1" ht="15" customHeight="1" x14ac:dyDescent="0.25"/>
    <row r="960" customFormat="1" ht="15" customHeight="1" x14ac:dyDescent="0.25"/>
    <row r="961" customFormat="1" ht="15" customHeight="1" x14ac:dyDescent="0.25"/>
    <row r="962" customFormat="1" ht="15" customHeight="1" x14ac:dyDescent="0.25"/>
    <row r="963" customFormat="1" ht="15" customHeight="1" x14ac:dyDescent="0.25"/>
    <row r="964" customFormat="1" ht="15" customHeight="1" x14ac:dyDescent="0.25"/>
    <row r="965" customFormat="1" ht="15" customHeight="1" x14ac:dyDescent="0.25"/>
    <row r="966" customFormat="1" ht="15" customHeight="1" x14ac:dyDescent="0.25"/>
    <row r="967" customFormat="1" ht="15" customHeight="1" x14ac:dyDescent="0.25"/>
    <row r="968" customFormat="1" ht="15" customHeight="1" x14ac:dyDescent="0.25"/>
    <row r="969" customFormat="1" ht="15" customHeight="1" x14ac:dyDescent="0.25"/>
    <row r="970" customFormat="1" ht="15" customHeight="1" x14ac:dyDescent="0.25"/>
    <row r="971" customFormat="1" ht="15" customHeight="1" x14ac:dyDescent="0.25"/>
    <row r="972" customFormat="1" ht="15" customHeight="1" x14ac:dyDescent="0.25"/>
    <row r="973" customFormat="1" ht="15" customHeight="1" x14ac:dyDescent="0.25"/>
    <row r="974" customFormat="1" ht="15" customHeight="1" x14ac:dyDescent="0.25"/>
    <row r="975" customFormat="1" ht="15" customHeight="1" x14ac:dyDescent="0.25"/>
    <row r="976" customFormat="1" ht="15" customHeight="1" x14ac:dyDescent="0.25"/>
    <row r="977" customFormat="1" ht="15" customHeight="1" x14ac:dyDescent="0.25"/>
    <row r="978" customFormat="1" ht="15" customHeight="1" x14ac:dyDescent="0.25"/>
    <row r="979" customFormat="1" ht="15" customHeight="1" x14ac:dyDescent="0.25"/>
    <row r="980" customFormat="1" ht="15" customHeight="1" x14ac:dyDescent="0.25"/>
    <row r="981" customFormat="1" ht="15" customHeight="1" x14ac:dyDescent="0.25"/>
    <row r="982" customFormat="1" ht="15" customHeight="1" x14ac:dyDescent="0.25"/>
    <row r="983" customFormat="1" ht="15" customHeight="1" x14ac:dyDescent="0.25"/>
    <row r="984" customFormat="1" ht="15" customHeight="1" x14ac:dyDescent="0.25"/>
    <row r="985" customFormat="1" ht="15" customHeight="1" x14ac:dyDescent="0.25"/>
    <row r="986" customFormat="1" ht="15" customHeight="1" x14ac:dyDescent="0.25"/>
    <row r="987" customFormat="1" ht="15" customHeight="1" x14ac:dyDescent="0.25"/>
    <row r="988" customFormat="1" ht="15" customHeight="1" x14ac:dyDescent="0.25"/>
    <row r="989" customFormat="1" ht="15" customHeight="1" x14ac:dyDescent="0.25"/>
    <row r="990" customFormat="1" ht="15" customHeight="1" x14ac:dyDescent="0.25"/>
    <row r="991" customFormat="1" ht="15" customHeight="1" x14ac:dyDescent="0.25"/>
    <row r="992" customFormat="1" ht="15" customHeight="1" x14ac:dyDescent="0.25"/>
    <row r="993" customFormat="1" ht="15" customHeight="1" x14ac:dyDescent="0.25"/>
    <row r="994" customFormat="1" ht="15" customHeight="1" x14ac:dyDescent="0.25"/>
    <row r="995" customFormat="1" ht="15" customHeight="1" x14ac:dyDescent="0.25"/>
    <row r="996" customFormat="1" ht="15" customHeight="1" x14ac:dyDescent="0.25"/>
    <row r="997" customFormat="1" ht="15" customHeight="1" x14ac:dyDescent="0.25"/>
    <row r="998" customFormat="1" ht="15" customHeight="1" x14ac:dyDescent="0.25"/>
    <row r="999" customFormat="1" ht="15" customHeight="1" x14ac:dyDescent="0.25"/>
    <row r="1000" customFormat="1" ht="1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x14ac:dyDescent="0.25">
      <c r="A1" s="9" t="s">
        <v>195</v>
      </c>
      <c r="B1" s="10"/>
      <c r="C1" s="10"/>
      <c r="D1" s="10"/>
      <c r="E1" s="10"/>
      <c r="F1" s="10"/>
      <c r="G1" s="10"/>
      <c r="H1" s="10"/>
      <c r="I1" s="10"/>
      <c r="J1" s="10"/>
      <c r="K1" s="10"/>
      <c r="L1" s="10"/>
      <c r="M1" s="10"/>
      <c r="N1" s="10"/>
      <c r="O1" s="10"/>
      <c r="P1" s="10"/>
      <c r="Q1" s="10"/>
      <c r="R1" s="10"/>
      <c r="S1" s="10"/>
      <c r="T1" s="10"/>
      <c r="U1" s="11"/>
    </row>
    <row r="2" spans="1:21" x14ac:dyDescent="0.25">
      <c r="A2" s="1" t="s">
        <v>196</v>
      </c>
      <c r="B2" s="1" t="s">
        <v>192</v>
      </c>
      <c r="C2" s="1" t="s">
        <v>197</v>
      </c>
      <c r="D2" s="1" t="s">
        <v>198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15" customHeight="1" x14ac:dyDescent="0.25">
      <c r="A1" s="9" t="s">
        <v>199</v>
      </c>
      <c r="B1" s="10"/>
      <c r="C1" s="10"/>
      <c r="D1" s="10"/>
      <c r="E1" s="10"/>
      <c r="F1" s="10"/>
      <c r="G1" s="10"/>
      <c r="H1" s="10"/>
      <c r="I1" s="10"/>
      <c r="J1" s="10"/>
      <c r="K1" s="10"/>
      <c r="L1" s="10"/>
      <c r="M1" s="10"/>
      <c r="N1" s="10"/>
      <c r="O1" s="10"/>
      <c r="P1" s="10"/>
      <c r="Q1" s="10"/>
      <c r="R1" s="10"/>
      <c r="S1" s="10"/>
      <c r="T1" s="10"/>
      <c r="U1" s="11"/>
    </row>
    <row r="2" spans="1:21" x14ac:dyDescent="0.25">
      <c r="A2" s="1" t="s">
        <v>200</v>
      </c>
      <c r="B2" s="1" t="s">
        <v>132</v>
      </c>
      <c r="C2" s="1" t="s">
        <v>201</v>
      </c>
      <c r="D2" s="1" t="s">
        <v>202</v>
      </c>
      <c r="E2" s="1" t="s">
        <v>203</v>
      </c>
    </row>
    <row r="3" spans="1:21" x14ac:dyDescent="0.25">
      <c r="A3" s="1" t="s">
        <v>204</v>
      </c>
      <c r="B3" s="1">
        <v>1</v>
      </c>
      <c r="C3" s="1">
        <v>74.1220185816358</v>
      </c>
      <c r="D3" s="1">
        <v>-3.9419668022475798</v>
      </c>
      <c r="E3" s="1">
        <v>1</v>
      </c>
    </row>
    <row r="4" spans="1:21" x14ac:dyDescent="0.25">
      <c r="A4" s="1" t="s">
        <v>205</v>
      </c>
      <c r="B4" s="1">
        <v>1</v>
      </c>
      <c r="C4" s="1">
        <v>90.4</v>
      </c>
      <c r="D4" s="1">
        <v>-3.5320999999999998</v>
      </c>
    </row>
    <row r="5" spans="1:21" x14ac:dyDescent="0.25">
      <c r="A5" s="1" t="s">
        <v>206</v>
      </c>
      <c r="C5" s="1">
        <v>1.92</v>
      </c>
      <c r="D5" s="1">
        <v>2.69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x14ac:dyDescent="0.25">
      <c r="A1" s="9" t="s">
        <v>207</v>
      </c>
      <c r="B1" s="10"/>
      <c r="C1" s="10"/>
      <c r="D1" s="10"/>
      <c r="E1" s="10"/>
      <c r="F1" s="10"/>
      <c r="G1" s="10"/>
      <c r="H1" s="10"/>
      <c r="I1" s="10"/>
      <c r="J1" s="10"/>
      <c r="K1" s="10"/>
      <c r="L1" s="10"/>
      <c r="M1" s="10"/>
      <c r="N1" s="10"/>
      <c r="O1" s="10"/>
      <c r="P1" s="10"/>
      <c r="Q1" s="10"/>
      <c r="R1" s="10"/>
      <c r="S1" s="10"/>
      <c r="T1" s="10"/>
      <c r="U1" s="11"/>
    </row>
    <row r="2" spans="1:21" x14ac:dyDescent="0.25">
      <c r="A2" s="1" t="s">
        <v>47</v>
      </c>
      <c r="B2" s="1" t="s">
        <v>201</v>
      </c>
      <c r="C2" s="1" t="s">
        <v>202</v>
      </c>
    </row>
    <row r="3" spans="1:21" x14ac:dyDescent="0.25">
      <c r="A3" s="1" t="s">
        <v>208</v>
      </c>
      <c r="B3" s="5">
        <v>1.61E-6</v>
      </c>
      <c r="C3" s="1">
        <v>2.8681999999999999</v>
      </c>
    </row>
    <row r="4" spans="1:21" x14ac:dyDescent="0.25">
      <c r="A4" s="1" t="s">
        <v>209</v>
      </c>
      <c r="B4" s="5">
        <v>2.5100000000000001E-6</v>
      </c>
      <c r="C4" s="1">
        <v>2.778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9" t="s">
        <v>210</v>
      </c>
      <c r="B1" s="10"/>
      <c r="C1" s="10"/>
      <c r="D1" s="10"/>
      <c r="E1" s="10"/>
      <c r="F1" s="10"/>
      <c r="G1" s="10"/>
      <c r="H1" s="10"/>
      <c r="I1" s="10"/>
      <c r="J1" s="10"/>
      <c r="K1" s="10"/>
      <c r="L1" s="10"/>
      <c r="M1" s="10"/>
      <c r="N1" s="10"/>
      <c r="O1" s="10"/>
      <c r="P1" s="10"/>
      <c r="Q1" s="10"/>
      <c r="R1" s="10"/>
      <c r="S1" s="10"/>
      <c r="T1" s="10"/>
      <c r="U1" s="11"/>
    </row>
    <row r="2" spans="1:21" x14ac:dyDescent="0.25">
      <c r="A2" s="1" t="s">
        <v>211</v>
      </c>
      <c r="B2" s="1" t="s">
        <v>212</v>
      </c>
      <c r="C2" s="1" t="s">
        <v>46</v>
      </c>
      <c r="D2" s="1" t="s">
        <v>213</v>
      </c>
    </row>
    <row r="3" spans="1:21" x14ac:dyDescent="0.25">
      <c r="A3" s="1">
        <v>1960</v>
      </c>
      <c r="B3" s="1">
        <v>1</v>
      </c>
      <c r="C3" s="1">
        <v>1</v>
      </c>
      <c r="D3" s="1">
        <v>7000000</v>
      </c>
    </row>
    <row r="4" spans="1:21" x14ac:dyDescent="0.25">
      <c r="A4" s="1">
        <v>1961</v>
      </c>
      <c r="B4" s="1">
        <v>1</v>
      </c>
      <c r="C4" s="1">
        <v>1</v>
      </c>
      <c r="D4" s="1">
        <f t="shared" ref="D4:D6" ca="1" si="0">D3+RANDBETWEEN(-1000, 200000)</f>
        <v>7082683</v>
      </c>
    </row>
    <row r="5" spans="1:21" x14ac:dyDescent="0.25">
      <c r="A5" s="1">
        <v>1962</v>
      </c>
      <c r="B5" s="1">
        <v>1</v>
      </c>
      <c r="C5" s="1">
        <v>1</v>
      </c>
      <c r="D5" s="1">
        <f t="shared" ca="1" si="0"/>
        <v>7106270</v>
      </c>
    </row>
    <row r="6" spans="1:21" x14ac:dyDescent="0.25">
      <c r="A6" s="1">
        <v>1963</v>
      </c>
      <c r="B6" s="1">
        <v>1</v>
      </c>
      <c r="C6" s="1">
        <v>1</v>
      </c>
      <c r="D6" s="1">
        <f t="shared" ca="1" si="0"/>
        <v>7196266</v>
      </c>
    </row>
    <row r="7" spans="1:21" x14ac:dyDescent="0.25">
      <c r="A7" s="1">
        <v>1964</v>
      </c>
      <c r="B7" s="1">
        <v>1</v>
      </c>
      <c r="C7" s="1">
        <v>1</v>
      </c>
      <c r="D7" s="1">
        <f ca="1">D6+RANDBETWEEN(-1000, 200000)+50000</f>
        <v>7359348</v>
      </c>
    </row>
    <row r="8" spans="1:21" x14ac:dyDescent="0.25">
      <c r="A8" s="1">
        <v>1965</v>
      </c>
      <c r="B8" s="1">
        <v>1</v>
      </c>
      <c r="C8" s="1">
        <v>1</v>
      </c>
      <c r="D8" s="1">
        <f ca="1">D7+RANDBETWEEN(-1000, 200000)+500000</f>
        <v>8017962</v>
      </c>
    </row>
    <row r="9" spans="1:21" x14ac:dyDescent="0.25">
      <c r="A9" s="1">
        <v>1966</v>
      </c>
      <c r="B9" s="1">
        <v>1</v>
      </c>
      <c r="C9" s="1">
        <v>1</v>
      </c>
      <c r="D9" s="1">
        <f t="shared" ref="D9:D15" ca="1" si="1">D8+RANDBETWEEN(-1000, 200000)</f>
        <v>8133676</v>
      </c>
    </row>
    <row r="10" spans="1:21" x14ac:dyDescent="0.25">
      <c r="A10" s="1">
        <v>1967</v>
      </c>
      <c r="B10" s="1">
        <v>1</v>
      </c>
      <c r="C10" s="1">
        <v>1</v>
      </c>
      <c r="D10" s="1">
        <f t="shared" ca="1" si="1"/>
        <v>8248650</v>
      </c>
    </row>
    <row r="11" spans="1:21" x14ac:dyDescent="0.25">
      <c r="A11" s="1">
        <v>1968</v>
      </c>
      <c r="B11" s="1">
        <v>1</v>
      </c>
      <c r="C11" s="1">
        <v>1</v>
      </c>
      <c r="D11" s="1">
        <f t="shared" ca="1" si="1"/>
        <v>8370111</v>
      </c>
    </row>
    <row r="12" spans="1:21" x14ac:dyDescent="0.25">
      <c r="A12" s="1">
        <v>1969</v>
      </c>
      <c r="B12" s="1">
        <v>1</v>
      </c>
      <c r="C12" s="1">
        <v>1</v>
      </c>
      <c r="D12" s="1">
        <f t="shared" ca="1" si="1"/>
        <v>8567314</v>
      </c>
    </row>
    <row r="13" spans="1:21" x14ac:dyDescent="0.25">
      <c r="A13" s="1">
        <v>1970</v>
      </c>
      <c r="B13" s="1">
        <v>1</v>
      </c>
      <c r="C13" s="1">
        <v>1</v>
      </c>
      <c r="D13" s="1">
        <f t="shared" ca="1" si="1"/>
        <v>8608673</v>
      </c>
    </row>
    <row r="14" spans="1:21" x14ac:dyDescent="0.25">
      <c r="A14" s="1">
        <v>1971</v>
      </c>
      <c r="B14" s="1">
        <v>1</v>
      </c>
      <c r="C14" s="1">
        <v>1</v>
      </c>
      <c r="D14" s="1">
        <f t="shared" ca="1" si="1"/>
        <v>8693446</v>
      </c>
    </row>
    <row r="15" spans="1:21" x14ac:dyDescent="0.25">
      <c r="A15" s="1">
        <v>1972</v>
      </c>
      <c r="B15" s="1">
        <v>1</v>
      </c>
      <c r="C15" s="1">
        <v>1</v>
      </c>
      <c r="D15" s="1">
        <f t="shared" ca="1" si="1"/>
        <v>8808389</v>
      </c>
    </row>
    <row r="16" spans="1:21" x14ac:dyDescent="0.25">
      <c r="A16" s="1">
        <v>1973</v>
      </c>
      <c r="B16" s="1">
        <v>1</v>
      </c>
      <c r="C16" s="1">
        <v>1</v>
      </c>
      <c r="D16" s="1">
        <f ca="1">D15+RANDBETWEEN(-1000, 200000)+1000000</f>
        <v>9893430</v>
      </c>
    </row>
    <row r="17" spans="1:4" x14ac:dyDescent="0.25">
      <c r="A17" s="1">
        <v>1974</v>
      </c>
      <c r="B17" s="1">
        <v>1</v>
      </c>
      <c r="C17" s="1">
        <v>1</v>
      </c>
      <c r="D17" s="1">
        <f ca="1">D16+RANDBETWEEN(-1000, 200000)+250000</f>
        <v>10317576</v>
      </c>
    </row>
    <row r="18" spans="1:4" x14ac:dyDescent="0.25">
      <c r="A18" s="1">
        <v>1975</v>
      </c>
      <c r="B18" s="1">
        <v>1</v>
      </c>
      <c r="C18" s="1">
        <v>1</v>
      </c>
      <c r="D18" s="1">
        <f ca="1">D17+RANDBETWEEN(-1000, 200000)</f>
        <v>10380865</v>
      </c>
    </row>
    <row r="19" spans="1:4" x14ac:dyDescent="0.25">
      <c r="A19" s="1">
        <v>1976</v>
      </c>
      <c r="B19" s="1">
        <v>1</v>
      </c>
      <c r="C19" s="1">
        <v>1</v>
      </c>
      <c r="D19" s="1">
        <f t="shared" ref="D19:D21" ca="1" si="2">D18+RANDBETWEEN(-100000, 200000)</f>
        <v>10576802</v>
      </c>
    </row>
    <row r="20" spans="1:4" x14ac:dyDescent="0.25">
      <c r="A20" s="1">
        <v>1977</v>
      </c>
      <c r="B20" s="1">
        <v>1</v>
      </c>
      <c r="C20" s="1">
        <v>1</v>
      </c>
      <c r="D20" s="1">
        <f t="shared" ca="1" si="2"/>
        <v>10753610</v>
      </c>
    </row>
    <row r="21" spans="1:4" ht="15.75" customHeight="1" x14ac:dyDescent="0.25">
      <c r="A21" s="1">
        <v>1978</v>
      </c>
      <c r="B21" s="1">
        <v>1</v>
      </c>
      <c r="C21" s="1">
        <v>1</v>
      </c>
      <c r="D21" s="1">
        <f t="shared" ca="1" si="2"/>
        <v>10871759</v>
      </c>
    </row>
    <row r="22" spans="1:4" ht="15.75" customHeight="1" x14ac:dyDescent="0.25">
      <c r="A22" s="1">
        <v>1979</v>
      </c>
      <c r="B22" s="1">
        <v>1</v>
      </c>
      <c r="C22" s="1">
        <v>1</v>
      </c>
      <c r="D22" s="1">
        <f ca="1">D21+RANDBETWEEN(-100000, 200000)-1000000</f>
        <v>10051305</v>
      </c>
    </row>
    <row r="23" spans="1:4" ht="15.75" customHeight="1" x14ac:dyDescent="0.25">
      <c r="A23" s="1">
        <v>1980</v>
      </c>
      <c r="B23" s="1">
        <v>1</v>
      </c>
      <c r="C23" s="1">
        <v>1</v>
      </c>
      <c r="D23" s="1">
        <f t="shared" ref="D23:D28" ca="1" si="3">D22+RANDBETWEEN(-100000, 200000)</f>
        <v>10206010</v>
      </c>
    </row>
    <row r="24" spans="1:4" ht="15.75" customHeight="1" x14ac:dyDescent="0.25">
      <c r="A24" s="1">
        <v>1981</v>
      </c>
      <c r="B24" s="1">
        <v>1</v>
      </c>
      <c r="C24" s="1">
        <v>1</v>
      </c>
      <c r="D24" s="1">
        <f t="shared" ca="1" si="3"/>
        <v>10236505</v>
      </c>
    </row>
    <row r="25" spans="1:4" ht="15.75" customHeight="1" x14ac:dyDescent="0.25">
      <c r="A25" s="1">
        <v>1982</v>
      </c>
      <c r="B25" s="1">
        <v>1</v>
      </c>
      <c r="C25" s="1">
        <v>1</v>
      </c>
      <c r="D25" s="1">
        <f t="shared" ca="1" si="3"/>
        <v>10391270</v>
      </c>
    </row>
    <row r="26" spans="1:4" ht="15.75" customHeight="1" x14ac:dyDescent="0.25">
      <c r="A26" s="1">
        <v>1983</v>
      </c>
      <c r="B26" s="1">
        <v>1</v>
      </c>
      <c r="C26" s="1">
        <v>1</v>
      </c>
      <c r="D26" s="1">
        <f t="shared" ca="1" si="3"/>
        <v>10579118</v>
      </c>
    </row>
    <row r="27" spans="1:4" ht="15.75" customHeight="1" x14ac:dyDescent="0.25">
      <c r="A27" s="1">
        <v>1984</v>
      </c>
      <c r="B27" s="1">
        <v>1</v>
      </c>
      <c r="C27" s="1">
        <v>1</v>
      </c>
      <c r="D27" s="1">
        <f t="shared" ca="1" si="3"/>
        <v>10682764</v>
      </c>
    </row>
    <row r="28" spans="1:4" ht="15.75" customHeight="1" x14ac:dyDescent="0.25">
      <c r="A28" s="1">
        <v>1985</v>
      </c>
      <c r="B28" s="1">
        <v>1</v>
      </c>
      <c r="C28" s="1">
        <v>1</v>
      </c>
      <c r="D28" s="1">
        <f t="shared" ca="1" si="3"/>
        <v>10753961</v>
      </c>
    </row>
    <row r="29" spans="1:4" ht="15.75" customHeight="1" x14ac:dyDescent="0.25">
      <c r="A29" s="1">
        <v>1986</v>
      </c>
      <c r="B29" s="1">
        <v>1</v>
      </c>
      <c r="C29" s="1">
        <v>1</v>
      </c>
      <c r="D29" s="1">
        <f ca="1">D28+RANDBETWEEN(-100000, 200000)+3000000</f>
        <v>13664160</v>
      </c>
    </row>
    <row r="30" spans="1:4" ht="15.75" customHeight="1" x14ac:dyDescent="0.25">
      <c r="A30" s="1">
        <v>1987</v>
      </c>
      <c r="B30" s="1">
        <v>1</v>
      </c>
      <c r="C30" s="1">
        <v>1</v>
      </c>
      <c r="D30" s="1">
        <f t="shared" ref="D30:D41" ca="1" si="4">D29+RANDBETWEEN(-100000, 200000)</f>
        <v>13739928</v>
      </c>
    </row>
    <row r="31" spans="1:4" ht="15.75" customHeight="1" x14ac:dyDescent="0.25">
      <c r="A31" s="1">
        <v>1988</v>
      </c>
      <c r="B31" s="1">
        <v>1</v>
      </c>
      <c r="C31" s="1">
        <v>1</v>
      </c>
      <c r="D31" s="1">
        <f t="shared" ca="1" si="4"/>
        <v>13935935</v>
      </c>
    </row>
    <row r="32" spans="1:4" ht="15.75" customHeight="1" x14ac:dyDescent="0.25">
      <c r="A32" s="1">
        <v>1989</v>
      </c>
      <c r="B32" s="1">
        <v>1</v>
      </c>
      <c r="C32" s="1">
        <v>1</v>
      </c>
      <c r="D32" s="1">
        <f t="shared" ca="1" si="4"/>
        <v>13862269</v>
      </c>
    </row>
    <row r="33" spans="1:4" ht="15.75" customHeight="1" x14ac:dyDescent="0.25">
      <c r="A33" s="1">
        <v>1990</v>
      </c>
      <c r="B33" s="1">
        <v>1</v>
      </c>
      <c r="C33" s="1">
        <v>1</v>
      </c>
      <c r="D33" s="1">
        <f t="shared" ca="1" si="4"/>
        <v>14031341</v>
      </c>
    </row>
    <row r="34" spans="1:4" ht="15.75" customHeight="1" x14ac:dyDescent="0.25">
      <c r="A34" s="1">
        <v>1991</v>
      </c>
      <c r="B34" s="1">
        <v>1</v>
      </c>
      <c r="C34" s="1">
        <v>1</v>
      </c>
      <c r="D34" s="1">
        <f t="shared" ca="1" si="4"/>
        <v>14083833</v>
      </c>
    </row>
    <row r="35" spans="1:4" ht="15.75" customHeight="1" x14ac:dyDescent="0.25">
      <c r="A35" s="1">
        <v>1992</v>
      </c>
      <c r="B35" s="1">
        <v>1</v>
      </c>
      <c r="C35" s="1">
        <v>1</v>
      </c>
      <c r="D35" s="1">
        <f t="shared" ca="1" si="4"/>
        <v>14192481</v>
      </c>
    </row>
    <row r="36" spans="1:4" ht="15.75" customHeight="1" x14ac:dyDescent="0.25">
      <c r="A36" s="1">
        <v>1993</v>
      </c>
      <c r="B36" s="1">
        <v>1</v>
      </c>
      <c r="C36" s="1">
        <v>1</v>
      </c>
      <c r="D36" s="1">
        <f t="shared" ca="1" si="4"/>
        <v>14198798</v>
      </c>
    </row>
    <row r="37" spans="1:4" ht="15.75" customHeight="1" x14ac:dyDescent="0.25">
      <c r="A37" s="1">
        <v>1994</v>
      </c>
      <c r="B37" s="1">
        <v>1</v>
      </c>
      <c r="C37" s="1">
        <v>1</v>
      </c>
      <c r="D37" s="1">
        <f t="shared" ca="1" si="4"/>
        <v>14356680</v>
      </c>
    </row>
    <row r="38" spans="1:4" ht="15.75" customHeight="1" x14ac:dyDescent="0.25">
      <c r="A38" s="1">
        <v>1995</v>
      </c>
      <c r="B38" s="1">
        <v>1</v>
      </c>
      <c r="C38" s="1">
        <v>1</v>
      </c>
      <c r="D38" s="1">
        <f t="shared" ca="1" si="4"/>
        <v>14383423</v>
      </c>
    </row>
    <row r="39" spans="1:4" ht="15.75" customHeight="1" x14ac:dyDescent="0.25">
      <c r="A39" s="1">
        <v>1996</v>
      </c>
      <c r="B39" s="1">
        <v>1</v>
      </c>
      <c r="C39" s="1">
        <v>1</v>
      </c>
      <c r="D39" s="1">
        <f t="shared" ca="1" si="4"/>
        <v>14379729</v>
      </c>
    </row>
    <row r="40" spans="1:4" ht="15.75" customHeight="1" x14ac:dyDescent="0.25">
      <c r="A40" s="1">
        <v>1997</v>
      </c>
      <c r="B40" s="1">
        <v>1</v>
      </c>
      <c r="C40" s="1">
        <v>1</v>
      </c>
      <c r="D40" s="1">
        <f t="shared" ca="1" si="4"/>
        <v>14442835</v>
      </c>
    </row>
    <row r="41" spans="1:4" ht="15.75" customHeight="1" x14ac:dyDescent="0.25">
      <c r="A41" s="1">
        <v>1998</v>
      </c>
      <c r="B41" s="1">
        <v>1</v>
      </c>
      <c r="C41" s="1">
        <v>1</v>
      </c>
      <c r="D41" s="1">
        <f t="shared" ca="1" si="4"/>
        <v>14444823</v>
      </c>
    </row>
    <row r="42" spans="1:4" ht="15.75" customHeight="1" x14ac:dyDescent="0.25">
      <c r="A42" s="1">
        <v>1999</v>
      </c>
      <c r="B42" s="1">
        <v>1</v>
      </c>
      <c r="C42" s="1">
        <v>1</v>
      </c>
      <c r="D42" s="6">
        <f ca="1">D41+RANDBETWEEN(-100000, 5000)</f>
        <v>14393429</v>
      </c>
    </row>
    <row r="43" spans="1:4" ht="15.75" customHeight="1" x14ac:dyDescent="0.25">
      <c r="A43" s="1">
        <v>2000</v>
      </c>
      <c r="B43" s="1">
        <v>1</v>
      </c>
      <c r="C43" s="1">
        <v>1</v>
      </c>
      <c r="D43" s="6">
        <f ca="1">D42+RANDBETWEEN(-200000, 10000)</f>
        <v>14211922</v>
      </c>
    </row>
    <row r="44" spans="1:4" ht="15.75" customHeight="1" x14ac:dyDescent="0.25">
      <c r="A44" s="1">
        <v>2001</v>
      </c>
      <c r="B44" s="1">
        <v>1</v>
      </c>
      <c r="C44" s="1">
        <v>1</v>
      </c>
      <c r="D44" s="6">
        <f t="shared" ref="D44:D47" ca="1" si="5">D43+RANDBETWEEN(-500000, 1000)</f>
        <v>13856319</v>
      </c>
    </row>
    <row r="45" spans="1:4" ht="15.75" customHeight="1" x14ac:dyDescent="0.25">
      <c r="A45" s="1">
        <v>2002</v>
      </c>
      <c r="B45" s="1">
        <v>1</v>
      </c>
      <c r="C45" s="1">
        <v>1</v>
      </c>
      <c r="D45" s="6">
        <f t="shared" ca="1" si="5"/>
        <v>13538485</v>
      </c>
    </row>
    <row r="46" spans="1:4" ht="15.75" customHeight="1" x14ac:dyDescent="0.25">
      <c r="A46" s="1">
        <v>2003</v>
      </c>
      <c r="B46" s="1">
        <v>1</v>
      </c>
      <c r="C46" s="1">
        <v>1</v>
      </c>
      <c r="D46" s="6">
        <f t="shared" ca="1" si="5"/>
        <v>13087909</v>
      </c>
    </row>
    <row r="47" spans="1:4" ht="15.75" customHeight="1" x14ac:dyDescent="0.25">
      <c r="A47" s="1">
        <v>2004</v>
      </c>
      <c r="B47" s="1">
        <v>1</v>
      </c>
      <c r="C47" s="1">
        <v>1</v>
      </c>
      <c r="D47" s="6">
        <f t="shared" ca="1" si="5"/>
        <v>13064973</v>
      </c>
    </row>
    <row r="48" spans="1:4" ht="15.75" customHeight="1" x14ac:dyDescent="0.25">
      <c r="A48" s="1">
        <v>2005</v>
      </c>
      <c r="B48" s="1">
        <v>1</v>
      </c>
      <c r="C48" s="1">
        <v>1</v>
      </c>
      <c r="D48" s="1">
        <f ca="1">D47+RANDBETWEEN(-100000, 200000)-1500000</f>
        <v>11545891</v>
      </c>
    </row>
    <row r="49" spans="1:4" ht="15.75" customHeight="1" x14ac:dyDescent="0.25">
      <c r="A49" s="1">
        <v>2006</v>
      </c>
      <c r="B49" s="1">
        <v>1</v>
      </c>
      <c r="C49" s="1">
        <v>1</v>
      </c>
      <c r="D49" s="1">
        <f ca="1">D48+RANDBETWEEN(-100000, 200000)-3000000</f>
        <v>8473651</v>
      </c>
    </row>
    <row r="50" spans="1:4" ht="15.75" customHeight="1" x14ac:dyDescent="0.25">
      <c r="A50" s="1">
        <v>2007</v>
      </c>
      <c r="B50" s="1">
        <v>1</v>
      </c>
      <c r="C50" s="1">
        <v>1</v>
      </c>
      <c r="D50" s="1">
        <f ca="1">D49+RANDBETWEEN(-100000, 200000)-1000000</f>
        <v>7430824</v>
      </c>
    </row>
    <row r="51" spans="1:4" ht="15.75" customHeight="1" x14ac:dyDescent="0.25">
      <c r="A51" s="1">
        <v>2008</v>
      </c>
      <c r="B51" s="1">
        <v>1</v>
      </c>
      <c r="C51" s="1">
        <v>1</v>
      </c>
      <c r="D51" s="1">
        <f t="shared" ref="D51:D67" ca="1" si="6">D50+RANDBETWEEN(-100000, 10000)</f>
        <v>7381246</v>
      </c>
    </row>
    <row r="52" spans="1:4" ht="15.75" customHeight="1" x14ac:dyDescent="0.25">
      <c r="A52" s="1">
        <v>2009</v>
      </c>
      <c r="B52" s="1">
        <v>1</v>
      </c>
      <c r="C52" s="1">
        <v>1</v>
      </c>
      <c r="D52" s="1">
        <f t="shared" ca="1" si="6"/>
        <v>7337811</v>
      </c>
    </row>
    <row r="53" spans="1:4" ht="15.75" customHeight="1" x14ac:dyDescent="0.25">
      <c r="A53" s="1">
        <v>2010</v>
      </c>
      <c r="B53" s="1">
        <v>1</v>
      </c>
      <c r="C53" s="1">
        <v>1</v>
      </c>
      <c r="D53" s="1">
        <f t="shared" ca="1" si="6"/>
        <v>7282297</v>
      </c>
    </row>
    <row r="54" spans="1:4" ht="15.75" customHeight="1" x14ac:dyDescent="0.25">
      <c r="A54" s="1">
        <v>2011</v>
      </c>
      <c r="B54" s="1">
        <v>1</v>
      </c>
      <c r="C54" s="1">
        <v>1</v>
      </c>
      <c r="D54" s="1">
        <f t="shared" ca="1" si="6"/>
        <v>7201648</v>
      </c>
    </row>
    <row r="55" spans="1:4" ht="15.75" customHeight="1" x14ac:dyDescent="0.25">
      <c r="A55" s="1">
        <v>2012</v>
      </c>
      <c r="B55" s="1">
        <v>1</v>
      </c>
      <c r="C55" s="1">
        <v>1</v>
      </c>
      <c r="D55" s="1">
        <f t="shared" ca="1" si="6"/>
        <v>7175720</v>
      </c>
    </row>
    <row r="56" spans="1:4" ht="15.75" customHeight="1" x14ac:dyDescent="0.25">
      <c r="A56" s="1">
        <v>2013</v>
      </c>
      <c r="B56" s="1">
        <v>1</v>
      </c>
      <c r="C56" s="1">
        <v>1</v>
      </c>
      <c r="D56" s="1">
        <f t="shared" ca="1" si="6"/>
        <v>7157905</v>
      </c>
    </row>
    <row r="57" spans="1:4" ht="15.75" customHeight="1" x14ac:dyDescent="0.25">
      <c r="A57" s="1">
        <v>2014</v>
      </c>
      <c r="B57" s="1">
        <v>1</v>
      </c>
      <c r="C57" s="1">
        <v>1</v>
      </c>
      <c r="D57" s="1">
        <f t="shared" ca="1" si="6"/>
        <v>7143574</v>
      </c>
    </row>
    <row r="58" spans="1:4" ht="15.75" customHeight="1" x14ac:dyDescent="0.25">
      <c r="A58" s="1">
        <v>2015</v>
      </c>
      <c r="B58" s="1">
        <v>1</v>
      </c>
      <c r="C58" s="1">
        <v>1</v>
      </c>
      <c r="D58" s="1">
        <f t="shared" ca="1" si="6"/>
        <v>7124555</v>
      </c>
    </row>
    <row r="59" spans="1:4" ht="15.75" customHeight="1" x14ac:dyDescent="0.25">
      <c r="A59" s="1">
        <v>2016</v>
      </c>
      <c r="B59" s="1">
        <v>1</v>
      </c>
      <c r="C59" s="1">
        <v>1</v>
      </c>
      <c r="D59" s="1">
        <f t="shared" ca="1" si="6"/>
        <v>7097167</v>
      </c>
    </row>
    <row r="60" spans="1:4" ht="15.75" customHeight="1" x14ac:dyDescent="0.25">
      <c r="A60" s="1">
        <v>2017</v>
      </c>
      <c r="B60" s="1">
        <v>1</v>
      </c>
      <c r="C60" s="1">
        <v>1</v>
      </c>
      <c r="D60" s="1">
        <f t="shared" ca="1" si="6"/>
        <v>7089754</v>
      </c>
    </row>
    <row r="61" spans="1:4" ht="15.75" customHeight="1" x14ac:dyDescent="0.25">
      <c r="A61" s="1">
        <v>2018</v>
      </c>
      <c r="B61" s="1">
        <v>1</v>
      </c>
      <c r="C61" s="1">
        <v>1</v>
      </c>
      <c r="D61" s="1">
        <f t="shared" ca="1" si="6"/>
        <v>7018327</v>
      </c>
    </row>
    <row r="62" spans="1:4" ht="15.75" customHeight="1" x14ac:dyDescent="0.25">
      <c r="A62" s="1">
        <v>2019</v>
      </c>
      <c r="B62" s="1">
        <v>1</v>
      </c>
      <c r="C62" s="1">
        <v>1</v>
      </c>
      <c r="D62" s="1">
        <f t="shared" ca="1" si="6"/>
        <v>7003995</v>
      </c>
    </row>
    <row r="63" spans="1:4" ht="15.75" customHeight="1" x14ac:dyDescent="0.25">
      <c r="A63" s="1">
        <v>2020</v>
      </c>
      <c r="B63" s="1">
        <v>1</v>
      </c>
      <c r="C63" s="1">
        <v>1</v>
      </c>
      <c r="D63" s="1">
        <f t="shared" ca="1" si="6"/>
        <v>6925263</v>
      </c>
    </row>
    <row r="64" spans="1:4" ht="15.75" customHeight="1" x14ac:dyDescent="0.25">
      <c r="A64" s="1">
        <v>2021</v>
      </c>
      <c r="B64" s="1">
        <v>1</v>
      </c>
      <c r="C64" s="1">
        <v>1</v>
      </c>
      <c r="D64" s="1">
        <f t="shared" ca="1" si="6"/>
        <v>6864876</v>
      </c>
    </row>
    <row r="65" spans="1:4" ht="15.75" customHeight="1" x14ac:dyDescent="0.25">
      <c r="A65" s="1">
        <v>2022</v>
      </c>
      <c r="B65" s="1">
        <v>1</v>
      </c>
      <c r="C65" s="1">
        <v>1</v>
      </c>
      <c r="D65" s="1">
        <f t="shared" ca="1" si="6"/>
        <v>6831983</v>
      </c>
    </row>
    <row r="66" spans="1:4" ht="15.75" customHeight="1" x14ac:dyDescent="0.25">
      <c r="A66" s="1">
        <v>2023</v>
      </c>
      <c r="B66" s="1">
        <v>1</v>
      </c>
      <c r="C66" s="1">
        <v>1</v>
      </c>
      <c r="D66" s="1">
        <f t="shared" ca="1" si="6"/>
        <v>6820444</v>
      </c>
    </row>
    <row r="67" spans="1:4" ht="15.75" customHeight="1" x14ac:dyDescent="0.25">
      <c r="A67" s="1">
        <v>2024</v>
      </c>
      <c r="B67" s="1">
        <v>1</v>
      </c>
      <c r="C67" s="1">
        <v>1</v>
      </c>
      <c r="D67" s="1">
        <f t="shared" ca="1" si="6"/>
        <v>6762555</v>
      </c>
    </row>
    <row r="68" spans="1:4" ht="15.75" customHeight="1" x14ac:dyDescent="0.25">
      <c r="A68" s="1">
        <v>1980</v>
      </c>
      <c r="B68" s="1">
        <v>1</v>
      </c>
      <c r="C68" s="1">
        <v>3</v>
      </c>
      <c r="D68" s="1">
        <f ca="1">200000+RANDBETWEEN(-1000, 30000)</f>
        <v>211632</v>
      </c>
    </row>
    <row r="69" spans="1:4" ht="15.75" customHeight="1" x14ac:dyDescent="0.25">
      <c r="A69" s="1">
        <v>1981</v>
      </c>
      <c r="B69" s="1">
        <v>1</v>
      </c>
      <c r="C69" s="1">
        <v>3</v>
      </c>
      <c r="D69" s="6">
        <f t="shared" ref="D69:D80" ca="1" si="7">D68+RANDBETWEEN(-1000, 30000)</f>
        <v>225944</v>
      </c>
    </row>
    <row r="70" spans="1:4" ht="15.75" customHeight="1" x14ac:dyDescent="0.25">
      <c r="A70" s="1">
        <v>1982</v>
      </c>
      <c r="B70" s="1">
        <v>1</v>
      </c>
      <c r="C70" s="1">
        <v>3</v>
      </c>
      <c r="D70" s="6">
        <f t="shared" ca="1" si="7"/>
        <v>228891</v>
      </c>
    </row>
    <row r="71" spans="1:4" ht="15.75" customHeight="1" x14ac:dyDescent="0.25">
      <c r="A71" s="1">
        <v>1983</v>
      </c>
      <c r="B71" s="1">
        <v>1</v>
      </c>
      <c r="C71" s="1">
        <v>3</v>
      </c>
      <c r="D71" s="6">
        <f t="shared" ca="1" si="7"/>
        <v>238633</v>
      </c>
    </row>
    <row r="72" spans="1:4" ht="15.75" customHeight="1" x14ac:dyDescent="0.25">
      <c r="A72" s="1">
        <v>1984</v>
      </c>
      <c r="B72" s="1">
        <v>1</v>
      </c>
      <c r="C72" s="1">
        <v>3</v>
      </c>
      <c r="D72" s="6">
        <f t="shared" ca="1" si="7"/>
        <v>245217</v>
      </c>
    </row>
    <row r="73" spans="1:4" ht="15.75" customHeight="1" x14ac:dyDescent="0.25">
      <c r="A73" s="1">
        <v>1985</v>
      </c>
      <c r="B73" s="1">
        <v>1</v>
      </c>
      <c r="C73" s="1">
        <v>3</v>
      </c>
      <c r="D73" s="6">
        <f t="shared" ca="1" si="7"/>
        <v>257900</v>
      </c>
    </row>
    <row r="74" spans="1:4" ht="15.75" customHeight="1" x14ac:dyDescent="0.25">
      <c r="A74" s="1">
        <v>1986</v>
      </c>
      <c r="B74" s="1">
        <v>1</v>
      </c>
      <c r="C74" s="1">
        <v>3</v>
      </c>
      <c r="D74" s="6">
        <f t="shared" ca="1" si="7"/>
        <v>269802</v>
      </c>
    </row>
    <row r="75" spans="1:4" ht="15.75" customHeight="1" x14ac:dyDescent="0.25">
      <c r="A75" s="1">
        <v>1987</v>
      </c>
      <c r="B75" s="1">
        <v>1</v>
      </c>
      <c r="C75" s="1">
        <v>3</v>
      </c>
      <c r="D75" s="6">
        <f t="shared" ca="1" si="7"/>
        <v>289235</v>
      </c>
    </row>
    <row r="76" spans="1:4" ht="15.75" customHeight="1" x14ac:dyDescent="0.25">
      <c r="A76" s="1">
        <v>1988</v>
      </c>
      <c r="B76" s="1">
        <v>1</v>
      </c>
      <c r="C76" s="1">
        <v>3</v>
      </c>
      <c r="D76" s="6">
        <f t="shared" ca="1" si="7"/>
        <v>300899</v>
      </c>
    </row>
    <row r="77" spans="1:4" ht="15.75" customHeight="1" x14ac:dyDescent="0.25">
      <c r="A77" s="1">
        <v>1989</v>
      </c>
      <c r="B77" s="1">
        <v>1</v>
      </c>
      <c r="C77" s="1">
        <v>3</v>
      </c>
      <c r="D77" s="6">
        <f t="shared" ca="1" si="7"/>
        <v>306864</v>
      </c>
    </row>
    <row r="78" spans="1:4" ht="15.75" customHeight="1" x14ac:dyDescent="0.25">
      <c r="A78" s="1">
        <v>1990</v>
      </c>
      <c r="B78" s="1">
        <v>1</v>
      </c>
      <c r="C78" s="1">
        <v>3</v>
      </c>
      <c r="D78" s="6">
        <f t="shared" ca="1" si="7"/>
        <v>332599</v>
      </c>
    </row>
    <row r="79" spans="1:4" ht="15.75" customHeight="1" x14ac:dyDescent="0.25">
      <c r="A79" s="1">
        <v>1991</v>
      </c>
      <c r="B79" s="1">
        <v>1</v>
      </c>
      <c r="C79" s="1">
        <v>3</v>
      </c>
      <c r="D79" s="6">
        <f t="shared" ca="1" si="7"/>
        <v>350242</v>
      </c>
    </row>
    <row r="80" spans="1:4" ht="15.75" customHeight="1" x14ac:dyDescent="0.25">
      <c r="A80" s="1">
        <v>1992</v>
      </c>
      <c r="B80" s="1">
        <v>1</v>
      </c>
      <c r="C80" s="1">
        <v>3</v>
      </c>
      <c r="D80" s="6">
        <f t="shared" ca="1" si="7"/>
        <v>354715</v>
      </c>
    </row>
    <row r="81" spans="1:4" ht="15.75" customHeight="1" x14ac:dyDescent="0.25">
      <c r="A81" s="1">
        <v>1993</v>
      </c>
      <c r="B81" s="1">
        <v>1</v>
      </c>
      <c r="C81" s="1">
        <v>3</v>
      </c>
      <c r="D81" s="3">
        <f t="shared" ref="D81:D90" ca="1" si="8">D80+RANDBETWEEN(-1000, 10000)</f>
        <v>357171</v>
      </c>
    </row>
    <row r="82" spans="1:4" ht="15.75" customHeight="1" x14ac:dyDescent="0.25">
      <c r="A82" s="1">
        <v>1994</v>
      </c>
      <c r="B82" s="1">
        <v>1</v>
      </c>
      <c r="C82" s="1">
        <v>3</v>
      </c>
      <c r="D82" s="3">
        <f t="shared" ca="1" si="8"/>
        <v>356943</v>
      </c>
    </row>
    <row r="83" spans="1:4" ht="15.75" customHeight="1" x14ac:dyDescent="0.25">
      <c r="A83" s="1">
        <v>1995</v>
      </c>
      <c r="B83" s="1">
        <v>1</v>
      </c>
      <c r="C83" s="1">
        <v>3</v>
      </c>
      <c r="D83" s="3">
        <f t="shared" ca="1" si="8"/>
        <v>356080</v>
      </c>
    </row>
    <row r="84" spans="1:4" ht="15.75" customHeight="1" x14ac:dyDescent="0.25">
      <c r="A84" s="1">
        <v>1996</v>
      </c>
      <c r="B84" s="1">
        <v>1</v>
      </c>
      <c r="C84" s="1">
        <v>3</v>
      </c>
      <c r="D84" s="3">
        <f t="shared" ca="1" si="8"/>
        <v>364747</v>
      </c>
    </row>
    <row r="85" spans="1:4" ht="15.75" customHeight="1" x14ac:dyDescent="0.25">
      <c r="A85" s="1">
        <v>1997</v>
      </c>
      <c r="B85" s="1">
        <v>1</v>
      </c>
      <c r="C85" s="1">
        <v>3</v>
      </c>
      <c r="D85" s="3">
        <f t="shared" ca="1" si="8"/>
        <v>370999</v>
      </c>
    </row>
    <row r="86" spans="1:4" ht="15.75" customHeight="1" x14ac:dyDescent="0.25">
      <c r="A86" s="1">
        <v>1998</v>
      </c>
      <c r="B86" s="1">
        <v>1</v>
      </c>
      <c r="C86" s="1">
        <v>3</v>
      </c>
      <c r="D86" s="3">
        <f t="shared" ca="1" si="8"/>
        <v>379545</v>
      </c>
    </row>
    <row r="87" spans="1:4" ht="15.75" customHeight="1" x14ac:dyDescent="0.25">
      <c r="A87" s="1">
        <v>1999</v>
      </c>
      <c r="B87" s="1">
        <v>1</v>
      </c>
      <c r="C87" s="1">
        <v>3</v>
      </c>
      <c r="D87" s="3">
        <f t="shared" ca="1" si="8"/>
        <v>387515</v>
      </c>
    </row>
    <row r="88" spans="1:4" ht="15.75" customHeight="1" x14ac:dyDescent="0.25">
      <c r="A88" s="1">
        <v>2000</v>
      </c>
      <c r="B88" s="1">
        <v>1</v>
      </c>
      <c r="C88" s="1">
        <v>3</v>
      </c>
      <c r="D88" s="3">
        <f t="shared" ca="1" si="8"/>
        <v>388971</v>
      </c>
    </row>
    <row r="89" spans="1:4" ht="15.75" customHeight="1" x14ac:dyDescent="0.25">
      <c r="A89" s="1">
        <v>2001</v>
      </c>
      <c r="B89" s="1">
        <v>1</v>
      </c>
      <c r="C89" s="1">
        <v>3</v>
      </c>
      <c r="D89" s="3">
        <f t="shared" ca="1" si="8"/>
        <v>396179</v>
      </c>
    </row>
    <row r="90" spans="1:4" ht="15.75" customHeight="1" x14ac:dyDescent="0.25">
      <c r="A90" s="1">
        <v>2002</v>
      </c>
      <c r="B90" s="1">
        <v>1</v>
      </c>
      <c r="C90" s="1">
        <v>3</v>
      </c>
      <c r="D90" s="3">
        <f t="shared" ca="1" si="8"/>
        <v>403116</v>
      </c>
    </row>
    <row r="91" spans="1:4" ht="15.75" customHeight="1" x14ac:dyDescent="0.25">
      <c r="A91" s="1">
        <v>2003</v>
      </c>
      <c r="B91" s="1">
        <v>1</v>
      </c>
      <c r="C91" s="1">
        <v>3</v>
      </c>
      <c r="D91" s="6">
        <f t="shared" ref="D91:D112" ca="1" si="9">D90+RANDBETWEEN(-5000, 1000)</f>
        <v>399559</v>
      </c>
    </row>
    <row r="92" spans="1:4" ht="15.75" customHeight="1" x14ac:dyDescent="0.25">
      <c r="A92" s="1">
        <v>2004</v>
      </c>
      <c r="B92" s="1">
        <v>1</v>
      </c>
      <c r="C92" s="1">
        <v>3</v>
      </c>
      <c r="D92" s="6">
        <f t="shared" ca="1" si="9"/>
        <v>399717</v>
      </c>
    </row>
    <row r="93" spans="1:4" ht="15.75" customHeight="1" x14ac:dyDescent="0.25">
      <c r="A93" s="1">
        <v>2005</v>
      </c>
      <c r="B93" s="1">
        <v>1</v>
      </c>
      <c r="C93" s="1">
        <v>3</v>
      </c>
      <c r="D93" s="6">
        <f t="shared" ca="1" si="9"/>
        <v>400077</v>
      </c>
    </row>
    <row r="94" spans="1:4" ht="15.75" customHeight="1" x14ac:dyDescent="0.25">
      <c r="A94" s="1">
        <v>2006</v>
      </c>
      <c r="B94" s="1">
        <v>1</v>
      </c>
      <c r="C94" s="1">
        <v>3</v>
      </c>
      <c r="D94" s="6">
        <f t="shared" ca="1" si="9"/>
        <v>398042</v>
      </c>
    </row>
    <row r="95" spans="1:4" ht="15.75" customHeight="1" x14ac:dyDescent="0.25">
      <c r="A95" s="1">
        <v>2007</v>
      </c>
      <c r="B95" s="1">
        <v>1</v>
      </c>
      <c r="C95" s="1">
        <v>3</v>
      </c>
      <c r="D95" s="6">
        <f t="shared" ca="1" si="9"/>
        <v>398779</v>
      </c>
    </row>
    <row r="96" spans="1:4" ht="15.75" customHeight="1" x14ac:dyDescent="0.25">
      <c r="A96" s="1">
        <v>2008</v>
      </c>
      <c r="B96" s="1">
        <v>1</v>
      </c>
      <c r="C96" s="1">
        <v>3</v>
      </c>
      <c r="D96" s="6">
        <f t="shared" ca="1" si="9"/>
        <v>394807</v>
      </c>
    </row>
    <row r="97" spans="1:4" ht="15.75" customHeight="1" x14ac:dyDescent="0.25">
      <c r="A97" s="1">
        <v>2009</v>
      </c>
      <c r="B97" s="1">
        <v>1</v>
      </c>
      <c r="C97" s="1">
        <v>3</v>
      </c>
      <c r="D97" s="6">
        <f t="shared" ca="1" si="9"/>
        <v>393800</v>
      </c>
    </row>
    <row r="98" spans="1:4" ht="15.75" customHeight="1" x14ac:dyDescent="0.25">
      <c r="A98" s="1">
        <v>2010</v>
      </c>
      <c r="B98" s="1">
        <v>1</v>
      </c>
      <c r="C98" s="1">
        <v>3</v>
      </c>
      <c r="D98" s="6">
        <f t="shared" ca="1" si="9"/>
        <v>394138</v>
      </c>
    </row>
    <row r="99" spans="1:4" ht="15.75" customHeight="1" x14ac:dyDescent="0.25">
      <c r="A99" s="1">
        <v>2011</v>
      </c>
      <c r="B99" s="1">
        <v>1</v>
      </c>
      <c r="C99" s="1">
        <v>3</v>
      </c>
      <c r="D99" s="6">
        <f t="shared" ca="1" si="9"/>
        <v>394024</v>
      </c>
    </row>
    <row r="100" spans="1:4" ht="15.75" customHeight="1" x14ac:dyDescent="0.25">
      <c r="A100" s="1">
        <v>2012</v>
      </c>
      <c r="B100" s="1">
        <v>1</v>
      </c>
      <c r="C100" s="1">
        <v>3</v>
      </c>
      <c r="D100" s="6">
        <f t="shared" ca="1" si="9"/>
        <v>393230</v>
      </c>
    </row>
    <row r="101" spans="1:4" ht="15.75" customHeight="1" x14ac:dyDescent="0.25">
      <c r="A101" s="1">
        <v>2013</v>
      </c>
      <c r="B101" s="1">
        <v>1</v>
      </c>
      <c r="C101" s="1">
        <v>3</v>
      </c>
      <c r="D101" s="6">
        <f t="shared" ca="1" si="9"/>
        <v>393800</v>
      </c>
    </row>
    <row r="102" spans="1:4" ht="15.75" customHeight="1" x14ac:dyDescent="0.25">
      <c r="A102" s="1">
        <v>2014</v>
      </c>
      <c r="B102" s="1">
        <v>1</v>
      </c>
      <c r="C102" s="1">
        <v>3</v>
      </c>
      <c r="D102" s="6">
        <f t="shared" ca="1" si="9"/>
        <v>392801</v>
      </c>
    </row>
    <row r="103" spans="1:4" ht="15.75" customHeight="1" x14ac:dyDescent="0.25">
      <c r="A103" s="1">
        <v>2015</v>
      </c>
      <c r="B103" s="1">
        <v>1</v>
      </c>
      <c r="C103" s="1">
        <v>3</v>
      </c>
      <c r="D103" s="6">
        <f t="shared" ca="1" si="9"/>
        <v>390570</v>
      </c>
    </row>
    <row r="104" spans="1:4" ht="15.75" customHeight="1" x14ac:dyDescent="0.25">
      <c r="A104" s="1">
        <v>2016</v>
      </c>
      <c r="B104" s="1">
        <v>1</v>
      </c>
      <c r="C104" s="1">
        <v>3</v>
      </c>
      <c r="D104" s="6">
        <f t="shared" ca="1" si="9"/>
        <v>390470</v>
      </c>
    </row>
    <row r="105" spans="1:4" ht="15.75" customHeight="1" x14ac:dyDescent="0.25">
      <c r="A105" s="1">
        <v>2017</v>
      </c>
      <c r="B105" s="1">
        <v>1</v>
      </c>
      <c r="C105" s="1">
        <v>3</v>
      </c>
      <c r="D105" s="6">
        <f t="shared" ca="1" si="9"/>
        <v>387707</v>
      </c>
    </row>
    <row r="106" spans="1:4" ht="15.75" customHeight="1" x14ac:dyDescent="0.25">
      <c r="A106" s="1">
        <v>2018</v>
      </c>
      <c r="B106" s="1">
        <v>1</v>
      </c>
      <c r="C106" s="1">
        <v>3</v>
      </c>
      <c r="D106" s="6">
        <f t="shared" ca="1" si="9"/>
        <v>388561</v>
      </c>
    </row>
    <row r="107" spans="1:4" ht="15.75" customHeight="1" x14ac:dyDescent="0.25">
      <c r="A107" s="1">
        <v>2019</v>
      </c>
      <c r="B107" s="1">
        <v>1</v>
      </c>
      <c r="C107" s="1">
        <v>3</v>
      </c>
      <c r="D107" s="6">
        <f t="shared" ca="1" si="9"/>
        <v>383958</v>
      </c>
    </row>
    <row r="108" spans="1:4" ht="15.75" customHeight="1" x14ac:dyDescent="0.25">
      <c r="A108" s="1">
        <v>2020</v>
      </c>
      <c r="B108" s="1">
        <v>1</v>
      </c>
      <c r="C108" s="1">
        <v>3</v>
      </c>
      <c r="D108" s="6">
        <f t="shared" ca="1" si="9"/>
        <v>384092</v>
      </c>
    </row>
    <row r="109" spans="1:4" ht="15.75" customHeight="1" x14ac:dyDescent="0.25">
      <c r="A109" s="1">
        <v>2021</v>
      </c>
      <c r="B109" s="1">
        <v>1</v>
      </c>
      <c r="C109" s="1">
        <v>3</v>
      </c>
      <c r="D109" s="6">
        <f t="shared" ca="1" si="9"/>
        <v>379838</v>
      </c>
    </row>
    <row r="110" spans="1:4" ht="15.75" customHeight="1" x14ac:dyDescent="0.25">
      <c r="A110" s="1">
        <v>2022</v>
      </c>
      <c r="B110" s="1">
        <v>1</v>
      </c>
      <c r="C110" s="1">
        <v>3</v>
      </c>
      <c r="D110" s="6">
        <f t="shared" ca="1" si="9"/>
        <v>378541</v>
      </c>
    </row>
    <row r="111" spans="1:4" ht="15.75" customHeight="1" x14ac:dyDescent="0.25">
      <c r="A111" s="1">
        <v>2023</v>
      </c>
      <c r="B111" s="1">
        <v>1</v>
      </c>
      <c r="C111" s="1">
        <v>3</v>
      </c>
      <c r="D111" s="6">
        <f t="shared" ca="1" si="9"/>
        <v>377612</v>
      </c>
    </row>
    <row r="112" spans="1:4" ht="15.75" customHeight="1" x14ac:dyDescent="0.25">
      <c r="A112" s="1">
        <v>2024</v>
      </c>
      <c r="B112" s="1">
        <v>1</v>
      </c>
      <c r="C112" s="1">
        <v>3</v>
      </c>
      <c r="D112" s="6">
        <f t="shared" ca="1" si="9"/>
        <v>374782</v>
      </c>
    </row>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000"/>
  <sheetViews>
    <sheetView workbookViewId="0">
      <pane ySplit="2" topLeftCell="A29"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21.75" customHeight="1" x14ac:dyDescent="0.25">
      <c r="A1" s="9" t="s">
        <v>214</v>
      </c>
      <c r="B1" s="10"/>
      <c r="C1" s="10"/>
      <c r="D1" s="10"/>
      <c r="E1" s="10"/>
      <c r="F1" s="10"/>
      <c r="G1" s="10"/>
      <c r="H1" s="10"/>
      <c r="I1" s="10"/>
      <c r="J1" s="10"/>
      <c r="K1" s="10"/>
      <c r="L1" s="10"/>
      <c r="M1" s="10"/>
      <c r="N1" s="10"/>
      <c r="O1" s="10"/>
      <c r="P1" s="10"/>
      <c r="Q1" s="10"/>
      <c r="R1" s="10"/>
      <c r="S1" s="10"/>
      <c r="T1" s="10"/>
      <c r="U1" s="11"/>
    </row>
    <row r="2" spans="1:21" x14ac:dyDescent="0.25">
      <c r="A2" s="1" t="s">
        <v>215</v>
      </c>
      <c r="B2" s="1" t="s">
        <v>216</v>
      </c>
      <c r="C2" s="1" t="s">
        <v>196</v>
      </c>
      <c r="D2" s="1" t="s">
        <v>217</v>
      </c>
      <c r="E2" s="1" t="s">
        <v>218</v>
      </c>
      <c r="F2" s="1" t="s">
        <v>219</v>
      </c>
      <c r="G2" s="1" t="s">
        <v>220</v>
      </c>
    </row>
    <row r="3" spans="1:21" x14ac:dyDescent="0.25">
      <c r="A3" s="1">
        <v>0</v>
      </c>
      <c r="B3" s="1">
        <v>1</v>
      </c>
      <c r="C3" s="1" t="s">
        <v>221</v>
      </c>
      <c r="D3" s="1">
        <v>1960</v>
      </c>
      <c r="E3" s="1">
        <v>1</v>
      </c>
      <c r="F3" s="1">
        <v>0.42715553489211999</v>
      </c>
      <c r="G3" s="1">
        <v>0.13781544979354199</v>
      </c>
    </row>
    <row r="4" spans="1:21" x14ac:dyDescent="0.25">
      <c r="A4" s="1">
        <v>0</v>
      </c>
      <c r="B4" s="1">
        <v>1</v>
      </c>
      <c r="C4" s="1" t="s">
        <v>221</v>
      </c>
      <c r="D4" s="1">
        <v>1961</v>
      </c>
      <c r="E4" s="1">
        <v>1</v>
      </c>
      <c r="F4" s="1">
        <v>0.60846668656264302</v>
      </c>
      <c r="G4" s="1">
        <v>0.13519110136513901</v>
      </c>
    </row>
    <row r="5" spans="1:21" x14ac:dyDescent="0.25">
      <c r="A5" s="1">
        <v>0</v>
      </c>
      <c r="B5" s="1">
        <v>1</v>
      </c>
      <c r="C5" s="1" t="s">
        <v>221</v>
      </c>
      <c r="D5" s="1">
        <v>1962</v>
      </c>
      <c r="E5" s="1">
        <v>1</v>
      </c>
      <c r="F5" s="1">
        <v>0.27151724249213599</v>
      </c>
      <c r="G5" s="1">
        <v>0.28829155393706701</v>
      </c>
    </row>
    <row r="6" spans="1:21" x14ac:dyDescent="0.25">
      <c r="A6" s="1">
        <v>0</v>
      </c>
      <c r="B6" s="1">
        <v>1</v>
      </c>
      <c r="C6" s="1" t="s">
        <v>221</v>
      </c>
      <c r="D6" s="1">
        <v>1963</v>
      </c>
      <c r="E6" s="1">
        <v>1</v>
      </c>
      <c r="F6" s="1">
        <v>0.30894434208472199</v>
      </c>
      <c r="G6" s="1">
        <v>0.19956389441769801</v>
      </c>
    </row>
    <row r="7" spans="1:21" x14ac:dyDescent="0.25">
      <c r="A7" s="1">
        <v>0</v>
      </c>
      <c r="B7" s="1">
        <v>1</v>
      </c>
      <c r="C7" s="1" t="s">
        <v>221</v>
      </c>
      <c r="D7" s="1">
        <v>1964</v>
      </c>
      <c r="E7" s="1">
        <v>1</v>
      </c>
      <c r="F7" s="1">
        <v>0.42208881111156599</v>
      </c>
      <c r="G7" s="1">
        <v>0.121277764357951</v>
      </c>
    </row>
    <row r="8" spans="1:21" x14ac:dyDescent="0.25">
      <c r="A8" s="1">
        <v>0</v>
      </c>
      <c r="B8" s="1">
        <v>1</v>
      </c>
      <c r="C8" s="1" t="s">
        <v>221</v>
      </c>
      <c r="D8" s="1">
        <v>1965</v>
      </c>
      <c r="E8" s="1">
        <v>1</v>
      </c>
      <c r="F8" s="1">
        <v>0.25209887455632402</v>
      </c>
      <c r="G8" s="1">
        <v>0.156202254295742</v>
      </c>
    </row>
    <row r="9" spans="1:21" x14ac:dyDescent="0.25">
      <c r="A9" s="1">
        <v>0</v>
      </c>
      <c r="B9" s="1">
        <v>1</v>
      </c>
      <c r="C9" s="1" t="s">
        <v>221</v>
      </c>
      <c r="D9" s="1">
        <v>1966</v>
      </c>
      <c r="E9" s="1">
        <v>1</v>
      </c>
      <c r="F9" s="1">
        <v>0.25893957861136402</v>
      </c>
      <c r="G9" s="1">
        <v>0.13966010035649301</v>
      </c>
    </row>
    <row r="10" spans="1:21" x14ac:dyDescent="0.25">
      <c r="A10" s="1">
        <v>0</v>
      </c>
      <c r="B10" s="1">
        <v>1</v>
      </c>
      <c r="C10" s="1" t="s">
        <v>221</v>
      </c>
      <c r="D10" s="1">
        <v>1967</v>
      </c>
      <c r="E10" s="1">
        <v>1</v>
      </c>
      <c r="F10" s="1">
        <v>0.190567660370771</v>
      </c>
      <c r="G10" s="1">
        <v>0.19916068930574601</v>
      </c>
    </row>
    <row r="11" spans="1:21" x14ac:dyDescent="0.25">
      <c r="A11" s="1">
        <v>0</v>
      </c>
      <c r="B11" s="1">
        <v>1</v>
      </c>
      <c r="C11" s="1" t="s">
        <v>221</v>
      </c>
      <c r="D11" s="1">
        <v>1968</v>
      </c>
      <c r="E11" s="1">
        <v>1</v>
      </c>
      <c r="F11" s="1">
        <v>3.4070374153251398E-2</v>
      </c>
      <c r="G11" s="1">
        <v>0.678265370202627</v>
      </c>
    </row>
    <row r="12" spans="1:21" x14ac:dyDescent="0.25">
      <c r="A12" s="1">
        <v>0</v>
      </c>
      <c r="B12" s="1">
        <v>1</v>
      </c>
      <c r="C12" s="1" t="s">
        <v>221</v>
      </c>
      <c r="D12" s="1">
        <v>1969</v>
      </c>
      <c r="E12" s="1">
        <v>1</v>
      </c>
      <c r="F12" s="1">
        <v>0.311513938315297</v>
      </c>
      <c r="G12" s="1">
        <v>0.105445402388682</v>
      </c>
    </row>
    <row r="13" spans="1:21" x14ac:dyDescent="0.25">
      <c r="A13" s="1">
        <v>0</v>
      </c>
      <c r="B13" s="1">
        <v>1</v>
      </c>
      <c r="C13" s="1" t="s">
        <v>221</v>
      </c>
      <c r="D13" s="1">
        <v>1970</v>
      </c>
      <c r="E13" s="1">
        <v>1</v>
      </c>
      <c r="F13" s="1">
        <v>1.6309238399999999</v>
      </c>
      <c r="G13" s="1">
        <v>0.105282913678278</v>
      </c>
    </row>
    <row r="14" spans="1:21" x14ac:dyDescent="0.25">
      <c r="A14" s="1">
        <v>0</v>
      </c>
      <c r="B14" s="1">
        <v>1</v>
      </c>
      <c r="C14" s="1" t="s">
        <v>221</v>
      </c>
      <c r="D14" s="1">
        <v>1971</v>
      </c>
      <c r="E14" s="1">
        <v>1</v>
      </c>
      <c r="F14" s="1">
        <v>1.4897862599999998</v>
      </c>
      <c r="G14" s="1">
        <v>0.13898731496998901</v>
      </c>
    </row>
    <row r="15" spans="1:21" x14ac:dyDescent="0.25">
      <c r="A15" s="1">
        <v>0</v>
      </c>
      <c r="B15" s="1">
        <v>1</v>
      </c>
      <c r="C15" s="1" t="s">
        <v>221</v>
      </c>
      <c r="D15" s="1">
        <v>1972</v>
      </c>
      <c r="E15" s="1">
        <v>1</v>
      </c>
      <c r="F15" s="1">
        <v>1.0394508599999996</v>
      </c>
      <c r="G15" s="1">
        <v>0.28145656391721702</v>
      </c>
    </row>
    <row r="16" spans="1:21" x14ac:dyDescent="0.25">
      <c r="A16" s="1">
        <v>0</v>
      </c>
      <c r="B16" s="1">
        <v>1</v>
      </c>
      <c r="C16" s="1" t="s">
        <v>221</v>
      </c>
      <c r="D16" s="1">
        <v>1973</v>
      </c>
      <c r="E16" s="1">
        <v>1</v>
      </c>
      <c r="F16" s="1">
        <v>1.3988766399999997</v>
      </c>
      <c r="G16" s="1">
        <v>0.34327038609194999</v>
      </c>
    </row>
    <row r="17" spans="1:7" x14ac:dyDescent="0.25">
      <c r="A17" s="1">
        <v>0</v>
      </c>
      <c r="B17" s="1">
        <v>1</v>
      </c>
      <c r="C17" s="1" t="s">
        <v>221</v>
      </c>
      <c r="D17" s="1">
        <v>1974</v>
      </c>
      <c r="E17" s="1">
        <v>1</v>
      </c>
      <c r="F17" s="1">
        <v>1.7895168899999998</v>
      </c>
      <c r="G17" s="1">
        <v>5.73714976830954E-2</v>
      </c>
    </row>
    <row r="18" spans="1:7" x14ac:dyDescent="0.25">
      <c r="A18" s="1">
        <v>0</v>
      </c>
      <c r="B18" s="1">
        <v>1</v>
      </c>
      <c r="C18" s="1" t="s">
        <v>221</v>
      </c>
      <c r="D18" s="1">
        <v>1975</v>
      </c>
      <c r="E18" s="1">
        <v>1</v>
      </c>
      <c r="F18" s="1">
        <v>1.9392752699999998</v>
      </c>
      <c r="G18" s="1">
        <v>6.3059031628240197E-2</v>
      </c>
    </row>
    <row r="19" spans="1:7" x14ac:dyDescent="0.25">
      <c r="A19" s="1">
        <v>0</v>
      </c>
      <c r="B19" s="1">
        <v>1</v>
      </c>
      <c r="C19" s="1" t="s">
        <v>221</v>
      </c>
      <c r="D19" s="1">
        <v>1976</v>
      </c>
      <c r="E19" s="1">
        <v>1</v>
      </c>
      <c r="F19" s="1">
        <v>1.7035243499999999</v>
      </c>
      <c r="G19" s="1">
        <v>4.98105833524463E-2</v>
      </c>
    </row>
    <row r="20" spans="1:7" x14ac:dyDescent="0.25">
      <c r="A20" s="1">
        <v>0</v>
      </c>
      <c r="B20" s="1">
        <v>1</v>
      </c>
      <c r="C20" s="1" t="s">
        <v>221</v>
      </c>
      <c r="D20" s="1">
        <v>1977</v>
      </c>
      <c r="E20" s="1">
        <v>1</v>
      </c>
      <c r="F20" s="1">
        <v>1.43163153</v>
      </c>
      <c r="G20" s="1">
        <v>3.9461338436437801E-2</v>
      </c>
    </row>
    <row r="21" spans="1:7" ht="15.75" customHeight="1" x14ac:dyDescent="0.25">
      <c r="A21" s="1">
        <v>0</v>
      </c>
      <c r="B21" s="1">
        <v>1</v>
      </c>
      <c r="C21" s="1" t="s">
        <v>221</v>
      </c>
      <c r="D21" s="1">
        <v>1978</v>
      </c>
      <c r="E21" s="1">
        <v>1</v>
      </c>
      <c r="F21" s="1">
        <v>1.1938930200000002</v>
      </c>
      <c r="G21" s="1">
        <v>3.9034571785991901E-2</v>
      </c>
    </row>
    <row r="22" spans="1:7" ht="15.75" customHeight="1" x14ac:dyDescent="0.25">
      <c r="A22" s="1">
        <v>0</v>
      </c>
      <c r="B22" s="1">
        <v>1</v>
      </c>
      <c r="C22" s="1" t="s">
        <v>221</v>
      </c>
      <c r="D22" s="1">
        <v>1979</v>
      </c>
      <c r="E22" s="1">
        <v>1</v>
      </c>
      <c r="F22" s="1">
        <v>1.20540728</v>
      </c>
      <c r="G22" s="1">
        <v>3.6976973168407298E-2</v>
      </c>
    </row>
    <row r="23" spans="1:7" ht="15.75" customHeight="1" x14ac:dyDescent="0.25">
      <c r="A23" s="1">
        <v>0</v>
      </c>
      <c r="B23" s="1">
        <v>1</v>
      </c>
      <c r="C23" s="1" t="s">
        <v>221</v>
      </c>
      <c r="D23" s="1">
        <v>1980</v>
      </c>
      <c r="E23" s="1">
        <v>1</v>
      </c>
      <c r="F23" s="1">
        <v>1.2575484000000001</v>
      </c>
      <c r="G23" s="1">
        <v>3.62608536937747E-2</v>
      </c>
    </row>
    <row r="24" spans="1:7" ht="15.75" customHeight="1" x14ac:dyDescent="0.25">
      <c r="A24" s="1">
        <v>0</v>
      </c>
      <c r="B24" s="1">
        <v>1</v>
      </c>
      <c r="C24" s="1" t="s">
        <v>221</v>
      </c>
      <c r="D24" s="1">
        <v>1981</v>
      </c>
      <c r="E24" s="1">
        <v>1</v>
      </c>
      <c r="F24" s="1">
        <v>0.99791734000000021</v>
      </c>
      <c r="G24" s="1">
        <v>3.6455751062585001E-2</v>
      </c>
    </row>
    <row r="25" spans="1:7" ht="15.75" customHeight="1" x14ac:dyDescent="0.25">
      <c r="A25" s="1">
        <v>0</v>
      </c>
      <c r="B25" s="1">
        <v>1</v>
      </c>
      <c r="C25" s="1" t="s">
        <v>221</v>
      </c>
      <c r="D25" s="1">
        <v>1982</v>
      </c>
      <c r="E25" s="1">
        <v>1</v>
      </c>
      <c r="F25" s="1">
        <v>0.65160909000000011</v>
      </c>
      <c r="G25" s="1">
        <v>3.8212015336421101E-2</v>
      </c>
    </row>
    <row r="26" spans="1:7" ht="15.75" customHeight="1" x14ac:dyDescent="0.25">
      <c r="A26" s="1">
        <v>0</v>
      </c>
      <c r="B26" s="1">
        <v>1</v>
      </c>
      <c r="C26" s="1" t="s">
        <v>221</v>
      </c>
      <c r="D26" s="1">
        <v>1983</v>
      </c>
      <c r="E26" s="1">
        <v>1</v>
      </c>
      <c r="F26" s="1">
        <v>0.76561920000000017</v>
      </c>
      <c r="G26" s="1">
        <v>3.6664491079729397E-2</v>
      </c>
    </row>
    <row r="27" spans="1:7" ht="15.75" customHeight="1" x14ac:dyDescent="0.25">
      <c r="A27" s="1">
        <v>0</v>
      </c>
      <c r="B27" s="1">
        <v>1</v>
      </c>
      <c r="C27" s="1" t="s">
        <v>221</v>
      </c>
      <c r="D27" s="1">
        <v>1984</v>
      </c>
      <c r="E27" s="1">
        <v>1</v>
      </c>
      <c r="F27" s="1">
        <v>0.89206080000000021</v>
      </c>
      <c r="G27" s="1">
        <v>3.52570136358141E-2</v>
      </c>
    </row>
    <row r="28" spans="1:7" ht="15.75" customHeight="1" x14ac:dyDescent="0.25">
      <c r="A28" s="1">
        <v>0</v>
      </c>
      <c r="B28" s="1">
        <v>1</v>
      </c>
      <c r="C28" s="1" t="s">
        <v>221</v>
      </c>
      <c r="D28" s="1">
        <v>1985</v>
      </c>
      <c r="E28" s="1">
        <v>1</v>
      </c>
      <c r="F28" s="1">
        <v>0.61523578000000012</v>
      </c>
      <c r="G28" s="1">
        <v>3.6754413042365097E-2</v>
      </c>
    </row>
    <row r="29" spans="1:7" ht="15.75" customHeight="1" x14ac:dyDescent="0.25">
      <c r="A29" s="1">
        <v>0</v>
      </c>
      <c r="B29" s="1">
        <v>1</v>
      </c>
      <c r="C29" s="1" t="s">
        <v>221</v>
      </c>
      <c r="D29" s="1">
        <v>1986</v>
      </c>
      <c r="E29" s="1">
        <v>1</v>
      </c>
      <c r="F29" s="1">
        <v>0.42026160000000012</v>
      </c>
      <c r="G29" s="1">
        <v>3.5867045574679499E-2</v>
      </c>
    </row>
    <row r="30" spans="1:7" ht="15.75" customHeight="1" x14ac:dyDescent="0.25">
      <c r="A30" s="1">
        <v>0</v>
      </c>
      <c r="B30" s="1">
        <v>1</v>
      </c>
      <c r="C30" s="1" t="s">
        <v>221</v>
      </c>
      <c r="D30" s="1">
        <v>1987</v>
      </c>
      <c r="E30" s="1">
        <v>1</v>
      </c>
      <c r="F30" s="1">
        <v>0.5028357</v>
      </c>
      <c r="G30" s="1">
        <v>3.68834621281032E-2</v>
      </c>
    </row>
    <row r="31" spans="1:7" ht="15.75" customHeight="1" x14ac:dyDescent="0.25">
      <c r="A31" s="1">
        <v>0</v>
      </c>
      <c r="B31" s="1">
        <v>1</v>
      </c>
      <c r="C31" s="1" t="s">
        <v>221</v>
      </c>
      <c r="D31" s="1">
        <v>1988</v>
      </c>
      <c r="E31" s="1">
        <v>1</v>
      </c>
      <c r="F31" s="1">
        <v>0.27189001000000007</v>
      </c>
      <c r="G31" s="1">
        <v>3.4814045365903899E-2</v>
      </c>
    </row>
    <row r="32" spans="1:7" ht="15.75" customHeight="1" x14ac:dyDescent="0.25">
      <c r="A32" s="1">
        <v>0</v>
      </c>
      <c r="B32" s="1">
        <v>1</v>
      </c>
      <c r="C32" s="1" t="s">
        <v>221</v>
      </c>
      <c r="D32" s="1">
        <v>1989</v>
      </c>
      <c r="E32" s="1">
        <v>1</v>
      </c>
      <c r="F32" s="1">
        <v>0.18319680000000005</v>
      </c>
      <c r="G32" s="1">
        <v>6.4158715969505301E-2</v>
      </c>
    </row>
    <row r="33" spans="1:7" ht="15.75" customHeight="1" x14ac:dyDescent="0.25">
      <c r="A33" s="1">
        <v>0</v>
      </c>
      <c r="B33" s="1">
        <v>1</v>
      </c>
      <c r="C33" s="1" t="s">
        <v>221</v>
      </c>
      <c r="D33" s="1">
        <v>1990</v>
      </c>
      <c r="E33" s="1">
        <v>1</v>
      </c>
      <c r="F33" s="1">
        <v>0.42192593000000006</v>
      </c>
      <c r="G33" s="1">
        <v>6.0715890152875797E-2</v>
      </c>
    </row>
    <row r="34" spans="1:7" ht="15.75" customHeight="1" x14ac:dyDescent="0.25">
      <c r="A34" s="1">
        <v>0</v>
      </c>
      <c r="B34" s="1">
        <v>1</v>
      </c>
      <c r="C34" s="1" t="s">
        <v>221</v>
      </c>
      <c r="D34" s="1">
        <v>1991</v>
      </c>
      <c r="E34" s="1">
        <v>1</v>
      </c>
      <c r="F34" s="1">
        <v>0.49748436000000007</v>
      </c>
      <c r="G34" s="1">
        <v>7.9180828054307401E-2</v>
      </c>
    </row>
    <row r="35" spans="1:7" ht="15.75" customHeight="1" x14ac:dyDescent="0.25">
      <c r="A35" s="1">
        <v>0</v>
      </c>
      <c r="B35" s="1">
        <v>1</v>
      </c>
      <c r="C35" s="1" t="s">
        <v>221</v>
      </c>
      <c r="D35" s="1">
        <v>1992</v>
      </c>
      <c r="E35" s="1">
        <v>1</v>
      </c>
      <c r="F35" s="1">
        <v>0.61414336000000003</v>
      </c>
      <c r="G35" s="1">
        <v>6.9196408335781306E-2</v>
      </c>
    </row>
    <row r="36" spans="1:7" ht="15.75" customHeight="1" x14ac:dyDescent="0.25">
      <c r="A36" s="1">
        <v>0</v>
      </c>
      <c r="B36" s="1">
        <v>1</v>
      </c>
      <c r="C36" s="1" t="s">
        <v>221</v>
      </c>
      <c r="D36" s="1">
        <v>1993</v>
      </c>
      <c r="E36" s="1">
        <v>1</v>
      </c>
      <c r="F36" s="1">
        <v>0.56436158000000003</v>
      </c>
      <c r="G36" s="1">
        <v>6.6871695365603306E-2</v>
      </c>
    </row>
    <row r="37" spans="1:7" ht="15.75" customHeight="1" x14ac:dyDescent="0.25">
      <c r="A37" s="1">
        <v>0</v>
      </c>
      <c r="B37" s="1">
        <v>1</v>
      </c>
      <c r="C37" s="1" t="s">
        <v>221</v>
      </c>
      <c r="D37" s="1">
        <v>1994</v>
      </c>
      <c r="E37" s="1">
        <v>1</v>
      </c>
      <c r="F37" s="1">
        <v>0.29769142000000004</v>
      </c>
      <c r="G37" s="1">
        <v>6.0484186873481303E-2</v>
      </c>
    </row>
    <row r="38" spans="1:7" ht="15.75" customHeight="1" x14ac:dyDescent="0.25">
      <c r="A38" s="1">
        <v>0</v>
      </c>
      <c r="B38" s="1">
        <v>1</v>
      </c>
      <c r="C38" s="1" t="s">
        <v>221</v>
      </c>
      <c r="D38" s="1">
        <v>1995</v>
      </c>
      <c r="E38" s="1">
        <v>1</v>
      </c>
      <c r="F38" s="1">
        <v>0.31855290000000003</v>
      </c>
      <c r="G38" s="1">
        <v>6.4066071664348898E-2</v>
      </c>
    </row>
    <row r="39" spans="1:7" ht="15.75" customHeight="1" x14ac:dyDescent="0.25">
      <c r="A39" s="1">
        <v>0</v>
      </c>
      <c r="B39" s="1">
        <v>1</v>
      </c>
      <c r="C39" s="1" t="s">
        <v>221</v>
      </c>
      <c r="D39" s="1">
        <v>1996</v>
      </c>
      <c r="E39" s="1">
        <v>1</v>
      </c>
      <c r="F39" s="1">
        <v>0.17624439</v>
      </c>
      <c r="G39" s="1">
        <v>5.5072101775418901E-2</v>
      </c>
    </row>
    <row r="40" spans="1:7" ht="15.75" customHeight="1" x14ac:dyDescent="0.25">
      <c r="A40" s="1">
        <v>0</v>
      </c>
      <c r="B40" s="1">
        <v>1</v>
      </c>
      <c r="C40" s="1" t="s">
        <v>221</v>
      </c>
      <c r="D40" s="1">
        <v>1997</v>
      </c>
      <c r="E40" s="1">
        <v>1</v>
      </c>
      <c r="F40" s="1">
        <v>0.26826761999999998</v>
      </c>
      <c r="G40" s="1">
        <v>7.5441305939775799E-2</v>
      </c>
    </row>
    <row r="41" spans="1:7" ht="15.75" customHeight="1" x14ac:dyDescent="0.25">
      <c r="A41" s="1">
        <v>0</v>
      </c>
      <c r="B41" s="1">
        <v>1</v>
      </c>
      <c r="C41" s="1" t="s">
        <v>221</v>
      </c>
      <c r="D41" s="1">
        <v>1998</v>
      </c>
      <c r="E41" s="1">
        <v>1</v>
      </c>
      <c r="F41" s="1">
        <v>0.26521261799999996</v>
      </c>
      <c r="G41" s="1">
        <v>8.4727445773459198E-2</v>
      </c>
    </row>
    <row r="42" spans="1:7" ht="15.75" customHeight="1" x14ac:dyDescent="0.25">
      <c r="A42" s="1">
        <v>0</v>
      </c>
      <c r="B42" s="1">
        <v>1</v>
      </c>
      <c r="C42" s="1" t="s">
        <v>221</v>
      </c>
      <c r="D42" s="1">
        <v>1999</v>
      </c>
      <c r="E42" s="1">
        <v>1</v>
      </c>
      <c r="F42" s="1">
        <v>0.36258623400000001</v>
      </c>
      <c r="G42" s="1">
        <v>5.1622558464541002E-2</v>
      </c>
    </row>
    <row r="43" spans="1:7" ht="15.75" customHeight="1" x14ac:dyDescent="0.25">
      <c r="A43" s="1">
        <v>0</v>
      </c>
      <c r="B43" s="1">
        <v>1</v>
      </c>
      <c r="C43" s="1" t="s">
        <v>221</v>
      </c>
      <c r="D43" s="1">
        <v>2000</v>
      </c>
      <c r="E43" s="1">
        <v>1</v>
      </c>
      <c r="F43" s="1">
        <v>0.36758817199999999</v>
      </c>
      <c r="G43" s="1">
        <v>6.0917450393643803E-2</v>
      </c>
    </row>
    <row r="44" spans="1:7" ht="15.75" customHeight="1" x14ac:dyDescent="0.25">
      <c r="A44" s="1">
        <v>0</v>
      </c>
      <c r="B44" s="1">
        <v>1</v>
      </c>
      <c r="C44" s="1" t="s">
        <v>221</v>
      </c>
      <c r="D44" s="1">
        <v>2001</v>
      </c>
      <c r="E44" s="1">
        <v>1</v>
      </c>
      <c r="F44" s="1">
        <v>0.34205024699999997</v>
      </c>
      <c r="G44" s="1">
        <v>4.9260698216010999E-2</v>
      </c>
    </row>
    <row r="45" spans="1:7" ht="15.75" customHeight="1" x14ac:dyDescent="0.25">
      <c r="A45" s="1">
        <v>0</v>
      </c>
      <c r="B45" s="1">
        <v>1</v>
      </c>
      <c r="C45" s="1" t="s">
        <v>221</v>
      </c>
      <c r="D45" s="1">
        <v>2002</v>
      </c>
      <c r="E45" s="1">
        <v>1</v>
      </c>
      <c r="F45" s="1">
        <v>0.32442571799999997</v>
      </c>
      <c r="G45" s="1">
        <v>4.6924571013520003E-2</v>
      </c>
    </row>
    <row r="46" spans="1:7" ht="15.75" customHeight="1" x14ac:dyDescent="0.25">
      <c r="A46" s="1">
        <v>0</v>
      </c>
      <c r="B46" s="1">
        <v>1</v>
      </c>
      <c r="C46" s="1" t="s">
        <v>221</v>
      </c>
      <c r="D46" s="1">
        <v>2003</v>
      </c>
      <c r="E46" s="1">
        <v>1</v>
      </c>
      <c r="F46" s="1">
        <v>0.31905019000000001</v>
      </c>
      <c r="G46" s="1">
        <v>4.8371763112814298E-2</v>
      </c>
    </row>
    <row r="47" spans="1:7" ht="15.75" customHeight="1" x14ac:dyDescent="0.25">
      <c r="A47" s="1">
        <v>0</v>
      </c>
      <c r="B47" s="1">
        <v>1</v>
      </c>
      <c r="C47" s="1" t="s">
        <v>221</v>
      </c>
      <c r="D47" s="1">
        <v>2004</v>
      </c>
      <c r="E47" s="1">
        <v>1</v>
      </c>
      <c r="F47" s="1">
        <v>0.338501889</v>
      </c>
      <c r="G47" s="1">
        <v>5.7052116920408097E-2</v>
      </c>
    </row>
    <row r="48" spans="1:7" ht="15.75" customHeight="1" x14ac:dyDescent="0.25">
      <c r="A48" s="1">
        <v>0</v>
      </c>
      <c r="B48" s="1">
        <v>1</v>
      </c>
      <c r="C48" s="1" t="s">
        <v>221</v>
      </c>
      <c r="D48" s="1">
        <v>2005</v>
      </c>
      <c r="E48" s="1">
        <v>1</v>
      </c>
      <c r="F48" s="1">
        <v>0.27548532999999997</v>
      </c>
      <c r="G48" s="1">
        <v>4.78655433057407E-2</v>
      </c>
    </row>
    <row r="49" spans="1:7" ht="15.75" customHeight="1" x14ac:dyDescent="0.25">
      <c r="A49" s="1">
        <v>0</v>
      </c>
      <c r="B49" s="1">
        <v>1</v>
      </c>
      <c r="C49" s="1" t="s">
        <v>221</v>
      </c>
      <c r="D49" s="1">
        <v>2006</v>
      </c>
      <c r="E49" s="1">
        <v>1</v>
      </c>
      <c r="F49" s="1">
        <v>0.32198900999999996</v>
      </c>
      <c r="G49" s="1">
        <v>4.2053375280584997E-2</v>
      </c>
    </row>
    <row r="50" spans="1:7" ht="15.75" customHeight="1" x14ac:dyDescent="0.25">
      <c r="A50" s="1">
        <v>0</v>
      </c>
      <c r="B50" s="1">
        <v>1</v>
      </c>
      <c r="C50" s="1" t="s">
        <v>221</v>
      </c>
      <c r="D50" s="1">
        <v>2007</v>
      </c>
      <c r="E50" s="1">
        <v>1</v>
      </c>
      <c r="F50" s="1">
        <v>0.30394582399999998</v>
      </c>
      <c r="G50" s="1">
        <v>4.2968231878700802E-2</v>
      </c>
    </row>
    <row r="51" spans="1:7" ht="15.75" customHeight="1" x14ac:dyDescent="0.25">
      <c r="A51" s="1">
        <v>0</v>
      </c>
      <c r="B51" s="1">
        <v>1</v>
      </c>
      <c r="C51" s="1" t="s">
        <v>221</v>
      </c>
      <c r="D51" s="1">
        <v>2008</v>
      </c>
      <c r="E51" s="1">
        <v>1</v>
      </c>
      <c r="F51" s="1">
        <v>0.36662111199999992</v>
      </c>
      <c r="G51" s="1">
        <v>5.3626373924765401E-2</v>
      </c>
    </row>
    <row r="52" spans="1:7" ht="15.75" customHeight="1" x14ac:dyDescent="0.25">
      <c r="A52" s="1">
        <v>0</v>
      </c>
      <c r="B52" s="1">
        <v>1</v>
      </c>
      <c r="C52" s="1" t="s">
        <v>221</v>
      </c>
      <c r="D52" s="1">
        <v>2009</v>
      </c>
      <c r="E52" s="1">
        <v>1</v>
      </c>
      <c r="F52" s="1">
        <v>0.40565912699999995</v>
      </c>
      <c r="G52" s="1">
        <v>6.6333048785106194E-2</v>
      </c>
    </row>
    <row r="53" spans="1:7" ht="15.75" customHeight="1" x14ac:dyDescent="0.25">
      <c r="A53" s="1">
        <v>0</v>
      </c>
      <c r="B53" s="1">
        <v>1</v>
      </c>
      <c r="C53" s="1" t="s">
        <v>221</v>
      </c>
      <c r="D53" s="1">
        <v>2010</v>
      </c>
      <c r="E53" s="1">
        <v>1</v>
      </c>
      <c r="F53" s="1">
        <v>0.46945982499999994</v>
      </c>
      <c r="G53" s="1">
        <v>6.5099337549702901E-2</v>
      </c>
    </row>
    <row r="54" spans="1:7" ht="15.75" customHeight="1" x14ac:dyDescent="0.25">
      <c r="A54" s="1">
        <v>0</v>
      </c>
      <c r="B54" s="1">
        <v>1</v>
      </c>
      <c r="C54" s="1" t="s">
        <v>221</v>
      </c>
      <c r="D54" s="1">
        <v>2011</v>
      </c>
      <c r="E54" s="1">
        <v>1</v>
      </c>
      <c r="F54" s="1">
        <v>0.54181425699999997</v>
      </c>
      <c r="G54" s="1">
        <v>5.02528798174968E-2</v>
      </c>
    </row>
    <row r="55" spans="1:7" ht="15.75" customHeight="1" x14ac:dyDescent="0.25">
      <c r="A55" s="1">
        <v>0</v>
      </c>
      <c r="B55" s="1">
        <v>1</v>
      </c>
      <c r="C55" s="1" t="s">
        <v>221</v>
      </c>
      <c r="D55" s="1">
        <v>2012</v>
      </c>
      <c r="E55" s="1">
        <v>1</v>
      </c>
      <c r="F55" s="1">
        <v>0.57318294899999989</v>
      </c>
      <c r="G55" s="1">
        <v>4.34837041416491E-2</v>
      </c>
    </row>
    <row r="56" spans="1:7" ht="15.75" customHeight="1" x14ac:dyDescent="0.25">
      <c r="A56" s="1">
        <v>0</v>
      </c>
      <c r="B56" s="1">
        <v>1</v>
      </c>
      <c r="C56" s="1" t="s">
        <v>221</v>
      </c>
      <c r="D56" s="1">
        <v>2013</v>
      </c>
      <c r="E56" s="1">
        <v>1</v>
      </c>
      <c r="F56" s="1">
        <v>0.56916885599999989</v>
      </c>
      <c r="G56" s="1">
        <v>5.3015148030903098E-2</v>
      </c>
    </row>
    <row r="57" spans="1:7" ht="15.75" customHeight="1" x14ac:dyDescent="0.25">
      <c r="A57" s="1">
        <v>0</v>
      </c>
      <c r="B57" s="1">
        <v>1</v>
      </c>
      <c r="C57" s="1" t="s">
        <v>221</v>
      </c>
      <c r="D57" s="1">
        <v>2014</v>
      </c>
      <c r="E57" s="1">
        <v>1</v>
      </c>
      <c r="F57" s="1">
        <v>0.56412328499999986</v>
      </c>
      <c r="G57" s="1">
        <v>4.9253294793636097E-2</v>
      </c>
    </row>
    <row r="58" spans="1:7" ht="15.75" customHeight="1" x14ac:dyDescent="0.25">
      <c r="A58" s="1">
        <v>0</v>
      </c>
      <c r="B58" s="1">
        <v>1</v>
      </c>
      <c r="C58" s="1" t="s">
        <v>221</v>
      </c>
      <c r="D58" s="1">
        <v>2015</v>
      </c>
      <c r="E58" s="1">
        <v>1</v>
      </c>
      <c r="F58" s="1">
        <v>0.75433072099999976</v>
      </c>
      <c r="G58" s="1">
        <v>5.7289868369422903E-2</v>
      </c>
    </row>
    <row r="59" spans="1:7" ht="15.75" customHeight="1" x14ac:dyDescent="0.25">
      <c r="A59" s="1">
        <v>0</v>
      </c>
      <c r="B59" s="1">
        <v>1</v>
      </c>
      <c r="C59" s="1" t="s">
        <v>221</v>
      </c>
      <c r="D59" s="1">
        <v>2016</v>
      </c>
      <c r="E59" s="1">
        <v>1</v>
      </c>
      <c r="F59" s="1">
        <v>0.84750463199999992</v>
      </c>
      <c r="G59" s="1">
        <v>4.8617566921277798E-2</v>
      </c>
    </row>
    <row r="60" spans="1:7" ht="15.75" customHeight="1" x14ac:dyDescent="0.25">
      <c r="A60" s="1">
        <v>0</v>
      </c>
      <c r="B60" s="1">
        <v>1</v>
      </c>
      <c r="C60" s="1" t="s">
        <v>221</v>
      </c>
      <c r="D60" s="1">
        <v>2017</v>
      </c>
      <c r="E60" s="1">
        <v>1</v>
      </c>
      <c r="F60" s="1">
        <v>0.88810639999999974</v>
      </c>
      <c r="G60" s="1">
        <v>4.9164111142390401E-2</v>
      </c>
    </row>
    <row r="61" spans="1:7" ht="15.75" customHeight="1" x14ac:dyDescent="0.25">
      <c r="A61" s="1">
        <v>0</v>
      </c>
      <c r="B61" s="1">
        <v>1</v>
      </c>
      <c r="C61" s="1" t="s">
        <v>221</v>
      </c>
      <c r="D61" s="1">
        <v>2018</v>
      </c>
      <c r="E61" s="1">
        <v>1</v>
      </c>
      <c r="F61" s="1">
        <v>0.96063149999999975</v>
      </c>
      <c r="G61" s="1">
        <v>4.9327279438456002E-2</v>
      </c>
    </row>
    <row r="62" spans="1:7" ht="15.75" customHeight="1" x14ac:dyDescent="0.25">
      <c r="A62" s="1">
        <v>0</v>
      </c>
      <c r="B62" s="1">
        <v>1</v>
      </c>
      <c r="C62" s="1" t="s">
        <v>221</v>
      </c>
      <c r="D62" s="1">
        <v>2019</v>
      </c>
      <c r="E62" s="1">
        <v>1</v>
      </c>
      <c r="F62" s="1">
        <v>1.0720371999999998</v>
      </c>
      <c r="G62" s="1">
        <v>4.8180261015612097E-2</v>
      </c>
    </row>
    <row r="63" spans="1:7" ht="15.75" customHeight="1" x14ac:dyDescent="0.25">
      <c r="A63" s="1">
        <v>0</v>
      </c>
      <c r="B63" s="1">
        <v>1</v>
      </c>
      <c r="C63" s="1" t="s">
        <v>221</v>
      </c>
      <c r="D63" s="1">
        <v>2020</v>
      </c>
      <c r="E63" s="1">
        <v>1</v>
      </c>
      <c r="F63" s="1">
        <v>1.1498861999999999</v>
      </c>
      <c r="G63" s="1">
        <v>4.3893600594459702E-2</v>
      </c>
    </row>
    <row r="64" spans="1:7" ht="15.75" customHeight="1" x14ac:dyDescent="0.25">
      <c r="A64" s="1">
        <v>0</v>
      </c>
      <c r="B64" s="1">
        <v>1</v>
      </c>
      <c r="C64" s="1" t="s">
        <v>221</v>
      </c>
      <c r="D64" s="1">
        <v>2021</v>
      </c>
      <c r="E64" s="1">
        <v>1</v>
      </c>
      <c r="F64" s="1">
        <v>1.2459490999999998</v>
      </c>
      <c r="G64" s="1">
        <v>4.5585716128643497E-2</v>
      </c>
    </row>
    <row r="65" spans="1:7" ht="15.75" customHeight="1" x14ac:dyDescent="0.25">
      <c r="A65" s="1">
        <v>0</v>
      </c>
      <c r="B65" s="1">
        <v>1</v>
      </c>
      <c r="C65" s="1" t="s">
        <v>221</v>
      </c>
      <c r="D65" s="1">
        <v>2022</v>
      </c>
      <c r="E65" s="1">
        <v>1</v>
      </c>
      <c r="F65" s="1">
        <v>1.2434739199999998</v>
      </c>
      <c r="G65" s="1">
        <v>4.9120455316691403E-2</v>
      </c>
    </row>
    <row r="66" spans="1:7" ht="15.75" customHeight="1" x14ac:dyDescent="0.25">
      <c r="A66" s="1">
        <v>0</v>
      </c>
      <c r="B66" s="1">
        <v>1</v>
      </c>
      <c r="C66" s="1" t="s">
        <v>221</v>
      </c>
      <c r="D66" s="1">
        <v>2023</v>
      </c>
      <c r="E66" s="1">
        <v>1</v>
      </c>
      <c r="F66" s="1">
        <v>1.5280919999999996</v>
      </c>
      <c r="G66" s="1">
        <v>4.1317511140728798E-2</v>
      </c>
    </row>
    <row r="67" spans="1:7" ht="15.75" customHeight="1" x14ac:dyDescent="0.25">
      <c r="A67" s="1">
        <v>0</v>
      </c>
      <c r="B67" s="1">
        <v>1</v>
      </c>
      <c r="C67" s="1" t="s">
        <v>221</v>
      </c>
      <c r="D67" s="1">
        <v>2024</v>
      </c>
      <c r="E67" s="1">
        <v>1</v>
      </c>
      <c r="F67" s="1">
        <v>1.5148764599999998</v>
      </c>
      <c r="G67" s="1">
        <v>6.9224520471187698E-2</v>
      </c>
    </row>
    <row r="68" spans="1:7" ht="15.75" customHeight="1" x14ac:dyDescent="0.25">
      <c r="A68" s="1">
        <v>1</v>
      </c>
      <c r="B68" s="1">
        <v>4</v>
      </c>
      <c r="C68" s="1" t="s">
        <v>111</v>
      </c>
      <c r="D68" s="1">
        <v>1990</v>
      </c>
      <c r="E68" s="1">
        <v>1</v>
      </c>
      <c r="F68" s="1">
        <v>2.5863526599999993</v>
      </c>
      <c r="G68" s="1">
        <v>5.0971638524937503E-2</v>
      </c>
    </row>
    <row r="69" spans="1:7" ht="15.75" customHeight="1" x14ac:dyDescent="0.25">
      <c r="A69" s="1">
        <v>1</v>
      </c>
      <c r="B69" s="1">
        <v>4</v>
      </c>
      <c r="C69" s="1" t="s">
        <v>111</v>
      </c>
      <c r="D69" s="1">
        <v>1991</v>
      </c>
      <c r="E69" s="1">
        <v>1</v>
      </c>
      <c r="F69" s="1">
        <v>2.3300990999999991</v>
      </c>
      <c r="G69" s="1">
        <v>4.6829142321856899E-2</v>
      </c>
    </row>
    <row r="70" spans="1:7" ht="15.75" customHeight="1" x14ac:dyDescent="0.25">
      <c r="A70" s="1">
        <v>1</v>
      </c>
      <c r="B70" s="1">
        <v>4</v>
      </c>
      <c r="C70" s="1" t="s">
        <v>111</v>
      </c>
      <c r="D70" s="1">
        <v>1992</v>
      </c>
      <c r="E70" s="1">
        <v>1</v>
      </c>
      <c r="F70" s="1">
        <v>2.6755684999999994</v>
      </c>
      <c r="G70" s="1">
        <v>4.4083765675703199E-2</v>
      </c>
    </row>
    <row r="71" spans="1:7" ht="15.75" customHeight="1" x14ac:dyDescent="0.25">
      <c r="A71" s="1">
        <v>1</v>
      </c>
      <c r="B71" s="1">
        <v>4</v>
      </c>
      <c r="C71" s="1" t="s">
        <v>111</v>
      </c>
      <c r="D71" s="1">
        <v>1993</v>
      </c>
      <c r="E71" s="1">
        <v>1</v>
      </c>
      <c r="F71" s="1">
        <v>2.6851065199999993</v>
      </c>
      <c r="G71" s="1">
        <v>6.3682003957994698E-2</v>
      </c>
    </row>
    <row r="72" spans="1:7" ht="15.75" customHeight="1" x14ac:dyDescent="0.25">
      <c r="A72" s="1">
        <v>1</v>
      </c>
      <c r="B72" s="1">
        <v>4</v>
      </c>
      <c r="C72" s="1" t="s">
        <v>111</v>
      </c>
      <c r="D72" s="1">
        <v>1994</v>
      </c>
      <c r="E72" s="1">
        <v>1</v>
      </c>
      <c r="F72" s="1">
        <v>2.7079841699999991</v>
      </c>
      <c r="G72" s="1">
        <v>5.31361912984748E-2</v>
      </c>
    </row>
    <row r="73" spans="1:7" ht="15.75" customHeight="1" x14ac:dyDescent="0.25">
      <c r="A73" s="1">
        <v>1</v>
      </c>
      <c r="B73" s="1">
        <v>4</v>
      </c>
      <c r="C73" s="1" t="s">
        <v>111</v>
      </c>
      <c r="D73" s="1">
        <v>1995</v>
      </c>
      <c r="E73" s="1">
        <v>1</v>
      </c>
      <c r="F73" s="1">
        <v>2.4858087499999995</v>
      </c>
      <c r="G73" s="1">
        <v>5.22677056527611E-2</v>
      </c>
    </row>
    <row r="74" spans="1:7" ht="15.75" customHeight="1" x14ac:dyDescent="0.25">
      <c r="A74" s="1">
        <v>1</v>
      </c>
      <c r="B74" s="1">
        <v>4</v>
      </c>
      <c r="C74" s="1" t="s">
        <v>111</v>
      </c>
      <c r="D74" s="1">
        <v>1996</v>
      </c>
      <c r="E74" s="1">
        <v>1</v>
      </c>
      <c r="F74" s="1">
        <v>2.0940124199999994</v>
      </c>
      <c r="G74" s="1">
        <v>5.6694334369782398E-2</v>
      </c>
    </row>
    <row r="75" spans="1:7" ht="15.75" customHeight="1" x14ac:dyDescent="0.25">
      <c r="A75" s="1">
        <v>1</v>
      </c>
      <c r="B75" s="1">
        <v>4</v>
      </c>
      <c r="C75" s="1" t="s">
        <v>111</v>
      </c>
      <c r="D75" s="1">
        <v>1997</v>
      </c>
      <c r="E75" s="1">
        <v>1</v>
      </c>
      <c r="F75" s="1">
        <v>2.1012087499999996</v>
      </c>
      <c r="G75" s="1">
        <v>5.4604729849884903E-2</v>
      </c>
    </row>
    <row r="76" spans="1:7" ht="15.75" customHeight="1" x14ac:dyDescent="0.25">
      <c r="A76" s="1">
        <v>1</v>
      </c>
      <c r="B76" s="1">
        <v>4</v>
      </c>
      <c r="C76" s="1" t="s">
        <v>111</v>
      </c>
      <c r="D76" s="1">
        <v>1998</v>
      </c>
      <c r="E76" s="1">
        <v>1</v>
      </c>
      <c r="F76" s="1">
        <v>1.6579371599999997</v>
      </c>
      <c r="G76" s="1">
        <v>4.0733603121883899E-2</v>
      </c>
    </row>
    <row r="77" spans="1:7" ht="15.75" customHeight="1" x14ac:dyDescent="0.25">
      <c r="A77" s="1">
        <v>1</v>
      </c>
      <c r="B77" s="1">
        <v>4</v>
      </c>
      <c r="C77" s="1" t="s">
        <v>111</v>
      </c>
      <c r="D77" s="1">
        <v>1999</v>
      </c>
      <c r="E77" s="1">
        <v>1</v>
      </c>
      <c r="F77" s="1">
        <v>1.4042379999999999</v>
      </c>
      <c r="G77" s="1">
        <v>4.9091855107932798E-2</v>
      </c>
    </row>
    <row r="78" spans="1:7" ht="15.75" customHeight="1" x14ac:dyDescent="0.25">
      <c r="A78" s="1">
        <v>1</v>
      </c>
      <c r="B78" s="1">
        <v>4</v>
      </c>
      <c r="C78" s="1" t="s">
        <v>111</v>
      </c>
      <c r="D78" s="1">
        <v>2000</v>
      </c>
      <c r="E78" s="1">
        <v>1</v>
      </c>
      <c r="F78" s="1">
        <v>1.3406130399999998</v>
      </c>
      <c r="G78" s="1">
        <v>5.5388206762239399E-2</v>
      </c>
    </row>
    <row r="79" spans="1:7" ht="15.75" customHeight="1" x14ac:dyDescent="0.25">
      <c r="A79" s="1">
        <v>1</v>
      </c>
      <c r="B79" s="1">
        <v>4</v>
      </c>
      <c r="C79" s="1" t="s">
        <v>111</v>
      </c>
      <c r="D79" s="1">
        <v>2001</v>
      </c>
      <c r="E79" s="1">
        <v>1</v>
      </c>
      <c r="F79" s="1">
        <v>1.1445126999999997</v>
      </c>
      <c r="G79" s="1">
        <v>4.3311339701524197E-2</v>
      </c>
    </row>
    <row r="80" spans="1:7" ht="15.75" customHeight="1" x14ac:dyDescent="0.25">
      <c r="A80" s="1">
        <v>1</v>
      </c>
      <c r="B80" s="1">
        <v>4</v>
      </c>
      <c r="C80" s="1" t="s">
        <v>111</v>
      </c>
      <c r="D80" s="1">
        <v>2002</v>
      </c>
      <c r="E80" s="1">
        <v>1</v>
      </c>
      <c r="F80" s="1">
        <v>0.92397711999999976</v>
      </c>
      <c r="G80" s="1">
        <v>4.6915258875187701E-2</v>
      </c>
    </row>
    <row r="81" spans="1:7" ht="15.75" customHeight="1" x14ac:dyDescent="0.25">
      <c r="A81" s="1">
        <v>1</v>
      </c>
      <c r="B81" s="1">
        <v>4</v>
      </c>
      <c r="C81" s="1" t="s">
        <v>111</v>
      </c>
      <c r="D81" s="1">
        <v>2003</v>
      </c>
      <c r="E81" s="1">
        <v>1</v>
      </c>
      <c r="F81" s="1">
        <v>0.88672483899999976</v>
      </c>
      <c r="G81" s="1">
        <v>4.5053002060648703E-2</v>
      </c>
    </row>
    <row r="82" spans="1:7" ht="15.75" customHeight="1" x14ac:dyDescent="0.25">
      <c r="A82" s="1">
        <v>1</v>
      </c>
      <c r="B82" s="1">
        <v>4</v>
      </c>
      <c r="C82" s="1" t="s">
        <v>111</v>
      </c>
      <c r="D82" s="1">
        <v>2004</v>
      </c>
      <c r="E82" s="1">
        <v>1</v>
      </c>
      <c r="F82" s="1">
        <v>0.75802395199999972</v>
      </c>
      <c r="G82" s="1">
        <v>4.7432817149281999E-2</v>
      </c>
    </row>
    <row r="83" spans="1:7" ht="15.75" customHeight="1" x14ac:dyDescent="0.25">
      <c r="A83" s="1">
        <v>1</v>
      </c>
      <c r="B83" s="1">
        <v>4</v>
      </c>
      <c r="C83" s="1" t="s">
        <v>111</v>
      </c>
      <c r="D83" s="1">
        <v>2005</v>
      </c>
      <c r="E83" s="1">
        <v>1</v>
      </c>
      <c r="F83" s="1">
        <v>0.73813467199999983</v>
      </c>
      <c r="G83" s="1">
        <v>4.4639568469101797E-2</v>
      </c>
    </row>
    <row r="84" spans="1:7" ht="15.75" customHeight="1" x14ac:dyDescent="0.25">
      <c r="A84" s="1">
        <v>1</v>
      </c>
      <c r="B84" s="1">
        <v>4</v>
      </c>
      <c r="C84" s="1" t="s">
        <v>111</v>
      </c>
      <c r="D84" s="1">
        <v>2006</v>
      </c>
      <c r="E84" s="1">
        <v>1</v>
      </c>
      <c r="F84" s="1">
        <v>0.75161665899999985</v>
      </c>
      <c r="G84" s="1">
        <v>4.7245679927303302E-2</v>
      </c>
    </row>
    <row r="85" spans="1:7" ht="15.75" customHeight="1" x14ac:dyDescent="0.25">
      <c r="A85" s="1">
        <v>1</v>
      </c>
      <c r="B85" s="1">
        <v>4</v>
      </c>
      <c r="C85" s="1" t="s">
        <v>111</v>
      </c>
      <c r="D85" s="1">
        <v>2007</v>
      </c>
      <c r="E85" s="1">
        <v>1</v>
      </c>
      <c r="F85" s="1">
        <v>0.84788422999999979</v>
      </c>
      <c r="G85" s="1">
        <v>4.2255989659841398E-2</v>
      </c>
    </row>
    <row r="86" spans="1:7" ht="15.75" customHeight="1" x14ac:dyDescent="0.25">
      <c r="A86" s="1">
        <v>1</v>
      </c>
      <c r="B86" s="1">
        <v>4</v>
      </c>
      <c r="C86" s="1" t="s">
        <v>111</v>
      </c>
      <c r="D86" s="1">
        <v>2008</v>
      </c>
      <c r="E86" s="1">
        <v>1</v>
      </c>
      <c r="F86" s="1">
        <v>0.7757302399999999</v>
      </c>
      <c r="G86" s="1">
        <v>4.2222684590433199E-2</v>
      </c>
    </row>
    <row r="87" spans="1:7" ht="15.75" customHeight="1" x14ac:dyDescent="0.25">
      <c r="A87" s="1">
        <v>1</v>
      </c>
      <c r="B87" s="1">
        <v>4</v>
      </c>
      <c r="C87" s="1" t="s">
        <v>111</v>
      </c>
      <c r="D87" s="1">
        <v>2009</v>
      </c>
      <c r="E87" s="1">
        <v>1</v>
      </c>
      <c r="F87" s="1">
        <v>0.98482013999999996</v>
      </c>
      <c r="G87" s="1">
        <v>4.2423092981228698E-2</v>
      </c>
    </row>
    <row r="88" spans="1:7" ht="15.75" customHeight="1" x14ac:dyDescent="0.25">
      <c r="A88" s="1">
        <v>1</v>
      </c>
      <c r="B88" s="1">
        <v>4</v>
      </c>
      <c r="C88" s="1" t="s">
        <v>111</v>
      </c>
      <c r="D88" s="1">
        <v>2010</v>
      </c>
      <c r="E88" s="1">
        <v>1</v>
      </c>
      <c r="F88" s="1">
        <v>1.0471994799999997</v>
      </c>
      <c r="G88" s="1">
        <v>4.6342646171541997E-2</v>
      </c>
    </row>
    <row r="89" spans="1:7" ht="15.75" customHeight="1" x14ac:dyDescent="0.25">
      <c r="A89" s="1">
        <v>1</v>
      </c>
      <c r="B89" s="1">
        <v>4</v>
      </c>
      <c r="C89" s="1" t="s">
        <v>111</v>
      </c>
      <c r="D89" s="1">
        <v>2011</v>
      </c>
      <c r="E89" s="1">
        <v>1</v>
      </c>
      <c r="F89" s="1">
        <v>1.3315243199999998</v>
      </c>
      <c r="G89" s="1">
        <v>4.0082639295461603E-2</v>
      </c>
    </row>
    <row r="90" spans="1:7" ht="15.75" customHeight="1" x14ac:dyDescent="0.25">
      <c r="A90" s="1">
        <v>1</v>
      </c>
      <c r="B90" s="1">
        <v>4</v>
      </c>
      <c r="C90" s="1" t="s">
        <v>111</v>
      </c>
      <c r="D90" s="1">
        <v>2012</v>
      </c>
      <c r="E90" s="1">
        <v>1</v>
      </c>
      <c r="F90" s="1">
        <v>1.3205639999999996</v>
      </c>
      <c r="G90" s="1">
        <v>4.1864735261983102E-2</v>
      </c>
    </row>
    <row r="91" spans="1:7" ht="15.75" customHeight="1" x14ac:dyDescent="0.25">
      <c r="A91" s="1">
        <v>1</v>
      </c>
      <c r="B91" s="1">
        <v>4</v>
      </c>
      <c r="C91" s="1" t="s">
        <v>111</v>
      </c>
      <c r="D91" s="1">
        <v>2013</v>
      </c>
      <c r="E91" s="1">
        <v>1</v>
      </c>
      <c r="F91" s="1">
        <v>1.2856758299999997</v>
      </c>
      <c r="G91" s="1">
        <v>0.169714126691766</v>
      </c>
    </row>
    <row r="92" spans="1:7" ht="15.75" customHeight="1" x14ac:dyDescent="0.25">
      <c r="A92" s="1">
        <v>1</v>
      </c>
      <c r="B92" s="1">
        <v>4</v>
      </c>
      <c r="C92" s="1" t="s">
        <v>111</v>
      </c>
      <c r="D92" s="1">
        <v>2014</v>
      </c>
      <c r="E92" s="1">
        <v>1</v>
      </c>
      <c r="F92" s="1">
        <v>1.4468479999999997</v>
      </c>
      <c r="G92" s="1">
        <v>9.5369720457646606E-2</v>
      </c>
    </row>
    <row r="93" spans="1:7" ht="15.75" customHeight="1" x14ac:dyDescent="0.25">
      <c r="A93" s="1">
        <v>1</v>
      </c>
      <c r="B93" s="1">
        <v>4</v>
      </c>
      <c r="C93" s="1" t="s">
        <v>111</v>
      </c>
      <c r="D93" s="1">
        <v>2015</v>
      </c>
      <c r="E93" s="1">
        <v>1</v>
      </c>
      <c r="F93" s="1">
        <v>1.7736409899999996</v>
      </c>
      <c r="G93" s="1">
        <v>7.7095179739025299E-2</v>
      </c>
    </row>
    <row r="94" spans="1:7" ht="15.75" customHeight="1" x14ac:dyDescent="0.25">
      <c r="A94" s="1">
        <v>1</v>
      </c>
      <c r="B94" s="1">
        <v>4</v>
      </c>
      <c r="C94" s="1" t="s">
        <v>111</v>
      </c>
      <c r="D94" s="1">
        <v>2016</v>
      </c>
      <c r="E94" s="1">
        <v>1</v>
      </c>
      <c r="F94" s="1">
        <v>1.7601738999999996</v>
      </c>
      <c r="G94" s="1">
        <v>8.0418506929916603E-2</v>
      </c>
    </row>
    <row r="95" spans="1:7" ht="15.75" customHeight="1" x14ac:dyDescent="0.25">
      <c r="A95" s="1">
        <v>1</v>
      </c>
      <c r="B95" s="1">
        <v>4</v>
      </c>
      <c r="C95" s="1" t="s">
        <v>111</v>
      </c>
      <c r="D95" s="1">
        <v>2017</v>
      </c>
      <c r="E95" s="1">
        <v>1</v>
      </c>
      <c r="F95" s="1">
        <v>1.7677804499999994</v>
      </c>
      <c r="G95" s="1">
        <v>7.0698853026702604E-2</v>
      </c>
    </row>
    <row r="96" spans="1:7" ht="15.75" customHeight="1" x14ac:dyDescent="0.25">
      <c r="A96" s="1">
        <v>1</v>
      </c>
      <c r="B96" s="1">
        <v>4</v>
      </c>
      <c r="C96" s="1" t="s">
        <v>111</v>
      </c>
      <c r="D96" s="1">
        <v>2018</v>
      </c>
      <c r="E96" s="1">
        <v>1</v>
      </c>
      <c r="F96" s="1">
        <v>2.0124595399999996</v>
      </c>
      <c r="G96" s="1">
        <v>7.5854203075401E-2</v>
      </c>
    </row>
    <row r="97" spans="1:7" ht="15.75" customHeight="1" x14ac:dyDescent="0.25">
      <c r="A97" s="1">
        <v>1</v>
      </c>
      <c r="B97" s="1">
        <v>4</v>
      </c>
      <c r="C97" s="1" t="s">
        <v>111</v>
      </c>
      <c r="D97" s="1">
        <v>2019</v>
      </c>
      <c r="E97" s="1">
        <v>1</v>
      </c>
      <c r="F97" s="1">
        <v>2.1217606199999999</v>
      </c>
      <c r="G97" s="1">
        <v>5.2223248197017798E-2</v>
      </c>
    </row>
    <row r="98" spans="1:7" ht="15.75" customHeight="1" x14ac:dyDescent="0.25">
      <c r="A98" s="1">
        <v>1</v>
      </c>
      <c r="B98" s="1">
        <v>4</v>
      </c>
      <c r="C98" s="1" t="s">
        <v>111</v>
      </c>
      <c r="D98" s="1">
        <v>2020</v>
      </c>
      <c r="E98" s="1">
        <v>1</v>
      </c>
      <c r="F98" s="1">
        <v>1.9058071999999999</v>
      </c>
      <c r="G98" s="1">
        <v>5.4505824282937702E-2</v>
      </c>
    </row>
    <row r="99" spans="1:7" ht="15.75" customHeight="1" x14ac:dyDescent="0.25">
      <c r="A99" s="1">
        <v>1</v>
      </c>
      <c r="B99" s="1">
        <v>4</v>
      </c>
      <c r="C99" s="1" t="s">
        <v>111</v>
      </c>
      <c r="D99" s="1">
        <v>2021</v>
      </c>
      <c r="E99" s="1">
        <v>1</v>
      </c>
      <c r="F99" s="1">
        <v>1.9310996199999999</v>
      </c>
      <c r="G99" s="1">
        <v>5.5284015061312801E-2</v>
      </c>
    </row>
    <row r="100" spans="1:7" ht="15.75" customHeight="1" x14ac:dyDescent="0.25">
      <c r="A100" s="1">
        <v>1</v>
      </c>
      <c r="B100" s="1">
        <v>4</v>
      </c>
      <c r="C100" s="1" t="s">
        <v>111</v>
      </c>
      <c r="D100" s="1">
        <v>2022</v>
      </c>
      <c r="E100" s="1">
        <v>1</v>
      </c>
      <c r="F100" s="1">
        <v>2.2771546599999999</v>
      </c>
      <c r="G100" s="1">
        <v>6.05934627000266E-2</v>
      </c>
    </row>
    <row r="101" spans="1:7" ht="15.75" customHeight="1" x14ac:dyDescent="0.25">
      <c r="A101" s="1">
        <v>1</v>
      </c>
      <c r="B101" s="1">
        <v>4</v>
      </c>
      <c r="C101" s="1" t="s">
        <v>111</v>
      </c>
      <c r="D101" s="1">
        <v>2023</v>
      </c>
      <c r="E101" s="1">
        <v>1</v>
      </c>
      <c r="F101" s="1">
        <v>2.6221630500000002</v>
      </c>
      <c r="G101" s="1">
        <v>8.1460254759040507E-2</v>
      </c>
    </row>
    <row r="102" spans="1:7" ht="15.75" customHeight="1" x14ac:dyDescent="0.25">
      <c r="A102" s="1">
        <v>1</v>
      </c>
      <c r="B102" s="1">
        <v>4</v>
      </c>
      <c r="C102" s="1" t="s">
        <v>111</v>
      </c>
      <c r="D102" s="1">
        <v>2024</v>
      </c>
      <c r="E102" s="1">
        <v>1</v>
      </c>
      <c r="F102" s="1">
        <v>3.0085890000000002</v>
      </c>
      <c r="G102" s="1">
        <v>4.6739904035066102E-2</v>
      </c>
    </row>
    <row r="103" spans="1:7" ht="15.75" customHeight="1" x14ac:dyDescent="0.25">
      <c r="A103" s="1">
        <v>2</v>
      </c>
      <c r="B103" s="1">
        <v>4</v>
      </c>
      <c r="C103" s="1" t="s">
        <v>87</v>
      </c>
      <c r="D103" s="1">
        <v>1990</v>
      </c>
      <c r="E103" s="1">
        <v>1</v>
      </c>
      <c r="F103" s="1">
        <v>3.7906586399999997</v>
      </c>
      <c r="G103" s="1">
        <v>4.6918473162275001E-2</v>
      </c>
    </row>
    <row r="104" spans="1:7" ht="15.75" customHeight="1" x14ac:dyDescent="0.25">
      <c r="A104" s="1">
        <v>2</v>
      </c>
      <c r="B104" s="1">
        <v>4</v>
      </c>
      <c r="C104" s="1" t="s">
        <v>87</v>
      </c>
      <c r="D104" s="1">
        <v>1991</v>
      </c>
      <c r="E104" s="1">
        <v>1</v>
      </c>
      <c r="F104" s="1">
        <v>3.9221775000000001</v>
      </c>
      <c r="G104" s="1">
        <v>5.6406866090329799E-2</v>
      </c>
    </row>
    <row r="105" spans="1:7" ht="15.75" customHeight="1" x14ac:dyDescent="0.25">
      <c r="A105" s="1">
        <v>2</v>
      </c>
      <c r="B105" s="1">
        <v>4</v>
      </c>
      <c r="C105" s="1" t="s">
        <v>87</v>
      </c>
      <c r="D105" s="1">
        <v>1992</v>
      </c>
      <c r="E105" s="1">
        <v>1</v>
      </c>
      <c r="F105" s="1">
        <v>3.7947658000000004</v>
      </c>
      <c r="G105" s="1">
        <v>4.2486780173753499E-2</v>
      </c>
    </row>
    <row r="106" spans="1:7" ht="15.75" customHeight="1" x14ac:dyDescent="0.25">
      <c r="A106" s="1">
        <v>2</v>
      </c>
      <c r="B106" s="1">
        <v>4</v>
      </c>
      <c r="C106" s="1" t="s">
        <v>87</v>
      </c>
      <c r="D106" s="1">
        <v>1993</v>
      </c>
      <c r="E106" s="1">
        <v>1</v>
      </c>
      <c r="F106" s="1">
        <v>3.4020499499999999</v>
      </c>
      <c r="G106" s="1">
        <v>5.2002786071755999E-2</v>
      </c>
    </row>
    <row r="107" spans="1:7" ht="15.75" customHeight="1" x14ac:dyDescent="0.25">
      <c r="A107" s="1">
        <v>2</v>
      </c>
      <c r="B107" s="1">
        <v>4</v>
      </c>
      <c r="C107" s="1" t="s">
        <v>87</v>
      </c>
      <c r="D107" s="1">
        <v>1994</v>
      </c>
      <c r="E107" s="1">
        <v>1</v>
      </c>
      <c r="F107" s="1">
        <v>2.9149517400000007</v>
      </c>
      <c r="G107" s="1">
        <v>4.1096620155227997E-2</v>
      </c>
    </row>
    <row r="108" spans="1:7" ht="15.75" customHeight="1" x14ac:dyDescent="0.25">
      <c r="A108" s="1">
        <v>2</v>
      </c>
      <c r="B108" s="1">
        <v>4</v>
      </c>
      <c r="C108" s="1" t="s">
        <v>87</v>
      </c>
      <c r="D108" s="1">
        <v>1995</v>
      </c>
      <c r="E108" s="1">
        <v>1</v>
      </c>
      <c r="F108" s="1">
        <v>2.3460600100000004</v>
      </c>
      <c r="G108" s="1">
        <v>5.1766617952054103E-2</v>
      </c>
    </row>
    <row r="109" spans="1:7" ht="15.75" customHeight="1" x14ac:dyDescent="0.25">
      <c r="A109" s="1">
        <v>2</v>
      </c>
      <c r="B109" s="1">
        <v>4</v>
      </c>
      <c r="C109" s="1" t="s">
        <v>87</v>
      </c>
      <c r="D109" s="1">
        <v>1996</v>
      </c>
      <c r="E109" s="1">
        <v>1</v>
      </c>
      <c r="F109" s="1">
        <v>2.4243360400000005</v>
      </c>
      <c r="G109" s="1">
        <v>6.0430532114050597E-2</v>
      </c>
    </row>
    <row r="110" spans="1:7" ht="15.75" customHeight="1" x14ac:dyDescent="0.25">
      <c r="A110" s="1">
        <v>2</v>
      </c>
      <c r="B110" s="1">
        <v>4</v>
      </c>
      <c r="C110" s="1" t="s">
        <v>87</v>
      </c>
      <c r="D110" s="1">
        <v>1997</v>
      </c>
      <c r="E110" s="1">
        <v>1</v>
      </c>
      <c r="F110" s="1">
        <v>1.8894960000000003</v>
      </c>
      <c r="G110" s="1">
        <v>4.2209277886192997E-2</v>
      </c>
    </row>
    <row r="111" spans="1:7" ht="15.75" customHeight="1" x14ac:dyDescent="0.25">
      <c r="A111" s="1">
        <v>2</v>
      </c>
      <c r="B111" s="1">
        <v>4</v>
      </c>
      <c r="C111" s="1" t="s">
        <v>87</v>
      </c>
      <c r="D111" s="1">
        <v>1998</v>
      </c>
      <c r="E111" s="1">
        <v>1</v>
      </c>
      <c r="F111" s="1">
        <v>1.7933954500000002</v>
      </c>
      <c r="G111" s="1">
        <v>4.7571195085031298E-2</v>
      </c>
    </row>
    <row r="112" spans="1:7" ht="15.75" customHeight="1" x14ac:dyDescent="0.25">
      <c r="A112" s="1">
        <v>2</v>
      </c>
      <c r="B112" s="1">
        <v>4</v>
      </c>
      <c r="C112" s="1" t="s">
        <v>87</v>
      </c>
      <c r="D112" s="1">
        <v>1999</v>
      </c>
      <c r="E112" s="1">
        <v>1</v>
      </c>
      <c r="F112" s="1">
        <v>1.7833081800000004</v>
      </c>
      <c r="G112" s="1">
        <v>5.0189103152307998E-2</v>
      </c>
    </row>
    <row r="113" spans="1:7" ht="15.75" customHeight="1" x14ac:dyDescent="0.25">
      <c r="A113" s="1">
        <v>2</v>
      </c>
      <c r="B113" s="1">
        <v>4</v>
      </c>
      <c r="C113" s="1" t="s">
        <v>87</v>
      </c>
      <c r="D113" s="1">
        <v>2000</v>
      </c>
      <c r="E113" s="1">
        <v>1</v>
      </c>
      <c r="F113" s="1">
        <v>1.7872095000000003</v>
      </c>
      <c r="G113" s="1">
        <v>5.2407393249629002E-2</v>
      </c>
    </row>
    <row r="114" spans="1:7" ht="15.75" customHeight="1" x14ac:dyDescent="0.25">
      <c r="A114" s="1">
        <v>2</v>
      </c>
      <c r="B114" s="1">
        <v>4</v>
      </c>
      <c r="C114" s="1" t="s">
        <v>87</v>
      </c>
      <c r="D114" s="1">
        <v>2001</v>
      </c>
      <c r="E114" s="1">
        <v>1</v>
      </c>
      <c r="F114" s="1">
        <v>1.6214037300000004</v>
      </c>
      <c r="G114" s="1">
        <v>6.0841184260585303E-2</v>
      </c>
    </row>
    <row r="115" spans="1:7" ht="15.75" customHeight="1" x14ac:dyDescent="0.25">
      <c r="A115" s="1">
        <v>2</v>
      </c>
      <c r="B115" s="1">
        <v>4</v>
      </c>
      <c r="C115" s="1" t="s">
        <v>87</v>
      </c>
      <c r="D115" s="1">
        <v>2002</v>
      </c>
      <c r="E115" s="1">
        <v>1</v>
      </c>
      <c r="F115" s="1">
        <v>1.4882458830000003</v>
      </c>
      <c r="G115" s="1">
        <v>5.4903516297552399E-2</v>
      </c>
    </row>
    <row r="116" spans="1:7" ht="15.75" customHeight="1" x14ac:dyDescent="0.25">
      <c r="A116" s="1">
        <v>2</v>
      </c>
      <c r="B116" s="1">
        <v>4</v>
      </c>
      <c r="C116" s="1" t="s">
        <v>87</v>
      </c>
      <c r="D116" s="1">
        <v>2003</v>
      </c>
      <c r="E116" s="1">
        <v>1</v>
      </c>
      <c r="F116" s="1">
        <v>1.2844075920000002</v>
      </c>
      <c r="G116" s="1">
        <v>4.9594687936842297E-2</v>
      </c>
    </row>
    <row r="117" spans="1:7" ht="15.75" customHeight="1" x14ac:dyDescent="0.25">
      <c r="A117" s="1">
        <v>2</v>
      </c>
      <c r="B117" s="1">
        <v>4</v>
      </c>
      <c r="C117" s="1" t="s">
        <v>87</v>
      </c>
      <c r="D117" s="1">
        <v>2004</v>
      </c>
      <c r="E117" s="1">
        <v>1</v>
      </c>
      <c r="F117" s="1">
        <v>1.1338968610000002</v>
      </c>
      <c r="G117" s="1">
        <v>8.8068215678685197E-2</v>
      </c>
    </row>
    <row r="118" spans="1:7" ht="15.75" customHeight="1" x14ac:dyDescent="0.25">
      <c r="A118" s="1">
        <v>2</v>
      </c>
      <c r="B118" s="1">
        <v>4</v>
      </c>
      <c r="C118" s="1" t="s">
        <v>87</v>
      </c>
      <c r="D118" s="1">
        <v>2005</v>
      </c>
      <c r="E118" s="1">
        <v>1</v>
      </c>
      <c r="F118" s="1">
        <v>1.1676218400000002</v>
      </c>
      <c r="G118" s="1">
        <v>5.02500079944561E-2</v>
      </c>
    </row>
    <row r="119" spans="1:7" ht="15.75" customHeight="1" x14ac:dyDescent="0.25">
      <c r="A119" s="1">
        <v>2</v>
      </c>
      <c r="B119" s="1">
        <v>4</v>
      </c>
      <c r="C119" s="1" t="s">
        <v>87</v>
      </c>
      <c r="D119" s="1">
        <v>2006</v>
      </c>
      <c r="E119" s="1">
        <v>1</v>
      </c>
      <c r="F119" s="1">
        <v>1.1161994220000002</v>
      </c>
      <c r="G119" s="1">
        <v>3.3711693691544101E-2</v>
      </c>
    </row>
    <row r="120" spans="1:7" ht="15.75" customHeight="1" x14ac:dyDescent="0.25">
      <c r="A120" s="1">
        <v>2</v>
      </c>
      <c r="B120" s="1">
        <v>4</v>
      </c>
      <c r="C120" s="1" t="s">
        <v>87</v>
      </c>
      <c r="D120" s="1">
        <v>2007</v>
      </c>
      <c r="E120" s="1">
        <v>1</v>
      </c>
      <c r="F120" s="1">
        <v>1.118457072</v>
      </c>
      <c r="G120" s="1">
        <v>6.6513019555693595E-2</v>
      </c>
    </row>
    <row r="121" spans="1:7" ht="15.75" customHeight="1" x14ac:dyDescent="0.25">
      <c r="A121" s="1">
        <v>2</v>
      </c>
      <c r="B121" s="1">
        <v>4</v>
      </c>
      <c r="C121" s="1" t="s">
        <v>87</v>
      </c>
      <c r="D121" s="1">
        <v>2008</v>
      </c>
      <c r="E121" s="1">
        <v>1</v>
      </c>
      <c r="F121" s="1">
        <v>1.2847554360000002</v>
      </c>
      <c r="G121" s="1">
        <v>6.9983363286163697E-2</v>
      </c>
    </row>
    <row r="122" spans="1:7" ht="15.75" customHeight="1" x14ac:dyDescent="0.25">
      <c r="A122" s="1">
        <v>2</v>
      </c>
      <c r="B122" s="1">
        <v>4</v>
      </c>
      <c r="C122" s="1" t="s">
        <v>87</v>
      </c>
      <c r="D122" s="1">
        <v>2009</v>
      </c>
      <c r="E122" s="1">
        <v>1</v>
      </c>
      <c r="F122" s="1">
        <v>1.4837388320000002</v>
      </c>
      <c r="G122" s="1">
        <v>7.9064498720030699E-2</v>
      </c>
    </row>
    <row r="123" spans="1:7" ht="15.75" customHeight="1" x14ac:dyDescent="0.25">
      <c r="A123" s="1">
        <v>2</v>
      </c>
      <c r="B123" s="1">
        <v>4</v>
      </c>
      <c r="C123" s="1" t="s">
        <v>87</v>
      </c>
      <c r="D123" s="1">
        <v>2010</v>
      </c>
      <c r="E123" s="1">
        <v>1</v>
      </c>
      <c r="F123" s="1">
        <v>1.6550883440000004</v>
      </c>
      <c r="G123" s="1">
        <v>6.20882147164298E-2</v>
      </c>
    </row>
    <row r="124" spans="1:7" ht="15.75" customHeight="1" x14ac:dyDescent="0.25">
      <c r="A124" s="1">
        <v>2</v>
      </c>
      <c r="B124" s="1">
        <v>4</v>
      </c>
      <c r="C124" s="1" t="s">
        <v>87</v>
      </c>
      <c r="D124" s="1">
        <v>2011</v>
      </c>
      <c r="E124" s="1">
        <v>1</v>
      </c>
      <c r="F124" s="1">
        <v>1.8617709670000004</v>
      </c>
      <c r="G124" s="1">
        <v>4.3842240720928898E-2</v>
      </c>
    </row>
    <row r="125" spans="1:7" ht="15.75" customHeight="1" x14ac:dyDescent="0.25">
      <c r="A125" s="1">
        <v>2</v>
      </c>
      <c r="B125" s="1">
        <v>4</v>
      </c>
      <c r="C125" s="1" t="s">
        <v>87</v>
      </c>
      <c r="D125" s="1">
        <v>2012</v>
      </c>
      <c r="E125" s="1">
        <v>1</v>
      </c>
      <c r="F125" s="1">
        <v>1.9069293000000003</v>
      </c>
      <c r="G125" s="1">
        <v>5.6313437705257902E-2</v>
      </c>
    </row>
    <row r="126" spans="1:7" ht="15.75" customHeight="1" x14ac:dyDescent="0.25">
      <c r="A126" s="1">
        <v>2</v>
      </c>
      <c r="B126" s="1">
        <v>4</v>
      </c>
      <c r="C126" s="1" t="s">
        <v>87</v>
      </c>
      <c r="D126" s="1">
        <v>2013</v>
      </c>
      <c r="E126" s="1">
        <v>1</v>
      </c>
      <c r="F126" s="1">
        <v>1.9969332000000004</v>
      </c>
      <c r="G126" s="1">
        <v>3.3339689687738101E-2</v>
      </c>
    </row>
    <row r="127" spans="1:7" ht="15.75" customHeight="1" x14ac:dyDescent="0.25">
      <c r="A127" s="1">
        <v>2</v>
      </c>
      <c r="B127" s="1">
        <v>4</v>
      </c>
      <c r="C127" s="1" t="s">
        <v>87</v>
      </c>
      <c r="D127" s="1">
        <v>2014</v>
      </c>
      <c r="E127" s="1">
        <v>1</v>
      </c>
      <c r="F127" s="1">
        <v>2.2313577000000002</v>
      </c>
      <c r="G127" s="1">
        <v>4.3303235598535002E-2</v>
      </c>
    </row>
    <row r="128" spans="1:7" ht="15.75" customHeight="1" x14ac:dyDescent="0.25">
      <c r="A128" s="1">
        <v>2</v>
      </c>
      <c r="B128" s="1">
        <v>4</v>
      </c>
      <c r="C128" s="1" t="s">
        <v>87</v>
      </c>
      <c r="D128" s="1">
        <v>2015</v>
      </c>
      <c r="E128" s="1">
        <v>1</v>
      </c>
      <c r="F128" s="1">
        <v>2.4453840000000002</v>
      </c>
      <c r="G128" s="1">
        <v>3.99607547695685E-2</v>
      </c>
    </row>
    <row r="129" spans="1:7" ht="15.75" customHeight="1" x14ac:dyDescent="0.25">
      <c r="A129" s="1">
        <v>2</v>
      </c>
      <c r="B129" s="1">
        <v>4</v>
      </c>
      <c r="C129" s="1" t="s">
        <v>87</v>
      </c>
      <c r="D129" s="1">
        <v>2016</v>
      </c>
      <c r="E129" s="1">
        <v>1</v>
      </c>
      <c r="F129" s="1">
        <v>2.8272267400000008</v>
      </c>
      <c r="G129" s="1">
        <v>3.5802622851338797E-2</v>
      </c>
    </row>
    <row r="130" spans="1:7" ht="15.75" customHeight="1" x14ac:dyDescent="0.25">
      <c r="A130" s="1">
        <v>2</v>
      </c>
      <c r="B130" s="1">
        <v>4</v>
      </c>
      <c r="C130" s="1" t="s">
        <v>87</v>
      </c>
      <c r="D130" s="1">
        <v>2017</v>
      </c>
      <c r="E130" s="1">
        <v>1</v>
      </c>
      <c r="F130" s="1">
        <v>3.0989074800000007</v>
      </c>
      <c r="G130" s="1">
        <v>3.6764674782380997E-2</v>
      </c>
    </row>
    <row r="131" spans="1:7" ht="15.75" customHeight="1" x14ac:dyDescent="0.25">
      <c r="A131" s="1">
        <v>2</v>
      </c>
      <c r="B131" s="1">
        <v>4</v>
      </c>
      <c r="C131" s="1" t="s">
        <v>87</v>
      </c>
      <c r="D131" s="1">
        <v>2018</v>
      </c>
      <c r="E131" s="1">
        <v>1</v>
      </c>
      <c r="F131" s="1">
        <v>3.3626257100000005</v>
      </c>
      <c r="G131" s="1">
        <v>5.4469226590281798E-2</v>
      </c>
    </row>
    <row r="132" spans="1:7" ht="15.75" customHeight="1" x14ac:dyDescent="0.25">
      <c r="A132" s="1">
        <v>2</v>
      </c>
      <c r="B132" s="1">
        <v>4</v>
      </c>
      <c r="C132" s="1" t="s">
        <v>87</v>
      </c>
      <c r="D132" s="1">
        <v>2019</v>
      </c>
      <c r="E132" s="1">
        <v>1</v>
      </c>
      <c r="F132" s="1">
        <v>3.5573012700000008</v>
      </c>
      <c r="G132" s="1">
        <v>3.3870024725059102E-2</v>
      </c>
    </row>
    <row r="133" spans="1:7" ht="15.75" customHeight="1" x14ac:dyDescent="0.25">
      <c r="A133" s="1">
        <v>2</v>
      </c>
      <c r="B133" s="1">
        <v>4</v>
      </c>
      <c r="C133" s="1" t="s">
        <v>87</v>
      </c>
      <c r="D133" s="1">
        <v>2020</v>
      </c>
      <c r="E133" s="1">
        <v>1</v>
      </c>
      <c r="F133" s="1">
        <v>3.5575076800000005</v>
      </c>
      <c r="G133" s="1">
        <v>6.2567892238757597E-2</v>
      </c>
    </row>
    <row r="134" spans="1:7" ht="15.75" customHeight="1" x14ac:dyDescent="0.25">
      <c r="A134" s="1">
        <v>2</v>
      </c>
      <c r="B134" s="1">
        <v>4</v>
      </c>
      <c r="C134" s="1" t="s">
        <v>87</v>
      </c>
      <c r="D134" s="1">
        <v>2021</v>
      </c>
      <c r="E134" s="1">
        <v>1</v>
      </c>
      <c r="F134" s="1">
        <v>3.7728528600000009</v>
      </c>
      <c r="G134" s="1">
        <v>5.99547434482108E-2</v>
      </c>
    </row>
    <row r="135" spans="1:7" ht="15.75" customHeight="1" x14ac:dyDescent="0.25">
      <c r="A135" s="1">
        <v>2</v>
      </c>
      <c r="B135" s="1">
        <v>4</v>
      </c>
      <c r="C135" s="1" t="s">
        <v>87</v>
      </c>
      <c r="D135" s="1">
        <v>2022</v>
      </c>
      <c r="E135" s="1">
        <v>1</v>
      </c>
      <c r="F135" s="1">
        <v>4.2755107200000015</v>
      </c>
      <c r="G135" s="1">
        <v>4.79301780461776E-2</v>
      </c>
    </row>
    <row r="136" spans="1:7" ht="15.75" customHeight="1" x14ac:dyDescent="0.25">
      <c r="A136" s="1">
        <v>2</v>
      </c>
      <c r="B136" s="1">
        <v>4</v>
      </c>
      <c r="C136" s="1" t="s">
        <v>87</v>
      </c>
      <c r="D136" s="1">
        <v>2023</v>
      </c>
      <c r="E136" s="1">
        <v>1</v>
      </c>
      <c r="F136" s="1">
        <v>4.5996721500000008</v>
      </c>
      <c r="G136" s="1">
        <v>8.6979491117995203E-2</v>
      </c>
    </row>
    <row r="137" spans="1:7" ht="15.75" customHeight="1" x14ac:dyDescent="0.25">
      <c r="A137" s="1">
        <v>2</v>
      </c>
      <c r="B137" s="1">
        <v>4</v>
      </c>
      <c r="C137" s="1" t="s">
        <v>87</v>
      </c>
      <c r="D137" s="1">
        <v>2024</v>
      </c>
      <c r="E137" s="1">
        <v>1</v>
      </c>
      <c r="F137" s="1">
        <v>4.9582552800000013</v>
      </c>
      <c r="G137" s="1">
        <v>4.2148263931412099E-2</v>
      </c>
    </row>
    <row r="138" spans="1:7" ht="15.75" customHeight="1" x14ac:dyDescent="0.25"/>
    <row r="139" spans="1:7" ht="15.75" customHeight="1" x14ac:dyDescent="0.25"/>
    <row r="140" spans="1:7" ht="15.75" customHeight="1" x14ac:dyDescent="0.25"/>
    <row r="141" spans="1:7" ht="15.75" customHeight="1" x14ac:dyDescent="0.25"/>
    <row r="142" spans="1:7" ht="15.75" customHeight="1" x14ac:dyDescent="0.25"/>
    <row r="143" spans="1:7" ht="15.75" customHeight="1" x14ac:dyDescent="0.25"/>
    <row r="144" spans="1:7"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1000"/>
  <sheetViews>
    <sheetView workbookViewId="0">
      <pane ySplit="2" topLeftCell="A3" activePane="bottomLeft" state="frozen"/>
      <selection pane="bottomLeft" sqref="A1:U1"/>
    </sheetView>
  </sheetViews>
  <sheetFormatPr defaultColWidth="14.42578125" defaultRowHeight="15" customHeight="1" x14ac:dyDescent="0.25"/>
  <cols>
    <col min="1" max="66" width="11.42578125" customWidth="1"/>
  </cols>
  <sheetData>
    <row r="1" spans="1:66" ht="22.5" customHeight="1" x14ac:dyDescent="0.25">
      <c r="A1" s="9" t="s">
        <v>222</v>
      </c>
      <c r="B1" s="10"/>
      <c r="C1" s="10"/>
      <c r="D1" s="10"/>
      <c r="E1" s="10"/>
      <c r="F1" s="10"/>
      <c r="G1" s="10"/>
      <c r="H1" s="10"/>
      <c r="I1" s="10"/>
      <c r="J1" s="10"/>
      <c r="K1" s="10"/>
      <c r="L1" s="10"/>
      <c r="M1" s="10"/>
      <c r="N1" s="10"/>
      <c r="O1" s="10"/>
      <c r="P1" s="10"/>
      <c r="Q1" s="10"/>
      <c r="R1" s="10"/>
      <c r="S1" s="10"/>
      <c r="T1" s="10"/>
      <c r="U1" s="11"/>
    </row>
    <row r="2" spans="1:66" x14ac:dyDescent="0.25">
      <c r="A2" s="7" t="s">
        <v>216</v>
      </c>
      <c r="B2" s="1" t="s">
        <v>196</v>
      </c>
      <c r="C2" s="1" t="s">
        <v>191</v>
      </c>
      <c r="D2" s="1" t="s">
        <v>198</v>
      </c>
      <c r="E2" s="1" t="s">
        <v>223</v>
      </c>
      <c r="F2" s="1" t="s">
        <v>224</v>
      </c>
      <c r="G2" s="1" t="s">
        <v>225</v>
      </c>
      <c r="H2" s="1" t="s">
        <v>226</v>
      </c>
      <c r="I2" s="1" t="s">
        <v>227</v>
      </c>
      <c r="J2" s="1" t="s">
        <v>228</v>
      </c>
      <c r="K2" s="1" t="s">
        <v>229</v>
      </c>
      <c r="L2" s="1" t="s">
        <v>230</v>
      </c>
      <c r="M2" s="1" t="s">
        <v>231</v>
      </c>
      <c r="N2" s="1" t="s">
        <v>232</v>
      </c>
      <c r="O2" s="1" t="s">
        <v>233</v>
      </c>
      <c r="P2" s="1" t="s">
        <v>234</v>
      </c>
      <c r="Q2" s="1" t="s">
        <v>235</v>
      </c>
      <c r="R2" s="1" t="s">
        <v>236</v>
      </c>
      <c r="S2" s="1" t="s">
        <v>237</v>
      </c>
      <c r="T2" s="1" t="s">
        <v>238</v>
      </c>
      <c r="U2" s="1" t="s">
        <v>239</v>
      </c>
      <c r="V2" s="1" t="s">
        <v>240</v>
      </c>
      <c r="W2" s="1" t="s">
        <v>241</v>
      </c>
      <c r="X2" s="1" t="s">
        <v>242</v>
      </c>
      <c r="Y2" s="1" t="s">
        <v>243</v>
      </c>
      <c r="Z2" s="1" t="s">
        <v>244</v>
      </c>
      <c r="AA2" s="1" t="s">
        <v>245</v>
      </c>
      <c r="AB2" s="1" t="s">
        <v>246</v>
      </c>
      <c r="AC2" s="1" t="s">
        <v>247</v>
      </c>
      <c r="AD2" s="1" t="s">
        <v>248</v>
      </c>
      <c r="AE2" s="1" t="s">
        <v>249</v>
      </c>
      <c r="AF2" s="1" t="s">
        <v>250</v>
      </c>
      <c r="AG2" s="1" t="s">
        <v>251</v>
      </c>
      <c r="AH2" s="1" t="s">
        <v>252</v>
      </c>
      <c r="AI2" s="1" t="s">
        <v>253</v>
      </c>
      <c r="AJ2" s="1" t="s">
        <v>254</v>
      </c>
      <c r="AK2" s="1" t="s">
        <v>255</v>
      </c>
      <c r="AL2" s="1" t="s">
        <v>256</v>
      </c>
      <c r="AM2" s="1" t="s">
        <v>257</v>
      </c>
      <c r="AN2" s="1" t="s">
        <v>258</v>
      </c>
      <c r="AO2" s="1" t="s">
        <v>259</v>
      </c>
      <c r="AP2" s="1" t="s">
        <v>260</v>
      </c>
      <c r="AQ2" s="1" t="s">
        <v>261</v>
      </c>
      <c r="AR2" s="1" t="s">
        <v>262</v>
      </c>
      <c r="AS2" s="1" t="s">
        <v>263</v>
      </c>
      <c r="AT2" s="1" t="s">
        <v>264</v>
      </c>
      <c r="AU2" s="1"/>
      <c r="AV2" s="1"/>
      <c r="AW2" s="1"/>
      <c r="AX2" s="1"/>
      <c r="AY2" s="1"/>
      <c r="AZ2" s="1"/>
      <c r="BA2" s="1"/>
      <c r="BB2" s="1"/>
      <c r="BC2" s="1"/>
      <c r="BD2" s="1"/>
      <c r="BE2" s="1"/>
      <c r="BF2" s="1"/>
      <c r="BG2" s="1"/>
      <c r="BH2" s="1"/>
      <c r="BI2" s="1"/>
      <c r="BJ2" s="1"/>
      <c r="BK2" s="1"/>
      <c r="BL2" s="1"/>
      <c r="BM2" s="1"/>
      <c r="BN2" s="1"/>
    </row>
    <row r="3" spans="1:66" x14ac:dyDescent="0.25">
      <c r="A3" s="1">
        <v>2</v>
      </c>
      <c r="B3" s="1" t="s">
        <v>111</v>
      </c>
      <c r="C3" s="1">
        <v>1980</v>
      </c>
      <c r="D3" s="1">
        <v>1</v>
      </c>
      <c r="E3" s="1">
        <v>4</v>
      </c>
      <c r="F3" s="1">
        <v>0</v>
      </c>
      <c r="G3" s="1">
        <v>0</v>
      </c>
      <c r="H3" s="1">
        <v>0</v>
      </c>
      <c r="I3" s="1">
        <v>0</v>
      </c>
      <c r="J3" s="5">
        <v>1.0024171261206E-5</v>
      </c>
      <c r="K3" s="1">
        <v>4.8116022053788901E-4</v>
      </c>
      <c r="L3" s="1">
        <v>5.8179983918474603E-3</v>
      </c>
      <c r="M3" s="1">
        <v>2.3898848612976101E-2</v>
      </c>
      <c r="N3" s="1">
        <v>3.4482383934635701E-2</v>
      </c>
      <c r="O3" s="1">
        <v>3.4498912339158E-2</v>
      </c>
      <c r="P3" s="1">
        <v>3.8604843495904498E-2</v>
      </c>
      <c r="Q3" s="1">
        <v>3.7377150337776298E-2</v>
      </c>
      <c r="R3" s="1">
        <v>3.6408478704222098E-2</v>
      </c>
      <c r="S3" s="1">
        <v>3.4868811910735598E-2</v>
      </c>
      <c r="T3" s="1">
        <v>3.8120010296583899E-2</v>
      </c>
      <c r="U3" s="1">
        <v>3.92962817517538E-2</v>
      </c>
      <c r="V3" s="1">
        <v>4.0649544872016601E-2</v>
      </c>
      <c r="W3" s="1">
        <v>4.0708848175279498E-2</v>
      </c>
      <c r="X3" s="1">
        <v>4.0806794276152303E-2</v>
      </c>
      <c r="Y3" s="1">
        <v>4.2979973389268698E-2</v>
      </c>
      <c r="Z3" s="1">
        <v>4.4668013221499298E-2</v>
      </c>
      <c r="AA3" s="1">
        <v>4.8649063099632898E-2</v>
      </c>
      <c r="AB3" s="1">
        <v>5.2716887101508597E-2</v>
      </c>
      <c r="AC3" s="1">
        <v>5.4281346501778502E-2</v>
      </c>
      <c r="AD3" s="1">
        <v>4.9058294152342301E-2</v>
      </c>
      <c r="AE3" s="1">
        <v>4.4336679927140299E-2</v>
      </c>
      <c r="AF3" s="1">
        <v>3.7958858352491499E-2</v>
      </c>
      <c r="AG3" s="1">
        <v>3.20196516608139E-2</v>
      </c>
      <c r="AH3" s="1">
        <v>2.76330437087536E-2</v>
      </c>
      <c r="AI3" s="1">
        <v>2.4000620733414298E-2</v>
      </c>
      <c r="AJ3" s="1">
        <v>1.9480867300480001E-2</v>
      </c>
      <c r="AK3" s="1">
        <v>1.4800880168149001E-2</v>
      </c>
      <c r="AL3" s="1">
        <v>1.22698151848901E-2</v>
      </c>
      <c r="AM3" s="1">
        <v>9.1899459551780301E-3</v>
      </c>
      <c r="AN3" s="1">
        <v>7.1107338825864997E-3</v>
      </c>
      <c r="AO3" s="1">
        <v>5.9619332478957699E-3</v>
      </c>
      <c r="AP3" s="1">
        <v>4.8518519312063298E-3</v>
      </c>
      <c r="AQ3" s="1">
        <v>4.2663944173171198E-3</v>
      </c>
      <c r="AR3" s="1">
        <v>3.1767440451066298E-3</v>
      </c>
      <c r="AS3" s="1">
        <v>2.80202368887666E-3</v>
      </c>
      <c r="AT3" s="1">
        <v>1.17562868388294E-2</v>
      </c>
    </row>
    <row r="4" spans="1:66" x14ac:dyDescent="0.25">
      <c r="A4" s="1">
        <v>2</v>
      </c>
      <c r="B4" s="1" t="s">
        <v>111</v>
      </c>
      <c r="C4" s="1">
        <v>1981</v>
      </c>
      <c r="D4" s="1">
        <v>1</v>
      </c>
      <c r="E4" s="1">
        <v>4</v>
      </c>
      <c r="F4" s="1">
        <v>0</v>
      </c>
      <c r="G4" s="1">
        <v>0</v>
      </c>
      <c r="H4" s="1">
        <v>0</v>
      </c>
      <c r="I4" s="1">
        <v>0</v>
      </c>
      <c r="J4" s="5">
        <v>1.8761410399449801E-5</v>
      </c>
      <c r="K4" s="1">
        <v>5.1861898747050498E-4</v>
      </c>
      <c r="L4" s="1">
        <v>6.5028388545235799E-3</v>
      </c>
      <c r="M4" s="1">
        <v>2.8406711045839899E-2</v>
      </c>
      <c r="N4" s="1">
        <v>3.6339511842991397E-2</v>
      </c>
      <c r="O4" s="1">
        <v>3.4488832717160002E-2</v>
      </c>
      <c r="P4" s="1">
        <v>3.2825767695322999E-2</v>
      </c>
      <c r="Q4" s="1">
        <v>3.5015417859046098E-2</v>
      </c>
      <c r="R4" s="1">
        <v>3.90596930007878E-2</v>
      </c>
      <c r="S4" s="1">
        <v>3.8693622147874702E-2</v>
      </c>
      <c r="T4" s="1">
        <v>3.77795245411904E-2</v>
      </c>
      <c r="U4" s="1">
        <v>3.8197710422990902E-2</v>
      </c>
      <c r="V4" s="1">
        <v>3.7090861659464597E-2</v>
      </c>
      <c r="W4" s="1">
        <v>3.6033819973546398E-2</v>
      </c>
      <c r="X4" s="1">
        <v>3.4162443736242498E-2</v>
      </c>
      <c r="Y4" s="1">
        <v>3.6528466047728698E-2</v>
      </c>
      <c r="Z4" s="1">
        <v>3.7406976534687102E-2</v>
      </c>
      <c r="AA4" s="1">
        <v>3.9155212403734201E-2</v>
      </c>
      <c r="AB4" s="1">
        <v>3.8695408948865202E-2</v>
      </c>
      <c r="AC4" s="1">
        <v>4.4062512423850599E-2</v>
      </c>
      <c r="AD4" s="1">
        <v>4.6799891541179903E-2</v>
      </c>
      <c r="AE4" s="1">
        <v>4.5231675871917898E-2</v>
      </c>
      <c r="AF4" s="1">
        <v>4.24039144044897E-2</v>
      </c>
      <c r="AG4" s="1">
        <v>3.6612817944485003E-2</v>
      </c>
      <c r="AH4" s="1">
        <v>3.3315500066781703E-2</v>
      </c>
      <c r="AI4" s="1">
        <v>3.0133952003249601E-2</v>
      </c>
      <c r="AJ4" s="1">
        <v>2.3864216227935098E-2</v>
      </c>
      <c r="AK4" s="1">
        <v>1.9077599724713502E-2</v>
      </c>
      <c r="AL4" s="1">
        <v>1.5359936914013E-2</v>
      </c>
      <c r="AM4" s="1">
        <v>1.3383511668480501E-2</v>
      </c>
      <c r="AN4" s="1">
        <v>1.1489428168590001E-2</v>
      </c>
      <c r="AO4" s="1">
        <v>8.8626818125845299E-3</v>
      </c>
      <c r="AP4" s="1">
        <v>7.0913664307444097E-3</v>
      </c>
      <c r="AQ4" s="1">
        <v>6.0237528389661997E-3</v>
      </c>
      <c r="AR4" s="1">
        <v>4.8866773586852602E-3</v>
      </c>
      <c r="AS4" s="1">
        <v>4.1930263241944897E-3</v>
      </c>
      <c r="AT4" s="1">
        <v>2.02873384452717E-2</v>
      </c>
    </row>
    <row r="5" spans="1:66" x14ac:dyDescent="0.25">
      <c r="A5" s="1">
        <v>2</v>
      </c>
      <c r="B5" s="1" t="s">
        <v>111</v>
      </c>
      <c r="C5" s="1">
        <v>1984</v>
      </c>
      <c r="D5" s="1">
        <v>1</v>
      </c>
      <c r="E5" s="1">
        <v>6</v>
      </c>
      <c r="F5" s="1">
        <v>0</v>
      </c>
      <c r="G5" s="1">
        <v>0</v>
      </c>
      <c r="H5" s="1">
        <v>0</v>
      </c>
      <c r="I5" s="1">
        <v>0</v>
      </c>
      <c r="J5" s="5">
        <v>1.7644805390551799E-5</v>
      </c>
      <c r="K5" s="1">
        <v>5.2105322906316302E-4</v>
      </c>
      <c r="L5" s="1">
        <v>7.49308982651542E-3</v>
      </c>
      <c r="M5" s="1">
        <v>3.7705567297500402E-2</v>
      </c>
      <c r="N5" s="1">
        <v>4.7677008223329702E-2</v>
      </c>
      <c r="O5" s="1">
        <v>4.2459779410170297E-2</v>
      </c>
      <c r="P5" s="1">
        <v>3.7613622980254398E-2</v>
      </c>
      <c r="Q5" s="1">
        <v>3.9244810832805101E-2</v>
      </c>
      <c r="R5" s="1">
        <v>4.1271624984534197E-2</v>
      </c>
      <c r="S5" s="1">
        <v>4.09769779933137E-2</v>
      </c>
      <c r="T5" s="1">
        <v>3.8500540186150602E-2</v>
      </c>
      <c r="U5" s="1">
        <v>4.0691897462847099E-2</v>
      </c>
      <c r="V5" s="1">
        <v>4.1205935287357401E-2</v>
      </c>
      <c r="W5" s="1">
        <v>3.8418906387717201E-2</v>
      </c>
      <c r="X5" s="1">
        <v>3.7172396551482197E-2</v>
      </c>
      <c r="Y5" s="1">
        <v>3.9107266385965497E-2</v>
      </c>
      <c r="Z5" s="1">
        <v>4.3007193553310903E-2</v>
      </c>
      <c r="AA5" s="1">
        <v>4.5456420094329597E-2</v>
      </c>
      <c r="AB5" s="1">
        <v>4.5633931088318903E-2</v>
      </c>
      <c r="AC5" s="1">
        <v>4.5748941205382601E-2</v>
      </c>
      <c r="AD5" s="1">
        <v>4.3159406573306497E-2</v>
      </c>
      <c r="AE5" s="1">
        <v>3.7733416327695099E-2</v>
      </c>
      <c r="AF5" s="1">
        <v>3.1409879475349803E-2</v>
      </c>
      <c r="AG5" s="1">
        <v>3.04111409726412E-2</v>
      </c>
      <c r="AH5" s="1">
        <v>2.7995290750252901E-2</v>
      </c>
      <c r="AI5" s="1">
        <v>2.0556198279992902E-2</v>
      </c>
      <c r="AJ5" s="1">
        <v>1.84855909968125E-2</v>
      </c>
      <c r="AK5" s="1">
        <v>1.35359042027375E-2</v>
      </c>
      <c r="AL5" s="1">
        <v>1.2135799524398101E-2</v>
      </c>
      <c r="AM5" s="1">
        <v>9.3058278453736799E-3</v>
      </c>
      <c r="AN5" s="1">
        <v>8.2641465632808594E-3</v>
      </c>
      <c r="AO5" s="1">
        <v>6.7182065054484201E-3</v>
      </c>
      <c r="AP5" s="1">
        <v>5.3355340444827702E-3</v>
      </c>
      <c r="AQ5" s="1">
        <v>4.4388377898159298E-3</v>
      </c>
      <c r="AR5" s="1">
        <v>3.8878096503905E-3</v>
      </c>
      <c r="AS5" s="1">
        <v>3.0608422652188601E-3</v>
      </c>
      <c r="AT5" s="1">
        <v>1.36415604470641E-2</v>
      </c>
    </row>
    <row r="6" spans="1:66" x14ac:dyDescent="0.25">
      <c r="A6" s="1">
        <v>2</v>
      </c>
      <c r="B6" s="1" t="s">
        <v>111</v>
      </c>
      <c r="C6" s="1">
        <v>1988</v>
      </c>
      <c r="D6" s="1">
        <v>1</v>
      </c>
      <c r="E6" s="1">
        <v>14</v>
      </c>
      <c r="F6" s="1">
        <v>0</v>
      </c>
      <c r="G6" s="1">
        <v>0</v>
      </c>
      <c r="H6" s="1">
        <v>0</v>
      </c>
      <c r="I6" s="1">
        <v>0</v>
      </c>
      <c r="J6" s="5">
        <v>2.4421209306151701E-5</v>
      </c>
      <c r="K6" s="1">
        <v>7.6701877123400001E-4</v>
      </c>
      <c r="L6" s="1">
        <v>9.12180367339974E-3</v>
      </c>
      <c r="M6" s="1">
        <v>3.8020448906813498E-2</v>
      </c>
      <c r="N6" s="1">
        <v>5.6156570799495799E-2</v>
      </c>
      <c r="O6" s="1">
        <v>5.1503848429121799E-2</v>
      </c>
      <c r="P6" s="1">
        <v>5.8058372474212298E-2</v>
      </c>
      <c r="Q6" s="1">
        <v>5.6498467729781898E-2</v>
      </c>
      <c r="R6" s="1">
        <v>4.85847105877832E-2</v>
      </c>
      <c r="S6" s="1">
        <v>5.0351070950361003E-2</v>
      </c>
      <c r="T6" s="1">
        <v>4.9011278421387298E-2</v>
      </c>
      <c r="U6" s="1">
        <v>4.8582139934172E-2</v>
      </c>
      <c r="V6" s="1">
        <v>4.7958113770059499E-2</v>
      </c>
      <c r="W6" s="1">
        <v>4.25145940825482E-2</v>
      </c>
      <c r="X6" s="1">
        <v>3.7334727056032802E-2</v>
      </c>
      <c r="Y6" s="1">
        <v>2.9503391495442399E-2</v>
      </c>
      <c r="Z6" s="1">
        <v>2.9490538227386499E-2</v>
      </c>
      <c r="AA6" s="1">
        <v>3.2456751162979698E-2</v>
      </c>
      <c r="AB6" s="1">
        <v>2.6946073149876501E-2</v>
      </c>
      <c r="AC6" s="1">
        <v>3.04897191528797E-2</v>
      </c>
      <c r="AD6" s="1">
        <v>2.9466117018080398E-2</v>
      </c>
      <c r="AE6" s="1">
        <v>2.5046520797069701E-2</v>
      </c>
      <c r="AF6" s="1">
        <v>2.8882257316642498E-2</v>
      </c>
      <c r="AG6" s="1">
        <v>2.84852519995668E-2</v>
      </c>
      <c r="AH6" s="1">
        <v>2.2798484214098198E-2</v>
      </c>
      <c r="AI6" s="1">
        <v>2.1107958133050001E-2</v>
      </c>
      <c r="AJ6" s="1">
        <v>1.6751824923065199E-2</v>
      </c>
      <c r="AK6" s="1">
        <v>1.37745260437737E-2</v>
      </c>
      <c r="AL6" s="1">
        <v>1.1329513127846001E-2</v>
      </c>
      <c r="AM6" s="1">
        <v>9.3011067627791193E-3</v>
      </c>
      <c r="AN6" s="1">
        <v>8.2542080796285597E-3</v>
      </c>
      <c r="AO6" s="1">
        <v>7.6750076878609498E-3</v>
      </c>
      <c r="AP6" s="1">
        <v>6.4438252739593797E-3</v>
      </c>
      <c r="AQ6" s="1">
        <v>4.99317330800383E-3</v>
      </c>
      <c r="AR6" s="1">
        <v>3.8974322062409702E-3</v>
      </c>
      <c r="AS6" s="1">
        <v>3.2904366223025401E-3</v>
      </c>
      <c r="AT6" s="1">
        <v>1.51282965017582E-2</v>
      </c>
    </row>
    <row r="7" spans="1:66" x14ac:dyDescent="0.25">
      <c r="A7" s="1">
        <v>2</v>
      </c>
      <c r="B7" s="1" t="s">
        <v>111</v>
      </c>
      <c r="C7" s="1">
        <v>1990</v>
      </c>
      <c r="D7" s="1">
        <v>1</v>
      </c>
      <c r="E7" s="1">
        <v>6</v>
      </c>
      <c r="F7" s="1">
        <v>0</v>
      </c>
      <c r="G7" s="1">
        <v>0</v>
      </c>
      <c r="H7" s="1">
        <v>0</v>
      </c>
      <c r="I7" s="1">
        <v>0</v>
      </c>
      <c r="J7" s="5">
        <v>8.1475665152139905E-6</v>
      </c>
      <c r="K7" s="1">
        <v>4.7352551831641998E-4</v>
      </c>
      <c r="L7" s="1">
        <v>6.2661691219381404E-3</v>
      </c>
      <c r="M7" s="1">
        <v>3.0761206425364299E-2</v>
      </c>
      <c r="N7" s="1">
        <v>4.1441561372028098E-2</v>
      </c>
      <c r="O7" s="1">
        <v>4.2077900126301103E-2</v>
      </c>
      <c r="P7" s="1">
        <v>4.4425089754421297E-2</v>
      </c>
      <c r="Q7" s="1">
        <v>4.4561457922790301E-2</v>
      </c>
      <c r="R7" s="1">
        <v>4.8837273211105099E-2</v>
      </c>
      <c r="S7" s="1">
        <v>4.9455452558653502E-2</v>
      </c>
      <c r="T7" s="1">
        <v>4.9398350545873097E-2</v>
      </c>
      <c r="U7" s="1">
        <v>4.7023196812340601E-2</v>
      </c>
      <c r="V7" s="1">
        <v>4.3552747759902498E-2</v>
      </c>
      <c r="W7" s="1">
        <v>4.2983799047314697E-2</v>
      </c>
      <c r="X7" s="1">
        <v>4.2804069253762997E-2</v>
      </c>
      <c r="Y7" s="1">
        <v>4.15995413058146E-2</v>
      </c>
      <c r="Z7" s="1">
        <v>4.1218953283510697E-2</v>
      </c>
      <c r="AA7" s="1">
        <v>3.9346532022836403E-2</v>
      </c>
      <c r="AB7" s="1">
        <v>3.8566229911069998E-2</v>
      </c>
      <c r="AC7" s="1">
        <v>3.7089932286817499E-2</v>
      </c>
      <c r="AD7" s="1">
        <v>3.4438727952201702E-2</v>
      </c>
      <c r="AE7" s="1">
        <v>3.4938629490931801E-2</v>
      </c>
      <c r="AF7" s="1">
        <v>3.4328183426855403E-2</v>
      </c>
      <c r="AG7" s="1">
        <v>3.1377797687914002E-2</v>
      </c>
      <c r="AH7" s="1">
        <v>2.6633428277800499E-2</v>
      </c>
      <c r="AI7" s="1">
        <v>2.3289059364826802E-2</v>
      </c>
      <c r="AJ7" s="1">
        <v>1.8076550115957799E-2</v>
      </c>
      <c r="AK7" s="1">
        <v>1.33510305843076E-2</v>
      </c>
      <c r="AL7" s="1">
        <v>9.8631125968835394E-3</v>
      </c>
      <c r="AM7" s="1">
        <v>8.0909478326506405E-3</v>
      </c>
      <c r="AN7" s="1">
        <v>6.1695030785372902E-3</v>
      </c>
      <c r="AO7" s="1">
        <v>4.9959082644771896E-3</v>
      </c>
      <c r="AP7" s="1">
        <v>4.0383620574179699E-3</v>
      </c>
      <c r="AQ7" s="1">
        <v>3.2383124539282701E-3</v>
      </c>
      <c r="AR7" s="1">
        <v>2.7342680847667299E-3</v>
      </c>
      <c r="AS7" s="1">
        <v>2.1846525808590701E-3</v>
      </c>
      <c r="AT7" s="1">
        <v>1.0360390343007E-2</v>
      </c>
    </row>
    <row r="8" spans="1:66" x14ac:dyDescent="0.25">
      <c r="A8" s="1">
        <v>2</v>
      </c>
      <c r="B8" s="1" t="s">
        <v>111</v>
      </c>
      <c r="C8" s="1">
        <v>1992</v>
      </c>
      <c r="D8" s="1">
        <v>1</v>
      </c>
      <c r="E8" s="1">
        <v>2</v>
      </c>
      <c r="F8" s="1">
        <v>0</v>
      </c>
      <c r="G8" s="1">
        <v>0</v>
      </c>
      <c r="H8" s="1">
        <v>0</v>
      </c>
      <c r="I8" s="1">
        <v>0</v>
      </c>
      <c r="J8" s="5">
        <v>1.88654733912304E-5</v>
      </c>
      <c r="K8" s="1">
        <v>6.1639665535703303E-4</v>
      </c>
      <c r="L8" s="1">
        <v>7.2589111577227401E-3</v>
      </c>
      <c r="M8" s="1">
        <v>2.9875064803368101E-2</v>
      </c>
      <c r="N8" s="1">
        <v>4.0127422263742898E-2</v>
      </c>
      <c r="O8" s="1">
        <v>3.7315532794123203E-2</v>
      </c>
      <c r="P8" s="1">
        <v>3.8284022690494801E-2</v>
      </c>
      <c r="Q8" s="1">
        <v>4.0597004443005798E-2</v>
      </c>
      <c r="R8" s="1">
        <v>4.4234305070208001E-2</v>
      </c>
      <c r="S8" s="1">
        <v>4.4588452966740501E-2</v>
      </c>
      <c r="T8" s="1">
        <v>4.3080429210066197E-2</v>
      </c>
      <c r="U8" s="1">
        <v>4.5223341521758199E-2</v>
      </c>
      <c r="V8" s="1">
        <v>4.8244058706738202E-2</v>
      </c>
      <c r="W8" s="1">
        <v>4.7670996604121399E-2</v>
      </c>
      <c r="X8" s="1">
        <v>4.8466428469829903E-2</v>
      </c>
      <c r="Y8" s="1">
        <v>4.8741285342059501E-2</v>
      </c>
      <c r="Z8" s="1">
        <v>4.3432148877350203E-2</v>
      </c>
      <c r="AA8" s="1">
        <v>4.5753442645365301E-2</v>
      </c>
      <c r="AB8" s="1">
        <v>4.5823207539539799E-2</v>
      </c>
      <c r="AC8" s="1">
        <v>3.9531945737294898E-2</v>
      </c>
      <c r="AD8" s="1">
        <v>3.84713699163503E-2</v>
      </c>
      <c r="AE8" s="1">
        <v>3.5384436787635802E-2</v>
      </c>
      <c r="AF8" s="1">
        <v>3.16018159792614E-2</v>
      </c>
      <c r="AG8" s="1">
        <v>2.9130532358442901E-2</v>
      </c>
      <c r="AH8" s="1">
        <v>2.4149393629129601E-2</v>
      </c>
      <c r="AI8" s="1">
        <v>2.0688793376463101E-2</v>
      </c>
      <c r="AJ8" s="1">
        <v>1.68158611187357E-2</v>
      </c>
      <c r="AK8" s="1">
        <v>1.27384906369815E-2</v>
      </c>
      <c r="AL8" s="1">
        <v>1.05417837080947E-2</v>
      </c>
      <c r="AM8" s="1">
        <v>7.69076239020318E-3</v>
      </c>
      <c r="AN8" s="1">
        <v>6.2492347575613897E-3</v>
      </c>
      <c r="AO8" s="1">
        <v>4.9789906803627496E-3</v>
      </c>
      <c r="AP8" s="1">
        <v>4.12472095209748E-3</v>
      </c>
      <c r="AQ8" s="1">
        <v>3.4905795445407798E-3</v>
      </c>
      <c r="AR8" s="1">
        <v>2.7457669193176899E-3</v>
      </c>
      <c r="AS8" s="1">
        <v>2.2714216749906702E-3</v>
      </c>
      <c r="AT8" s="1">
        <v>1.0042782597553399E-2</v>
      </c>
    </row>
    <row r="9" spans="1:66" x14ac:dyDescent="0.25">
      <c r="A9" s="1">
        <v>2</v>
      </c>
      <c r="B9" s="1" t="s">
        <v>111</v>
      </c>
      <c r="C9" s="1">
        <v>1993</v>
      </c>
      <c r="D9" s="1">
        <v>1</v>
      </c>
      <c r="E9" s="1">
        <v>2</v>
      </c>
      <c r="F9" s="1">
        <v>0</v>
      </c>
      <c r="G9" s="1">
        <v>0</v>
      </c>
      <c r="H9" s="1">
        <v>0</v>
      </c>
      <c r="I9" s="1">
        <v>0</v>
      </c>
      <c r="J9" s="5">
        <v>2.3374792098268399E-5</v>
      </c>
      <c r="K9" s="1">
        <v>8.6252982842610398E-4</v>
      </c>
      <c r="L9" s="1">
        <v>9.8875370575675393E-3</v>
      </c>
      <c r="M9" s="1">
        <v>3.8630252766236203E-2</v>
      </c>
      <c r="N9" s="1">
        <v>4.7573545618000798E-2</v>
      </c>
      <c r="O9" s="1">
        <v>4.6075416234435902E-2</v>
      </c>
      <c r="P9" s="1">
        <v>4.2925468209260097E-2</v>
      </c>
      <c r="Q9" s="1">
        <v>4.3448186997557599E-2</v>
      </c>
      <c r="R9" s="1">
        <v>4.7896117748956898E-2</v>
      </c>
      <c r="S9" s="1">
        <v>4.6638846118971303E-2</v>
      </c>
      <c r="T9" s="1">
        <v>5.2095886124246198E-2</v>
      </c>
      <c r="U9" s="1">
        <v>5.6248515335470699E-2</v>
      </c>
      <c r="V9" s="1">
        <v>5.3417243642567898E-2</v>
      </c>
      <c r="W9" s="1">
        <v>5.4626889133653302E-2</v>
      </c>
      <c r="X9" s="1">
        <v>5.2292039587937503E-2</v>
      </c>
      <c r="Y9" s="1">
        <v>4.6194043304334603E-2</v>
      </c>
      <c r="Z9" s="1">
        <v>4.8756894467975598E-2</v>
      </c>
      <c r="AA9" s="1">
        <v>4.8363418800988101E-2</v>
      </c>
      <c r="AB9" s="1">
        <v>4.5289244060197499E-2</v>
      </c>
      <c r="AC9" s="1">
        <v>3.8236777099248699E-2</v>
      </c>
      <c r="AD9" s="1">
        <v>3.4859119641048902E-2</v>
      </c>
      <c r="AE9" s="1">
        <v>3.0413526368859502E-2</v>
      </c>
      <c r="AF9" s="1">
        <v>2.5484074900235899E-2</v>
      </c>
      <c r="AG9" s="1">
        <v>2.0205462474644401E-2</v>
      </c>
      <c r="AH9" s="1">
        <v>1.6132502346488199E-2</v>
      </c>
      <c r="AI9" s="1">
        <v>1.32768819118165E-2</v>
      </c>
      <c r="AJ9" s="1">
        <v>9.2651832179511395E-3</v>
      </c>
      <c r="AK9" s="1">
        <v>7.2744300909152798E-3</v>
      </c>
      <c r="AL9" s="1">
        <v>5.9438200507213497E-3</v>
      </c>
      <c r="AM9" s="1">
        <v>4.1655827418455799E-3</v>
      </c>
      <c r="AN9" s="1">
        <v>2.8015662279445401E-3</v>
      </c>
      <c r="AO9" s="1">
        <v>2.1321706192303802E-3</v>
      </c>
      <c r="AP9" s="1">
        <v>1.8653084094418201E-3</v>
      </c>
      <c r="AQ9" s="1">
        <v>1.3089883575030301E-3</v>
      </c>
      <c r="AR9" s="1">
        <v>1.04826203064026E-3</v>
      </c>
      <c r="AS9" s="1">
        <v>7.1409989860210001E-4</v>
      </c>
      <c r="AT9" s="1">
        <v>3.62679378398049E-3</v>
      </c>
    </row>
    <row r="10" spans="1:66" x14ac:dyDescent="0.25">
      <c r="A10" s="1">
        <v>2</v>
      </c>
      <c r="B10" s="1" t="s">
        <v>111</v>
      </c>
      <c r="C10" s="1">
        <v>1994</v>
      </c>
      <c r="D10" s="1">
        <v>1</v>
      </c>
      <c r="E10" s="1">
        <v>6</v>
      </c>
      <c r="F10" s="1">
        <v>0</v>
      </c>
      <c r="G10" s="1">
        <v>0</v>
      </c>
      <c r="H10" s="1">
        <v>0</v>
      </c>
      <c r="I10" s="1">
        <v>0</v>
      </c>
      <c r="J10" s="5">
        <v>2.2252550261798501E-5</v>
      </c>
      <c r="K10" s="1">
        <v>7.3773640805954298E-4</v>
      </c>
      <c r="L10" s="1">
        <v>8.6315987317149793E-3</v>
      </c>
      <c r="M10" s="1">
        <v>3.9231613922298902E-2</v>
      </c>
      <c r="N10" s="1">
        <v>5.2653579837644703E-2</v>
      </c>
      <c r="O10" s="1">
        <v>4.7357472875336599E-2</v>
      </c>
      <c r="P10" s="1">
        <v>4.9618037733336902E-2</v>
      </c>
      <c r="Q10" s="1">
        <v>4.8025049383190598E-2</v>
      </c>
      <c r="R10" s="1">
        <v>5.28516459255121E-2</v>
      </c>
      <c r="S10" s="1">
        <v>5.2041910563506301E-2</v>
      </c>
      <c r="T10" s="1">
        <v>5.3172468850567499E-2</v>
      </c>
      <c r="U10" s="1">
        <v>4.8584121720346499E-2</v>
      </c>
      <c r="V10" s="1">
        <v>4.71071776612349E-2</v>
      </c>
      <c r="W10" s="1">
        <v>4.5338927489605198E-2</v>
      </c>
      <c r="X10" s="1">
        <v>4.4691764478272403E-2</v>
      </c>
      <c r="Y10" s="1">
        <v>4.4573513322749003E-2</v>
      </c>
      <c r="Z10" s="1">
        <v>3.89997092456036E-2</v>
      </c>
      <c r="AA10" s="1">
        <v>4.0452377795338702E-2</v>
      </c>
      <c r="AB10" s="1">
        <v>3.8538014804014802E-2</v>
      </c>
      <c r="AC10" s="1">
        <v>3.6866498859142997E-2</v>
      </c>
      <c r="AD10" s="1">
        <v>3.2515941377587301E-2</v>
      </c>
      <c r="AE10" s="1">
        <v>2.7246500694518699E-2</v>
      </c>
      <c r="AF10" s="1">
        <v>2.5489284845332801E-2</v>
      </c>
      <c r="AG10" s="1">
        <v>2.12874148587083E-2</v>
      </c>
      <c r="AH10" s="1">
        <v>1.897535649597E-2</v>
      </c>
      <c r="AI10" s="1">
        <v>1.74452637837538E-2</v>
      </c>
      <c r="AJ10" s="1">
        <v>1.3714927176230501E-2</v>
      </c>
      <c r="AK10" s="1">
        <v>1.0084451186824101E-2</v>
      </c>
      <c r="AL10" s="1">
        <v>7.6221421334752102E-3</v>
      </c>
      <c r="AM10" s="1">
        <v>6.49277923134542E-3</v>
      </c>
      <c r="AN10" s="1">
        <v>5.2841531129938502E-3</v>
      </c>
      <c r="AO10" s="1">
        <v>4.4109703969358403E-3</v>
      </c>
      <c r="AP10" s="1">
        <v>3.4758115698181099E-3</v>
      </c>
      <c r="AQ10" s="1">
        <v>2.97761191147752E-3</v>
      </c>
      <c r="AR10" s="1">
        <v>2.3944479703191402E-3</v>
      </c>
      <c r="AS10" s="1">
        <v>1.9611669090233001E-3</v>
      </c>
      <c r="AT10" s="1">
        <v>9.1263041879483496E-3</v>
      </c>
    </row>
    <row r="11" spans="1:66" x14ac:dyDescent="0.25">
      <c r="A11" s="1">
        <v>2</v>
      </c>
      <c r="B11" s="1" t="s">
        <v>111</v>
      </c>
      <c r="C11" s="1">
        <v>1995</v>
      </c>
      <c r="D11" s="1">
        <v>1</v>
      </c>
      <c r="E11" s="1">
        <v>4</v>
      </c>
      <c r="F11" s="1">
        <v>0</v>
      </c>
      <c r="G11" s="1">
        <v>0</v>
      </c>
      <c r="H11" s="1">
        <v>0</v>
      </c>
      <c r="I11" s="1">
        <v>0</v>
      </c>
      <c r="J11" s="5">
        <v>2.3265835538910699E-5</v>
      </c>
      <c r="K11" s="1">
        <v>7.4246587447857201E-4</v>
      </c>
      <c r="L11" s="1">
        <v>9.70940461196209E-3</v>
      </c>
      <c r="M11" s="1">
        <v>4.5395318689394698E-2</v>
      </c>
      <c r="N11" s="1">
        <v>6.0374026878366703E-2</v>
      </c>
      <c r="O11" s="1">
        <v>5.2087307700981397E-2</v>
      </c>
      <c r="P11" s="1">
        <v>5.5588203690757503E-2</v>
      </c>
      <c r="Q11" s="1">
        <v>5.2613442122203397E-2</v>
      </c>
      <c r="R11" s="1">
        <v>4.8921929550029601E-2</v>
      </c>
      <c r="S11" s="1">
        <v>5.2835998206898001E-2</v>
      </c>
      <c r="T11" s="1">
        <v>4.8206811236623001E-2</v>
      </c>
      <c r="U11" s="1">
        <v>4.5785225520948103E-2</v>
      </c>
      <c r="V11" s="1">
        <v>4.2891690290503499E-2</v>
      </c>
      <c r="W11" s="1">
        <v>3.99682564205288E-2</v>
      </c>
      <c r="X11" s="1">
        <v>4.2337698092517799E-2</v>
      </c>
      <c r="Y11" s="1">
        <v>3.8097397522413E-2</v>
      </c>
      <c r="Z11" s="1">
        <v>4.0323366541912098E-2</v>
      </c>
      <c r="AA11" s="1">
        <v>4.2265247464304503E-2</v>
      </c>
      <c r="AB11" s="1">
        <v>4.2388617618543803E-2</v>
      </c>
      <c r="AC11" s="1">
        <v>3.9815191713035901E-2</v>
      </c>
      <c r="AD11" s="1">
        <v>3.2068076651132003E-2</v>
      </c>
      <c r="AE11" s="1">
        <v>2.90720901098056E-2</v>
      </c>
      <c r="AF11" s="1">
        <v>2.6143656126052701E-2</v>
      </c>
      <c r="AG11" s="1">
        <v>2.3638292993810001E-2</v>
      </c>
      <c r="AH11" s="1">
        <v>2.00291292342673E-2</v>
      </c>
      <c r="AI11" s="1">
        <v>1.6354453779917601E-2</v>
      </c>
      <c r="AJ11" s="1">
        <v>1.22551768269829E-2</v>
      </c>
      <c r="AK11" s="1">
        <v>9.6069533010802195E-3</v>
      </c>
      <c r="AL11" s="1">
        <v>6.8156652952408997E-3</v>
      </c>
      <c r="AM11" s="1">
        <v>5.35114217394947E-3</v>
      </c>
      <c r="AN11" s="1">
        <v>4.0409082778108101E-3</v>
      </c>
      <c r="AO11" s="1">
        <v>2.9225154817298401E-3</v>
      </c>
      <c r="AP11" s="1">
        <v>2.3002564242023101E-3</v>
      </c>
      <c r="AQ11" s="1">
        <v>1.69534470019063E-3</v>
      </c>
      <c r="AR11" s="1">
        <v>1.3643167594527899E-3</v>
      </c>
      <c r="AS11" s="1">
        <v>9.6124636305499602E-4</v>
      </c>
      <c r="AT11" s="1">
        <v>5.0099099193787796E-3</v>
      </c>
    </row>
    <row r="12" spans="1:66" x14ac:dyDescent="0.25">
      <c r="A12" s="1">
        <v>2</v>
      </c>
      <c r="B12" s="1" t="s">
        <v>111</v>
      </c>
      <c r="C12" s="1">
        <v>1996</v>
      </c>
      <c r="D12" s="1">
        <v>1</v>
      </c>
      <c r="E12" s="1">
        <v>14</v>
      </c>
      <c r="F12" s="1">
        <v>0</v>
      </c>
      <c r="G12" s="1">
        <v>0</v>
      </c>
      <c r="H12" s="1">
        <v>0</v>
      </c>
      <c r="I12" s="1">
        <v>0</v>
      </c>
      <c r="J12" s="5">
        <v>2.49218895514322E-5</v>
      </c>
      <c r="K12" s="1">
        <v>8.1717564160748801E-4</v>
      </c>
      <c r="L12" s="1">
        <v>1.0270441851985E-2</v>
      </c>
      <c r="M12" s="1">
        <v>4.27171680338728E-2</v>
      </c>
      <c r="N12" s="1">
        <v>6.11651376868814E-2</v>
      </c>
      <c r="O12" s="1">
        <v>5.6972751192971502E-2</v>
      </c>
      <c r="P12" s="1">
        <v>5.8441043991070099E-2</v>
      </c>
      <c r="Q12" s="1">
        <v>6.1315718366907898E-2</v>
      </c>
      <c r="R12" s="1">
        <v>6.2346697587298702E-2</v>
      </c>
      <c r="S12" s="1">
        <v>5.93718109818962E-2</v>
      </c>
      <c r="T12" s="1">
        <v>5.7062732331036099E-2</v>
      </c>
      <c r="U12" s="1">
        <v>5.67003155898224E-2</v>
      </c>
      <c r="V12" s="1">
        <v>5.8666652675430399E-2</v>
      </c>
      <c r="W12" s="1">
        <v>5.1306562851693799E-2</v>
      </c>
      <c r="X12" s="1">
        <v>4.6833214845051402E-2</v>
      </c>
      <c r="Y12" s="1">
        <v>4.7034950982578302E-2</v>
      </c>
      <c r="Z12" s="1">
        <v>4.1288487923376999E-2</v>
      </c>
      <c r="AA12" s="1">
        <v>3.7318824421353099E-2</v>
      </c>
      <c r="AB12" s="1">
        <v>3.4924486674659201E-2</v>
      </c>
      <c r="AC12" s="1">
        <v>3.4659789974055E-2</v>
      </c>
      <c r="AD12" s="1">
        <v>2.7442410759960199E-2</v>
      </c>
      <c r="AE12" s="1">
        <v>2.4983276100432598E-2</v>
      </c>
      <c r="AF12" s="1">
        <v>1.77868837406969E-2</v>
      </c>
      <c r="AG12" s="1">
        <v>1.3988394269539401E-2</v>
      </c>
      <c r="AH12" s="1">
        <v>1.0161834880676599E-2</v>
      </c>
      <c r="AI12" s="1">
        <v>6.6840507776941196E-3</v>
      </c>
      <c r="AJ12" s="1">
        <v>4.3589696503852403E-3</v>
      </c>
      <c r="AK12" s="1">
        <v>3.0103019221335201E-3</v>
      </c>
      <c r="AL12" s="1">
        <v>2.4607086736045699E-3</v>
      </c>
      <c r="AM12" s="1">
        <v>1.3133835793604799E-3</v>
      </c>
      <c r="AN12" s="1">
        <v>1.4153009908418599E-3</v>
      </c>
      <c r="AO12" s="1">
        <v>1.33778079755293E-3</v>
      </c>
      <c r="AP12" s="1">
        <v>1.1427342198530399E-3</v>
      </c>
      <c r="AQ12" s="1">
        <v>9.5437720198011001E-4</v>
      </c>
      <c r="AR12" s="1">
        <v>9.1292816462088596E-4</v>
      </c>
      <c r="AS12" s="1">
        <v>5.7740083055476097E-4</v>
      </c>
      <c r="AT12" s="1">
        <v>2.2303779470134399E-3</v>
      </c>
    </row>
    <row r="13" spans="1:66" x14ac:dyDescent="0.25">
      <c r="A13" s="1">
        <v>2</v>
      </c>
      <c r="B13" s="1" t="s">
        <v>111</v>
      </c>
      <c r="C13" s="1">
        <v>1997</v>
      </c>
      <c r="D13" s="1">
        <v>1</v>
      </c>
      <c r="E13" s="1">
        <v>5</v>
      </c>
      <c r="F13" s="1">
        <v>0</v>
      </c>
      <c r="G13" s="1">
        <v>0</v>
      </c>
      <c r="H13" s="1">
        <v>0</v>
      </c>
      <c r="I13" s="1">
        <v>0</v>
      </c>
      <c r="J13" s="5">
        <v>2.53283183263047E-5</v>
      </c>
      <c r="K13" s="1">
        <v>1.05304402253606E-3</v>
      </c>
      <c r="L13" s="1">
        <v>1.2018798729030101E-2</v>
      </c>
      <c r="M13" s="1">
        <v>5.3986670908520398E-2</v>
      </c>
      <c r="N13" s="1">
        <v>7.5559106636953199E-2</v>
      </c>
      <c r="O13" s="1">
        <v>6.4625204209566495E-2</v>
      </c>
      <c r="P13" s="1">
        <v>6.4274445376987094E-2</v>
      </c>
      <c r="Q13" s="1">
        <v>6.9425688057198995E-2</v>
      </c>
      <c r="R13" s="1">
        <v>6.4626611338362394E-2</v>
      </c>
      <c r="S13" s="1">
        <v>6.7330601200894902E-2</v>
      </c>
      <c r="T13" s="1">
        <v>7.0442018810241896E-2</v>
      </c>
      <c r="U13" s="1">
        <v>6.2840325292359805E-2</v>
      </c>
      <c r="V13" s="1">
        <v>5.5676248830004403E-2</v>
      </c>
      <c r="W13" s="1">
        <v>4.6958702176969E-2</v>
      </c>
      <c r="X13" s="1">
        <v>4.1407962839519398E-2</v>
      </c>
      <c r="Y13" s="1">
        <v>3.7955252536765398E-2</v>
      </c>
      <c r="Z13" s="1">
        <v>3.6740132861100901E-2</v>
      </c>
      <c r="AA13" s="1">
        <v>3.0816120630337399E-2</v>
      </c>
      <c r="AB13" s="1">
        <v>2.60954593616726E-2</v>
      </c>
      <c r="AC13" s="1">
        <v>2.5152427226816501E-2</v>
      </c>
      <c r="AD13" s="1">
        <v>1.8374543658537398E-2</v>
      </c>
      <c r="AE13" s="1">
        <v>1.3619727536372001E-2</v>
      </c>
      <c r="AF13" s="1">
        <v>1.3557685948552599E-2</v>
      </c>
      <c r="AG13" s="1">
        <v>1.05630600292657E-2</v>
      </c>
      <c r="AH13" s="1">
        <v>8.6116282309436007E-3</v>
      </c>
      <c r="AI13" s="1">
        <v>7.5278832164968699E-3</v>
      </c>
      <c r="AJ13" s="1">
        <v>5.8619706429440099E-3</v>
      </c>
      <c r="AK13" s="1">
        <v>4.1530766807162103E-3</v>
      </c>
      <c r="AL13" s="1">
        <v>3.1263843429034698E-3</v>
      </c>
      <c r="AM13" s="1">
        <v>2.0920167571130701E-3</v>
      </c>
      <c r="AN13" s="1">
        <v>1.26053155953236E-3</v>
      </c>
      <c r="AO13" s="1">
        <v>1.2664159163152399E-3</v>
      </c>
      <c r="AP13" s="1">
        <v>7.6432677777611398E-4</v>
      </c>
      <c r="AQ13" s="1">
        <v>5.6784042954781096E-4</v>
      </c>
      <c r="AR13" s="1">
        <v>4.39024184322615E-4</v>
      </c>
      <c r="AS13" s="1">
        <v>2.2923407293302001E-4</v>
      </c>
      <c r="AT13" s="1">
        <v>9.7450065156459199E-4</v>
      </c>
    </row>
    <row r="14" spans="1:66" x14ac:dyDescent="0.25">
      <c r="A14" s="1">
        <v>2</v>
      </c>
      <c r="B14" s="1" t="s">
        <v>111</v>
      </c>
      <c r="C14" s="1">
        <v>1998</v>
      </c>
      <c r="D14" s="1">
        <v>1</v>
      </c>
      <c r="E14" s="1">
        <v>9</v>
      </c>
      <c r="F14" s="1">
        <v>0</v>
      </c>
      <c r="G14" s="1">
        <v>0</v>
      </c>
      <c r="H14" s="1">
        <v>0</v>
      </c>
      <c r="I14" s="1">
        <v>0</v>
      </c>
      <c r="J14" s="5">
        <v>3.87312246664273E-5</v>
      </c>
      <c r="K14" s="1">
        <v>1.1202261903520501E-3</v>
      </c>
      <c r="L14" s="1">
        <v>1.2803649077228601E-2</v>
      </c>
      <c r="M14" s="1">
        <v>5.04585925966754E-2</v>
      </c>
      <c r="N14" s="1">
        <v>6.7413931025647494E-2</v>
      </c>
      <c r="O14" s="1">
        <v>6.6577113123479595E-2</v>
      </c>
      <c r="P14" s="1">
        <v>6.1272797422288E-2</v>
      </c>
      <c r="Q14" s="1">
        <v>6.4459682036507607E-2</v>
      </c>
      <c r="R14" s="1">
        <v>5.9533119914354303E-2</v>
      </c>
      <c r="S14" s="1">
        <v>6.4489102870629297E-2</v>
      </c>
      <c r="T14" s="1">
        <v>5.8276837883507397E-2</v>
      </c>
      <c r="U14" s="1">
        <v>5.9904045873659703E-2</v>
      </c>
      <c r="V14" s="1">
        <v>5.0990029688973398E-2</v>
      </c>
      <c r="W14" s="1">
        <v>4.1570521366973902E-2</v>
      </c>
      <c r="X14" s="1">
        <v>3.4519203983953403E-2</v>
      </c>
      <c r="Y14" s="1">
        <v>3.5317042384373602E-2</v>
      </c>
      <c r="Z14" s="1">
        <v>3.61719845134688E-2</v>
      </c>
      <c r="AA14" s="1">
        <v>3.0486687631183399E-2</v>
      </c>
      <c r="AB14" s="1">
        <v>2.9834091323262198E-2</v>
      </c>
      <c r="AC14" s="1">
        <v>2.37679373984237E-2</v>
      </c>
      <c r="AD14" s="1">
        <v>2.283851214497E-2</v>
      </c>
      <c r="AE14" s="1">
        <v>2.2766139375801599E-2</v>
      </c>
      <c r="AF14" s="1">
        <v>1.9747338345551101E-2</v>
      </c>
      <c r="AG14" s="1">
        <v>1.7515948078310601E-2</v>
      </c>
      <c r="AH14" s="1">
        <v>1.29902293037467E-2</v>
      </c>
      <c r="AI14" s="1">
        <v>9.1074240309373094E-3</v>
      </c>
      <c r="AJ14" s="1">
        <v>8.2395714936200192E-3</v>
      </c>
      <c r="AK14" s="1">
        <v>6.9423237443758997E-3</v>
      </c>
      <c r="AL14" s="1">
        <v>6.1001678849622997E-3</v>
      </c>
      <c r="AM14" s="1">
        <v>4.7594716465090498E-3</v>
      </c>
      <c r="AN14" s="1">
        <v>3.8675362323158402E-3</v>
      </c>
      <c r="AO14" s="1">
        <v>2.8620140534758999E-3</v>
      </c>
      <c r="AP14" s="1">
        <v>2.4504947913951101E-3</v>
      </c>
      <c r="AQ14" s="1">
        <v>2.0769619227371701E-3</v>
      </c>
      <c r="AR14" s="1">
        <v>1.8197468666191E-3</v>
      </c>
      <c r="AS14" s="1">
        <v>1.35037904461986E-3</v>
      </c>
      <c r="AT14" s="1">
        <v>5.5604135104442703E-3</v>
      </c>
    </row>
    <row r="15" spans="1:66" x14ac:dyDescent="0.25">
      <c r="A15" s="1">
        <v>2</v>
      </c>
      <c r="B15" s="1" t="s">
        <v>111</v>
      </c>
      <c r="C15" s="1">
        <v>1999</v>
      </c>
      <c r="D15" s="1">
        <v>1</v>
      </c>
      <c r="E15" s="1">
        <v>6</v>
      </c>
      <c r="F15" s="1">
        <v>0</v>
      </c>
      <c r="G15" s="1">
        <v>0</v>
      </c>
      <c r="H15" s="1">
        <v>0</v>
      </c>
      <c r="I15" s="1">
        <v>0</v>
      </c>
      <c r="J15" s="5">
        <v>3.1166281200369298E-5</v>
      </c>
      <c r="K15" s="1">
        <v>1.07370199817181E-3</v>
      </c>
      <c r="L15" s="1">
        <v>1.3025852784418E-2</v>
      </c>
      <c r="M15" s="1">
        <v>5.28922486035086E-2</v>
      </c>
      <c r="N15" s="1">
        <v>6.6225868414780203E-2</v>
      </c>
      <c r="O15" s="1">
        <v>6.0788060669888497E-2</v>
      </c>
      <c r="P15" s="1">
        <v>5.4726927300989402E-2</v>
      </c>
      <c r="Q15" s="1">
        <v>5.9094692724668399E-2</v>
      </c>
      <c r="R15" s="1">
        <v>5.8381291825828199E-2</v>
      </c>
      <c r="S15" s="1">
        <v>6.1390490719000199E-2</v>
      </c>
      <c r="T15" s="1">
        <v>6.19748584915071E-2</v>
      </c>
      <c r="U15" s="1">
        <v>5.7826909793567E-2</v>
      </c>
      <c r="V15" s="1">
        <v>5.5108123975216597E-2</v>
      </c>
      <c r="W15" s="1">
        <v>5.3727835491145702E-2</v>
      </c>
      <c r="X15" s="1">
        <v>4.8177404139189098E-2</v>
      </c>
      <c r="Y15" s="1">
        <v>3.9706550573843202E-2</v>
      </c>
      <c r="Z15" s="1">
        <v>3.9173182170573299E-2</v>
      </c>
      <c r="AA15" s="1">
        <v>3.4204285292832599E-2</v>
      </c>
      <c r="AB15" s="1">
        <v>3.07430572681597E-2</v>
      </c>
      <c r="AC15" s="1">
        <v>2.6052059731122301E-2</v>
      </c>
      <c r="AD15" s="1">
        <v>2.61435516551007E-2</v>
      </c>
      <c r="AE15" s="1">
        <v>2.38688853438556E-2</v>
      </c>
      <c r="AF15" s="1">
        <v>1.7289258387714002E-2</v>
      </c>
      <c r="AG15" s="1">
        <v>1.4981891092027501E-2</v>
      </c>
      <c r="AH15" s="1">
        <v>1.14844204600497E-2</v>
      </c>
      <c r="AI15" s="1">
        <v>8.4113543012360303E-3</v>
      </c>
      <c r="AJ15" s="1">
        <v>6.2729224161470597E-3</v>
      </c>
      <c r="AK15" s="1">
        <v>4.2525446265140304E-3</v>
      </c>
      <c r="AL15" s="1">
        <v>2.9324637311256602E-3</v>
      </c>
      <c r="AM15" s="1">
        <v>2.1426818325253898E-3</v>
      </c>
      <c r="AN15" s="1">
        <v>1.8907543928224E-3</v>
      </c>
      <c r="AO15" s="1">
        <v>1.4940926320904299E-3</v>
      </c>
      <c r="AP15" s="1">
        <v>9.9318910507086001E-4</v>
      </c>
      <c r="AQ15" s="1">
        <v>7.42796368608802E-4</v>
      </c>
      <c r="AR15" s="1">
        <v>4.7516773421017597E-4</v>
      </c>
      <c r="AS15" s="1">
        <v>3.8839797405005699E-4</v>
      </c>
      <c r="AT15" s="1">
        <v>1.9110596972408301E-3</v>
      </c>
    </row>
    <row r="16" spans="1:66" x14ac:dyDescent="0.25">
      <c r="A16" s="1">
        <v>2</v>
      </c>
      <c r="B16" s="1" t="s">
        <v>111</v>
      </c>
      <c r="C16" s="1">
        <v>2000</v>
      </c>
      <c r="D16" s="1">
        <v>1</v>
      </c>
      <c r="E16" s="1">
        <v>4</v>
      </c>
      <c r="F16" s="1">
        <v>0</v>
      </c>
      <c r="G16" s="1">
        <v>0</v>
      </c>
      <c r="H16" s="1">
        <v>0</v>
      </c>
      <c r="I16" s="1">
        <v>0</v>
      </c>
      <c r="J16" s="5">
        <v>2.8147381747258401E-5</v>
      </c>
      <c r="K16" s="1">
        <v>1.00867877603874E-3</v>
      </c>
      <c r="L16" s="1">
        <v>1.3819207696188201E-2</v>
      </c>
      <c r="M16" s="1">
        <v>5.32345390223605E-2</v>
      </c>
      <c r="N16" s="1">
        <v>7.0634504962743302E-2</v>
      </c>
      <c r="O16" s="1">
        <v>6.9968735841963406E-2</v>
      </c>
      <c r="P16" s="1">
        <v>6.32299441872122E-2</v>
      </c>
      <c r="Q16" s="1">
        <v>6.9095395846654598E-2</v>
      </c>
      <c r="R16" s="1">
        <v>6.0289378219196103E-2</v>
      </c>
      <c r="S16" s="1">
        <v>4.9628846567850902E-2</v>
      </c>
      <c r="T16" s="1">
        <v>4.96361725987167E-2</v>
      </c>
      <c r="U16" s="1">
        <v>5.0646265170185598E-2</v>
      </c>
      <c r="V16" s="1">
        <v>4.8775428235422601E-2</v>
      </c>
      <c r="W16" s="1">
        <v>4.5140688711164799E-2</v>
      </c>
      <c r="X16" s="1">
        <v>4.24835244634807E-2</v>
      </c>
      <c r="Y16" s="1">
        <v>3.9214572375079901E-2</v>
      </c>
      <c r="Z16" s="1">
        <v>3.3689716887465103E-2</v>
      </c>
      <c r="AA16" s="1">
        <v>3.2647878182244697E-2</v>
      </c>
      <c r="AB16" s="1">
        <v>3.3191289734881203E-2</v>
      </c>
      <c r="AC16" s="1">
        <v>3.08973423859083E-2</v>
      </c>
      <c r="AD16" s="1">
        <v>2.7414778660685899E-2</v>
      </c>
      <c r="AE16" s="1">
        <v>2.13418846535719E-2</v>
      </c>
      <c r="AF16" s="1">
        <v>1.73048560659857E-2</v>
      </c>
      <c r="AG16" s="1">
        <v>1.4337427984795301E-2</v>
      </c>
      <c r="AH16" s="1">
        <v>1.20234304460846E-2</v>
      </c>
      <c r="AI16" s="1">
        <v>1.0359007644134799E-2</v>
      </c>
      <c r="AJ16" s="1">
        <v>7.5388713414026804E-3</v>
      </c>
      <c r="AK16" s="1">
        <v>6.3146530256828802E-3</v>
      </c>
      <c r="AL16" s="1">
        <v>5.3641969159980603E-3</v>
      </c>
      <c r="AM16" s="1">
        <v>4.1989724277759401E-3</v>
      </c>
      <c r="AN16" s="1">
        <v>3.2180554529125799E-3</v>
      </c>
      <c r="AO16" s="1">
        <v>2.7819638261160099E-3</v>
      </c>
      <c r="AP16" s="1">
        <v>2.0078465646377599E-3</v>
      </c>
      <c r="AQ16" s="1">
        <v>1.6250935836179699E-3</v>
      </c>
      <c r="AR16" s="1">
        <v>1.1952997728287801E-3</v>
      </c>
      <c r="AS16" s="1">
        <v>9.9634019773856995E-4</v>
      </c>
      <c r="AT16" s="1">
        <v>4.7170641895256998E-3</v>
      </c>
    </row>
    <row r="17" spans="1:46" x14ac:dyDescent="0.25">
      <c r="A17" s="1">
        <v>2</v>
      </c>
      <c r="B17" s="1" t="s">
        <v>111</v>
      </c>
      <c r="C17" s="1">
        <v>2001</v>
      </c>
      <c r="D17" s="1">
        <v>1</v>
      </c>
      <c r="E17" s="1">
        <v>6</v>
      </c>
      <c r="F17" s="1">
        <v>0</v>
      </c>
      <c r="G17" s="1">
        <v>0</v>
      </c>
      <c r="H17" s="1">
        <v>0</v>
      </c>
      <c r="I17" s="1">
        <v>0</v>
      </c>
      <c r="J17" s="5">
        <v>2.3674395073493099E-5</v>
      </c>
      <c r="K17" s="1">
        <v>9.1617984186851396E-4</v>
      </c>
      <c r="L17" s="1">
        <v>1.1438004891361001E-2</v>
      </c>
      <c r="M17" s="1">
        <v>5.0621053485559002E-2</v>
      </c>
      <c r="N17" s="1">
        <v>7.4338081717660098E-2</v>
      </c>
      <c r="O17" s="1">
        <v>7.6474070330083604E-2</v>
      </c>
      <c r="P17" s="1">
        <v>7.9932841707893901E-2</v>
      </c>
      <c r="Q17" s="1">
        <v>8.0769240763112302E-2</v>
      </c>
      <c r="R17" s="1">
        <v>7.5098934430875702E-2</v>
      </c>
      <c r="S17" s="1">
        <v>6.7825987037017602E-2</v>
      </c>
      <c r="T17" s="1">
        <v>5.5408670583592098E-2</v>
      </c>
      <c r="U17" s="1">
        <v>4.7727580468162098E-2</v>
      </c>
      <c r="V17" s="1">
        <v>4.2759422048349101E-2</v>
      </c>
      <c r="W17" s="1">
        <v>3.73681078759419E-2</v>
      </c>
      <c r="X17" s="1">
        <v>3.55459493543097E-2</v>
      </c>
      <c r="Y17" s="1">
        <v>3.58285985345164E-2</v>
      </c>
      <c r="Z17" s="1">
        <v>3.2431611553605202E-2</v>
      </c>
      <c r="AA17" s="1">
        <v>3.0831568901199102E-2</v>
      </c>
      <c r="AB17" s="1">
        <v>2.6278193582063999E-2</v>
      </c>
      <c r="AC17" s="1">
        <v>2.5533701223167501E-2</v>
      </c>
      <c r="AD17" s="1">
        <v>2.23844292541228E-2</v>
      </c>
      <c r="AE17" s="1">
        <v>1.8914109390910702E-2</v>
      </c>
      <c r="AF17" s="1">
        <v>1.54531245533984E-2</v>
      </c>
      <c r="AG17" s="1">
        <v>1.15227900216852E-2</v>
      </c>
      <c r="AH17" s="1">
        <v>8.9177404271958E-3</v>
      </c>
      <c r="AI17" s="1">
        <v>7.3751514896631901E-3</v>
      </c>
      <c r="AJ17" s="1">
        <v>5.7408483305653899E-3</v>
      </c>
      <c r="AK17" s="1">
        <v>4.6078456752798799E-3</v>
      </c>
      <c r="AL17" s="1">
        <v>3.5274848659504702E-3</v>
      </c>
      <c r="AM17" s="1">
        <v>2.7591256372237701E-3</v>
      </c>
      <c r="AN17" s="1">
        <v>2.3628201131886302E-3</v>
      </c>
      <c r="AO17" s="1">
        <v>1.8265854410361799E-3</v>
      </c>
      <c r="AP17" s="1">
        <v>1.42893259370417E-3</v>
      </c>
      <c r="AQ17" s="1">
        <v>1.0890221733806801E-3</v>
      </c>
      <c r="AR17" s="1">
        <v>9.3436870637619797E-4</v>
      </c>
      <c r="AS17" s="1">
        <v>7.6653071853809997E-4</v>
      </c>
      <c r="AT17" s="1">
        <v>3.2376178823677001E-3</v>
      </c>
    </row>
    <row r="18" spans="1:46" x14ac:dyDescent="0.25">
      <c r="A18" s="1">
        <v>2</v>
      </c>
      <c r="B18" s="1" t="s">
        <v>111</v>
      </c>
      <c r="C18" s="1">
        <v>2002</v>
      </c>
      <c r="D18" s="1">
        <v>1</v>
      </c>
      <c r="E18" s="1">
        <v>9</v>
      </c>
      <c r="F18" s="1">
        <v>0</v>
      </c>
      <c r="G18" s="1">
        <v>0</v>
      </c>
      <c r="H18" s="1">
        <v>0</v>
      </c>
      <c r="I18" s="1">
        <v>0</v>
      </c>
      <c r="J18" s="5">
        <v>2.56655283298843E-5</v>
      </c>
      <c r="K18" s="1">
        <v>1.04954568277158E-3</v>
      </c>
      <c r="L18" s="1">
        <v>1.37260740587541E-2</v>
      </c>
      <c r="M18" s="1">
        <v>6.1697770546023697E-2</v>
      </c>
      <c r="N18" s="1">
        <v>7.8496315667725303E-2</v>
      </c>
      <c r="O18" s="1">
        <v>7.4628960766211505E-2</v>
      </c>
      <c r="P18" s="1">
        <v>8.1468533356257894E-2</v>
      </c>
      <c r="Q18" s="1">
        <v>8.2047710472906099E-2</v>
      </c>
      <c r="R18" s="1">
        <v>8.3368613052291596E-2</v>
      </c>
      <c r="S18" s="1">
        <v>7.4430032156664397E-2</v>
      </c>
      <c r="T18" s="1">
        <v>6.1544109615893398E-2</v>
      </c>
      <c r="U18" s="1">
        <v>5.4041884647155002E-2</v>
      </c>
      <c r="V18" s="1">
        <v>4.7882074788020597E-2</v>
      </c>
      <c r="W18" s="1">
        <v>4.17981817343668E-2</v>
      </c>
      <c r="X18" s="1">
        <v>3.5626743480519703E-2</v>
      </c>
      <c r="Y18" s="1">
        <v>3.00858133999806E-2</v>
      </c>
      <c r="Z18" s="1">
        <v>2.68241317430673E-2</v>
      </c>
      <c r="AA18" s="1">
        <v>2.5918196734995898E-2</v>
      </c>
      <c r="AB18" s="1">
        <v>2.24795142985648E-2</v>
      </c>
      <c r="AC18" s="1">
        <v>1.9626072356024898E-2</v>
      </c>
      <c r="AD18" s="1">
        <v>1.6975130601408098E-2</v>
      </c>
      <c r="AE18" s="1">
        <v>1.47469640545554E-2</v>
      </c>
      <c r="AF18" s="1">
        <v>1.20772507484741E-2</v>
      </c>
      <c r="AG18" s="1">
        <v>9.6748244008573406E-3</v>
      </c>
      <c r="AH18" s="1">
        <v>6.90726645926594E-3</v>
      </c>
      <c r="AI18" s="1">
        <v>5.1595187339668301E-3</v>
      </c>
      <c r="AJ18" s="1">
        <v>3.7287278245474601E-3</v>
      </c>
      <c r="AK18" s="1">
        <v>2.6129002919142402E-3</v>
      </c>
      <c r="AL18" s="1">
        <v>2.1113011799913498E-3</v>
      </c>
      <c r="AM18" s="1">
        <v>1.77914439102305E-3</v>
      </c>
      <c r="AN18" s="1">
        <v>1.4979033589033401E-3</v>
      </c>
      <c r="AO18" s="1">
        <v>1.16283947125689E-3</v>
      </c>
      <c r="AP18" s="1">
        <v>9.3558741458840298E-4</v>
      </c>
      <c r="AQ18" s="1">
        <v>6.9188948539785104E-4</v>
      </c>
      <c r="AR18" s="1">
        <v>6.0002516716855603E-4</v>
      </c>
      <c r="AS18" s="1">
        <v>4.8590077906091598E-4</v>
      </c>
      <c r="AT18" s="1">
        <v>2.0868815510949601E-3</v>
      </c>
    </row>
    <row r="19" spans="1:46" x14ac:dyDescent="0.25">
      <c r="A19" s="1">
        <v>2</v>
      </c>
      <c r="B19" s="1" t="s">
        <v>111</v>
      </c>
      <c r="C19" s="1">
        <v>2003</v>
      </c>
      <c r="D19" s="1">
        <v>1</v>
      </c>
      <c r="E19" s="1">
        <v>10</v>
      </c>
      <c r="F19" s="1">
        <v>0</v>
      </c>
      <c r="G19" s="1">
        <v>0</v>
      </c>
      <c r="H19" s="1">
        <v>0</v>
      </c>
      <c r="I19" s="1">
        <v>0</v>
      </c>
      <c r="J19" s="5">
        <v>2.5363601664429701E-5</v>
      </c>
      <c r="K19" s="1">
        <v>9.8113834731183998E-4</v>
      </c>
      <c r="L19" s="1">
        <v>1.2879416969844199E-2</v>
      </c>
      <c r="M19" s="1">
        <v>5.7439965763949302E-2</v>
      </c>
      <c r="N19" s="1">
        <v>8.1293024040363995E-2</v>
      </c>
      <c r="O19" s="1">
        <v>7.8077826665146205E-2</v>
      </c>
      <c r="P19" s="1">
        <v>8.2842746975665502E-2</v>
      </c>
      <c r="Q19" s="1">
        <v>8.5025391439763801E-2</v>
      </c>
      <c r="R19" s="1">
        <v>8.6999490734621293E-2</v>
      </c>
      <c r="S19" s="1">
        <v>8.38383198930302E-2</v>
      </c>
      <c r="T19" s="1">
        <v>7.0662513084765899E-2</v>
      </c>
      <c r="U19" s="1">
        <v>5.7210593572203497E-2</v>
      </c>
      <c r="V19" s="1">
        <v>4.6481721332101898E-2</v>
      </c>
      <c r="W19" s="1">
        <v>3.8641893920069698E-2</v>
      </c>
      <c r="X19" s="1">
        <v>2.94734674387374E-2</v>
      </c>
      <c r="Y19" s="1">
        <v>2.6332573731268301E-2</v>
      </c>
      <c r="Z19" s="1">
        <v>2.2755481064009299E-2</v>
      </c>
      <c r="AA19" s="1">
        <v>2.1318897663503599E-2</v>
      </c>
      <c r="AB19" s="1">
        <v>1.9806154721956799E-2</v>
      </c>
      <c r="AC19" s="1">
        <v>1.80836293623075E-2</v>
      </c>
      <c r="AD19" s="1">
        <v>1.62516762144474E-2</v>
      </c>
      <c r="AE19" s="1">
        <v>1.359825855848E-2</v>
      </c>
      <c r="AF19" s="1">
        <v>1.1493629508715301E-2</v>
      </c>
      <c r="AG19" s="1">
        <v>8.7720944293076201E-3</v>
      </c>
      <c r="AH19" s="1">
        <v>6.9281124730700798E-3</v>
      </c>
      <c r="AI19" s="1">
        <v>5.1118998801724502E-3</v>
      </c>
      <c r="AJ19" s="1">
        <v>3.7661167989045102E-3</v>
      </c>
      <c r="AK19" s="1">
        <v>2.9353729243346001E-3</v>
      </c>
      <c r="AL19" s="1">
        <v>2.1722653208698399E-3</v>
      </c>
      <c r="AM19" s="1">
        <v>1.7601927138827E-3</v>
      </c>
      <c r="AN19" s="1">
        <v>1.3796699528683799E-3</v>
      </c>
      <c r="AO19" s="1">
        <v>1.0821803376823301E-3</v>
      </c>
      <c r="AP19" s="1">
        <v>8.9356862232408004E-4</v>
      </c>
      <c r="AQ19" s="1">
        <v>6.6605230387079505E-4</v>
      </c>
      <c r="AR19" s="1">
        <v>5.5236288069202401E-4</v>
      </c>
      <c r="AS19" s="1">
        <v>4.5365791594914801E-4</v>
      </c>
      <c r="AT19" s="1">
        <v>2.0132788421440202E-3</v>
      </c>
    </row>
    <row r="20" spans="1:46" x14ac:dyDescent="0.25">
      <c r="A20" s="1">
        <v>2</v>
      </c>
      <c r="B20" s="1" t="s">
        <v>111</v>
      </c>
      <c r="C20" s="1">
        <v>2004</v>
      </c>
      <c r="D20" s="1">
        <v>1</v>
      </c>
      <c r="E20" s="1">
        <v>21</v>
      </c>
      <c r="F20" s="1">
        <v>0</v>
      </c>
      <c r="G20" s="1">
        <v>0</v>
      </c>
      <c r="H20" s="1">
        <v>0</v>
      </c>
      <c r="I20" s="1">
        <v>0</v>
      </c>
      <c r="J20" s="5">
        <v>4.4088642921190497E-5</v>
      </c>
      <c r="K20" s="1">
        <v>1.34488885549514E-3</v>
      </c>
      <c r="L20" s="1">
        <v>1.6400975166682801E-2</v>
      </c>
      <c r="M20" s="1">
        <v>6.1397770033490298E-2</v>
      </c>
      <c r="N20" s="1">
        <v>8.3831701720101695E-2</v>
      </c>
      <c r="O20" s="1">
        <v>8.0139963287127705E-2</v>
      </c>
      <c r="P20" s="1">
        <v>8.2262294229226401E-2</v>
      </c>
      <c r="Q20" s="1">
        <v>8.5837994317974203E-2</v>
      </c>
      <c r="R20" s="1">
        <v>8.6016720043564004E-2</v>
      </c>
      <c r="S20" s="1">
        <v>7.7805858661888203E-2</v>
      </c>
      <c r="T20" s="1">
        <v>7.1841517408085698E-2</v>
      </c>
      <c r="U20" s="1">
        <v>6.1993818846361001E-2</v>
      </c>
      <c r="V20" s="1">
        <v>5.42870499651774E-2</v>
      </c>
      <c r="W20" s="1">
        <v>4.5550607500745202E-2</v>
      </c>
      <c r="X20" s="1">
        <v>3.7321962464781901E-2</v>
      </c>
      <c r="Y20" s="1">
        <v>2.8448067172419E-2</v>
      </c>
      <c r="Z20" s="1">
        <v>2.2913645761017801E-2</v>
      </c>
      <c r="AA20" s="1">
        <v>1.95399383455526E-2</v>
      </c>
      <c r="AB20" s="1">
        <v>1.5948381165065001E-2</v>
      </c>
      <c r="AC20" s="1">
        <v>1.4191356121456101E-2</v>
      </c>
      <c r="AD20" s="1">
        <v>1.1536256536326599E-2</v>
      </c>
      <c r="AE20" s="1">
        <v>9.2806963841903598E-3</v>
      </c>
      <c r="AF20" s="1">
        <v>7.52367134058151E-3</v>
      </c>
      <c r="AG20" s="1">
        <v>5.7963598193447501E-3</v>
      </c>
      <c r="AH20" s="1">
        <v>4.16871086067774E-3</v>
      </c>
      <c r="AI20" s="1">
        <v>3.2680428695734199E-3</v>
      </c>
      <c r="AJ20" s="1">
        <v>2.4463639429295899E-3</v>
      </c>
      <c r="AK20" s="1">
        <v>1.8962562369683801E-3</v>
      </c>
      <c r="AL20" s="1">
        <v>1.41965430206233E-3</v>
      </c>
      <c r="AM20" s="1">
        <v>1.1452673361175101E-3</v>
      </c>
      <c r="AN20" s="1">
        <v>8.8169875986427804E-4</v>
      </c>
      <c r="AO20" s="1">
        <v>6.8000248081977297E-4</v>
      </c>
      <c r="AP20" s="1">
        <v>5.6351954523639202E-4</v>
      </c>
      <c r="AQ20" s="1">
        <v>4.4014544361659102E-4</v>
      </c>
      <c r="AR20" s="1">
        <v>3.4855962403576498E-4</v>
      </c>
      <c r="AS20" s="1">
        <v>2.70978432206376E-4</v>
      </c>
      <c r="AT20" s="1">
        <v>1.2152163763151701E-3</v>
      </c>
    </row>
    <row r="21" spans="1:46" ht="15.75" customHeight="1" x14ac:dyDescent="0.25">
      <c r="A21" s="1">
        <v>2</v>
      </c>
      <c r="B21" s="1" t="s">
        <v>111</v>
      </c>
      <c r="C21" s="1">
        <v>2005</v>
      </c>
      <c r="D21" s="1">
        <v>1</v>
      </c>
      <c r="E21" s="1">
        <v>14</v>
      </c>
      <c r="F21" s="1">
        <v>0</v>
      </c>
      <c r="G21" s="1">
        <v>0</v>
      </c>
      <c r="H21" s="1">
        <v>0</v>
      </c>
      <c r="I21" s="1">
        <v>0</v>
      </c>
      <c r="J21" s="5">
        <v>4.0148588381423203E-5</v>
      </c>
      <c r="K21" s="1">
        <v>1.5076953069581599E-3</v>
      </c>
      <c r="L21" s="1">
        <v>1.93452498718816E-2</v>
      </c>
      <c r="M21" s="1">
        <v>8.6697209190552293E-2</v>
      </c>
      <c r="N21" s="1">
        <v>0.10569579144352501</v>
      </c>
      <c r="O21" s="1">
        <v>9.7125225956448402E-2</v>
      </c>
      <c r="P21" s="1">
        <v>9.0544331858966501E-2</v>
      </c>
      <c r="Q21" s="1">
        <v>8.3839131555149798E-2</v>
      </c>
      <c r="R21" s="1">
        <v>8.4866201933887997E-2</v>
      </c>
      <c r="S21" s="1">
        <v>7.6759082411733404E-2</v>
      </c>
      <c r="T21" s="1">
        <v>6.9716093503746093E-2</v>
      </c>
      <c r="U21" s="1">
        <v>5.9680587095896298E-2</v>
      </c>
      <c r="V21" s="1">
        <v>4.5106939046528897E-2</v>
      </c>
      <c r="W21" s="1">
        <v>3.70934352232445E-2</v>
      </c>
      <c r="X21" s="1">
        <v>2.9203851562175798E-2</v>
      </c>
      <c r="Y21" s="1">
        <v>2.3059187319222799E-2</v>
      </c>
      <c r="Z21" s="1">
        <v>1.8235180007547199E-2</v>
      </c>
      <c r="AA21" s="1">
        <v>1.36002378031773E-2</v>
      </c>
      <c r="AB21" s="1">
        <v>1.10068899224148E-2</v>
      </c>
      <c r="AC21" s="1">
        <v>9.7448151862035599E-3</v>
      </c>
      <c r="AD21" s="1">
        <v>8.6043443474937593E-3</v>
      </c>
      <c r="AE21" s="1">
        <v>6.3685698320032503E-3</v>
      </c>
      <c r="AF21" s="1">
        <v>5.27490684272852E-3</v>
      </c>
      <c r="AG21" s="1">
        <v>4.2776583721870704E-3</v>
      </c>
      <c r="AH21" s="1">
        <v>3.2358218058950901E-3</v>
      </c>
      <c r="AI21" s="1">
        <v>2.3524563504740098E-3</v>
      </c>
      <c r="AJ21" s="1">
        <v>1.5427288107621401E-3</v>
      </c>
      <c r="AK21" s="1">
        <v>1.18920890874014E-3</v>
      </c>
      <c r="AL21" s="1">
        <v>8.7284575317690205E-4</v>
      </c>
      <c r="AM21" s="1">
        <v>6.8850968632950204E-4</v>
      </c>
      <c r="AN21" s="1">
        <v>5.3853154607774398E-4</v>
      </c>
      <c r="AO21" s="1">
        <v>4.09978854433379E-4</v>
      </c>
      <c r="AP21" s="1">
        <v>3.32383986503898E-4</v>
      </c>
      <c r="AQ21" s="1">
        <v>2.7177505981271102E-4</v>
      </c>
      <c r="AR21" s="1">
        <v>2.0846382428815901E-4</v>
      </c>
      <c r="AS21" s="1">
        <v>1.75650074168726E-4</v>
      </c>
      <c r="AT21" s="1">
        <v>7.8888115728306001E-4</v>
      </c>
    </row>
    <row r="22" spans="1:46" ht="15.75" customHeight="1" x14ac:dyDescent="0.25">
      <c r="A22" s="1">
        <v>2</v>
      </c>
      <c r="B22" s="1" t="s">
        <v>111</v>
      </c>
      <c r="C22" s="1">
        <v>2006</v>
      </c>
      <c r="D22" s="1">
        <v>1</v>
      </c>
      <c r="E22" s="1">
        <v>8</v>
      </c>
      <c r="F22" s="1">
        <v>0</v>
      </c>
      <c r="G22" s="1">
        <v>0</v>
      </c>
      <c r="H22" s="1">
        <v>0</v>
      </c>
      <c r="I22" s="1">
        <v>0</v>
      </c>
      <c r="J22" s="5">
        <v>4.3555823616632E-5</v>
      </c>
      <c r="K22" s="1">
        <v>1.4351274764530901E-3</v>
      </c>
      <c r="L22" s="1">
        <v>1.6433390780265698E-2</v>
      </c>
      <c r="M22" s="1">
        <v>7.1682402745936305E-2</v>
      </c>
      <c r="N22" s="1">
        <v>0.100058431244733</v>
      </c>
      <c r="O22" s="1">
        <v>0.10453508403136499</v>
      </c>
      <c r="P22" s="1">
        <v>0.104233367673532</v>
      </c>
      <c r="Q22" s="1">
        <v>0.100000479852294</v>
      </c>
      <c r="R22" s="1">
        <v>9.4133731881423294E-2</v>
      </c>
      <c r="S22" s="1">
        <v>9.1995805352715398E-2</v>
      </c>
      <c r="T22" s="1">
        <v>7.9972552448778503E-2</v>
      </c>
      <c r="U22" s="1">
        <v>5.8116166334522698E-2</v>
      </c>
      <c r="V22" s="1">
        <v>4.4311332597805897E-2</v>
      </c>
      <c r="W22" s="1">
        <v>3.2204733041558499E-2</v>
      </c>
      <c r="X22" s="1">
        <v>2.3000353983346201E-2</v>
      </c>
      <c r="Y22" s="1">
        <v>1.7740656076203499E-2</v>
      </c>
      <c r="Z22" s="1">
        <v>1.29338649112439E-2</v>
      </c>
      <c r="AA22" s="1">
        <v>1.0370789249979801E-2</v>
      </c>
      <c r="AB22" s="1">
        <v>7.8791746688188606E-3</v>
      </c>
      <c r="AC22" s="1">
        <v>6.3553114296756204E-3</v>
      </c>
      <c r="AD22" s="1">
        <v>5.1159636892077901E-3</v>
      </c>
      <c r="AE22" s="1">
        <v>4.0854624318102202E-3</v>
      </c>
      <c r="AF22" s="1">
        <v>3.3772004457458698E-3</v>
      </c>
      <c r="AG22" s="1">
        <v>2.6203626428344998E-3</v>
      </c>
      <c r="AH22" s="1">
        <v>1.8665516005473299E-3</v>
      </c>
      <c r="AI22" s="1">
        <v>1.3952628243294001E-3</v>
      </c>
      <c r="AJ22" s="1">
        <v>9.7668397703057808E-4</v>
      </c>
      <c r="AK22" s="1">
        <v>7.2287902517637298E-4</v>
      </c>
      <c r="AL22" s="1">
        <v>5.5515219253741098E-4</v>
      </c>
      <c r="AM22" s="1">
        <v>3.9864652123697102E-4</v>
      </c>
      <c r="AN22" s="1">
        <v>3.12125461442576E-4</v>
      </c>
      <c r="AO22" s="1">
        <v>2.3549674124924701E-4</v>
      </c>
      <c r="AP22" s="1">
        <v>1.7695476137129999E-4</v>
      </c>
      <c r="AQ22" s="1">
        <v>1.4572745054107001E-4</v>
      </c>
      <c r="AR22" s="1">
        <v>1.12063966525504E-4</v>
      </c>
      <c r="AS22" s="5">
        <v>9.5675165096873003E-5</v>
      </c>
      <c r="AT22" s="1">
        <v>3.7147949904896998E-4</v>
      </c>
    </row>
    <row r="23" spans="1:46" ht="15.75" customHeight="1" x14ac:dyDescent="0.25">
      <c r="A23" s="1">
        <v>2</v>
      </c>
      <c r="B23" s="1" t="s">
        <v>111</v>
      </c>
      <c r="C23" s="1">
        <v>2007</v>
      </c>
      <c r="D23" s="1">
        <v>1</v>
      </c>
      <c r="E23" s="1">
        <v>18</v>
      </c>
      <c r="F23" s="1">
        <v>0</v>
      </c>
      <c r="G23" s="1">
        <v>0</v>
      </c>
      <c r="H23" s="1">
        <v>0</v>
      </c>
      <c r="I23" s="1">
        <v>0</v>
      </c>
      <c r="J23" s="5">
        <v>6.2042278838398605E-5</v>
      </c>
      <c r="K23" s="1">
        <v>2.0163740622479499E-3</v>
      </c>
      <c r="L23" s="1">
        <v>2.3418835525918801E-2</v>
      </c>
      <c r="M23" s="1">
        <v>9.4404551353584096E-2</v>
      </c>
      <c r="N23" s="1">
        <v>0.12926551290691901</v>
      </c>
      <c r="O23" s="1">
        <v>9.6527162194664895E-2</v>
      </c>
      <c r="P23" s="1">
        <v>0.100030851160573</v>
      </c>
      <c r="Q23" s="1">
        <v>9.7122088156128994E-2</v>
      </c>
      <c r="R23" s="1">
        <v>0.10560998183776001</v>
      </c>
      <c r="S23" s="1">
        <v>8.0955187626899794E-2</v>
      </c>
      <c r="T23" s="1">
        <v>7.1891490603994301E-2</v>
      </c>
      <c r="U23" s="1">
        <v>4.74068877128241E-2</v>
      </c>
      <c r="V23" s="1">
        <v>4.4069353069010601E-2</v>
      </c>
      <c r="W23" s="1">
        <v>3.1215765198021099E-2</v>
      </c>
      <c r="X23" s="1">
        <v>2.28500438120476E-2</v>
      </c>
      <c r="Y23" s="1">
        <v>1.3458500089663801E-2</v>
      </c>
      <c r="Z23" s="1">
        <v>1.0809592246245E-2</v>
      </c>
      <c r="AA23" s="1">
        <v>9.5613100949586798E-3</v>
      </c>
      <c r="AB23" s="1">
        <v>5.3468970786585603E-3</v>
      </c>
      <c r="AC23" s="1">
        <v>3.9775049995028101E-3</v>
      </c>
      <c r="AD23" s="1">
        <v>3.0188243073149502E-3</v>
      </c>
      <c r="AE23" s="1">
        <v>1.95135715360223E-3</v>
      </c>
      <c r="AF23" s="1">
        <v>1.6063000959530599E-3</v>
      </c>
      <c r="AG23" s="1">
        <v>8.9493862488813295E-4</v>
      </c>
      <c r="AH23" s="1">
        <v>6.1192384607735596E-4</v>
      </c>
      <c r="AI23" s="1">
        <v>6.1001158405836399E-4</v>
      </c>
      <c r="AJ23" s="1">
        <v>3.2402217544026598E-4</v>
      </c>
      <c r="AK23" s="1">
        <v>2.2437207689503E-4</v>
      </c>
      <c r="AL23" s="1">
        <v>1.90376307668511E-4</v>
      </c>
      <c r="AM23" s="1">
        <v>1.2238476921547101E-4</v>
      </c>
      <c r="AN23" s="5">
        <v>6.5016908645718999E-5</v>
      </c>
      <c r="AO23" s="5">
        <v>7.7340374990332393E-5</v>
      </c>
      <c r="AP23" s="5">
        <v>5.8430228358080798E-5</v>
      </c>
      <c r="AQ23" s="5">
        <v>4.5894288455801703E-5</v>
      </c>
      <c r="AR23" s="5">
        <v>4.46194471098072E-5</v>
      </c>
      <c r="AS23" s="5">
        <v>3.6970399033840198E-5</v>
      </c>
      <c r="AT23" s="1">
        <v>1.17285403831493E-4</v>
      </c>
    </row>
    <row r="24" spans="1:46" ht="15.75" customHeight="1" x14ac:dyDescent="0.25">
      <c r="A24" s="1">
        <v>2</v>
      </c>
      <c r="B24" s="1" t="s">
        <v>111</v>
      </c>
      <c r="C24" s="1">
        <v>2008</v>
      </c>
      <c r="D24" s="1">
        <v>1</v>
      </c>
      <c r="E24" s="1">
        <v>16</v>
      </c>
      <c r="F24" s="1">
        <v>0</v>
      </c>
      <c r="G24" s="1">
        <v>0</v>
      </c>
      <c r="H24" s="1">
        <v>0</v>
      </c>
      <c r="I24" s="1">
        <v>0</v>
      </c>
      <c r="J24" s="5">
        <v>3.43081443941709E-5</v>
      </c>
      <c r="K24" s="1">
        <v>1.1126965749460799E-3</v>
      </c>
      <c r="L24" s="1">
        <v>1.39394222485303E-2</v>
      </c>
      <c r="M24" s="1">
        <v>6.4379232955661697E-2</v>
      </c>
      <c r="N24" s="1">
        <v>8.7694398812938196E-2</v>
      </c>
      <c r="O24" s="1">
        <v>8.4838709415696406E-2</v>
      </c>
      <c r="P24" s="1">
        <v>9.5841424047621596E-2</v>
      </c>
      <c r="Q24" s="1">
        <v>9.1420657374182104E-2</v>
      </c>
      <c r="R24" s="1">
        <v>8.5927993000211297E-2</v>
      </c>
      <c r="S24" s="1">
        <v>9.3592617907298198E-2</v>
      </c>
      <c r="T24" s="1">
        <v>9.1341261837323995E-2</v>
      </c>
      <c r="U24" s="1">
        <v>8.0724397923939997E-2</v>
      </c>
      <c r="V24" s="1">
        <v>5.8020635653417703E-2</v>
      </c>
      <c r="W24" s="1">
        <v>4.0478046902246899E-2</v>
      </c>
      <c r="X24" s="1">
        <v>2.99555303859469E-2</v>
      </c>
      <c r="Y24" s="1">
        <v>2.23540741906668E-2</v>
      </c>
      <c r="Z24" s="1">
        <v>1.6500594771091101E-2</v>
      </c>
      <c r="AA24" s="1">
        <v>1.2035204328760599E-2</v>
      </c>
      <c r="AB24" s="1">
        <v>8.7805668470432793E-3</v>
      </c>
      <c r="AC24" s="1">
        <v>6.4348633799850702E-3</v>
      </c>
      <c r="AD24" s="1">
        <v>4.1670486731730802E-3</v>
      </c>
      <c r="AE24" s="1">
        <v>2.8413170664821101E-3</v>
      </c>
      <c r="AF24" s="1">
        <v>1.9423509586402601E-3</v>
      </c>
      <c r="AG24" s="1">
        <v>1.4228607452123E-3</v>
      </c>
      <c r="AH24" s="1">
        <v>1.1266052821329101E-3</v>
      </c>
      <c r="AI24" s="1">
        <v>7.7598995513166998E-4</v>
      </c>
      <c r="AJ24" s="1">
        <v>6.0247883297601503E-4</v>
      </c>
      <c r="AK24" s="1">
        <v>4.3766065281212601E-4</v>
      </c>
      <c r="AL24" s="1">
        <v>2.9324190985558201E-4</v>
      </c>
      <c r="AM24" s="1">
        <v>2.1280321995843901E-4</v>
      </c>
      <c r="AN24" s="1">
        <v>1.6273187408586499E-4</v>
      </c>
      <c r="AO24" s="1">
        <v>1.1590589322355E-4</v>
      </c>
      <c r="AP24" s="5">
        <v>9.8288197453570697E-5</v>
      </c>
      <c r="AQ24" s="5">
        <v>7.5107018808860595E-5</v>
      </c>
      <c r="AR24" s="5">
        <v>6.7225418069659194E-5</v>
      </c>
      <c r="AS24" s="5">
        <v>5.1462216591256401E-5</v>
      </c>
      <c r="AT24" s="1">
        <v>2.0028538349029499E-4</v>
      </c>
    </row>
    <row r="25" spans="1:46" ht="15.75" customHeight="1" x14ac:dyDescent="0.25">
      <c r="A25" s="1">
        <v>2</v>
      </c>
      <c r="B25" s="1" t="s">
        <v>111</v>
      </c>
      <c r="C25" s="1">
        <v>2009</v>
      </c>
      <c r="D25" s="1">
        <v>1</v>
      </c>
      <c r="E25" s="1">
        <v>24</v>
      </c>
      <c r="F25" s="1">
        <v>0</v>
      </c>
      <c r="G25" s="1">
        <v>0</v>
      </c>
      <c r="H25" s="1">
        <v>0</v>
      </c>
      <c r="I25" s="1">
        <v>0</v>
      </c>
      <c r="J25" s="5">
        <v>2.3750271377299601E-5</v>
      </c>
      <c r="K25" s="1">
        <v>1.0949484086252501E-3</v>
      </c>
      <c r="L25" s="1">
        <v>1.38467127036243E-2</v>
      </c>
      <c r="M25" s="1">
        <v>7.2731146217530795E-2</v>
      </c>
      <c r="N25" s="1">
        <v>0.10012343036334199</v>
      </c>
      <c r="O25" s="1">
        <v>9.4369876373747705E-2</v>
      </c>
      <c r="P25" s="1">
        <v>9.4462746024646105E-2</v>
      </c>
      <c r="Q25" s="1">
        <v>9.2483962730749394E-2</v>
      </c>
      <c r="R25" s="1">
        <v>9.3255034575421794E-2</v>
      </c>
      <c r="S25" s="1">
        <v>8.4731021579354499E-2</v>
      </c>
      <c r="T25" s="1">
        <v>7.7462423569038596E-2</v>
      </c>
      <c r="U25" s="1">
        <v>7.2126935253816804E-2</v>
      </c>
      <c r="V25" s="1">
        <v>5.6472055522044699E-2</v>
      </c>
      <c r="W25" s="1">
        <v>4.0441738808116003E-2</v>
      </c>
      <c r="X25" s="1">
        <v>3.0655713528692501E-2</v>
      </c>
      <c r="Y25" s="1">
        <v>2.3351997595741799E-2</v>
      </c>
      <c r="Z25" s="1">
        <v>1.7703086895848701E-2</v>
      </c>
      <c r="AA25" s="1">
        <v>1.1562322285295801E-2</v>
      </c>
      <c r="AB25" s="1">
        <v>7.9395939251677705E-3</v>
      </c>
      <c r="AC25" s="1">
        <v>4.9834971137838E-3</v>
      </c>
      <c r="AD25" s="1">
        <v>3.3557915493489499E-3</v>
      </c>
      <c r="AE25" s="1">
        <v>2.3453900469514498E-3</v>
      </c>
      <c r="AF25" s="1">
        <v>1.4469396100631701E-3</v>
      </c>
      <c r="AG25" s="1">
        <v>9.2362166467276096E-4</v>
      </c>
      <c r="AH25" s="1">
        <v>5.9091487161811102E-4</v>
      </c>
      <c r="AI25" s="1">
        <v>4.0598754491110399E-4</v>
      </c>
      <c r="AJ25" s="1">
        <v>2.8774367245574498E-4</v>
      </c>
      <c r="AK25" s="1">
        <v>2.1192549844359601E-4</v>
      </c>
      <c r="AL25" s="1">
        <v>1.44937553533264E-4</v>
      </c>
      <c r="AM25" s="1">
        <v>1.06876221197848E-4</v>
      </c>
      <c r="AN25" s="5">
        <v>7.5107695808554204E-5</v>
      </c>
      <c r="AO25" s="5">
        <v>5.6127778083960103E-5</v>
      </c>
      <c r="AP25" s="5">
        <v>5.1763411976165698E-5</v>
      </c>
      <c r="AQ25" s="5">
        <v>3.2479003592888301E-5</v>
      </c>
      <c r="AR25" s="5">
        <v>3.1261040958154997E-5</v>
      </c>
      <c r="AS25" s="5">
        <v>2.4663743353349501E-5</v>
      </c>
      <c r="AT25" s="5">
        <v>8.6475347066065098E-5</v>
      </c>
    </row>
    <row r="26" spans="1:46" ht="15.75" customHeight="1" x14ac:dyDescent="0.25">
      <c r="A26" s="1">
        <v>2</v>
      </c>
      <c r="B26" s="1" t="s">
        <v>111</v>
      </c>
      <c r="C26" s="1">
        <v>2010</v>
      </c>
      <c r="D26" s="1">
        <v>1</v>
      </c>
      <c r="E26" s="1">
        <v>28</v>
      </c>
      <c r="F26" s="1">
        <v>0</v>
      </c>
      <c r="G26" s="1">
        <v>0</v>
      </c>
      <c r="H26" s="1">
        <v>0</v>
      </c>
      <c r="I26" s="1">
        <v>0</v>
      </c>
      <c r="J26" s="5">
        <v>5.8495698207484201E-5</v>
      </c>
      <c r="K26" s="1">
        <v>1.83695361951567E-3</v>
      </c>
      <c r="L26" s="1">
        <v>1.8813914805732999E-2</v>
      </c>
      <c r="M26" s="1">
        <v>8.1132118195275604E-2</v>
      </c>
      <c r="N26" s="1">
        <v>0.10246983933496</v>
      </c>
      <c r="O26" s="1">
        <v>0.104499026801408</v>
      </c>
      <c r="P26" s="1">
        <v>8.7625848305558807E-2</v>
      </c>
      <c r="Q26" s="1">
        <v>8.7548483027284393E-2</v>
      </c>
      <c r="R26" s="1">
        <v>7.4978276395947896E-2</v>
      </c>
      <c r="S26" s="1">
        <v>5.3537716044898299E-2</v>
      </c>
      <c r="T26" s="1">
        <v>5.8729681000314199E-2</v>
      </c>
      <c r="U26" s="1">
        <v>6.27592798236071E-2</v>
      </c>
      <c r="V26" s="1">
        <v>6.5393001461448996E-2</v>
      </c>
      <c r="W26" s="1">
        <v>6.0327226822730701E-2</v>
      </c>
      <c r="X26" s="1">
        <v>3.9961053186741799E-2</v>
      </c>
      <c r="Y26" s="1">
        <v>3.3274381620274199E-2</v>
      </c>
      <c r="Z26" s="1">
        <v>2.3878274225946201E-2</v>
      </c>
      <c r="AA26" s="1">
        <v>1.62023649244698E-2</v>
      </c>
      <c r="AB26" s="1">
        <v>9.52276945052726E-3</v>
      </c>
      <c r="AC26" s="1">
        <v>6.6845487387100899E-3</v>
      </c>
      <c r="AD26" s="1">
        <v>3.5981930490127899E-3</v>
      </c>
      <c r="AE26" s="1">
        <v>2.3775670884332301E-3</v>
      </c>
      <c r="AF26" s="1">
        <v>1.50579248934105E-3</v>
      </c>
      <c r="AG26" s="1">
        <v>1.05858344175479E-3</v>
      </c>
      <c r="AH26" s="1">
        <v>7.3591362261028498E-4</v>
      </c>
      <c r="AI26" s="1">
        <v>4.1607424047581499E-4</v>
      </c>
      <c r="AJ26" s="1">
        <v>2.7360891097049099E-4</v>
      </c>
      <c r="AK26" s="1">
        <v>2.1700017076969999E-4</v>
      </c>
      <c r="AL26" s="1">
        <v>1.81619708144205E-4</v>
      </c>
      <c r="AM26" s="1">
        <v>1.0614138787648301E-4</v>
      </c>
      <c r="AN26" s="5">
        <v>5.9439177210830799E-5</v>
      </c>
      <c r="AO26" s="5">
        <v>4.5286992160633002E-5</v>
      </c>
      <c r="AP26" s="5">
        <v>3.5852202127167802E-5</v>
      </c>
      <c r="AQ26" s="5">
        <v>2.40587145853363E-5</v>
      </c>
      <c r="AR26" s="5">
        <v>2.9011979352905498E-5</v>
      </c>
      <c r="AS26" s="5">
        <v>1.5567403555217599E-5</v>
      </c>
      <c r="AT26" s="5">
        <v>8.7035938058716502E-5</v>
      </c>
    </row>
    <row r="27" spans="1:46" ht="15.75" customHeight="1" x14ac:dyDescent="0.25">
      <c r="A27" s="1">
        <v>2</v>
      </c>
      <c r="B27" s="1" t="s">
        <v>111</v>
      </c>
      <c r="C27" s="1">
        <v>2011</v>
      </c>
      <c r="D27" s="1">
        <v>1</v>
      </c>
      <c r="E27" s="1">
        <v>3</v>
      </c>
      <c r="F27" s="1">
        <v>0</v>
      </c>
      <c r="G27" s="1">
        <v>0</v>
      </c>
      <c r="H27" s="1">
        <v>0</v>
      </c>
      <c r="I27" s="1">
        <v>0</v>
      </c>
      <c r="J27" s="5">
        <v>3.32687784611879E-5</v>
      </c>
      <c r="K27" s="1">
        <v>1.3189283494075899E-3</v>
      </c>
      <c r="L27" s="1">
        <v>1.61740336542564E-2</v>
      </c>
      <c r="M27" s="1">
        <v>7.5596379513727802E-2</v>
      </c>
      <c r="N27" s="1">
        <v>9.5224958805828694E-2</v>
      </c>
      <c r="O27" s="1">
        <v>8.2097447093248205E-2</v>
      </c>
      <c r="P27" s="1">
        <v>7.9908398130313002E-2</v>
      </c>
      <c r="Q27" s="1">
        <v>8.5240384337792297E-2</v>
      </c>
      <c r="R27" s="1">
        <v>8.5549701492906693E-2</v>
      </c>
      <c r="S27" s="1">
        <v>9.0197982225673906E-2</v>
      </c>
      <c r="T27" s="1">
        <v>7.6273486222463993E-2</v>
      </c>
      <c r="U27" s="1">
        <v>6.4493772460435098E-2</v>
      </c>
      <c r="V27" s="1">
        <v>5.2947398395271801E-2</v>
      </c>
      <c r="W27" s="1">
        <v>4.86200743076039E-2</v>
      </c>
      <c r="X27" s="1">
        <v>4.3585490816671499E-2</v>
      </c>
      <c r="Y27" s="1">
        <v>3.4578358558796499E-2</v>
      </c>
      <c r="Z27" s="1">
        <v>2.2968654670171201E-2</v>
      </c>
      <c r="AA27" s="1">
        <v>1.6775437853326101E-2</v>
      </c>
      <c r="AB27" s="1">
        <v>1.0949552342465699E-2</v>
      </c>
      <c r="AC27" s="1">
        <v>6.6971975682447596E-3</v>
      </c>
      <c r="AD27" s="1">
        <v>4.29497180448113E-3</v>
      </c>
      <c r="AE27" s="1">
        <v>2.3299142866124501E-3</v>
      </c>
      <c r="AF27" s="1">
        <v>1.3791420889365199E-3</v>
      </c>
      <c r="AG27" s="1">
        <v>9.3189239502302799E-4</v>
      </c>
      <c r="AH27" s="1">
        <v>5.6346129470904495E-4</v>
      </c>
      <c r="AI27" s="1">
        <v>4.05824107510028E-4</v>
      </c>
      <c r="AJ27" s="1">
        <v>2.5075310707936701E-4</v>
      </c>
      <c r="AK27" s="1">
        <v>1.5250481366230499E-4</v>
      </c>
      <c r="AL27" s="1">
        <v>1.09887783402106E-4</v>
      </c>
      <c r="AM27" s="5">
        <v>7.5519210611622197E-5</v>
      </c>
      <c r="AN27" s="5">
        <v>5.6089510794068898E-5</v>
      </c>
      <c r="AO27" s="5">
        <v>4.0325792074167198E-5</v>
      </c>
      <c r="AP27" s="5">
        <v>2.9419498308653801E-5</v>
      </c>
      <c r="AQ27" s="5">
        <v>2.9694446890977702E-5</v>
      </c>
      <c r="AR27" s="5">
        <v>2.0529494146848798E-5</v>
      </c>
      <c r="AS27" s="5">
        <v>2.2179185640792E-5</v>
      </c>
      <c r="AT27" s="5">
        <v>7.6985603050682804E-5</v>
      </c>
    </row>
    <row r="28" spans="1:46" ht="15.75" customHeight="1" x14ac:dyDescent="0.25">
      <c r="A28" s="1">
        <v>2</v>
      </c>
      <c r="B28" s="1" t="s">
        <v>111</v>
      </c>
      <c r="C28" s="1">
        <v>2012</v>
      </c>
      <c r="D28" s="1">
        <v>1</v>
      </c>
      <c r="E28" s="1">
        <v>9</v>
      </c>
      <c r="F28" s="1">
        <v>0</v>
      </c>
      <c r="G28" s="1">
        <v>0</v>
      </c>
      <c r="H28" s="1">
        <v>0</v>
      </c>
      <c r="I28" s="1">
        <v>0</v>
      </c>
      <c r="J28" s="5">
        <v>3.2776249153280201E-5</v>
      </c>
      <c r="K28" s="1">
        <v>1.26850387348032E-3</v>
      </c>
      <c r="L28" s="1">
        <v>1.4276262599946601E-2</v>
      </c>
      <c r="M28" s="1">
        <v>6.7285857636782007E-2</v>
      </c>
      <c r="N28" s="1">
        <v>8.2893445254419301E-2</v>
      </c>
      <c r="O28" s="1">
        <v>8.6054357308179105E-2</v>
      </c>
      <c r="P28" s="1">
        <v>8.5606940496820702E-2</v>
      </c>
      <c r="Q28" s="1">
        <v>8.6794029007820905E-2</v>
      </c>
      <c r="R28" s="1">
        <v>8.5326031233244198E-2</v>
      </c>
      <c r="S28" s="1">
        <v>8.5123700925971102E-2</v>
      </c>
      <c r="T28" s="1">
        <v>8.1402020865864497E-2</v>
      </c>
      <c r="U28" s="1">
        <v>7.0733877026874906E-2</v>
      </c>
      <c r="V28" s="1">
        <v>5.9211554720368202E-2</v>
      </c>
      <c r="W28" s="1">
        <v>4.8084858549474502E-2</v>
      </c>
      <c r="X28" s="1">
        <v>4.4195725472860402E-2</v>
      </c>
      <c r="Y28" s="1">
        <v>3.3078799145464403E-2</v>
      </c>
      <c r="Z28" s="1">
        <v>2.7169829714779398E-2</v>
      </c>
      <c r="AA28" s="1">
        <v>1.83105776519767E-2</v>
      </c>
      <c r="AB28" s="1">
        <v>1.0722455764669901E-2</v>
      </c>
      <c r="AC28" s="1">
        <v>5.7648379760750204E-3</v>
      </c>
      <c r="AD28" s="1">
        <v>2.9120436747722099E-3</v>
      </c>
      <c r="AE28" s="1">
        <v>1.4039160053988401E-3</v>
      </c>
      <c r="AF28" s="1">
        <v>8.1121216654368603E-4</v>
      </c>
      <c r="AG28" s="1">
        <v>5.3408477786947705E-4</v>
      </c>
      <c r="AH28" s="1">
        <v>3.09903637827489E-4</v>
      </c>
      <c r="AI28" s="1">
        <v>2.1850832768853499E-4</v>
      </c>
      <c r="AJ28" s="1">
        <v>1.4780827743162E-4</v>
      </c>
      <c r="AK28" s="5">
        <v>9.2655935106388305E-5</v>
      </c>
      <c r="AL28" s="5">
        <v>6.40817691778876E-5</v>
      </c>
      <c r="AM28" s="5">
        <v>3.8238957345493599E-5</v>
      </c>
      <c r="AN28" s="5">
        <v>3.2566144992041302E-5</v>
      </c>
      <c r="AO28" s="5">
        <v>2.39518743812432E-5</v>
      </c>
      <c r="AP28" s="5">
        <v>1.9539686995224801E-5</v>
      </c>
      <c r="AQ28" s="5">
        <v>1.3026457996816499E-5</v>
      </c>
      <c r="AR28" s="5">
        <v>1.26062496743386E-5</v>
      </c>
      <c r="AS28" s="5">
        <v>5.77786443407184E-6</v>
      </c>
      <c r="AT28" s="5">
        <v>2.36367181393848E-5</v>
      </c>
    </row>
    <row r="29" spans="1:46" ht="15.75" customHeight="1" x14ac:dyDescent="0.25">
      <c r="A29" s="1">
        <v>2</v>
      </c>
      <c r="B29" s="1" t="s">
        <v>111</v>
      </c>
      <c r="C29" s="1">
        <v>2013</v>
      </c>
      <c r="D29" s="1">
        <v>1</v>
      </c>
      <c r="E29" s="1">
        <v>8</v>
      </c>
      <c r="F29" s="1">
        <v>0</v>
      </c>
      <c r="G29" s="1">
        <v>0</v>
      </c>
      <c r="H29" s="1">
        <v>0</v>
      </c>
      <c r="I29" s="1">
        <v>0</v>
      </c>
      <c r="J29" s="5">
        <v>3.66652181642207E-5</v>
      </c>
      <c r="K29" s="1">
        <v>1.2932822407015999E-3</v>
      </c>
      <c r="L29" s="1">
        <v>1.5464944594781401E-2</v>
      </c>
      <c r="M29" s="1">
        <v>7.4500143204219105E-2</v>
      </c>
      <c r="N29" s="1">
        <v>0.101851531791337</v>
      </c>
      <c r="O29" s="1">
        <v>8.9684605052639907E-2</v>
      </c>
      <c r="P29" s="1">
        <v>8.5087255812116E-2</v>
      </c>
      <c r="Q29" s="1">
        <v>8.1404191439350501E-2</v>
      </c>
      <c r="R29" s="1">
        <v>8.3475097280107394E-2</v>
      </c>
      <c r="S29" s="1">
        <v>8.3107827838900195E-2</v>
      </c>
      <c r="T29" s="1">
        <v>6.9015791968712298E-2</v>
      </c>
      <c r="U29" s="1">
        <v>5.6619244671815401E-2</v>
      </c>
      <c r="V29" s="1">
        <v>5.1158472751693697E-2</v>
      </c>
      <c r="W29" s="1">
        <v>4.73877575206905E-2</v>
      </c>
      <c r="X29" s="1">
        <v>4.0402724830624001E-2</v>
      </c>
      <c r="Y29" s="1">
        <v>3.5325024196574899E-2</v>
      </c>
      <c r="Z29" s="1">
        <v>2.8604055148438601E-2</v>
      </c>
      <c r="AA29" s="1">
        <v>2.1012009402097701E-2</v>
      </c>
      <c r="AB29" s="1">
        <v>1.32294773539811E-2</v>
      </c>
      <c r="AC29" s="1">
        <v>8.7724929385505704E-3</v>
      </c>
      <c r="AD29" s="1">
        <v>5.3080619037272599E-3</v>
      </c>
      <c r="AE29" s="1">
        <v>3.1398759555178101E-3</v>
      </c>
      <c r="AF29" s="1">
        <v>1.7314130799770901E-3</v>
      </c>
      <c r="AG29" s="1">
        <v>8.5823769925138702E-4</v>
      </c>
      <c r="AH29" s="1">
        <v>4.9998024769391802E-4</v>
      </c>
      <c r="AI29" s="1">
        <v>3.03691706006676E-4</v>
      </c>
      <c r="AJ29" s="1">
        <v>1.94683666818101E-4</v>
      </c>
      <c r="AK29" s="1">
        <v>1.4122898848440601E-4</v>
      </c>
      <c r="AL29" s="1">
        <v>1.0777352005846699E-4</v>
      </c>
      <c r="AM29" s="5">
        <v>6.9626878938116002E-5</v>
      </c>
      <c r="AN29" s="5">
        <v>4.8393149900250899E-5</v>
      </c>
      <c r="AO29" s="5">
        <v>3.5554150947123099E-5</v>
      </c>
      <c r="AP29" s="5">
        <v>2.61718055582989E-5</v>
      </c>
      <c r="AQ29" s="5">
        <v>2.86408438185158E-5</v>
      </c>
      <c r="AR29" s="5">
        <v>1.33328066051712E-5</v>
      </c>
      <c r="AS29" s="5">
        <v>1.2345191301084401E-5</v>
      </c>
      <c r="AT29" s="5">
        <v>4.8393149900250899E-5</v>
      </c>
    </row>
    <row r="30" spans="1:46" ht="15.75" customHeight="1" x14ac:dyDescent="0.25">
      <c r="A30" s="1">
        <v>2</v>
      </c>
      <c r="B30" s="1" t="s">
        <v>111</v>
      </c>
      <c r="C30" s="1">
        <v>2014</v>
      </c>
      <c r="D30" s="1">
        <v>1</v>
      </c>
      <c r="E30" s="1">
        <v>16</v>
      </c>
      <c r="F30" s="1">
        <v>0</v>
      </c>
      <c r="G30" s="1">
        <v>0</v>
      </c>
      <c r="H30" s="1">
        <v>0</v>
      </c>
      <c r="I30" s="1">
        <v>0</v>
      </c>
      <c r="J30" s="5">
        <v>3.0414303644241899E-5</v>
      </c>
      <c r="K30" s="1">
        <v>1.2176986014601999E-3</v>
      </c>
      <c r="L30" s="1">
        <v>1.54099138464159E-2</v>
      </c>
      <c r="M30" s="1">
        <v>6.9027965614264206E-2</v>
      </c>
      <c r="N30" s="1">
        <v>9.8495032668341503E-2</v>
      </c>
      <c r="O30" s="1">
        <v>9.0761689061732306E-2</v>
      </c>
      <c r="P30" s="1">
        <v>9.4282989550321203E-2</v>
      </c>
      <c r="Q30" s="1">
        <v>9.0719784910044607E-2</v>
      </c>
      <c r="R30" s="1">
        <v>8.4506705903371296E-2</v>
      </c>
      <c r="S30" s="1">
        <v>8.1109315540740398E-2</v>
      </c>
      <c r="T30" s="1">
        <v>7.1755452777738399E-2</v>
      </c>
      <c r="U30" s="1">
        <v>5.8934359399292702E-2</v>
      </c>
      <c r="V30" s="1">
        <v>5.0252314810121199E-2</v>
      </c>
      <c r="W30" s="1">
        <v>4.2870087442249398E-2</v>
      </c>
      <c r="X30" s="1">
        <v>3.7877748467400697E-2</v>
      </c>
      <c r="Y30" s="1">
        <v>3.0603548200250501E-2</v>
      </c>
      <c r="Z30" s="1">
        <v>2.6876331611433199E-2</v>
      </c>
      <c r="AA30" s="1">
        <v>1.9267010776350998E-2</v>
      </c>
      <c r="AB30" s="1">
        <v>1.3335996274585701E-2</v>
      </c>
      <c r="AC30" s="1">
        <v>9.6388560527055096E-3</v>
      </c>
      <c r="AD30" s="1">
        <v>6.4102087525156597E-3</v>
      </c>
      <c r="AE30" s="1">
        <v>3.0110160607799401E-3</v>
      </c>
      <c r="AF30" s="1">
        <v>1.4634912331332999E-3</v>
      </c>
      <c r="AG30" s="1">
        <v>7.9279951499323801E-4</v>
      </c>
      <c r="AH30" s="1">
        <v>4.7164699762385401E-4</v>
      </c>
      <c r="AI30" s="1">
        <v>3.00763669370836E-4</v>
      </c>
      <c r="AJ30" s="1">
        <v>1.885686825943E-4</v>
      </c>
      <c r="AK30" s="1">
        <v>1.20305467748334E-4</v>
      </c>
      <c r="AL30" s="5">
        <v>7.1191999641336494E-5</v>
      </c>
      <c r="AM30" s="5">
        <v>4.6184683311626503E-5</v>
      </c>
      <c r="AN30" s="5">
        <v>4.01018225827782E-5</v>
      </c>
      <c r="AO30" s="5">
        <v>2.6696999865501199E-5</v>
      </c>
      <c r="AP30" s="5">
        <v>1.7572708772228598E-5</v>
      </c>
      <c r="AQ30" s="5">
        <v>1.8023291048439601E-5</v>
      </c>
      <c r="AR30" s="5">
        <v>8.8989999551670703E-6</v>
      </c>
      <c r="AS30" s="5">
        <v>8.6737088170615706E-6</v>
      </c>
      <c r="AT30" s="5">
        <v>3.06395947823474E-5</v>
      </c>
    </row>
    <row r="31" spans="1:46" ht="15.75" customHeight="1" x14ac:dyDescent="0.25">
      <c r="A31" s="1">
        <v>2</v>
      </c>
      <c r="B31" s="1" t="s">
        <v>111</v>
      </c>
      <c r="C31" s="1">
        <v>2015</v>
      </c>
      <c r="D31" s="1">
        <v>1</v>
      </c>
      <c r="E31" s="1">
        <v>15</v>
      </c>
      <c r="F31" s="1">
        <v>0</v>
      </c>
      <c r="G31" s="1">
        <v>0</v>
      </c>
      <c r="H31" s="1">
        <v>0</v>
      </c>
      <c r="I31" s="1">
        <v>0</v>
      </c>
      <c r="J31" s="5">
        <v>4.0944731436682401E-5</v>
      </c>
      <c r="K31" s="1">
        <v>1.31561887063656E-3</v>
      </c>
      <c r="L31" s="1">
        <v>1.79414545412316E-2</v>
      </c>
      <c r="M31" s="1">
        <v>8.6087854224304997E-2</v>
      </c>
      <c r="N31" s="1">
        <v>0.105433401778079</v>
      </c>
      <c r="O31" s="1">
        <v>9.0619310612838497E-2</v>
      </c>
      <c r="P31" s="1">
        <v>8.2363559763684202E-2</v>
      </c>
      <c r="Q31" s="1">
        <v>7.5223373264024201E-2</v>
      </c>
      <c r="R31" s="1">
        <v>6.8844615103362095E-2</v>
      </c>
      <c r="S31" s="1">
        <v>6.7898576308588199E-2</v>
      </c>
      <c r="T31" s="1">
        <v>7.1692189481202706E-2</v>
      </c>
      <c r="U31" s="1">
        <v>6.3378014570817195E-2</v>
      </c>
      <c r="V31" s="1">
        <v>5.7513699424726498E-2</v>
      </c>
      <c r="W31" s="1">
        <v>4.67162624691373E-2</v>
      </c>
      <c r="X31" s="1">
        <v>3.60450119080927E-2</v>
      </c>
      <c r="Y31" s="1">
        <v>3.59202621707915E-2</v>
      </c>
      <c r="Z31" s="1">
        <v>3.0641025687072301E-2</v>
      </c>
      <c r="AA31" s="1">
        <v>2.31732813359188E-2</v>
      </c>
      <c r="AB31" s="1">
        <v>1.53364357946504E-2</v>
      </c>
      <c r="AC31" s="1">
        <v>1.21584302508296E-2</v>
      </c>
      <c r="AD31" s="1">
        <v>6.1259064858250403E-3</v>
      </c>
      <c r="AE31" s="1">
        <v>2.8338064125914401E-3</v>
      </c>
      <c r="AF31" s="1">
        <v>1.48837690415449E-3</v>
      </c>
      <c r="AG31" s="1">
        <v>6.6265815351472805E-4</v>
      </c>
      <c r="AH31" s="1">
        <v>2.51415017593664E-4</v>
      </c>
      <c r="AI31" s="1">
        <v>1.2642583741852799E-4</v>
      </c>
      <c r="AJ31" s="5">
        <v>7.3269519413010601E-5</v>
      </c>
      <c r="AK31" s="5">
        <v>3.4240330967517997E-5</v>
      </c>
      <c r="AL31" s="5">
        <v>1.8437101290202002E-5</v>
      </c>
      <c r="AM31" s="5">
        <v>1.07749293254427E-5</v>
      </c>
      <c r="AN31" s="5">
        <v>6.8241219061137303E-6</v>
      </c>
      <c r="AO31" s="5">
        <v>5.7466289735694604E-6</v>
      </c>
      <c r="AP31" s="5">
        <v>7.1832862169618198E-6</v>
      </c>
      <c r="AQ31" s="5">
        <v>2.5141501759366399E-6</v>
      </c>
      <c r="AR31" s="5">
        <v>2.0352644281391802E-6</v>
      </c>
      <c r="AS31" s="5">
        <v>2.0352644281391802E-6</v>
      </c>
      <c r="AT31" s="5">
        <v>5.0283003518732697E-6</v>
      </c>
    </row>
    <row r="32" spans="1:46" ht="15.75" customHeight="1" x14ac:dyDescent="0.25">
      <c r="A32" s="1">
        <v>2</v>
      </c>
      <c r="B32" s="1" t="s">
        <v>111</v>
      </c>
      <c r="C32" s="1">
        <v>2016</v>
      </c>
      <c r="D32" s="1">
        <v>1</v>
      </c>
      <c r="E32" s="1">
        <v>15</v>
      </c>
      <c r="F32" s="1">
        <v>0</v>
      </c>
      <c r="G32" s="1">
        <v>0</v>
      </c>
      <c r="H32" s="1">
        <v>0</v>
      </c>
      <c r="I32" s="1">
        <v>0</v>
      </c>
      <c r="J32" s="5">
        <v>2.7030814646003301E-5</v>
      </c>
      <c r="K32" s="1">
        <v>8.03764491453033E-4</v>
      </c>
      <c r="L32" s="1">
        <v>1.0035189937328701E-2</v>
      </c>
      <c r="M32" s="1">
        <v>4.7790962987252501E-2</v>
      </c>
      <c r="N32" s="1">
        <v>6.4423441572974596E-2</v>
      </c>
      <c r="O32" s="1">
        <v>5.8173531072323599E-2</v>
      </c>
      <c r="P32" s="1">
        <v>6.1594698999811598E-2</v>
      </c>
      <c r="Q32" s="1">
        <v>6.5680454902866794E-2</v>
      </c>
      <c r="R32" s="1">
        <v>6.2511976823007201E-2</v>
      </c>
      <c r="S32" s="1">
        <v>6.5482952968474201E-2</v>
      </c>
      <c r="T32" s="1">
        <v>6.4673396159596996E-2</v>
      </c>
      <c r="U32" s="1">
        <v>6.6880510444755001E-2</v>
      </c>
      <c r="V32" s="1">
        <v>6.7214212287468197E-2</v>
      </c>
      <c r="W32" s="1">
        <v>6.4990766885128198E-2</v>
      </c>
      <c r="X32" s="1">
        <v>6.10609208594061E-2</v>
      </c>
      <c r="Y32" s="1">
        <v>5.6034878761164898E-2</v>
      </c>
      <c r="Z32" s="1">
        <v>5.1737622823275299E-2</v>
      </c>
      <c r="AA32" s="1">
        <v>4.49712306856382E-2</v>
      </c>
      <c r="AB32" s="1">
        <v>3.2885560380162701E-2</v>
      </c>
      <c r="AC32" s="1">
        <v>2.2424796009865602E-2</v>
      </c>
      <c r="AD32" s="1">
        <v>1.43533625770278E-2</v>
      </c>
      <c r="AE32" s="1">
        <v>8.2469728303306306E-3</v>
      </c>
      <c r="AF32" s="1">
        <v>4.1545396724669698E-3</v>
      </c>
      <c r="AG32" s="1">
        <v>1.9314965143925401E-3</v>
      </c>
      <c r="AH32" s="1">
        <v>8.5155111020221701E-4</v>
      </c>
      <c r="AI32" s="1">
        <v>4.0827792954900799E-4</v>
      </c>
      <c r="AJ32" s="1">
        <v>2.0997150662520399E-4</v>
      </c>
      <c r="AK32" s="1">
        <v>1.3716529455784401E-4</v>
      </c>
      <c r="AL32" s="5">
        <v>9.1228999430261194E-5</v>
      </c>
      <c r="AM32" s="5">
        <v>5.18090614048397E-5</v>
      </c>
      <c r="AN32" s="5">
        <v>4.0063528850326398E-5</v>
      </c>
      <c r="AO32" s="5">
        <v>2.6226326114872299E-5</v>
      </c>
      <c r="AP32" s="5">
        <v>2.5260939877515001E-5</v>
      </c>
      <c r="AQ32" s="5">
        <v>1.31131630574361E-5</v>
      </c>
      <c r="AR32" s="5">
        <v>1.31936119105492E-5</v>
      </c>
      <c r="AS32" s="5">
        <v>1.23891233794182E-5</v>
      </c>
      <c r="AT32" s="5">
        <v>3.5477944222879402E-5</v>
      </c>
    </row>
    <row r="33" spans="1:46" ht="15.75" customHeight="1" x14ac:dyDescent="0.25">
      <c r="A33" s="1">
        <v>2</v>
      </c>
      <c r="B33" s="1" t="s">
        <v>111</v>
      </c>
      <c r="C33" s="1">
        <v>2017</v>
      </c>
      <c r="D33" s="1">
        <v>1</v>
      </c>
      <c r="E33" s="1">
        <v>8</v>
      </c>
      <c r="F33" s="1">
        <v>0</v>
      </c>
      <c r="G33" s="1">
        <v>0</v>
      </c>
      <c r="H33" s="1">
        <v>0</v>
      </c>
      <c r="I33" s="1">
        <v>0</v>
      </c>
      <c r="J33" s="5">
        <v>2.9231182321983101E-5</v>
      </c>
      <c r="K33" s="1">
        <v>9.0616665198147697E-4</v>
      </c>
      <c r="L33" s="1">
        <v>1.18371672812871E-2</v>
      </c>
      <c r="M33" s="1">
        <v>5.19243235312827E-2</v>
      </c>
      <c r="N33" s="1">
        <v>7.4035973006534306E-2</v>
      </c>
      <c r="O33" s="1">
        <v>6.4506259579302005E-2</v>
      </c>
      <c r="P33" s="1">
        <v>6.3341884150142996E-2</v>
      </c>
      <c r="Q33" s="1">
        <v>6.9383134359459198E-2</v>
      </c>
      <c r="R33" s="1">
        <v>7.3793702183527501E-2</v>
      </c>
      <c r="S33" s="1">
        <v>7.58824789545927E-2</v>
      </c>
      <c r="T33" s="1">
        <v>7.5358962398816606E-2</v>
      </c>
      <c r="U33" s="1">
        <v>7.1213284765027904E-2</v>
      </c>
      <c r="V33" s="1">
        <v>6.5733203658240702E-2</v>
      </c>
      <c r="W33" s="1">
        <v>5.84590239374152E-2</v>
      </c>
      <c r="X33" s="1">
        <v>5.4909036040516598E-2</v>
      </c>
      <c r="Y33" s="1">
        <v>4.74172232074987E-2</v>
      </c>
      <c r="Z33" s="1">
        <v>4.1884108384212998E-2</v>
      </c>
      <c r="AA33" s="1">
        <v>3.3816858847770803E-2</v>
      </c>
      <c r="AB33" s="1">
        <v>2.5459385429703201E-2</v>
      </c>
      <c r="AC33" s="1">
        <v>1.7637051442287398E-2</v>
      </c>
      <c r="AD33" s="1">
        <v>1.0649546102376801E-2</v>
      </c>
      <c r="AE33" s="1">
        <v>5.8930063561117999E-3</v>
      </c>
      <c r="AF33" s="1">
        <v>2.9570820821343299E-3</v>
      </c>
      <c r="AG33" s="1">
        <v>1.4907902984211401E-3</v>
      </c>
      <c r="AH33" s="1">
        <v>7.06559435554221E-4</v>
      </c>
      <c r="AI33" s="1">
        <v>3.3817694024408602E-4</v>
      </c>
      <c r="AJ33" s="1">
        <v>1.739255348158E-4</v>
      </c>
      <c r="AK33" s="5">
        <v>8.5744801477817203E-5</v>
      </c>
      <c r="AL33" s="5">
        <v>5.8949551015999302E-5</v>
      </c>
      <c r="AM33" s="5">
        <v>3.1736712235295998E-5</v>
      </c>
      <c r="AN33" s="5">
        <v>2.4220122495357501E-5</v>
      </c>
      <c r="AO33" s="5">
        <v>1.55899639050577E-5</v>
      </c>
      <c r="AP33" s="5">
        <v>8.0733741651191494E-6</v>
      </c>
      <c r="AQ33" s="5">
        <v>7.7949819525288294E-6</v>
      </c>
      <c r="AR33" s="5">
        <v>7.1685994742006196E-6</v>
      </c>
      <c r="AS33" s="5">
        <v>7.4469916867909396E-6</v>
      </c>
      <c r="AT33" s="5">
        <v>1.5729160011352799E-5</v>
      </c>
    </row>
    <row r="34" spans="1:46" ht="15.75" customHeight="1" x14ac:dyDescent="0.25">
      <c r="A34" s="1">
        <v>2</v>
      </c>
      <c r="B34" s="1" t="s">
        <v>111</v>
      </c>
      <c r="C34" s="1">
        <v>2018</v>
      </c>
      <c r="D34" s="1">
        <v>1</v>
      </c>
      <c r="E34" s="1">
        <v>7</v>
      </c>
      <c r="F34" s="1">
        <v>0</v>
      </c>
      <c r="G34" s="1">
        <v>0</v>
      </c>
      <c r="H34" s="1">
        <v>0</v>
      </c>
      <c r="I34" s="1">
        <v>0</v>
      </c>
      <c r="J34" s="5">
        <v>2.0665982823554501E-5</v>
      </c>
      <c r="K34" s="1">
        <v>7.5075640726193999E-4</v>
      </c>
      <c r="L34" s="1">
        <v>1.00873675950931E-2</v>
      </c>
      <c r="M34" s="1">
        <v>4.4094749225832897E-2</v>
      </c>
      <c r="N34" s="1">
        <v>6.3885979745184104E-2</v>
      </c>
      <c r="O34" s="1">
        <v>6.1207797533644102E-2</v>
      </c>
      <c r="P34" s="1">
        <v>5.7692965923731798E-2</v>
      </c>
      <c r="Q34" s="1">
        <v>6.1709485793751302E-2</v>
      </c>
      <c r="R34" s="1">
        <v>6.1278944484927302E-2</v>
      </c>
      <c r="S34" s="1">
        <v>5.8535965806409199E-2</v>
      </c>
      <c r="T34" s="1">
        <v>6.1374739926140599E-2</v>
      </c>
      <c r="U34" s="1">
        <v>6.6036533582760307E-2</v>
      </c>
      <c r="V34" s="1">
        <v>6.7857830954413195E-2</v>
      </c>
      <c r="W34" s="1">
        <v>5.9360667683461703E-2</v>
      </c>
      <c r="X34" s="1">
        <v>5.1437954153808703E-2</v>
      </c>
      <c r="Y34" s="1">
        <v>5.25019293632401E-2</v>
      </c>
      <c r="Z34" s="1">
        <v>5.2471576200968102E-2</v>
      </c>
      <c r="AA34" s="1">
        <v>4.94252811703835E-2</v>
      </c>
      <c r="AB34" s="1">
        <v>4.1167283596483799E-2</v>
      </c>
      <c r="AC34" s="1">
        <v>3.3187092802102802E-2</v>
      </c>
      <c r="AD34" s="1">
        <v>2.20990395699753E-2</v>
      </c>
      <c r="AE34" s="1">
        <v>1.2561688496904901E-2</v>
      </c>
      <c r="AF34" s="1">
        <v>6.2234746190516698E-3</v>
      </c>
      <c r="AG34" s="1">
        <v>2.6616063711502901E-3</v>
      </c>
      <c r="AH34" s="1">
        <v>1.1878634710455599E-3</v>
      </c>
      <c r="AI34" s="1">
        <v>5.2891999789034705E-4</v>
      </c>
      <c r="AJ34" s="1">
        <v>2.5574153744148702E-4</v>
      </c>
      <c r="AK34" s="1">
        <v>1.3303726442663201E-4</v>
      </c>
      <c r="AL34" s="5">
        <v>7.9111965496419503E-5</v>
      </c>
      <c r="AM34" s="5">
        <v>4.69290026618216E-5</v>
      </c>
      <c r="AN34" s="5">
        <v>3.8425811812546601E-5</v>
      </c>
      <c r="AO34" s="5">
        <v>2.5617207875031101E-5</v>
      </c>
      <c r="AP34" s="5">
        <v>1.21627919742795E-5</v>
      </c>
      <c r="AQ34" s="5">
        <v>1.1947521319867399E-5</v>
      </c>
      <c r="AR34" s="5">
        <v>1.2485697955897499E-5</v>
      </c>
      <c r="AS34" s="5">
        <v>1.2055156647073401E-5</v>
      </c>
      <c r="AT34" s="5">
        <v>2.4325583948558899E-5</v>
      </c>
    </row>
    <row r="35" spans="1:46" ht="15.75" customHeight="1" x14ac:dyDescent="0.25">
      <c r="A35" s="1">
        <v>2</v>
      </c>
      <c r="B35" s="1" t="s">
        <v>111</v>
      </c>
      <c r="C35" s="1">
        <v>2019</v>
      </c>
      <c r="D35" s="1">
        <v>1</v>
      </c>
      <c r="E35" s="1">
        <v>6</v>
      </c>
      <c r="F35" s="1">
        <v>0</v>
      </c>
      <c r="G35" s="1">
        <v>0</v>
      </c>
      <c r="H35" s="1">
        <v>0</v>
      </c>
      <c r="I35" s="1">
        <v>0</v>
      </c>
      <c r="J35" s="5">
        <v>2.8197231263648E-5</v>
      </c>
      <c r="K35" s="1">
        <v>7.8501606855918603E-4</v>
      </c>
      <c r="L35" s="1">
        <v>9.5620802603930601E-3</v>
      </c>
      <c r="M35" s="1">
        <v>3.5610399241893603E-2</v>
      </c>
      <c r="N35" s="1">
        <v>5.1183768695150601E-2</v>
      </c>
      <c r="O35" s="1">
        <v>5.5670218573606399E-2</v>
      </c>
      <c r="P35" s="1">
        <v>6.4315438177248593E-2</v>
      </c>
      <c r="Q35" s="1">
        <v>6.9131757035144806E-2</v>
      </c>
      <c r="R35" s="1">
        <v>7.5680596184747206E-2</v>
      </c>
      <c r="S35" s="1">
        <v>7.9867691895677995E-2</v>
      </c>
      <c r="T35" s="1">
        <v>7.7798607391537294E-2</v>
      </c>
      <c r="U35" s="1">
        <v>7.0970499773392107E-2</v>
      </c>
      <c r="V35" s="1">
        <v>6.5332212310988402E-2</v>
      </c>
      <c r="W35" s="1">
        <v>5.8195995220633699E-2</v>
      </c>
      <c r="X35" s="1">
        <v>5.2134363025833297E-2</v>
      </c>
      <c r="Y35" s="1">
        <v>4.2820778913106199E-2</v>
      </c>
      <c r="Z35" s="1">
        <v>3.8540851221622499E-2</v>
      </c>
      <c r="AA35" s="1">
        <v>3.7674076057846798E-2</v>
      </c>
      <c r="AB35" s="1">
        <v>3.6394642783568902E-2</v>
      </c>
      <c r="AC35" s="1">
        <v>2.75016995591447E-2</v>
      </c>
      <c r="AD35" s="1">
        <v>2.0744921923282901E-2</v>
      </c>
      <c r="AE35" s="1">
        <v>1.4708911870133101E-2</v>
      </c>
      <c r="AF35" s="1">
        <v>7.8694738576902505E-3</v>
      </c>
      <c r="AG35" s="1">
        <v>4.23421985085081E-3</v>
      </c>
      <c r="AH35" s="1">
        <v>1.7729491986321099E-3</v>
      </c>
      <c r="AI35" s="1">
        <v>7.1381484075645795E-4</v>
      </c>
      <c r="AJ35" s="1">
        <v>3.2729388982736602E-4</v>
      </c>
      <c r="AK35" s="1">
        <v>1.62230645626468E-4</v>
      </c>
      <c r="AL35" s="5">
        <v>8.8583082691277696E-5</v>
      </c>
      <c r="AM35" s="5">
        <v>4.6351613036133701E-5</v>
      </c>
      <c r="AN35" s="5">
        <v>3.5922500103003598E-5</v>
      </c>
      <c r="AO35" s="5">
        <v>2.2918297556754999E-5</v>
      </c>
      <c r="AP35" s="5">
        <v>1.1845412220345301E-5</v>
      </c>
      <c r="AQ35" s="5">
        <v>1.2231675662313E-5</v>
      </c>
      <c r="AR35" s="5">
        <v>1.15879032590334E-5</v>
      </c>
      <c r="AS35" s="5">
        <v>1.2360430142969E-5</v>
      </c>
      <c r="AT35" s="5">
        <v>2.5493387169873501E-5</v>
      </c>
    </row>
    <row r="36" spans="1:46" ht="15.75" customHeight="1" x14ac:dyDescent="0.25">
      <c r="A36" s="1">
        <v>2</v>
      </c>
      <c r="B36" s="1" t="s">
        <v>111</v>
      </c>
      <c r="C36" s="1">
        <v>2020</v>
      </c>
      <c r="D36" s="1">
        <v>1</v>
      </c>
      <c r="E36" s="1">
        <v>10</v>
      </c>
      <c r="F36" s="1">
        <v>0</v>
      </c>
      <c r="G36" s="1">
        <v>0</v>
      </c>
      <c r="H36" s="1">
        <v>0</v>
      </c>
      <c r="I36" s="1">
        <v>0</v>
      </c>
      <c r="J36" s="5">
        <v>4.3706204698871302E-5</v>
      </c>
      <c r="K36" s="1">
        <v>1.4474743061561701E-3</v>
      </c>
      <c r="L36" s="1">
        <v>1.6873414768906199E-2</v>
      </c>
      <c r="M36" s="1">
        <v>6.4438924338606901E-2</v>
      </c>
      <c r="N36" s="1">
        <v>7.8577176619906305E-2</v>
      </c>
      <c r="O36" s="1">
        <v>6.3632474368034098E-2</v>
      </c>
      <c r="P36" s="1">
        <v>5.84582236827162E-2</v>
      </c>
      <c r="Q36" s="1">
        <v>5.3641141982034103E-2</v>
      </c>
      <c r="R36" s="1">
        <v>5.5632829030569798E-2</v>
      </c>
      <c r="S36" s="1">
        <v>5.6477815654747902E-2</v>
      </c>
      <c r="T36" s="1">
        <v>4.9256892695628003E-2</v>
      </c>
      <c r="U36" s="1">
        <v>5.0292682751072203E-2</v>
      </c>
      <c r="V36" s="1">
        <v>5.2548956823752602E-2</v>
      </c>
      <c r="W36" s="1">
        <v>5.3267054466546997E-2</v>
      </c>
      <c r="X36" s="1">
        <v>5.1807361221442701E-2</v>
      </c>
      <c r="Y36" s="1">
        <v>5.4219505092242798E-2</v>
      </c>
      <c r="Z36" s="1">
        <v>5.4357046481940299E-2</v>
      </c>
      <c r="AA36" s="1">
        <v>5.3809857331355501E-2</v>
      </c>
      <c r="AB36" s="1">
        <v>4.55507945208398E-2</v>
      </c>
      <c r="AC36" s="1">
        <v>3.2329275966772597E-2</v>
      </c>
      <c r="AD36" s="1">
        <v>2.2771559260365701E-2</v>
      </c>
      <c r="AE36" s="1">
        <v>1.27589220577382E-2</v>
      </c>
      <c r="AF36" s="1">
        <v>8.5498108962544696E-3</v>
      </c>
      <c r="AG36" s="1">
        <v>5.1877228487735598E-3</v>
      </c>
      <c r="AH36" s="1">
        <v>2.3967918705832701E-3</v>
      </c>
      <c r="AI36" s="1">
        <v>9.1736033948598705E-4</v>
      </c>
      <c r="AJ36" s="1">
        <v>3.5716898463593799E-4</v>
      </c>
      <c r="AK36" s="1">
        <v>1.7842783925453199E-4</v>
      </c>
      <c r="AL36" s="5">
        <v>7.2687021434681995E-5</v>
      </c>
      <c r="AM36" s="5">
        <v>5.2478776251332901E-5</v>
      </c>
      <c r="AN36" s="5">
        <v>2.81975514186267E-5</v>
      </c>
      <c r="AO36" s="5">
        <v>1.5978612470555099E-5</v>
      </c>
      <c r="AP36" s="5">
        <v>9.2425307427720705E-6</v>
      </c>
      <c r="AQ36" s="5">
        <v>1.0339102186829801E-5</v>
      </c>
      <c r="AR36" s="5">
        <v>1.15923266943243E-5</v>
      </c>
      <c r="AS36" s="1">
        <v>0</v>
      </c>
      <c r="AT36" s="5">
        <v>1.9111673739291401E-5</v>
      </c>
    </row>
    <row r="37" spans="1:46" ht="15.75" customHeight="1" x14ac:dyDescent="0.25">
      <c r="A37" s="1">
        <v>2</v>
      </c>
      <c r="B37" s="1" t="s">
        <v>111</v>
      </c>
      <c r="C37" s="1">
        <v>2021</v>
      </c>
      <c r="D37" s="1">
        <v>1</v>
      </c>
      <c r="E37" s="1">
        <v>12</v>
      </c>
      <c r="F37" s="1">
        <v>0</v>
      </c>
      <c r="G37" s="1">
        <v>0</v>
      </c>
      <c r="H37" s="1">
        <v>0</v>
      </c>
      <c r="I37" s="1">
        <v>0</v>
      </c>
      <c r="J37" s="5">
        <v>3.9013202157295502E-5</v>
      </c>
      <c r="K37" s="1">
        <v>1.46441510166676E-3</v>
      </c>
      <c r="L37" s="1">
        <v>1.6138461292401301E-2</v>
      </c>
      <c r="M37" s="1">
        <v>6.7168776045236203E-2</v>
      </c>
      <c r="N37" s="1">
        <v>8.9979989665238305E-2</v>
      </c>
      <c r="O37" s="1">
        <v>6.9125116236173706E-2</v>
      </c>
      <c r="P37" s="1">
        <v>6.3462671316163399E-2</v>
      </c>
      <c r="Q37" s="1">
        <v>6.7305845418332899E-2</v>
      </c>
      <c r="R37" s="1">
        <v>6.3376722690721102E-2</v>
      </c>
      <c r="S37" s="1">
        <v>6.6080890660941902E-2</v>
      </c>
      <c r="T37" s="1">
        <v>6.4597492123742703E-2</v>
      </c>
      <c r="U37" s="1">
        <v>6.2827697818982606E-2</v>
      </c>
      <c r="V37" s="1">
        <v>5.7110245778689298E-2</v>
      </c>
      <c r="W37" s="1">
        <v>5.1685766444251498E-2</v>
      </c>
      <c r="X37" s="1">
        <v>4.2728424914458697E-2</v>
      </c>
      <c r="Y37" s="1">
        <v>4.3183578939627099E-2</v>
      </c>
      <c r="Z37" s="1">
        <v>3.71597013651482E-2</v>
      </c>
      <c r="AA37" s="1">
        <v>2.6941530869084102E-2</v>
      </c>
      <c r="AB37" s="1">
        <v>2.7228524540126298E-2</v>
      </c>
      <c r="AC37" s="1">
        <v>2.7715217973935301E-2</v>
      </c>
      <c r="AD37" s="1">
        <v>2.18115189992052E-2</v>
      </c>
      <c r="AE37" s="1">
        <v>1.3866577539187699E-2</v>
      </c>
      <c r="AF37" s="1">
        <v>8.8707950008691996E-3</v>
      </c>
      <c r="AG37" s="1">
        <v>4.9889066482831299E-3</v>
      </c>
      <c r="AH37" s="1">
        <v>2.8313719358754501E-3</v>
      </c>
      <c r="AI37" s="1">
        <v>1.22420737803927E-3</v>
      </c>
      <c r="AJ37" s="1">
        <v>5.5963765853223903E-4</v>
      </c>
      <c r="AK37" s="1">
        <v>2.3348130946243499E-4</v>
      </c>
      <c r="AL37" s="1">
        <v>1.07622626640815E-4</v>
      </c>
      <c r="AM37" s="5">
        <v>5.60534513754246E-5</v>
      </c>
      <c r="AN37" s="5">
        <v>3.1838360381241202E-5</v>
      </c>
      <c r="AO37" s="5">
        <v>2.3617187512845601E-5</v>
      </c>
      <c r="AP37" s="5">
        <v>1.2406497237760701E-5</v>
      </c>
      <c r="AQ37" s="5">
        <v>1.37517800707708E-5</v>
      </c>
      <c r="AR37" s="5">
        <v>1.49475870334466E-5</v>
      </c>
      <c r="AS37" s="1">
        <v>0</v>
      </c>
      <c r="AT37" s="5">
        <v>3.3183643214251403E-5</v>
      </c>
    </row>
    <row r="38" spans="1:46" ht="15.75" customHeight="1" x14ac:dyDescent="0.25">
      <c r="A38" s="1">
        <v>2</v>
      </c>
      <c r="B38" s="1" t="s">
        <v>111</v>
      </c>
      <c r="C38" s="1">
        <v>2022</v>
      </c>
      <c r="D38" s="1">
        <v>1</v>
      </c>
      <c r="E38" s="1">
        <v>17</v>
      </c>
      <c r="F38" s="1">
        <v>0</v>
      </c>
      <c r="G38" s="1">
        <v>0</v>
      </c>
      <c r="H38" s="1">
        <v>0</v>
      </c>
      <c r="I38" s="1">
        <v>0</v>
      </c>
      <c r="J38" s="5">
        <v>1.6982316905214599E-5</v>
      </c>
      <c r="K38" s="1">
        <v>7.5815752668507302E-4</v>
      </c>
      <c r="L38" s="1">
        <v>1.07682041109815E-2</v>
      </c>
      <c r="M38" s="1">
        <v>4.5142086028043198E-2</v>
      </c>
      <c r="N38" s="1">
        <v>6.4934204457575098E-2</v>
      </c>
      <c r="O38" s="1">
        <v>5.6873779315563699E-2</v>
      </c>
      <c r="P38" s="1">
        <v>5.9118018225371001E-2</v>
      </c>
      <c r="Q38" s="1">
        <v>5.6394157516907399E-2</v>
      </c>
      <c r="R38" s="1">
        <v>5.9254134068444597E-2</v>
      </c>
      <c r="S38" s="1">
        <v>5.2011433216202503E-2</v>
      </c>
      <c r="T38" s="1">
        <v>5.1763131158421703E-2</v>
      </c>
      <c r="U38" s="1">
        <v>4.4816334312861299E-2</v>
      </c>
      <c r="V38" s="1">
        <v>4.8712232195616698E-2</v>
      </c>
      <c r="W38" s="1">
        <v>5.5969599594276997E-2</v>
      </c>
      <c r="X38" s="1">
        <v>6.0502334360977898E-2</v>
      </c>
      <c r="Y38" s="1">
        <v>5.9231876940985501E-2</v>
      </c>
      <c r="Z38" s="1">
        <v>5.30728280227784E-2</v>
      </c>
      <c r="AA38" s="1">
        <v>5.2405886122500897E-2</v>
      </c>
      <c r="AB38" s="1">
        <v>4.3993849828202002E-2</v>
      </c>
      <c r="AC38" s="1">
        <v>3.95186233619301E-2</v>
      </c>
      <c r="AD38" s="1">
        <v>3.1633682161272603E-2</v>
      </c>
      <c r="AE38" s="1">
        <v>2.1041090645560898E-2</v>
      </c>
      <c r="AF38" s="1">
        <v>1.46343829391527E-2</v>
      </c>
      <c r="AG38" s="1">
        <v>8.6654845087176507E-3</v>
      </c>
      <c r="AH38" s="1">
        <v>4.7632825840808E-3</v>
      </c>
      <c r="AI38" s="1">
        <v>2.2370342905141801E-3</v>
      </c>
      <c r="AJ38" s="1">
        <v>9.65418985278261E-4</v>
      </c>
      <c r="AK38" s="1">
        <v>3.9985637076823499E-4</v>
      </c>
      <c r="AL38" s="1">
        <v>1.7754240400906201E-4</v>
      </c>
      <c r="AM38" s="5">
        <v>9.1858895987297201E-5</v>
      </c>
      <c r="AN38" s="5">
        <v>4.6701371489340197E-5</v>
      </c>
      <c r="AO38" s="5">
        <v>2.93330928362798E-5</v>
      </c>
      <c r="AP38" s="5">
        <v>1.35086611746025E-5</v>
      </c>
      <c r="AQ38" s="5">
        <v>1.4537892502191299E-5</v>
      </c>
      <c r="AR38" s="5">
        <v>1.38946229224483E-5</v>
      </c>
      <c r="AS38" s="1">
        <v>0</v>
      </c>
      <c r="AT38" s="5">
        <v>1.4537892502191299E-5</v>
      </c>
    </row>
    <row r="39" spans="1:46" ht="15.75" customHeight="1" x14ac:dyDescent="0.25">
      <c r="A39" s="1">
        <v>2</v>
      </c>
      <c r="B39" s="1" t="s">
        <v>111</v>
      </c>
      <c r="C39" s="1">
        <v>2023</v>
      </c>
      <c r="D39" s="1">
        <v>1</v>
      </c>
      <c r="E39" s="1">
        <v>2</v>
      </c>
      <c r="F39" s="1">
        <v>0</v>
      </c>
      <c r="G39" s="1">
        <v>0</v>
      </c>
      <c r="H39" s="1">
        <v>0</v>
      </c>
      <c r="I39" s="1">
        <v>0</v>
      </c>
      <c r="J39" s="5">
        <v>3.3565549779078499E-5</v>
      </c>
      <c r="K39" s="1">
        <v>1.3805656561307899E-3</v>
      </c>
      <c r="L39" s="1">
        <v>1.5898030778514601E-2</v>
      </c>
      <c r="M39" s="1">
        <v>6.5635608378325994E-2</v>
      </c>
      <c r="N39" s="1">
        <v>8.0224582715456599E-2</v>
      </c>
      <c r="O39" s="1">
        <v>6.9552926943303894E-2</v>
      </c>
      <c r="P39" s="1">
        <v>7.2769382235177399E-2</v>
      </c>
      <c r="Q39" s="1">
        <v>6.8418995109462893E-2</v>
      </c>
      <c r="R39" s="1">
        <v>6.9614220555944004E-2</v>
      </c>
      <c r="S39" s="1">
        <v>6.6307649059772406E-2</v>
      </c>
      <c r="T39" s="1">
        <v>5.7961684560084201E-2</v>
      </c>
      <c r="U39" s="1">
        <v>5.4122259961169802E-2</v>
      </c>
      <c r="V39" s="1">
        <v>5.1844180691380998E-2</v>
      </c>
      <c r="W39" s="1">
        <v>4.8046165765291797E-2</v>
      </c>
      <c r="X39" s="1">
        <v>4.8340229168791098E-2</v>
      </c>
      <c r="Y39" s="1">
        <v>3.94637830454206E-2</v>
      </c>
      <c r="Z39" s="1">
        <v>3.8098905635382201E-2</v>
      </c>
      <c r="AA39" s="1">
        <v>3.2484520170432699E-2</v>
      </c>
      <c r="AB39" s="1">
        <v>2.63881771918076E-2</v>
      </c>
      <c r="AC39" s="1">
        <v>2.2716945184720901E-2</v>
      </c>
      <c r="AD39" s="1">
        <v>2.3044209295066901E-2</v>
      </c>
      <c r="AE39" s="1">
        <v>2.0157572014066101E-2</v>
      </c>
      <c r="AF39" s="1">
        <v>1.26481923583283E-2</v>
      </c>
      <c r="AG39" s="1">
        <v>7.6343383600784498E-3</v>
      </c>
      <c r="AH39" s="1">
        <v>3.7639021119115499E-3</v>
      </c>
      <c r="AI39" s="1">
        <v>2.0013459055775499E-3</v>
      </c>
      <c r="AJ39" s="1">
        <v>8.8291989636271595E-4</v>
      </c>
      <c r="AK39" s="1">
        <v>3.1723092970553001E-4</v>
      </c>
      <c r="AL39" s="1">
        <v>1.1766184569296499E-4</v>
      </c>
      <c r="AM39" s="5">
        <v>5.2354960796714799E-5</v>
      </c>
      <c r="AN39" s="5">
        <v>2.62686911314527E-5</v>
      </c>
      <c r="AO39" s="5">
        <v>1.6782774889539199E-5</v>
      </c>
      <c r="AP39" s="5">
        <v>9.8507591742947693E-6</v>
      </c>
      <c r="AQ39" s="5">
        <v>1.02156021066761E-5</v>
      </c>
      <c r="AR39" s="5">
        <v>8.5738089109602595E-6</v>
      </c>
      <c r="AS39" s="1">
        <v>0</v>
      </c>
      <c r="AT39" s="5">
        <v>6.2023298504818901E-6</v>
      </c>
    </row>
    <row r="40" spans="1:46" ht="15.75" customHeight="1" x14ac:dyDescent="0.25">
      <c r="A40" s="1">
        <v>2</v>
      </c>
      <c r="B40" s="1" t="s">
        <v>111</v>
      </c>
      <c r="C40" s="1">
        <v>2024</v>
      </c>
      <c r="D40" s="1">
        <v>1</v>
      </c>
      <c r="E40" s="1">
        <v>9</v>
      </c>
      <c r="F40" s="1">
        <v>0</v>
      </c>
      <c r="G40" s="1">
        <v>0</v>
      </c>
      <c r="H40" s="1">
        <v>0</v>
      </c>
      <c r="I40" s="1">
        <v>0</v>
      </c>
      <c r="J40" s="5">
        <v>2.6691255573962098E-5</v>
      </c>
      <c r="K40" s="1">
        <v>9.0157129938716403E-4</v>
      </c>
      <c r="L40" s="1">
        <v>1.10137676626706E-2</v>
      </c>
      <c r="M40" s="1">
        <v>4.6421118648644802E-2</v>
      </c>
      <c r="N40" s="1">
        <v>5.5907800494727398E-2</v>
      </c>
      <c r="O40" s="1">
        <v>5.4885129980236098E-2</v>
      </c>
      <c r="P40" s="1">
        <v>5.6784822429419998E-2</v>
      </c>
      <c r="Q40" s="1">
        <v>6.4192469655378795E-2</v>
      </c>
      <c r="R40" s="1">
        <v>6.7999351171824401E-2</v>
      </c>
      <c r="S40" s="1">
        <v>7.2366666674904698E-2</v>
      </c>
      <c r="T40" s="1">
        <v>6.7630204516803002E-2</v>
      </c>
      <c r="U40" s="1">
        <v>6.3369654036018505E-2</v>
      </c>
      <c r="V40" s="1">
        <v>5.6646093804770099E-2</v>
      </c>
      <c r="W40" s="1">
        <v>4.84003082016215E-2</v>
      </c>
      <c r="X40" s="1">
        <v>4.6370866593397501E-2</v>
      </c>
      <c r="Y40" s="1">
        <v>4.3288438476697097E-2</v>
      </c>
      <c r="Z40" s="1">
        <v>4.4602406150785701E-2</v>
      </c>
      <c r="AA40" s="1">
        <v>4.20673135341883E-2</v>
      </c>
      <c r="AB40" s="1">
        <v>3.6457454179805303E-2</v>
      </c>
      <c r="AC40" s="1">
        <v>3.32026038473138E-2</v>
      </c>
      <c r="AD40" s="1">
        <v>2.9755807139861399E-2</v>
      </c>
      <c r="AE40" s="1">
        <v>2.1966161913604901E-2</v>
      </c>
      <c r="AF40" s="1">
        <v>1.5857818647252601E-2</v>
      </c>
      <c r="AG40" s="1">
        <v>1.0143995204800599E-2</v>
      </c>
      <c r="AH40" s="1">
        <v>5.1663231815119899E-3</v>
      </c>
      <c r="AI40" s="1">
        <v>2.56038340505784E-3</v>
      </c>
      <c r="AJ40" s="1">
        <v>1.1645295950417499E-3</v>
      </c>
      <c r="AK40" s="1">
        <v>4.6264842994867602E-4</v>
      </c>
      <c r="AL40" s="1">
        <v>1.9771300425157099E-4</v>
      </c>
      <c r="AM40" s="5">
        <v>8.9712275679150295E-5</v>
      </c>
      <c r="AN40" s="5">
        <v>4.1190209219077302E-5</v>
      </c>
      <c r="AO40" s="5">
        <v>1.94417787514045E-5</v>
      </c>
      <c r="AP40" s="5">
        <v>9.8856502125785501E-6</v>
      </c>
      <c r="AQ40" s="5">
        <v>9.4737481203877798E-6</v>
      </c>
      <c r="AR40" s="5">
        <v>9.7208893757022399E-6</v>
      </c>
      <c r="AS40" s="1">
        <v>0</v>
      </c>
      <c r="AT40" s="5">
        <v>1.04623131416456E-5</v>
      </c>
    </row>
    <row r="41" spans="1:46" ht="15.75" customHeight="1" x14ac:dyDescent="0.25">
      <c r="A41" s="1">
        <v>2</v>
      </c>
      <c r="B41" s="1" t="s">
        <v>87</v>
      </c>
      <c r="C41" s="1">
        <v>1980</v>
      </c>
      <c r="D41" s="1">
        <v>1</v>
      </c>
      <c r="E41" s="1">
        <v>6</v>
      </c>
      <c r="F41" s="1">
        <v>0</v>
      </c>
      <c r="G41" s="1">
        <v>0</v>
      </c>
      <c r="H41" s="1">
        <v>0</v>
      </c>
      <c r="I41" s="1">
        <v>0</v>
      </c>
      <c r="J41" s="5">
        <v>1.0578383074187899E-5</v>
      </c>
      <c r="K41" s="1">
        <v>7.2122617431279201E-4</v>
      </c>
      <c r="L41" s="1">
        <v>8.8871391311854293E-3</v>
      </c>
      <c r="M41" s="1">
        <v>2.3785594138378201E-2</v>
      </c>
      <c r="N41" s="1">
        <v>3.2588405593170403E-2</v>
      </c>
      <c r="O41" s="1">
        <v>3.2186027852084298E-2</v>
      </c>
      <c r="P41" s="1">
        <v>2.9696315579114101E-2</v>
      </c>
      <c r="Q41" s="1">
        <v>2.9233062237317999E-2</v>
      </c>
      <c r="R41" s="1">
        <v>2.8016248795586202E-2</v>
      </c>
      <c r="S41" s="1">
        <v>2.97591871011588E-2</v>
      </c>
      <c r="T41" s="1">
        <v>2.7840308329927801E-2</v>
      </c>
      <c r="U41" s="1">
        <v>2.65186092220547E-2</v>
      </c>
      <c r="V41" s="1">
        <v>2.52374273172771E-2</v>
      </c>
      <c r="W41" s="1">
        <v>2.30289403603736E-2</v>
      </c>
      <c r="X41" s="1">
        <v>2.3283220738421002E-2</v>
      </c>
      <c r="Y41" s="1">
        <v>2.0387138881695299E-2</v>
      </c>
      <c r="Z41" s="1">
        <v>1.89852037361651E-2</v>
      </c>
      <c r="AA41" s="1">
        <v>1.7073909466006201E-2</v>
      </c>
      <c r="AB41" s="1">
        <v>1.8281441873531399E-2</v>
      </c>
      <c r="AC41" s="1">
        <v>1.5692133125957099E-2</v>
      </c>
      <c r="AD41" s="1">
        <v>1.7004850587823798E-2</v>
      </c>
      <c r="AE41" s="1">
        <v>1.5222093651622901E-2</v>
      </c>
      <c r="AF41" s="1">
        <v>1.4930589340682299E-2</v>
      </c>
      <c r="AG41" s="1">
        <v>1.27647153042757E-2</v>
      </c>
      <c r="AH41" s="1">
        <v>1.3273475652504099E-2</v>
      </c>
      <c r="AI41" s="1">
        <v>1.4259261199738299E-2</v>
      </c>
      <c r="AJ41" s="1">
        <v>1.49734018533128E-2</v>
      </c>
      <c r="AK41" s="1">
        <v>1.44464786209381E-2</v>
      </c>
      <c r="AL41" s="1">
        <v>1.5501323046354799E-2</v>
      </c>
      <c r="AM41" s="1">
        <v>1.5188961357466E-2</v>
      </c>
      <c r="AN41" s="1">
        <v>1.6016270750720901E-2</v>
      </c>
      <c r="AO41" s="1">
        <v>1.54418445905792E-2</v>
      </c>
      <c r="AP41" s="1">
        <v>1.419130007829E-2</v>
      </c>
      <c r="AQ41" s="1">
        <v>1.36125826872785E-2</v>
      </c>
      <c r="AR41" s="1">
        <v>1.3760380662116999E-2</v>
      </c>
      <c r="AS41" s="1">
        <v>1.33774631540447E-2</v>
      </c>
      <c r="AT41" s="1">
        <v>0.33482288942545901</v>
      </c>
    </row>
    <row r="42" spans="1:46" ht="15.75" customHeight="1" x14ac:dyDescent="0.25">
      <c r="A42" s="1">
        <v>2</v>
      </c>
      <c r="B42" s="1" t="s">
        <v>87</v>
      </c>
      <c r="C42" s="1">
        <v>1981</v>
      </c>
      <c r="D42" s="1">
        <v>1</v>
      </c>
      <c r="E42" s="1">
        <v>10</v>
      </c>
      <c r="F42" s="1">
        <v>0</v>
      </c>
      <c r="G42" s="1">
        <v>0</v>
      </c>
      <c r="H42" s="1">
        <v>0</v>
      </c>
      <c r="I42" s="1">
        <v>0</v>
      </c>
      <c r="J42" s="5">
        <v>1.0430366529941901E-5</v>
      </c>
      <c r="K42" s="1">
        <v>8.4403623893609199E-4</v>
      </c>
      <c r="L42" s="1">
        <v>9.5002797671338308E-3</v>
      </c>
      <c r="M42" s="1">
        <v>2.4981414047535299E-2</v>
      </c>
      <c r="N42" s="1">
        <v>3.12007945743429E-2</v>
      </c>
      <c r="O42" s="1">
        <v>3.3462262728032197E-2</v>
      </c>
      <c r="P42" s="1">
        <v>2.9304526490866501E-2</v>
      </c>
      <c r="Q42" s="1">
        <v>2.7966557500071699E-2</v>
      </c>
      <c r="R42" s="1">
        <v>2.75293055558034E-2</v>
      </c>
      <c r="S42" s="1">
        <v>2.5424841866722701E-2</v>
      </c>
      <c r="T42" s="1">
        <v>2.45569255780996E-2</v>
      </c>
      <c r="U42" s="1">
        <v>2.2875440700141102E-2</v>
      </c>
      <c r="V42" s="1">
        <v>2.45419662366291E-2</v>
      </c>
      <c r="W42" s="1">
        <v>2.0433362515486001E-2</v>
      </c>
      <c r="X42" s="1">
        <v>1.66910567978747E-2</v>
      </c>
      <c r="Y42" s="1">
        <v>1.43403815620215E-2</v>
      </c>
      <c r="Z42" s="1">
        <v>1.23756298877761E-2</v>
      </c>
      <c r="AA42" s="1">
        <v>1.45454206093338E-2</v>
      </c>
      <c r="AB42" s="1">
        <v>1.6162401904804499E-2</v>
      </c>
      <c r="AC42" s="1">
        <v>1.78820399655963E-2</v>
      </c>
      <c r="AD42" s="1">
        <v>1.9159485382184399E-2</v>
      </c>
      <c r="AE42" s="1">
        <v>1.6279606286601501E-2</v>
      </c>
      <c r="AF42" s="1">
        <v>1.41328721647416E-2</v>
      </c>
      <c r="AG42" s="1">
        <v>1.5420747947859701E-2</v>
      </c>
      <c r="AH42" s="1">
        <v>1.7354345764180101E-2</v>
      </c>
      <c r="AI42" s="1">
        <v>1.8207988919656901E-2</v>
      </c>
      <c r="AJ42" s="1">
        <v>1.7387421005413201E-2</v>
      </c>
      <c r="AK42" s="1">
        <v>1.6381439601933299E-2</v>
      </c>
      <c r="AL42" s="1">
        <v>1.4753753456602899E-2</v>
      </c>
      <c r="AM42" s="1">
        <v>1.5893682724993599E-2</v>
      </c>
      <c r="AN42" s="1">
        <v>1.7289155973368001E-2</v>
      </c>
      <c r="AO42" s="1">
        <v>1.56653125946539E-2</v>
      </c>
      <c r="AP42" s="1">
        <v>1.3374886449677501E-2</v>
      </c>
      <c r="AQ42" s="1">
        <v>1.4371123694951899E-2</v>
      </c>
      <c r="AR42" s="1">
        <v>1.5056783052630701E-2</v>
      </c>
      <c r="AS42" s="1">
        <v>1.3691228487197501E-2</v>
      </c>
      <c r="AT42" s="1">
        <v>0.35095109159961602</v>
      </c>
    </row>
    <row r="43" spans="1:46" ht="15.75" customHeight="1" x14ac:dyDescent="0.25">
      <c r="A43" s="1">
        <v>2</v>
      </c>
      <c r="B43" s="1" t="s">
        <v>87</v>
      </c>
      <c r="C43" s="1">
        <v>1984</v>
      </c>
      <c r="D43" s="1">
        <v>1</v>
      </c>
      <c r="E43" s="1">
        <v>9</v>
      </c>
      <c r="F43" s="1">
        <v>0</v>
      </c>
      <c r="G43" s="1">
        <v>0</v>
      </c>
      <c r="H43" s="1">
        <v>0</v>
      </c>
      <c r="I43" s="1">
        <v>0</v>
      </c>
      <c r="J43" s="5">
        <v>8.7508145881382698E-6</v>
      </c>
      <c r="K43" s="1">
        <v>8.4127149335965705E-4</v>
      </c>
      <c r="L43" s="1">
        <v>9.2846142780147103E-3</v>
      </c>
      <c r="M43" s="1">
        <v>2.9736859027691701E-2</v>
      </c>
      <c r="N43" s="1">
        <v>3.8470437162853303E-2</v>
      </c>
      <c r="O43" s="1">
        <v>3.9044344752925397E-2</v>
      </c>
      <c r="P43" s="1">
        <v>3.6623484932356898E-2</v>
      </c>
      <c r="Q43" s="1">
        <v>3.5035079496509997E-2</v>
      </c>
      <c r="R43" s="1">
        <v>3.15425100650941E-2</v>
      </c>
      <c r="S43" s="1">
        <v>2.99960024687904E-2</v>
      </c>
      <c r="T43" s="1">
        <v>2.61838294227578E-2</v>
      </c>
      <c r="U43" s="1">
        <v>2.3305010305410101E-2</v>
      </c>
      <c r="V43" s="1">
        <v>2.17716289309886E-2</v>
      </c>
      <c r="W43" s="1">
        <v>1.90978573100129E-2</v>
      </c>
      <c r="X43" s="1">
        <v>1.9827754799523499E-2</v>
      </c>
      <c r="Y43" s="1">
        <v>1.9366149329999201E-2</v>
      </c>
      <c r="Z43" s="1">
        <v>1.9979568173817699E-2</v>
      </c>
      <c r="AA43" s="1">
        <v>1.79781508070306E-2</v>
      </c>
      <c r="AB43" s="1">
        <v>1.6558994080604302E-2</v>
      </c>
      <c r="AC43" s="1">
        <v>1.69144627762224E-2</v>
      </c>
      <c r="AD43" s="1">
        <v>1.6181979818765301E-2</v>
      </c>
      <c r="AE43" s="1">
        <v>1.6101498842174398E-2</v>
      </c>
      <c r="AF43" s="1">
        <v>1.64795738088119E-2</v>
      </c>
      <c r="AG43" s="1">
        <v>1.6142866329318301E-2</v>
      </c>
      <c r="AH43" s="1">
        <v>1.6354476936631501E-2</v>
      </c>
      <c r="AI43" s="1">
        <v>1.5399511147675999E-2</v>
      </c>
      <c r="AJ43" s="1">
        <v>1.56018405880017E-2</v>
      </c>
      <c r="AK43" s="1">
        <v>1.5879944127374701E-2</v>
      </c>
      <c r="AL43" s="1">
        <v>1.5388837805640401E-2</v>
      </c>
      <c r="AM43" s="1">
        <v>1.55459547039275E-2</v>
      </c>
      <c r="AN43" s="1">
        <v>1.5000686143416601E-2</v>
      </c>
      <c r="AO43" s="1">
        <v>1.3982210654647101E-2</v>
      </c>
      <c r="AP43" s="1">
        <v>1.40713098577263E-2</v>
      </c>
      <c r="AQ43" s="1">
        <v>1.3504097966695199E-2</v>
      </c>
      <c r="AR43" s="1">
        <v>1.3487126689918199E-2</v>
      </c>
      <c r="AS43" s="1">
        <v>1.3007157768568801E-2</v>
      </c>
      <c r="AT43" s="1">
        <v>0.30630416638215502</v>
      </c>
    </row>
    <row r="44" spans="1:46" ht="15.75" customHeight="1" x14ac:dyDescent="0.25">
      <c r="A44" s="1">
        <v>2</v>
      </c>
      <c r="B44" s="1" t="s">
        <v>87</v>
      </c>
      <c r="C44" s="1">
        <v>1988</v>
      </c>
      <c r="D44" s="1">
        <v>1</v>
      </c>
      <c r="E44" s="1">
        <v>6</v>
      </c>
      <c r="F44" s="1">
        <v>0</v>
      </c>
      <c r="G44" s="1">
        <v>0</v>
      </c>
      <c r="H44" s="1">
        <v>0</v>
      </c>
      <c r="I44" s="1">
        <v>0</v>
      </c>
      <c r="J44" s="5">
        <v>1.0140160725498201E-5</v>
      </c>
      <c r="K44" s="1">
        <v>9.1327291729000103E-4</v>
      </c>
      <c r="L44" s="1">
        <v>1.02971356811449E-2</v>
      </c>
      <c r="M44" s="1">
        <v>3.4274796775376197E-2</v>
      </c>
      <c r="N44" s="1">
        <v>4.2005945031373899E-2</v>
      </c>
      <c r="O44" s="1">
        <v>3.82027263073169E-2</v>
      </c>
      <c r="P44" s="1">
        <v>3.1767674958596497E-2</v>
      </c>
      <c r="Q44" s="1">
        <v>3.10989511123098E-2</v>
      </c>
      <c r="R44" s="1">
        <v>3.0175538034294298E-2</v>
      </c>
      <c r="S44" s="1">
        <v>2.6578283094324001E-2</v>
      </c>
      <c r="T44" s="1">
        <v>2.7443489015967201E-2</v>
      </c>
      <c r="U44" s="1">
        <v>2.1346486921563101E-2</v>
      </c>
      <c r="V44" s="1">
        <v>2.3772619142937799E-2</v>
      </c>
      <c r="W44" s="1">
        <v>2.5831335151011998E-2</v>
      </c>
      <c r="X44" s="1">
        <v>2.7276505589994102E-2</v>
      </c>
      <c r="Y44" s="1">
        <v>2.94359647533281E-2</v>
      </c>
      <c r="Z44" s="1">
        <v>2.4889485417131998E-2</v>
      </c>
      <c r="AA44" s="1">
        <v>2.3700057733070899E-2</v>
      </c>
      <c r="AB44" s="1">
        <v>2.2991826767074501E-2</v>
      </c>
      <c r="AC44" s="1">
        <v>2.11086540609105E-2</v>
      </c>
      <c r="AD44" s="1">
        <v>2.1665441068019702E-2</v>
      </c>
      <c r="AE44" s="1">
        <v>2.0932715687803201E-2</v>
      </c>
      <c r="AF44" s="1">
        <v>1.8738226878326499E-2</v>
      </c>
      <c r="AG44" s="1">
        <v>1.6375174358088301E-2</v>
      </c>
      <c r="AH44" s="1">
        <v>1.68295062347503E-2</v>
      </c>
      <c r="AI44" s="1">
        <v>1.7034416495644699E-2</v>
      </c>
      <c r="AJ44" s="1">
        <v>1.6877441539998098E-2</v>
      </c>
      <c r="AK44" s="1">
        <v>1.48849658026372E-2</v>
      </c>
      <c r="AL44" s="1">
        <v>1.35555512244047E-2</v>
      </c>
      <c r="AM44" s="1">
        <v>1.35605554595679E-2</v>
      </c>
      <c r="AN44" s="1">
        <v>1.2525863994369999E-2</v>
      </c>
      <c r="AO44" s="1">
        <v>1.17146511363301E-2</v>
      </c>
      <c r="AP44" s="1">
        <v>1.02922631363807E-2</v>
      </c>
      <c r="AQ44" s="1">
        <v>1.10309145845537E-2</v>
      </c>
      <c r="AR44" s="1">
        <v>1.1216861427987499E-2</v>
      </c>
      <c r="AS44" s="1">
        <v>1.0536680516984901E-2</v>
      </c>
      <c r="AT44" s="1">
        <v>0.269107881828411</v>
      </c>
    </row>
    <row r="45" spans="1:46" ht="15.75" customHeight="1" x14ac:dyDescent="0.25">
      <c r="A45" s="1">
        <v>2</v>
      </c>
      <c r="B45" s="1" t="s">
        <v>87</v>
      </c>
      <c r="C45" s="1">
        <v>1990</v>
      </c>
      <c r="D45" s="1">
        <v>1</v>
      </c>
      <c r="E45" s="1">
        <v>6</v>
      </c>
      <c r="F45" s="1">
        <v>0</v>
      </c>
      <c r="G45" s="1">
        <v>0</v>
      </c>
      <c r="H45" s="1">
        <v>0</v>
      </c>
      <c r="I45" s="1">
        <v>0</v>
      </c>
      <c r="J45" s="5">
        <v>1.23703014392109E-5</v>
      </c>
      <c r="K45" s="1">
        <v>1.0264404884678599E-3</v>
      </c>
      <c r="L45" s="1">
        <v>1.3669183090328101E-2</v>
      </c>
      <c r="M45" s="1">
        <v>4.2651032176479399E-2</v>
      </c>
      <c r="N45" s="1">
        <v>5.0836048295423999E-2</v>
      </c>
      <c r="O45" s="1">
        <v>5.13449978403515E-2</v>
      </c>
      <c r="P45" s="1">
        <v>5.5966041755363398E-2</v>
      </c>
      <c r="Q45" s="1">
        <v>6.0064587700061997E-2</v>
      </c>
      <c r="R45" s="1">
        <v>6.22022936011523E-2</v>
      </c>
      <c r="S45" s="1">
        <v>5.3551034930344202E-2</v>
      </c>
      <c r="T45" s="1">
        <v>5.5240906466236403E-2</v>
      </c>
      <c r="U45" s="1">
        <v>4.9889131173351101E-2</v>
      </c>
      <c r="V45" s="1">
        <v>4.3789247174380201E-2</v>
      </c>
      <c r="W45" s="1">
        <v>4.3314610489397103E-2</v>
      </c>
      <c r="X45" s="1">
        <v>4.2473429991530802E-2</v>
      </c>
      <c r="Y45" s="1">
        <v>4.03952193497433E-2</v>
      </c>
      <c r="Z45" s="1">
        <v>3.5202343524154599E-2</v>
      </c>
      <c r="AA45" s="1">
        <v>3.0594258972555199E-2</v>
      </c>
      <c r="AB45" s="1">
        <v>2.8971245970632001E-2</v>
      </c>
      <c r="AC45" s="1">
        <v>2.3767767029523899E-2</v>
      </c>
      <c r="AD45" s="1">
        <v>2.2399081534571201E-2</v>
      </c>
      <c r="AE45" s="1">
        <v>1.8876490934262601E-2</v>
      </c>
      <c r="AF45" s="1">
        <v>1.5747540997608798E-2</v>
      </c>
      <c r="AG45" s="1">
        <v>1.4900911676489499E-2</v>
      </c>
      <c r="AH45" s="1">
        <v>1.4559402997471301E-2</v>
      </c>
      <c r="AI45" s="1">
        <v>1.21287860301597E-2</v>
      </c>
      <c r="AJ45" s="1">
        <v>1.11558029157684E-2</v>
      </c>
      <c r="AK45" s="1">
        <v>9.1820035087476406E-3</v>
      </c>
      <c r="AL45" s="1">
        <v>7.2613669448168203E-3</v>
      </c>
      <c r="AM45" s="1">
        <v>7.6689978303374796E-3</v>
      </c>
      <c r="AN45" s="1">
        <v>6.0190352431360597E-3</v>
      </c>
      <c r="AO45" s="1">
        <v>6.5938124635793998E-3</v>
      </c>
      <c r="AP45" s="1">
        <v>4.8759604839556398E-3</v>
      </c>
      <c r="AQ45" s="1">
        <v>3.4536703494330301E-3</v>
      </c>
      <c r="AR45" s="1">
        <v>2.4091162052863298E-3</v>
      </c>
      <c r="AS45" s="1">
        <v>2.0603915170952398E-3</v>
      </c>
      <c r="AT45" s="1">
        <v>5.5745438046364101E-2</v>
      </c>
    </row>
    <row r="46" spans="1:46" ht="15.75" customHeight="1" x14ac:dyDescent="0.25">
      <c r="A46" s="1">
        <v>2</v>
      </c>
      <c r="B46" s="1" t="s">
        <v>87</v>
      </c>
      <c r="C46" s="1">
        <v>1992</v>
      </c>
      <c r="D46" s="1">
        <v>1</v>
      </c>
      <c r="E46" s="1">
        <v>6</v>
      </c>
      <c r="F46" s="1">
        <v>0</v>
      </c>
      <c r="G46" s="1">
        <v>0</v>
      </c>
      <c r="H46" s="1">
        <v>0</v>
      </c>
      <c r="I46" s="1">
        <v>0</v>
      </c>
      <c r="J46" s="5">
        <v>1.18439679544943E-5</v>
      </c>
      <c r="K46" s="1">
        <v>1.17371780794948E-3</v>
      </c>
      <c r="L46" s="1">
        <v>1.39716105913033E-2</v>
      </c>
      <c r="M46" s="1">
        <v>4.09693530533458E-2</v>
      </c>
      <c r="N46" s="1">
        <v>5.0788876222962499E-2</v>
      </c>
      <c r="O46" s="1">
        <v>5.1086140402279399E-2</v>
      </c>
      <c r="P46" s="1">
        <v>4.7657020434339697E-2</v>
      </c>
      <c r="Q46" s="1">
        <v>4.4188096967536498E-2</v>
      </c>
      <c r="R46" s="1">
        <v>4.0251239684826197E-2</v>
      </c>
      <c r="S46" s="1">
        <v>3.61547800798439E-2</v>
      </c>
      <c r="T46" s="1">
        <v>3.8024767872790403E-2</v>
      </c>
      <c r="U46" s="1">
        <v>3.4306344425306397E-2</v>
      </c>
      <c r="V46" s="1">
        <v>3.20122066652027E-2</v>
      </c>
      <c r="W46" s="1">
        <v>3.1409038034864403E-2</v>
      </c>
      <c r="X46" s="1">
        <v>3.11577905835018E-2</v>
      </c>
      <c r="Y46" s="1">
        <v>3.1449618187364199E-2</v>
      </c>
      <c r="Z46" s="1">
        <v>2.7454706045336001E-2</v>
      </c>
      <c r="AA46" s="1">
        <v>2.5136006613982399E-2</v>
      </c>
      <c r="AB46" s="1">
        <v>2.4738554115575E-2</v>
      </c>
      <c r="AC46" s="1">
        <v>2.4849615585574501E-2</v>
      </c>
      <c r="AD46" s="1">
        <v>2.3750456526715601E-2</v>
      </c>
      <c r="AE46" s="1">
        <v>2.03565772175257E-2</v>
      </c>
      <c r="AF46" s="1">
        <v>1.82279637636713E-2</v>
      </c>
      <c r="AG46" s="1">
        <v>1.6963086235153999E-2</v>
      </c>
      <c r="AH46" s="1">
        <v>1.4692345165845701E-2</v>
      </c>
      <c r="AI46" s="1">
        <v>1.42519825540294E-2</v>
      </c>
      <c r="AJ46" s="1">
        <v>1.24594659613098E-2</v>
      </c>
      <c r="AK46" s="1">
        <v>1.21064768835841E-2</v>
      </c>
      <c r="AL46" s="1">
        <v>1.2344424141424001E-2</v>
      </c>
      <c r="AM46" s="1">
        <v>1.11995395997244E-2</v>
      </c>
      <c r="AN46" s="1">
        <v>1.02712443408647E-2</v>
      </c>
      <c r="AO46" s="1">
        <v>8.7549251975758292E-3</v>
      </c>
      <c r="AP46" s="1">
        <v>8.0440929568970903E-3</v>
      </c>
      <c r="AQ46" s="1">
        <v>7.7477995946256401E-3</v>
      </c>
      <c r="AR46" s="1">
        <v>8.0383651363289295E-3</v>
      </c>
      <c r="AS46" s="1">
        <v>7.8395418054207008E-3</v>
      </c>
      <c r="AT46" s="1">
        <v>0.16616038557746399</v>
      </c>
    </row>
    <row r="47" spans="1:46" ht="15.75" customHeight="1" x14ac:dyDescent="0.25">
      <c r="A47" s="1">
        <v>2</v>
      </c>
      <c r="B47" s="1" t="s">
        <v>87</v>
      </c>
      <c r="C47" s="1">
        <v>1993</v>
      </c>
      <c r="D47" s="1">
        <v>1</v>
      </c>
      <c r="E47" s="1">
        <v>6</v>
      </c>
      <c r="F47" s="1">
        <v>0</v>
      </c>
      <c r="G47" s="1">
        <v>0</v>
      </c>
      <c r="H47" s="1">
        <v>0</v>
      </c>
      <c r="I47" s="1">
        <v>0</v>
      </c>
      <c r="J47" s="5">
        <v>8.1516374112551597E-6</v>
      </c>
      <c r="K47" s="1">
        <v>9.6849604083122599E-4</v>
      </c>
      <c r="L47" s="1">
        <v>1.0194030164645099E-2</v>
      </c>
      <c r="M47" s="1">
        <v>2.9885859142640098E-2</v>
      </c>
      <c r="N47" s="1">
        <v>4.3302802190573197E-2</v>
      </c>
      <c r="O47" s="1">
        <v>4.5914097718894702E-2</v>
      </c>
      <c r="P47" s="1">
        <v>4.2555949170953997E-2</v>
      </c>
      <c r="Q47" s="1">
        <v>4.2167849713804197E-2</v>
      </c>
      <c r="R47" s="1">
        <v>4.2857233689674E-2</v>
      </c>
      <c r="S47" s="1">
        <v>4.1803716070643399E-2</v>
      </c>
      <c r="T47" s="1">
        <v>3.8642185017062201E-2</v>
      </c>
      <c r="U47" s="1">
        <v>3.6646908727909301E-2</v>
      </c>
      <c r="V47" s="1">
        <v>3.3233410561946203E-2</v>
      </c>
      <c r="W47" s="1">
        <v>3.3535021146162601E-2</v>
      </c>
      <c r="X47" s="1">
        <v>3.0789712698800101E-2</v>
      </c>
      <c r="Y47" s="1">
        <v>2.9013307874139398E-2</v>
      </c>
      <c r="Z47" s="1">
        <v>2.9056837617915499E-2</v>
      </c>
      <c r="AA47" s="1">
        <v>2.6622758686914699E-2</v>
      </c>
      <c r="AB47" s="1">
        <v>2.5596141471341202E-2</v>
      </c>
      <c r="AC47" s="1">
        <v>2.4467954853623498E-2</v>
      </c>
      <c r="AD47" s="1">
        <v>2.40342877433447E-2</v>
      </c>
      <c r="AE47" s="1">
        <v>2.2217776862620602E-2</v>
      </c>
      <c r="AF47" s="1">
        <v>2.06885296842691E-2</v>
      </c>
      <c r="AG47" s="1">
        <v>1.8261950259686702E-2</v>
      </c>
      <c r="AH47" s="1">
        <v>1.6731235786601201E-2</v>
      </c>
      <c r="AI47" s="1">
        <v>1.5455178466243299E-2</v>
      </c>
      <c r="AJ47" s="1">
        <v>1.54277074481674E-2</v>
      </c>
      <c r="AK47" s="1">
        <v>1.3393140266692199E-2</v>
      </c>
      <c r="AL47" s="1">
        <v>1.22621820922547E-2</v>
      </c>
      <c r="AM47" s="1">
        <v>1.0583841465651399E-2</v>
      </c>
      <c r="AN47" s="1">
        <v>9.6034440341996995E-3</v>
      </c>
      <c r="AO47" s="1">
        <v>8.1516374112551599E-3</v>
      </c>
      <c r="AP47" s="1">
        <v>8.3077412676806992E-3</v>
      </c>
      <c r="AQ47" s="1">
        <v>8.4975929029888295E-3</v>
      </c>
      <c r="AR47" s="1">
        <v>7.9067622234210606E-3</v>
      </c>
      <c r="AS47" s="1">
        <v>7.4450534804475603E-3</v>
      </c>
      <c r="AT47" s="1">
        <v>0.17376951440859001</v>
      </c>
    </row>
    <row r="48" spans="1:46" ht="15.75" customHeight="1" x14ac:dyDescent="0.25">
      <c r="A48" s="1">
        <v>2</v>
      </c>
      <c r="B48" s="1" t="s">
        <v>87</v>
      </c>
      <c r="C48" s="1">
        <v>1994</v>
      </c>
      <c r="D48" s="1">
        <v>1</v>
      </c>
      <c r="E48" s="1">
        <v>12</v>
      </c>
      <c r="F48" s="1">
        <v>0</v>
      </c>
      <c r="G48" s="1">
        <v>0</v>
      </c>
      <c r="H48" s="1">
        <v>0</v>
      </c>
      <c r="I48" s="1">
        <v>0</v>
      </c>
      <c r="J48" s="5">
        <v>1.08821299145787E-5</v>
      </c>
      <c r="K48" s="1">
        <v>1.1135202703289799E-3</v>
      </c>
      <c r="L48" s="1">
        <v>1.2337298449667701E-2</v>
      </c>
      <c r="M48" s="1">
        <v>3.6916065119677703E-2</v>
      </c>
      <c r="N48" s="1">
        <v>5.06523499453405E-2</v>
      </c>
      <c r="O48" s="1">
        <v>5.2023667029769897E-2</v>
      </c>
      <c r="P48" s="1">
        <v>5.3508360723541898E-2</v>
      </c>
      <c r="Q48" s="1">
        <v>4.96630040566724E-2</v>
      </c>
      <c r="R48" s="1">
        <v>4.9580502327552602E-2</v>
      </c>
      <c r="S48" s="1">
        <v>4.4392341443781999E-2</v>
      </c>
      <c r="T48" s="1">
        <v>4.4944630626345898E-2</v>
      </c>
      <c r="U48" s="1">
        <v>3.9915652526674499E-2</v>
      </c>
      <c r="V48" s="1">
        <v>3.7539720828658203E-2</v>
      </c>
      <c r="W48" s="1">
        <v>3.2943497197682803E-2</v>
      </c>
      <c r="X48" s="1">
        <v>3.3016382160831602E-2</v>
      </c>
      <c r="Y48" s="1">
        <v>2.97133604801702E-2</v>
      </c>
      <c r="Z48" s="1">
        <v>2.9121591942567301E-2</v>
      </c>
      <c r="AA48" s="1">
        <v>2.6744732310992399E-2</v>
      </c>
      <c r="AB48" s="1">
        <v>2.3077707602568099E-2</v>
      </c>
      <c r="AC48" s="1">
        <v>2.0620370824182999E-2</v>
      </c>
      <c r="AD48" s="1">
        <v>1.8522734836152702E-2</v>
      </c>
      <c r="AE48" s="1">
        <v>1.7963106542716101E-2</v>
      </c>
      <c r="AF48" s="1">
        <v>1.51624343476463E-2</v>
      </c>
      <c r="AG48" s="1">
        <v>1.54759071752631E-2</v>
      </c>
      <c r="AH48" s="1">
        <v>1.34441544698939E-2</v>
      </c>
      <c r="AI48" s="1">
        <v>1.2915147983891401E-2</v>
      </c>
      <c r="AJ48" s="1">
        <v>1.3223053210156601E-2</v>
      </c>
      <c r="AK48" s="1">
        <v>1.24256208529278E-2</v>
      </c>
      <c r="AL48" s="1">
        <v>1.08348896606859E-2</v>
      </c>
      <c r="AM48" s="1">
        <v>1.07682471596586E-2</v>
      </c>
      <c r="AN48" s="1">
        <v>1.0028515398255999E-2</v>
      </c>
      <c r="AO48" s="1">
        <v>9.9342879632592293E-3</v>
      </c>
      <c r="AP48" s="1">
        <v>9.1102829632157892E-3</v>
      </c>
      <c r="AQ48" s="1">
        <v>8.2103561265589996E-3</v>
      </c>
      <c r="AR48" s="1">
        <v>7.1923286551703602E-3</v>
      </c>
      <c r="AS48" s="1">
        <v>6.9240714991365597E-3</v>
      </c>
      <c r="AT48" s="1">
        <v>0.14002922315848801</v>
      </c>
    </row>
    <row r="49" spans="1:46" ht="15.75" customHeight="1" x14ac:dyDescent="0.25">
      <c r="A49" s="1">
        <v>2</v>
      </c>
      <c r="B49" s="1" t="s">
        <v>87</v>
      </c>
      <c r="C49" s="1">
        <v>1995</v>
      </c>
      <c r="D49" s="1">
        <v>1</v>
      </c>
      <c r="E49" s="1">
        <v>15</v>
      </c>
      <c r="F49" s="1">
        <v>0</v>
      </c>
      <c r="G49" s="1">
        <v>0</v>
      </c>
      <c r="H49" s="1">
        <v>0</v>
      </c>
      <c r="I49" s="1">
        <v>0</v>
      </c>
      <c r="J49" s="5">
        <v>7.1464368091746403E-6</v>
      </c>
      <c r="K49" s="1">
        <v>8.2131365350072299E-4</v>
      </c>
      <c r="L49" s="1">
        <v>9.6698060336688901E-3</v>
      </c>
      <c r="M49" s="1">
        <v>2.9805982515452498E-2</v>
      </c>
      <c r="N49" s="1">
        <v>4.3302893524560897E-2</v>
      </c>
      <c r="O49" s="1">
        <v>4.3044719091623197E-2</v>
      </c>
      <c r="P49" s="1">
        <v>4.4499658400320503E-2</v>
      </c>
      <c r="Q49" s="1">
        <v>4.3172226569428998E-2</v>
      </c>
      <c r="R49" s="1">
        <v>3.8799509950021599E-2</v>
      </c>
      <c r="S49" s="1">
        <v>3.8898582131891901E-2</v>
      </c>
      <c r="T49" s="1">
        <v>3.77644802231012E-2</v>
      </c>
      <c r="U49" s="1">
        <v>3.6184139754815499E-2</v>
      </c>
      <c r="V49" s="1">
        <v>3.2358238389785902E-2</v>
      </c>
      <c r="W49" s="1">
        <v>2.8543620872349702E-2</v>
      </c>
      <c r="X49" s="1">
        <v>2.79933452380433E-2</v>
      </c>
      <c r="Y49" s="1">
        <v>2.7812427548295202E-2</v>
      </c>
      <c r="Z49" s="1">
        <v>2.7367843953114E-2</v>
      </c>
      <c r="AA49" s="1">
        <v>2.6741816088630299E-2</v>
      </c>
      <c r="AB49" s="1">
        <v>2.57533510394455E-2</v>
      </c>
      <c r="AC49" s="1">
        <v>2.57046048178418E-2</v>
      </c>
      <c r="AD49" s="1">
        <v>2.3415638720688501E-2</v>
      </c>
      <c r="AE49" s="1">
        <v>2.2799991995990799E-2</v>
      </c>
      <c r="AF49" s="1">
        <v>2.20146362034878E-2</v>
      </c>
      <c r="AG49" s="1">
        <v>2.0573764091456899E-2</v>
      </c>
      <c r="AH49" s="1">
        <v>2.01698775732626E-2</v>
      </c>
      <c r="AI49" s="1">
        <v>1.76765233833669E-2</v>
      </c>
      <c r="AJ49" s="1">
        <v>1.6262958182512201E-2</v>
      </c>
      <c r="AK49" s="1">
        <v>1.54552603717742E-2</v>
      </c>
      <c r="AL49" s="1">
        <v>1.3649543854222301E-2</v>
      </c>
      <c r="AM49" s="1">
        <v>1.20270770215878E-2</v>
      </c>
      <c r="AN49" s="1">
        <v>1.15949056587593E-2</v>
      </c>
      <c r="AO49" s="1">
        <v>1.05007485704493E-2</v>
      </c>
      <c r="AP49" s="1">
        <v>1.01956333315229E-2</v>
      </c>
      <c r="AQ49" s="1">
        <v>1.01569673471027E-2</v>
      </c>
      <c r="AR49" s="1">
        <v>9.47196257253069E-3</v>
      </c>
      <c r="AS49" s="1">
        <v>8.4965867865542909E-3</v>
      </c>
      <c r="AT49" s="1">
        <v>0.16729221810202999</v>
      </c>
    </row>
    <row r="50" spans="1:46" ht="15.75" customHeight="1" x14ac:dyDescent="0.25">
      <c r="A50" s="1">
        <v>2</v>
      </c>
      <c r="B50" s="1" t="s">
        <v>87</v>
      </c>
      <c r="C50" s="1">
        <v>1996</v>
      </c>
      <c r="D50" s="1">
        <v>1</v>
      </c>
      <c r="E50" s="1">
        <v>6</v>
      </c>
      <c r="F50" s="1">
        <v>0</v>
      </c>
      <c r="G50" s="1">
        <v>0</v>
      </c>
      <c r="H50" s="1">
        <v>0</v>
      </c>
      <c r="I50" s="1">
        <v>0</v>
      </c>
      <c r="J50" s="5">
        <v>1.4930337953260701E-5</v>
      </c>
      <c r="K50" s="1">
        <v>1.6963647537234399E-3</v>
      </c>
      <c r="L50" s="1">
        <v>2.0038158401016502E-2</v>
      </c>
      <c r="M50" s="1">
        <v>5.50033650198124E-2</v>
      </c>
      <c r="N50" s="1">
        <v>7.0773597747087899E-2</v>
      </c>
      <c r="O50" s="1">
        <v>7.7231475025024102E-2</v>
      </c>
      <c r="P50" s="1">
        <v>7.3747518622117106E-2</v>
      </c>
      <c r="Q50" s="1">
        <v>7.0068708656091203E-2</v>
      </c>
      <c r="R50" s="1">
        <v>6.3747228872338094E-2</v>
      </c>
      <c r="S50" s="1">
        <v>5.5829721267039098E-2</v>
      </c>
      <c r="T50" s="1">
        <v>5.22941413227343E-2</v>
      </c>
      <c r="U50" s="1">
        <v>4.4234289393728303E-2</v>
      </c>
      <c r="V50" s="1">
        <v>3.7491596940090501E-2</v>
      </c>
      <c r="W50" s="1">
        <v>3.0471174894864499E-2</v>
      </c>
      <c r="X50" s="1">
        <v>3.0592642051094399E-2</v>
      </c>
      <c r="Y50" s="1">
        <v>2.8554903977049802E-2</v>
      </c>
      <c r="Z50" s="1">
        <v>3.00669170155368E-2</v>
      </c>
      <c r="AA50" s="1">
        <v>2.9334318229525098E-2</v>
      </c>
      <c r="AB50" s="1">
        <v>2.6954321137145101E-2</v>
      </c>
      <c r="AC50" s="1">
        <v>2.3272094907350299E-2</v>
      </c>
      <c r="AD50" s="1">
        <v>2.0731153832965699E-2</v>
      </c>
      <c r="AE50" s="1">
        <v>1.7445973370097401E-2</v>
      </c>
      <c r="AF50" s="1">
        <v>1.4960072100879501E-2</v>
      </c>
      <c r="AG50" s="1">
        <v>1.22822274191608E-2</v>
      </c>
      <c r="AH50" s="1">
        <v>1.22874150789581E-2</v>
      </c>
      <c r="AI50" s="1">
        <v>1.20495418980078E-2</v>
      </c>
      <c r="AJ50" s="1">
        <v>1.00248362376004E-2</v>
      </c>
      <c r="AK50" s="1">
        <v>7.7130378923120297E-3</v>
      </c>
      <c r="AL50" s="1">
        <v>6.2718806949591498E-3</v>
      </c>
      <c r="AM50" s="1">
        <v>4.8483109296020696E-3</v>
      </c>
      <c r="AN50" s="1">
        <v>4.2513504680471203E-3</v>
      </c>
      <c r="AO50" s="1">
        <v>2.7223826390030299E-3</v>
      </c>
      <c r="AP50" s="1">
        <v>1.3832072415681899E-3</v>
      </c>
      <c r="AQ50" s="1">
        <v>1.50214383204331E-3</v>
      </c>
      <c r="AR50" s="1">
        <v>1.2994455150846401E-3</v>
      </c>
      <c r="AS50" s="1">
        <v>1.8650269612801901E-3</v>
      </c>
      <c r="AT50" s="1">
        <v>4.6944525317108403E-2</v>
      </c>
    </row>
    <row r="51" spans="1:46" ht="15.75" customHeight="1" x14ac:dyDescent="0.25">
      <c r="A51" s="1">
        <v>2</v>
      </c>
      <c r="B51" s="1" t="s">
        <v>87</v>
      </c>
      <c r="C51" s="1">
        <v>1997</v>
      </c>
      <c r="D51" s="1">
        <v>1</v>
      </c>
      <c r="E51" s="1">
        <v>2</v>
      </c>
      <c r="F51" s="1">
        <v>0</v>
      </c>
      <c r="G51" s="1">
        <v>0</v>
      </c>
      <c r="H51" s="1">
        <v>0</v>
      </c>
      <c r="I51" s="1">
        <v>0</v>
      </c>
      <c r="J51" s="5">
        <v>1.03541497762279E-5</v>
      </c>
      <c r="K51" s="1">
        <v>1.3149770215809401E-3</v>
      </c>
      <c r="L51" s="1">
        <v>1.5043688945308499E-2</v>
      </c>
      <c r="M51" s="1">
        <v>4.2482965196919201E-2</v>
      </c>
      <c r="N51" s="1">
        <v>5.7166930938711703E-2</v>
      </c>
      <c r="O51" s="1">
        <v>6.3185698002183502E-2</v>
      </c>
      <c r="P51" s="1">
        <v>6.5016378483586906E-2</v>
      </c>
      <c r="Q51" s="1">
        <v>6.2765074584392205E-2</v>
      </c>
      <c r="R51" s="1">
        <v>5.64544986331409E-2</v>
      </c>
      <c r="S51" s="1">
        <v>4.8622642009390898E-2</v>
      </c>
      <c r="T51" s="1">
        <v>4.62155805237775E-2</v>
      </c>
      <c r="U51" s="1">
        <v>4.0272632557054197E-2</v>
      </c>
      <c r="V51" s="1">
        <v>3.9212946561676301E-2</v>
      </c>
      <c r="W51" s="1">
        <v>3.8430150571604697E-2</v>
      </c>
      <c r="X51" s="1">
        <v>3.1972055819778099E-2</v>
      </c>
      <c r="Y51" s="1">
        <v>2.7952196337837399E-2</v>
      </c>
      <c r="Z51" s="1">
        <v>2.8823837613085702E-2</v>
      </c>
      <c r="AA51" s="1">
        <v>2.4692754522258401E-2</v>
      </c>
      <c r="AB51" s="1">
        <v>2.3246736271789099E-2</v>
      </c>
      <c r="AC51" s="1">
        <v>2.3294498962692301E-2</v>
      </c>
      <c r="AD51" s="1">
        <v>2.1025158802597099E-2</v>
      </c>
      <c r="AE51" s="1">
        <v>2.17103140469295E-2</v>
      </c>
      <c r="AF51" s="1">
        <v>1.85517416904608E-2</v>
      </c>
      <c r="AG51" s="1">
        <v>1.5539018110410001E-2</v>
      </c>
      <c r="AH51" s="1">
        <v>1.43742319280563E-2</v>
      </c>
      <c r="AI51" s="1">
        <v>1.28079719382501E-2</v>
      </c>
      <c r="AJ51" s="1">
        <v>1.15304034577962E-2</v>
      </c>
      <c r="AK51" s="1">
        <v>1.00762577564272E-2</v>
      </c>
      <c r="AL51" s="1">
        <v>1.04654847200583E-2</v>
      </c>
      <c r="AM51" s="1">
        <v>9.52648580379265E-3</v>
      </c>
      <c r="AN51" s="1">
        <v>9.5672343932345794E-3</v>
      </c>
      <c r="AO51" s="1">
        <v>7.9660152310656596E-3</v>
      </c>
      <c r="AP51" s="1">
        <v>6.53246649430533E-3</v>
      </c>
      <c r="AQ51" s="1">
        <v>5.9920466769525296E-3</v>
      </c>
      <c r="AR51" s="1">
        <v>4.8991828683132496E-3</v>
      </c>
      <c r="AS51" s="1">
        <v>4.8029894768437803E-3</v>
      </c>
      <c r="AT51" s="1">
        <v>7.8456398897962201E-2</v>
      </c>
    </row>
    <row r="52" spans="1:46" ht="15.75" customHeight="1" x14ac:dyDescent="0.25">
      <c r="A52" s="1">
        <v>2</v>
      </c>
      <c r="B52" s="1" t="s">
        <v>87</v>
      </c>
      <c r="C52" s="1">
        <v>1998</v>
      </c>
      <c r="D52" s="1">
        <v>1</v>
      </c>
      <c r="E52" s="1">
        <v>2</v>
      </c>
      <c r="F52" s="1">
        <v>0</v>
      </c>
      <c r="G52" s="1">
        <v>0</v>
      </c>
      <c r="H52" s="1">
        <v>0</v>
      </c>
      <c r="I52" s="1">
        <v>0</v>
      </c>
      <c r="J52" s="5">
        <v>1.5853123252012101E-5</v>
      </c>
      <c r="K52" s="1">
        <v>1.11276730518931E-3</v>
      </c>
      <c r="L52" s="1">
        <v>1.32506958797047E-2</v>
      </c>
      <c r="M52" s="1">
        <v>3.6961861729821202E-2</v>
      </c>
      <c r="N52" s="1">
        <v>4.8980053493620598E-2</v>
      </c>
      <c r="O52" s="1">
        <v>5.2529933631051899E-2</v>
      </c>
      <c r="P52" s="1">
        <v>5.3440802265594299E-2</v>
      </c>
      <c r="Q52" s="1">
        <v>4.8758033551153698E-2</v>
      </c>
      <c r="R52" s="1">
        <v>4.5593963557480501E-2</v>
      </c>
      <c r="S52" s="1">
        <v>4.39166573872544E-2</v>
      </c>
      <c r="T52" s="1">
        <v>4.3831599283652198E-2</v>
      </c>
      <c r="U52" s="1">
        <v>4.2758007484960697E-2</v>
      </c>
      <c r="V52" s="1">
        <v>3.8207246508368702E-2</v>
      </c>
      <c r="W52" s="1">
        <v>3.4623449833210702E-2</v>
      </c>
      <c r="X52" s="1">
        <v>3.2468873192772502E-2</v>
      </c>
      <c r="Y52" s="1">
        <v>3.2110348713073202E-2</v>
      </c>
      <c r="Z52" s="1">
        <v>3.0016364538910802E-2</v>
      </c>
      <c r="AA52" s="1">
        <v>2.6072214177524401E-2</v>
      </c>
      <c r="AB52" s="1">
        <v>2.5226434808641798E-2</v>
      </c>
      <c r="AC52" s="1">
        <v>2.3223453659301001E-2</v>
      </c>
      <c r="AD52" s="1">
        <v>2.0404341530236399E-2</v>
      </c>
      <c r="AE52" s="1">
        <v>1.7822187863626299E-2</v>
      </c>
      <c r="AF52" s="1">
        <v>1.6817038875897701E-2</v>
      </c>
      <c r="AG52" s="1">
        <v>1.6271249377784E-2</v>
      </c>
      <c r="AH52" s="1">
        <v>1.47476727729392E-2</v>
      </c>
      <c r="AI52" s="1">
        <v>1.33760727438853E-2</v>
      </c>
      <c r="AJ52" s="1">
        <v>1.32841551157991E-2</v>
      </c>
      <c r="AK52" s="1">
        <v>1.2511696441957E-2</v>
      </c>
      <c r="AL52" s="1">
        <v>1.2043419570512999E-2</v>
      </c>
      <c r="AM52" s="1">
        <v>1.1022493676471099E-2</v>
      </c>
      <c r="AN52" s="1">
        <v>1.1032401878503699E-2</v>
      </c>
      <c r="AO52" s="1">
        <v>1.03007192668723E-2</v>
      </c>
      <c r="AP52" s="1">
        <v>9.4224714820985902E-3</v>
      </c>
      <c r="AQ52" s="1">
        <v>9.0228660724336798E-3</v>
      </c>
      <c r="AR52" s="1">
        <v>8.1343290009338893E-3</v>
      </c>
      <c r="AS52" s="1">
        <v>7.0692734993780303E-3</v>
      </c>
      <c r="AT52" s="1">
        <v>0.12361899670613299</v>
      </c>
    </row>
    <row r="53" spans="1:46" ht="15.75" customHeight="1" x14ac:dyDescent="0.25">
      <c r="A53" s="1">
        <v>2</v>
      </c>
      <c r="B53" s="1" t="s">
        <v>87</v>
      </c>
      <c r="C53" s="1">
        <v>1999</v>
      </c>
      <c r="D53" s="1">
        <v>1</v>
      </c>
      <c r="E53" s="1">
        <v>7</v>
      </c>
      <c r="F53" s="1">
        <v>0</v>
      </c>
      <c r="G53" s="1">
        <v>0</v>
      </c>
      <c r="H53" s="1">
        <v>0</v>
      </c>
      <c r="I53" s="1">
        <v>0</v>
      </c>
      <c r="J53" s="5">
        <v>2.1583829187136101E-5</v>
      </c>
      <c r="K53" s="1">
        <v>1.6419312950310501E-3</v>
      </c>
      <c r="L53" s="1">
        <v>1.60950354202339E-2</v>
      </c>
      <c r="M53" s="1">
        <v>3.68992462952853E-2</v>
      </c>
      <c r="N53" s="1">
        <v>4.2122272912437399E-2</v>
      </c>
      <c r="O53" s="1">
        <v>4.9445172067976599E-2</v>
      </c>
      <c r="P53" s="1">
        <v>5.5037464196523098E-2</v>
      </c>
      <c r="Q53" s="1">
        <v>5.2435702618001498E-2</v>
      </c>
      <c r="R53" s="1">
        <v>4.47168832222525E-2</v>
      </c>
      <c r="S53" s="1">
        <v>4.3093805271993302E-2</v>
      </c>
      <c r="T53" s="1">
        <v>4.1706199096781797E-2</v>
      </c>
      <c r="U53" s="1">
        <v>3.6245230266301498E-2</v>
      </c>
      <c r="V53" s="1">
        <v>3.4207508754128098E-2</v>
      </c>
      <c r="W53" s="1">
        <v>2.6715579610978799E-2</v>
      </c>
      <c r="X53" s="1">
        <v>2.12533105498246E-2</v>
      </c>
      <c r="Y53" s="1">
        <v>2.3316776629341798E-2</v>
      </c>
      <c r="Z53" s="1">
        <v>2.2571614430115999E-2</v>
      </c>
      <c r="AA53" s="1">
        <v>2.2637666148351401E-2</v>
      </c>
      <c r="AB53" s="1">
        <v>2.07203459965833E-2</v>
      </c>
      <c r="AC53" s="1">
        <v>2.1259811703194301E-2</v>
      </c>
      <c r="AD53" s="1">
        <v>2.0158776368515499E-2</v>
      </c>
      <c r="AE53" s="1">
        <v>1.7195030570373498E-2</v>
      </c>
      <c r="AF53" s="1">
        <v>1.6651924217875501E-2</v>
      </c>
      <c r="AG53" s="1">
        <v>1.7069948379542E-2</v>
      </c>
      <c r="AH53" s="1">
        <v>1.63543014166143E-2</v>
      </c>
      <c r="AI53" s="1">
        <v>1.53780882266323E-2</v>
      </c>
      <c r="AJ53" s="1">
        <v>1.58222470248447E-2</v>
      </c>
      <c r="AK53" s="1">
        <v>1.56110895633994E-2</v>
      </c>
      <c r="AL53" s="1">
        <v>1.3679726920352899E-2</v>
      </c>
      <c r="AM53" s="1">
        <v>1.38739813830372E-2</v>
      </c>
      <c r="AN53" s="1">
        <v>1.38958252583591E-2</v>
      </c>
      <c r="AO53" s="1">
        <v>1.34012175099985E-2</v>
      </c>
      <c r="AP53" s="1">
        <v>1.3030261698728E-2</v>
      </c>
      <c r="AQ53" s="1">
        <v>1.2532923465952099E-2</v>
      </c>
      <c r="AR53" s="1">
        <v>1.08406732438402E-2</v>
      </c>
      <c r="AS53" s="1">
        <v>9.6240474022496296E-3</v>
      </c>
      <c r="AT53" s="1">
        <v>0.15273679703516199</v>
      </c>
    </row>
    <row r="54" spans="1:46" ht="15.75" customHeight="1" x14ac:dyDescent="0.25">
      <c r="A54" s="1">
        <v>2</v>
      </c>
      <c r="B54" s="1" t="s">
        <v>87</v>
      </c>
      <c r="C54" s="1">
        <v>2000</v>
      </c>
      <c r="D54" s="1">
        <v>1</v>
      </c>
      <c r="E54" s="1">
        <v>10</v>
      </c>
      <c r="F54" s="1">
        <v>0</v>
      </c>
      <c r="G54" s="1">
        <v>0</v>
      </c>
      <c r="H54" s="1">
        <v>0</v>
      </c>
      <c r="I54" s="1">
        <v>0</v>
      </c>
      <c r="J54" s="5">
        <v>2.3056628809603499E-5</v>
      </c>
      <c r="K54" s="1">
        <v>1.7729394723144699E-3</v>
      </c>
      <c r="L54" s="1">
        <v>2.21228353428146E-2</v>
      </c>
      <c r="M54" s="1">
        <v>5.9032347873804202E-2</v>
      </c>
      <c r="N54" s="1">
        <v>7.5119418926840806E-2</v>
      </c>
      <c r="O54" s="1">
        <v>7.0648738600658595E-2</v>
      </c>
      <c r="P54" s="1">
        <v>6.7138366864396504E-2</v>
      </c>
      <c r="Q54" s="1">
        <v>5.7521677554198902E-2</v>
      </c>
      <c r="R54" s="1">
        <v>5.5536501813692102E-2</v>
      </c>
      <c r="S54" s="1">
        <v>5.3250437067219901E-2</v>
      </c>
      <c r="T54" s="1">
        <v>5.0357752416767002E-2</v>
      </c>
      <c r="U54" s="1">
        <v>4.1817346539401799E-2</v>
      </c>
      <c r="V54" s="1">
        <v>3.7028945868223299E-2</v>
      </c>
      <c r="W54" s="1">
        <v>3.2960834281056797E-2</v>
      </c>
      <c r="X54" s="1">
        <v>2.6639052510895701E-2</v>
      </c>
      <c r="Y54" s="1">
        <v>2.6241902079650301E-2</v>
      </c>
      <c r="Z54" s="1">
        <v>2.5786303094372499E-2</v>
      </c>
      <c r="AA54" s="1">
        <v>2.33344611867593E-2</v>
      </c>
      <c r="AB54" s="1">
        <v>1.9596289957858198E-2</v>
      </c>
      <c r="AC54" s="1">
        <v>1.6939705186415702E-2</v>
      </c>
      <c r="AD54" s="1">
        <v>1.7155054099497399E-2</v>
      </c>
      <c r="AE54" s="1">
        <v>1.6343921897975601E-2</v>
      </c>
      <c r="AF54" s="1">
        <v>1.41317536468382E-2</v>
      </c>
      <c r="AG54" s="1">
        <v>1.3713621683376E-2</v>
      </c>
      <c r="AH54" s="1">
        <v>1.2209637786125599E-2</v>
      </c>
      <c r="AI54" s="1">
        <v>1.15293519530982E-2</v>
      </c>
      <c r="AJ54" s="1">
        <v>1.17242957496834E-2</v>
      </c>
      <c r="AK54" s="1">
        <v>9.8048314012839106E-3</v>
      </c>
      <c r="AL54" s="1">
        <v>8.1067106894566008E-3</v>
      </c>
      <c r="AM54" s="1">
        <v>6.8924333331988304E-3</v>
      </c>
      <c r="AN54" s="1">
        <v>7.1435200209354196E-3</v>
      </c>
      <c r="AO54" s="1">
        <v>6.9965340122741899E-3</v>
      </c>
      <c r="AP54" s="1">
        <v>6.7666594230424504E-3</v>
      </c>
      <c r="AQ54" s="1">
        <v>5.97074459653493E-3</v>
      </c>
      <c r="AR54" s="1">
        <v>5.3095957654195501E-3</v>
      </c>
      <c r="AS54" s="1">
        <v>4.70355227715912E-3</v>
      </c>
      <c r="AT54" s="1">
        <v>7.8628868397950497E-2</v>
      </c>
    </row>
    <row r="55" spans="1:46" ht="15.75" customHeight="1" x14ac:dyDescent="0.25">
      <c r="A55" s="1">
        <v>2</v>
      </c>
      <c r="B55" s="1" t="s">
        <v>87</v>
      </c>
      <c r="C55" s="1">
        <v>2001</v>
      </c>
      <c r="D55" s="1">
        <v>1</v>
      </c>
      <c r="E55" s="1">
        <v>10</v>
      </c>
      <c r="F55" s="1">
        <v>0</v>
      </c>
      <c r="G55" s="1">
        <v>0</v>
      </c>
      <c r="H55" s="1">
        <v>0</v>
      </c>
      <c r="I55" s="1">
        <v>0</v>
      </c>
      <c r="J55" s="5">
        <v>2.3245392038165201E-5</v>
      </c>
      <c r="K55" s="1">
        <v>1.9979723023954002E-3</v>
      </c>
      <c r="L55" s="1">
        <v>2.2153475746673399E-2</v>
      </c>
      <c r="M55" s="1">
        <v>6.2262679718508601E-2</v>
      </c>
      <c r="N55" s="1">
        <v>7.9594896587319303E-2</v>
      </c>
      <c r="O55" s="1">
        <v>7.5625694468944099E-2</v>
      </c>
      <c r="P55" s="1">
        <v>7.1174099037918506E-2</v>
      </c>
      <c r="Q55" s="1">
        <v>6.0503846958098802E-2</v>
      </c>
      <c r="R55" s="1">
        <v>5.4362126385607903E-2</v>
      </c>
      <c r="S55" s="1">
        <v>5.1167016393247E-2</v>
      </c>
      <c r="T55" s="1">
        <v>4.3634995094296601E-2</v>
      </c>
      <c r="U55" s="1">
        <v>4.2009360487379799E-2</v>
      </c>
      <c r="V55" s="1">
        <v>3.8694320729016601E-2</v>
      </c>
      <c r="W55" s="1">
        <v>3.6346741844595902E-2</v>
      </c>
      <c r="X55" s="1">
        <v>3.1696017745491099E-2</v>
      </c>
      <c r="Y55" s="1">
        <v>2.6843696441099602E-2</v>
      </c>
      <c r="Z55" s="1">
        <v>2.6133477715331799E-2</v>
      </c>
      <c r="AA55" s="1">
        <v>2.3155701852956002E-2</v>
      </c>
      <c r="AB55" s="1">
        <v>2.2219920539844399E-2</v>
      </c>
      <c r="AC55" s="1">
        <v>2.0542240940134199E-2</v>
      </c>
      <c r="AD55" s="1">
        <v>1.6948565044464001E-2</v>
      </c>
      <c r="AE55" s="1">
        <v>1.39079443390116E-2</v>
      </c>
      <c r="AF55" s="1">
        <v>1.22499101812451E-2</v>
      </c>
      <c r="AG55" s="1">
        <v>1.0207812776263999E-2</v>
      </c>
      <c r="AH55" s="1">
        <v>1.0190533015810899E-2</v>
      </c>
      <c r="AI55" s="1">
        <v>8.9422760345048008E-3</v>
      </c>
      <c r="AJ55" s="1">
        <v>8.4942365313267192E-3</v>
      </c>
      <c r="AK55" s="1">
        <v>7.9929177667514197E-3</v>
      </c>
      <c r="AL55" s="1">
        <v>8.1646868141130799E-3</v>
      </c>
      <c r="AM55" s="1">
        <v>7.0659820453003296E-3</v>
      </c>
      <c r="AN55" s="1">
        <v>7.0976616061311096E-3</v>
      </c>
      <c r="AO55" s="1">
        <v>6.3577175781551701E-3</v>
      </c>
      <c r="AP55" s="1">
        <v>5.5207806090642403E-3</v>
      </c>
      <c r="AQ55" s="1">
        <v>5.3662913221557296E-3</v>
      </c>
      <c r="AR55" s="1">
        <v>4.7062661862756101E-3</v>
      </c>
      <c r="AS55" s="1">
        <v>4.7786766110316696E-3</v>
      </c>
      <c r="AT55" s="1">
        <v>7.1866215157497304E-2</v>
      </c>
    </row>
    <row r="56" spans="1:46" ht="15.75" customHeight="1" x14ac:dyDescent="0.25">
      <c r="A56" s="1">
        <v>2</v>
      </c>
      <c r="B56" s="1" t="s">
        <v>87</v>
      </c>
      <c r="C56" s="1">
        <v>2002</v>
      </c>
      <c r="D56" s="1">
        <v>1</v>
      </c>
      <c r="E56" s="1">
        <v>3</v>
      </c>
      <c r="F56" s="1">
        <v>0</v>
      </c>
      <c r="G56" s="1">
        <v>0</v>
      </c>
      <c r="H56" s="1">
        <v>0</v>
      </c>
      <c r="I56" s="1">
        <v>0</v>
      </c>
      <c r="J56" s="5">
        <v>1.7063273224003602E-5</v>
      </c>
      <c r="K56" s="1">
        <v>1.5396049236074899E-3</v>
      </c>
      <c r="L56" s="1">
        <v>1.7566639784111701E-2</v>
      </c>
      <c r="M56" s="1">
        <v>5.06811208390201E-2</v>
      </c>
      <c r="N56" s="1">
        <v>6.9604409339393006E-2</v>
      </c>
      <c r="O56" s="1">
        <v>6.9131851467050504E-2</v>
      </c>
      <c r="P56" s="1">
        <v>7.0620622055844795E-2</v>
      </c>
      <c r="Q56" s="1">
        <v>7.3878640787052904E-2</v>
      </c>
      <c r="R56" s="1">
        <v>7.3988722598338399E-2</v>
      </c>
      <c r="S56" s="1">
        <v>6.6532072199448802E-2</v>
      </c>
      <c r="T56" s="1">
        <v>5.65795626066899E-2</v>
      </c>
      <c r="U56" s="1">
        <v>4.9860780279785501E-2</v>
      </c>
      <c r="V56" s="1">
        <v>4.5811333757861297E-2</v>
      </c>
      <c r="W56" s="1">
        <v>3.9110918148663298E-2</v>
      </c>
      <c r="X56" s="1">
        <v>3.6475590395178302E-2</v>
      </c>
      <c r="Y56" s="1">
        <v>3.2305989990968301E-2</v>
      </c>
      <c r="Z56" s="1">
        <v>2.77154955138996E-2</v>
      </c>
      <c r="AA56" s="1">
        <v>2.2154527372215599E-2</v>
      </c>
      <c r="AB56" s="1">
        <v>1.7508340267263001E-2</v>
      </c>
      <c r="AC56" s="1">
        <v>1.40307503882487E-2</v>
      </c>
      <c r="AD56" s="1">
        <v>1.26551424795164E-2</v>
      </c>
      <c r="AE56" s="1">
        <v>1.11849755983343E-2</v>
      </c>
      <c r="AF56" s="1">
        <v>8.8759829452584194E-3</v>
      </c>
      <c r="AG56" s="1">
        <v>8.1382333682261492E-3</v>
      </c>
      <c r="AH56" s="1">
        <v>7.4893550059022401E-3</v>
      </c>
      <c r="AI56" s="1">
        <v>6.7120281145865201E-3</v>
      </c>
      <c r="AJ56" s="1">
        <v>6.0337630039323797E-3</v>
      </c>
      <c r="AK56" s="1">
        <v>6.25890341452687E-3</v>
      </c>
      <c r="AL56" s="1">
        <v>4.9895854785857096E-3</v>
      </c>
      <c r="AM56" s="1">
        <v>5.0776272286234504E-3</v>
      </c>
      <c r="AN56" s="1">
        <v>5.3306139531598901E-3</v>
      </c>
      <c r="AO56" s="1">
        <v>5.2242054854157597E-3</v>
      </c>
      <c r="AP56" s="1">
        <v>5.0141139338452196E-3</v>
      </c>
      <c r="AQ56" s="1">
        <v>4.8118430491690097E-3</v>
      </c>
      <c r="AR56" s="1">
        <v>4.2871473975309004E-3</v>
      </c>
      <c r="AS56" s="1">
        <v>3.8214622324591299E-3</v>
      </c>
      <c r="AT56" s="1">
        <v>5.8980981323062502E-2</v>
      </c>
    </row>
    <row r="57" spans="1:46" ht="15.75" customHeight="1" x14ac:dyDescent="0.25">
      <c r="A57" s="1">
        <v>2</v>
      </c>
      <c r="B57" s="1" t="s">
        <v>87</v>
      </c>
      <c r="C57" s="1">
        <v>2003</v>
      </c>
      <c r="D57" s="1">
        <v>1</v>
      </c>
      <c r="E57" s="1">
        <v>6</v>
      </c>
      <c r="F57" s="1">
        <v>0</v>
      </c>
      <c r="G57" s="1">
        <v>0</v>
      </c>
      <c r="H57" s="1">
        <v>0</v>
      </c>
      <c r="I57" s="1">
        <v>0</v>
      </c>
      <c r="J57" s="5">
        <v>1.8145041380214901E-5</v>
      </c>
      <c r="K57" s="1">
        <v>1.8301850379796999E-3</v>
      </c>
      <c r="L57" s="1">
        <v>2.0960546967711598E-2</v>
      </c>
      <c r="M57" s="1">
        <v>5.7740209826122303E-2</v>
      </c>
      <c r="N57" s="1">
        <v>7.6237399416827306E-2</v>
      </c>
      <c r="O57" s="1">
        <v>8.7416088984178894E-2</v>
      </c>
      <c r="P57" s="1">
        <v>9.0394563924812696E-2</v>
      </c>
      <c r="Q57" s="1">
        <v>8.4331207936685901E-2</v>
      </c>
      <c r="R57" s="1">
        <v>8.3893710827851797E-2</v>
      </c>
      <c r="S57" s="1">
        <v>7.9002502111601203E-2</v>
      </c>
      <c r="T57" s="1">
        <v>6.4754948415999505E-2</v>
      </c>
      <c r="U57" s="1">
        <v>5.05621658638232E-2</v>
      </c>
      <c r="V57" s="1">
        <v>4.3647785033678603E-2</v>
      </c>
      <c r="W57" s="1">
        <v>3.4501228094482798E-2</v>
      </c>
      <c r="X57" s="1">
        <v>2.60323100463382E-2</v>
      </c>
      <c r="Y57" s="1">
        <v>2.3035130032182799E-2</v>
      </c>
      <c r="Z57" s="1">
        <v>1.99595455182364E-2</v>
      </c>
      <c r="AA57" s="1">
        <v>1.53789306275866E-2</v>
      </c>
      <c r="AB57" s="1">
        <v>1.4432700321536899E-2</v>
      </c>
      <c r="AC57" s="1">
        <v>1.15644397063236E-2</v>
      </c>
      <c r="AD57" s="1">
        <v>9.8162433738397097E-3</v>
      </c>
      <c r="AE57" s="1">
        <v>7.39914465170985E-3</v>
      </c>
      <c r="AF57" s="1">
        <v>5.5752319737134397E-3</v>
      </c>
      <c r="AG57" s="1">
        <v>5.8534559415434001E-3</v>
      </c>
      <c r="AH57" s="1">
        <v>4.89871314694493E-3</v>
      </c>
      <c r="AI57" s="1">
        <v>4.5669501064005101E-3</v>
      </c>
      <c r="AJ57" s="1">
        <v>4.2741653028950596E-3</v>
      </c>
      <c r="AK57" s="1">
        <v>3.8130348376954099E-3</v>
      </c>
      <c r="AL57" s="1">
        <v>3.6458092402839198E-3</v>
      </c>
      <c r="AM57" s="1">
        <v>3.1182589631184102E-3</v>
      </c>
      <c r="AN57" s="1">
        <v>3.1048181917256602E-3</v>
      </c>
      <c r="AO57" s="1">
        <v>3.1675417915585E-3</v>
      </c>
      <c r="AP57" s="1">
        <v>2.9583137835446699E-3</v>
      </c>
      <c r="AQ57" s="1">
        <v>2.8897658494416302E-3</v>
      </c>
      <c r="AR57" s="1">
        <v>2.85840404952521E-3</v>
      </c>
      <c r="AS57" s="1">
        <v>2.5528505131966498E-3</v>
      </c>
      <c r="AT57" s="1">
        <v>4.3813554547522601E-2</v>
      </c>
    </row>
    <row r="58" spans="1:46" ht="15.75" customHeight="1" x14ac:dyDescent="0.25">
      <c r="A58" s="1">
        <v>2</v>
      </c>
      <c r="B58" s="1" t="s">
        <v>87</v>
      </c>
      <c r="C58" s="1">
        <v>2004</v>
      </c>
      <c r="D58" s="1">
        <v>1</v>
      </c>
      <c r="E58" s="1">
        <v>2</v>
      </c>
      <c r="F58" s="1">
        <v>0</v>
      </c>
      <c r="G58" s="1">
        <v>0</v>
      </c>
      <c r="H58" s="1">
        <v>0</v>
      </c>
      <c r="I58" s="1">
        <v>0</v>
      </c>
      <c r="J58" s="5">
        <v>3.3984103860233299E-5</v>
      </c>
      <c r="K58" s="1">
        <v>2.7426876032806001E-3</v>
      </c>
      <c r="L58" s="1">
        <v>2.7599302754456701E-2</v>
      </c>
      <c r="M58" s="1">
        <v>7.3860991180974694E-2</v>
      </c>
      <c r="N58" s="1">
        <v>9.9945545235348501E-2</v>
      </c>
      <c r="O58" s="1">
        <v>9.7432726511570894E-2</v>
      </c>
      <c r="P58" s="1">
        <v>9.2190152188636507E-2</v>
      </c>
      <c r="Q58" s="1">
        <v>8.6306792048962799E-2</v>
      </c>
      <c r="R58" s="1">
        <v>7.4006551413437996E-2</v>
      </c>
      <c r="S58" s="1">
        <v>6.0170509978093797E-2</v>
      </c>
      <c r="T58" s="1">
        <v>5.4147203499219899E-2</v>
      </c>
      <c r="U58" s="1">
        <v>4.0978413377426498E-2</v>
      </c>
      <c r="V58" s="1">
        <v>3.3040568799665403E-2</v>
      </c>
      <c r="W58" s="1">
        <v>2.9329785352791099E-2</v>
      </c>
      <c r="X58" s="1">
        <v>2.4949745630486301E-2</v>
      </c>
      <c r="Y58" s="1">
        <v>2.3020170317501799E-2</v>
      </c>
      <c r="Z58" s="1">
        <v>1.9904760300792398E-2</v>
      </c>
      <c r="AA58" s="1">
        <v>1.6995961605782001E-2</v>
      </c>
      <c r="AB58" s="1">
        <v>1.5558504186159901E-2</v>
      </c>
      <c r="AC58" s="1">
        <v>1.2201797007233501E-2</v>
      </c>
      <c r="AD58" s="1">
        <v>1.04402374997644E-2</v>
      </c>
      <c r="AE58" s="1">
        <v>9.6863718330123406E-3</v>
      </c>
      <c r="AF58" s="1">
        <v>8.0003993884064303E-3</v>
      </c>
      <c r="AG58" s="1">
        <v>6.7780743784718401E-3</v>
      </c>
      <c r="AH58" s="1">
        <v>5.9096251402972104E-3</v>
      </c>
      <c r="AI58" s="1">
        <v>5.8344390698099697E-3</v>
      </c>
      <c r="AJ58" s="1">
        <v>5.0988185561627901E-3</v>
      </c>
      <c r="AK58" s="1">
        <v>4.6248455678112197E-3</v>
      </c>
      <c r="AL58" s="1">
        <v>4.4630451441226796E-3</v>
      </c>
      <c r="AM58" s="1">
        <v>4.2665588799160204E-3</v>
      </c>
      <c r="AN58" s="1">
        <v>3.9541858190650196E-3</v>
      </c>
      <c r="AO58" s="1">
        <v>3.8209561021616302E-3</v>
      </c>
      <c r="AP58" s="1">
        <v>3.4357026769849999E-3</v>
      </c>
      <c r="AQ58" s="1">
        <v>2.9641356428890199E-3</v>
      </c>
      <c r="AR58" s="1">
        <v>2.65527126532743E-3</v>
      </c>
      <c r="AS58" s="1">
        <v>2.2231017321667698E-3</v>
      </c>
      <c r="AT58" s="1">
        <v>3.1428078207949003E-2</v>
      </c>
    </row>
    <row r="59" spans="1:46" ht="15.75" customHeight="1" x14ac:dyDescent="0.25">
      <c r="A59" s="1">
        <v>2</v>
      </c>
      <c r="B59" s="1" t="s">
        <v>87</v>
      </c>
      <c r="C59" s="1">
        <v>2005</v>
      </c>
      <c r="D59" s="1">
        <v>1</v>
      </c>
      <c r="E59" s="1">
        <v>6</v>
      </c>
      <c r="F59" s="1">
        <v>0</v>
      </c>
      <c r="G59" s="1">
        <v>0</v>
      </c>
      <c r="H59" s="1">
        <v>0</v>
      </c>
      <c r="I59" s="1">
        <v>0</v>
      </c>
      <c r="J59" s="5">
        <v>3.0421143666279501E-5</v>
      </c>
      <c r="K59" s="1">
        <v>2.2141820644946998E-3</v>
      </c>
      <c r="L59" s="1">
        <v>2.73432397188677E-2</v>
      </c>
      <c r="M59" s="1">
        <v>8.0684542198855597E-2</v>
      </c>
      <c r="N59" s="1">
        <v>9.7176892303783E-2</v>
      </c>
      <c r="O59" s="1">
        <v>0.10183942254704401</v>
      </c>
      <c r="P59" s="1">
        <v>9.0554115593017598E-2</v>
      </c>
      <c r="Q59" s="1">
        <v>8.7260366388164104E-2</v>
      </c>
      <c r="R59" s="1">
        <v>7.9675105594175594E-2</v>
      </c>
      <c r="S59" s="1">
        <v>6.8900055806181998E-2</v>
      </c>
      <c r="T59" s="1">
        <v>6.3000569480400906E-2</v>
      </c>
      <c r="U59" s="1">
        <v>4.97908908529415E-2</v>
      </c>
      <c r="V59" s="1">
        <v>3.9321501127499603E-2</v>
      </c>
      <c r="W59" s="1">
        <v>3.1208514443524401E-2</v>
      </c>
      <c r="X59" s="1">
        <v>2.5642467712046198E-2</v>
      </c>
      <c r="Y59" s="1">
        <v>2.00290423926732E-2</v>
      </c>
      <c r="Z59" s="1">
        <v>1.5936248190176298E-2</v>
      </c>
      <c r="AA59" s="1">
        <v>1.3301453338183699E-2</v>
      </c>
      <c r="AB59" s="1">
        <v>1.15321698481474E-2</v>
      </c>
      <c r="AC59" s="1">
        <v>1.0467259393252401E-2</v>
      </c>
      <c r="AD59" s="1">
        <v>7.9929211617740994E-3</v>
      </c>
      <c r="AE59" s="1">
        <v>7.4674960305520302E-3</v>
      </c>
      <c r="AF59" s="1">
        <v>6.4924855940546302E-3</v>
      </c>
      <c r="AG59" s="1">
        <v>6.0943691144779997E-3</v>
      </c>
      <c r="AH59" s="1">
        <v>4.9628218686950101E-3</v>
      </c>
      <c r="AI59" s="1">
        <v>4.6321943128822297E-3</v>
      </c>
      <c r="AJ59" s="1">
        <v>4.1272203706795001E-3</v>
      </c>
      <c r="AK59" s="1">
        <v>3.6190935368363001E-3</v>
      </c>
      <c r="AL59" s="1">
        <v>3.2967316699188298E-3</v>
      </c>
      <c r="AM59" s="1">
        <v>3.0193624188439299E-3</v>
      </c>
      <c r="AN59" s="1">
        <v>2.8546451339506E-3</v>
      </c>
      <c r="AO59" s="1">
        <v>2.44579178013881E-3</v>
      </c>
      <c r="AP59" s="1">
        <v>2.0613094265750798E-3</v>
      </c>
      <c r="AQ59" s="1">
        <v>1.87026123581934E-3</v>
      </c>
      <c r="AR59" s="1">
        <v>1.5934884777574999E-3</v>
      </c>
      <c r="AS59" s="1">
        <v>1.3825003777078999E-3</v>
      </c>
      <c r="AT59" s="1">
        <v>2.01788473522399E-2</v>
      </c>
    </row>
    <row r="60" spans="1:46" ht="15.75" customHeight="1" x14ac:dyDescent="0.25">
      <c r="A60" s="1">
        <v>2</v>
      </c>
      <c r="B60" s="1" t="s">
        <v>87</v>
      </c>
      <c r="C60" s="1">
        <v>2006</v>
      </c>
      <c r="D60" s="1">
        <v>1</v>
      </c>
      <c r="E60" s="1">
        <v>10</v>
      </c>
      <c r="F60" s="1">
        <v>0</v>
      </c>
      <c r="G60" s="1">
        <v>0</v>
      </c>
      <c r="H60" s="1">
        <v>0</v>
      </c>
      <c r="I60" s="1">
        <v>0</v>
      </c>
      <c r="J60" s="5">
        <v>3.1693676288930303E-5</v>
      </c>
      <c r="K60" s="1">
        <v>2.56329101592521E-3</v>
      </c>
      <c r="L60" s="1">
        <v>2.69427422563733E-2</v>
      </c>
      <c r="M60" s="1">
        <v>7.4719660340776303E-2</v>
      </c>
      <c r="N60" s="1">
        <v>0.102604640006166</v>
      </c>
      <c r="O60" s="1">
        <v>0.108212775409171</v>
      </c>
      <c r="P60" s="1">
        <v>9.8511219864487895E-2</v>
      </c>
      <c r="Q60" s="1">
        <v>9.1049610561787703E-2</v>
      </c>
      <c r="R60" s="1">
        <v>8.4105837827961299E-2</v>
      </c>
      <c r="S60" s="1">
        <v>7.5261916627446496E-2</v>
      </c>
      <c r="T60" s="1">
        <v>6.05868785582322E-2</v>
      </c>
      <c r="U60" s="1">
        <v>4.8666679078580001E-2</v>
      </c>
      <c r="V60" s="1">
        <v>4.2253039367269499E-2</v>
      </c>
      <c r="W60" s="1">
        <v>3.4544028881078999E-2</v>
      </c>
      <c r="X60" s="1">
        <v>2.6747384514002201E-2</v>
      </c>
      <c r="Y60" s="1">
        <v>2.1017063927270801E-2</v>
      </c>
      <c r="Z60" s="1">
        <v>1.6256084904414599E-2</v>
      </c>
      <c r="AA60" s="1">
        <v>1.3893953478705701E-2</v>
      </c>
      <c r="AB60" s="1">
        <v>1.08814955258661E-2</v>
      </c>
      <c r="AC60" s="1">
        <v>8.3169921835254297E-3</v>
      </c>
      <c r="AD60" s="1">
        <v>6.54656264328724E-3</v>
      </c>
      <c r="AE60" s="1">
        <v>5.8881828049682904E-3</v>
      </c>
      <c r="AF60" s="1">
        <v>5.2534433317500901E-3</v>
      </c>
      <c r="AG60" s="1">
        <v>4.5711633440985002E-3</v>
      </c>
      <c r="AH60" s="1">
        <v>3.7362168228474999E-3</v>
      </c>
      <c r="AI60" s="1">
        <v>3.0093405420571202E-3</v>
      </c>
      <c r="AJ60" s="1">
        <v>2.5936857710547501E-3</v>
      </c>
      <c r="AK60" s="1">
        <v>2.0341105355928201E-3</v>
      </c>
      <c r="AL60" s="1">
        <v>1.57359968721978E-3</v>
      </c>
      <c r="AM60" s="1">
        <v>1.34438339996077E-3</v>
      </c>
      <c r="AN60" s="1">
        <v>1.0516065706359799E-3</v>
      </c>
      <c r="AO60" s="1">
        <v>1.0445058016313601E-3</v>
      </c>
      <c r="AP60" s="1">
        <v>9.8614094420310995E-4</v>
      </c>
      <c r="AQ60" s="1">
        <v>8.2299644658468101E-4</v>
      </c>
      <c r="AR60" s="1">
        <v>8.2438196248802299E-4</v>
      </c>
      <c r="AS60" s="1">
        <v>8.1364421423712802E-4</v>
      </c>
      <c r="AT60" s="1">
        <v>1.07390471720538E-2</v>
      </c>
    </row>
    <row r="61" spans="1:46" ht="15.75" customHeight="1" x14ac:dyDescent="0.25">
      <c r="A61" s="1">
        <v>2</v>
      </c>
      <c r="B61" s="1" t="s">
        <v>87</v>
      </c>
      <c r="C61" s="1">
        <v>2007</v>
      </c>
      <c r="D61" s="1">
        <v>1</v>
      </c>
      <c r="E61" s="1">
        <v>8</v>
      </c>
      <c r="F61" s="1">
        <v>0</v>
      </c>
      <c r="G61" s="1">
        <v>0</v>
      </c>
      <c r="H61" s="1">
        <v>0</v>
      </c>
      <c r="I61" s="1">
        <v>0</v>
      </c>
      <c r="J61" s="5">
        <v>2.8985343882924999E-5</v>
      </c>
      <c r="K61" s="1">
        <v>2.0547388219228999E-3</v>
      </c>
      <c r="L61" s="1">
        <v>2.3903850783449698E-2</v>
      </c>
      <c r="M61" s="1">
        <v>6.2357941621907102E-2</v>
      </c>
      <c r="N61" s="1">
        <v>8.64216143709335E-2</v>
      </c>
      <c r="O61" s="1">
        <v>9.7506696822159594E-2</v>
      </c>
      <c r="P61" s="1">
        <v>8.9480977160354205E-2</v>
      </c>
      <c r="Q61" s="1">
        <v>8.3022378295774496E-2</v>
      </c>
      <c r="R61" s="1">
        <v>7.4139376831209497E-2</v>
      </c>
      <c r="S61" s="1">
        <v>6.9071068037458702E-2</v>
      </c>
      <c r="T61" s="1">
        <v>6.4768556054837098E-2</v>
      </c>
      <c r="U61" s="1">
        <v>5.6401856028186703E-2</v>
      </c>
      <c r="V61" s="1">
        <v>4.9679973623337099E-2</v>
      </c>
      <c r="W61" s="1">
        <v>4.07084058302409E-2</v>
      </c>
      <c r="X61" s="1">
        <v>3.4771543155553898E-2</v>
      </c>
      <c r="Y61" s="1">
        <v>2.8329550477573798E-2</v>
      </c>
      <c r="Z61" s="1">
        <v>2.22246130657879E-2</v>
      </c>
      <c r="AA61" s="1">
        <v>1.7982990434031398E-2</v>
      </c>
      <c r="AB61" s="1">
        <v>1.39171920931203E-2</v>
      </c>
      <c r="AC61" s="1">
        <v>1.09379415735982E-2</v>
      </c>
      <c r="AD61" s="1">
        <v>9.3517991444492694E-3</v>
      </c>
      <c r="AE61" s="1">
        <v>8.0861057948948805E-3</v>
      </c>
      <c r="AF61" s="1">
        <v>6.64247463983698E-3</v>
      </c>
      <c r="AG61" s="1">
        <v>5.3930855462167304E-3</v>
      </c>
      <c r="AH61" s="1">
        <v>4.4328453865396904E-3</v>
      </c>
      <c r="AI61" s="1">
        <v>3.7592380719271299E-3</v>
      </c>
      <c r="AJ61" s="1">
        <v>3.2421314855713402E-3</v>
      </c>
      <c r="AK61" s="1">
        <v>2.63847144178737E-3</v>
      </c>
      <c r="AL61" s="1">
        <v>2.4233961644338602E-3</v>
      </c>
      <c r="AM61" s="1">
        <v>2.2677005846182801E-3</v>
      </c>
      <c r="AN61" s="1">
        <v>2.1144204501262901E-3</v>
      </c>
      <c r="AO61" s="1">
        <v>1.7798812728108599E-3</v>
      </c>
      <c r="AP61" s="1">
        <v>1.59721322021535E-3</v>
      </c>
      <c r="AQ61" s="1">
        <v>1.3550648265267401E-3</v>
      </c>
      <c r="AR61" s="1">
        <v>1.2821988925988299E-3</v>
      </c>
      <c r="AS61" s="1">
        <v>1.17189355615548E-3</v>
      </c>
      <c r="AT61" s="1">
        <v>1.47518290959713E-2</v>
      </c>
    </row>
    <row r="62" spans="1:46" ht="15.75" customHeight="1" x14ac:dyDescent="0.25">
      <c r="A62" s="1">
        <v>2</v>
      </c>
      <c r="B62" s="1" t="s">
        <v>87</v>
      </c>
      <c r="C62" s="1">
        <v>2008</v>
      </c>
      <c r="D62" s="1">
        <v>1</v>
      </c>
      <c r="E62" s="1">
        <v>4</v>
      </c>
      <c r="F62" s="1">
        <v>0</v>
      </c>
      <c r="G62" s="1">
        <v>0</v>
      </c>
      <c r="H62" s="1">
        <v>0</v>
      </c>
      <c r="I62" s="1">
        <v>0</v>
      </c>
      <c r="J62" s="5">
        <v>3.10605950795876E-5</v>
      </c>
      <c r="K62" s="1">
        <v>2.3635633779610001E-3</v>
      </c>
      <c r="L62" s="1">
        <v>2.6763879426911299E-2</v>
      </c>
      <c r="M62" s="1">
        <v>6.9713780067518799E-2</v>
      </c>
      <c r="N62" s="1">
        <v>9.55759161864847E-2</v>
      </c>
      <c r="O62" s="1">
        <v>9.1328798880872003E-2</v>
      </c>
      <c r="P62" s="1">
        <v>9.5822034425591507E-2</v>
      </c>
      <c r="Q62" s="1">
        <v>8.89705601763532E-2</v>
      </c>
      <c r="R62" s="1">
        <v>8.7015813392677804E-2</v>
      </c>
      <c r="S62" s="1">
        <v>7.5086572780841299E-2</v>
      </c>
      <c r="T62" s="1">
        <v>5.9246655340889097E-2</v>
      </c>
      <c r="U62" s="1">
        <v>5.2539341694845497E-2</v>
      </c>
      <c r="V62" s="1">
        <v>4.1587178659655499E-2</v>
      </c>
      <c r="W62" s="1">
        <v>3.5771945025310399E-2</v>
      </c>
      <c r="X62" s="1">
        <v>3.0281615076004301E-2</v>
      </c>
      <c r="Y62" s="1">
        <v>2.6921548923839099E-2</v>
      </c>
      <c r="Z62" s="1">
        <v>2.08194731590607E-2</v>
      </c>
      <c r="AA62" s="1">
        <v>1.6575511215487899E-2</v>
      </c>
      <c r="AB62" s="1">
        <v>1.4563474889776801E-2</v>
      </c>
      <c r="AC62" s="1">
        <v>1.10500778634886E-2</v>
      </c>
      <c r="AD62" s="1">
        <v>9.2318990930996495E-3</v>
      </c>
      <c r="AE62" s="1">
        <v>6.7718013577325702E-3</v>
      </c>
      <c r="AF62" s="1">
        <v>4.9412969543755399E-3</v>
      </c>
      <c r="AG62" s="1">
        <v>4.4214510583133601E-3</v>
      </c>
      <c r="AH62" s="1">
        <v>3.4905206514994299E-3</v>
      </c>
      <c r="AI62" s="1">
        <v>3.2068338831058702E-3</v>
      </c>
      <c r="AJ62" s="1">
        <v>2.77474649377649E-3</v>
      </c>
      <c r="AK62" s="1">
        <v>2.3517307703116298E-3</v>
      </c>
      <c r="AL62" s="1">
        <v>2.10590834639604E-3</v>
      </c>
      <c r="AM62" s="1">
        <v>1.88917441628514E-3</v>
      </c>
      <c r="AN62" s="1">
        <v>1.52650499183205E-3</v>
      </c>
      <c r="AO62" s="1">
        <v>1.2100813422752401E-3</v>
      </c>
      <c r="AP62" s="1">
        <v>1.14657968122363E-3</v>
      </c>
      <c r="AQ62" s="1">
        <v>1.0706537821402E-3</v>
      </c>
      <c r="AR62" s="1">
        <v>9.6139937151104495E-4</v>
      </c>
      <c r="AS62" s="1">
        <v>8.9809492058693296E-4</v>
      </c>
      <c r="AT62" s="1">
        <v>9.9725217268862593E-3</v>
      </c>
    </row>
    <row r="63" spans="1:46" ht="15.75" customHeight="1" x14ac:dyDescent="0.25">
      <c r="A63" s="1">
        <v>2</v>
      </c>
      <c r="B63" s="1" t="s">
        <v>87</v>
      </c>
      <c r="C63" s="1">
        <v>2009</v>
      </c>
      <c r="D63" s="1">
        <v>1</v>
      </c>
      <c r="E63" s="1">
        <v>5</v>
      </c>
      <c r="F63" s="1">
        <v>0</v>
      </c>
      <c r="G63" s="1">
        <v>0</v>
      </c>
      <c r="H63" s="1">
        <v>0</v>
      </c>
      <c r="I63" s="1">
        <v>0</v>
      </c>
      <c r="J63" s="5">
        <v>2.20247661153378E-5</v>
      </c>
      <c r="K63" s="1">
        <v>2.09738701321203E-3</v>
      </c>
      <c r="L63" s="1">
        <v>2.35411188224595E-2</v>
      </c>
      <c r="M63" s="1">
        <v>7.1423379876558502E-2</v>
      </c>
      <c r="N63" s="1">
        <v>9.3768239259439307E-2</v>
      </c>
      <c r="O63" s="1">
        <v>9.6173343719234097E-2</v>
      </c>
      <c r="P63" s="1">
        <v>8.9722079964374396E-2</v>
      </c>
      <c r="Q63" s="1">
        <v>8.8370598363601796E-2</v>
      </c>
      <c r="R63" s="1">
        <v>8.4490778492627094E-2</v>
      </c>
      <c r="S63" s="1">
        <v>8.1760966052388903E-2</v>
      </c>
      <c r="T63" s="1">
        <v>7.04612122368342E-2</v>
      </c>
      <c r="U63" s="1">
        <v>6.0480007752717703E-2</v>
      </c>
      <c r="V63" s="1">
        <v>4.8603309944779703E-2</v>
      </c>
      <c r="W63" s="1">
        <v>3.7699058000753197E-2</v>
      </c>
      <c r="X63" s="1">
        <v>3.2392452804859202E-2</v>
      </c>
      <c r="Y63" s="1">
        <v>2.6675662560026701E-2</v>
      </c>
      <c r="Z63" s="1">
        <v>2.0780366829821199E-2</v>
      </c>
      <c r="AA63" s="1">
        <v>1.59081739255926E-2</v>
      </c>
      <c r="AB63" s="1">
        <v>1.16239373968048E-2</v>
      </c>
      <c r="AC63" s="1">
        <v>9.1037797540169194E-3</v>
      </c>
      <c r="AD63" s="1">
        <v>7.9367817894199499E-3</v>
      </c>
      <c r="AE63" s="1">
        <v>6.7029753676064599E-3</v>
      </c>
      <c r="AF63" s="1">
        <v>4.9159277969433998E-3</v>
      </c>
      <c r="AG63" s="1">
        <v>3.4755080930003101E-3</v>
      </c>
      <c r="AH63" s="1">
        <v>2.3679769969147499E-3</v>
      </c>
      <c r="AI63" s="1">
        <v>1.81966520048148E-3</v>
      </c>
      <c r="AJ63" s="1">
        <v>1.4347561926562899E-3</v>
      </c>
      <c r="AK63" s="1">
        <v>1.2569848661539199E-3</v>
      </c>
      <c r="AL63" s="1">
        <v>1.00212685824787E-3</v>
      </c>
      <c r="AM63" s="1">
        <v>6.7962135441613895E-4</v>
      </c>
      <c r="AN63" s="1">
        <v>6.2760095444848397E-4</v>
      </c>
      <c r="AO63" s="1">
        <v>4.1008016909986102E-4</v>
      </c>
      <c r="AP63" s="1">
        <v>2.6723382886609899E-4</v>
      </c>
      <c r="AQ63" s="1">
        <v>2.1143775470724299E-4</v>
      </c>
      <c r="AR63" s="1">
        <v>1.9633505794244E-4</v>
      </c>
      <c r="AS63" s="1">
        <v>1.3655354991509399E-4</v>
      </c>
      <c r="AT63" s="1">
        <v>1.4605566329628299E-3</v>
      </c>
    </row>
    <row r="64" spans="1:46" ht="15.75" customHeight="1" x14ac:dyDescent="0.25">
      <c r="A64" s="1">
        <v>2</v>
      </c>
      <c r="B64" s="1" t="s">
        <v>87</v>
      </c>
      <c r="C64" s="1">
        <v>2010</v>
      </c>
      <c r="D64" s="1">
        <v>1</v>
      </c>
      <c r="E64" s="1">
        <v>7</v>
      </c>
      <c r="F64" s="1">
        <v>0</v>
      </c>
      <c r="G64" s="1">
        <v>0</v>
      </c>
      <c r="H64" s="1">
        <v>0</v>
      </c>
      <c r="I64" s="1">
        <v>0</v>
      </c>
      <c r="J64" s="5">
        <v>1.93128099002981E-5</v>
      </c>
      <c r="K64" s="1">
        <v>2.0883302133948801E-3</v>
      </c>
      <c r="L64" s="1">
        <v>2.4723155645224499E-2</v>
      </c>
      <c r="M64" s="1">
        <v>6.4465628875494702E-2</v>
      </c>
      <c r="N64" s="1">
        <v>8.6173757775130297E-2</v>
      </c>
      <c r="O64" s="1">
        <v>9.4260837749369997E-2</v>
      </c>
      <c r="P64" s="1">
        <v>8.6231696204831204E-2</v>
      </c>
      <c r="Q64" s="1">
        <v>9.0662500476188096E-2</v>
      </c>
      <c r="R64" s="1">
        <v>8.8324589334850906E-2</v>
      </c>
      <c r="S64" s="1">
        <v>7.6912947084916999E-2</v>
      </c>
      <c r="T64" s="1">
        <v>6.7446274574887402E-2</v>
      </c>
      <c r="U64" s="1">
        <v>5.5027501122955E-2</v>
      </c>
      <c r="V64" s="1">
        <v>4.4534915172727098E-2</v>
      </c>
      <c r="W64" s="1">
        <v>3.7386734879794201E-2</v>
      </c>
      <c r="X64" s="1">
        <v>3.3941732828073397E-2</v>
      </c>
      <c r="Y64" s="1">
        <v>2.65740019654498E-2</v>
      </c>
      <c r="Z64" s="1">
        <v>2.34783283213762E-2</v>
      </c>
      <c r="AA64" s="1">
        <v>1.8806432269285901E-2</v>
      </c>
      <c r="AB64" s="1">
        <v>1.53908238897761E-2</v>
      </c>
      <c r="AC64" s="1">
        <v>1.40151575845702E-2</v>
      </c>
      <c r="AD64" s="1">
        <v>1.02294223867513E-2</v>
      </c>
      <c r="AE64" s="1">
        <v>8.0617186469530196E-3</v>
      </c>
      <c r="AF64" s="1">
        <v>6.0886286069192696E-3</v>
      </c>
      <c r="AG64" s="1">
        <v>5.1049486740854001E-3</v>
      </c>
      <c r="AH64" s="1">
        <v>3.5718086881540399E-3</v>
      </c>
      <c r="AI64" s="1">
        <v>3.1401355525803401E-3</v>
      </c>
      <c r="AJ64" s="1">
        <v>2.3321809669711699E-3</v>
      </c>
      <c r="AK64" s="1">
        <v>1.6330996943164199E-3</v>
      </c>
      <c r="AL64" s="1">
        <v>1.1725634582323899E-3</v>
      </c>
      <c r="AM64" s="1">
        <v>1.01795486468989E-3</v>
      </c>
      <c r="AN64" s="1">
        <v>8.8541805389059198E-4</v>
      </c>
      <c r="AO64" s="1">
        <v>6.9738344321296404E-4</v>
      </c>
      <c r="AP64" s="1">
        <v>5.9593813406634295E-4</v>
      </c>
      <c r="AQ64" s="1">
        <v>5.1698906502336596E-4</v>
      </c>
      <c r="AR64" s="1">
        <v>4.8685259243169199E-4</v>
      </c>
      <c r="AS64" s="1">
        <v>4.0779740904860299E-4</v>
      </c>
      <c r="AT64" s="1">
        <v>3.5925009844757902E-3</v>
      </c>
    </row>
    <row r="65" spans="1:46" ht="15.75" customHeight="1" x14ac:dyDescent="0.25">
      <c r="A65" s="1">
        <v>2</v>
      </c>
      <c r="B65" s="1" t="s">
        <v>87</v>
      </c>
      <c r="C65" s="1">
        <v>2011</v>
      </c>
      <c r="D65" s="1">
        <v>1</v>
      </c>
      <c r="E65" s="1">
        <v>6</v>
      </c>
      <c r="F65" s="1">
        <v>0</v>
      </c>
      <c r="G65" s="1">
        <v>0</v>
      </c>
      <c r="H65" s="1">
        <v>0</v>
      </c>
      <c r="I65" s="1">
        <v>0</v>
      </c>
      <c r="J65" s="5">
        <v>1.67850266917746E-5</v>
      </c>
      <c r="K65" s="1">
        <v>1.43123056864498E-3</v>
      </c>
      <c r="L65" s="1">
        <v>1.8208888224311E-2</v>
      </c>
      <c r="M65" s="1">
        <v>5.7100818546390097E-2</v>
      </c>
      <c r="N65" s="1">
        <v>8.3525977336324803E-2</v>
      </c>
      <c r="O65" s="1">
        <v>9.4077720609750906E-2</v>
      </c>
      <c r="P65" s="1">
        <v>9.4019075364053406E-2</v>
      </c>
      <c r="Q65" s="1">
        <v>8.1970701326518597E-2</v>
      </c>
      <c r="R65" s="1">
        <v>8.2676388881639307E-2</v>
      </c>
      <c r="S65" s="1">
        <v>7.7865534127694994E-2</v>
      </c>
      <c r="T65" s="1">
        <v>6.4964808246934E-2</v>
      </c>
      <c r="U65" s="1">
        <v>5.9021885320808397E-2</v>
      </c>
      <c r="V65" s="1">
        <v>4.7888909324317698E-2</v>
      </c>
      <c r="W65" s="1">
        <v>3.96109230812847E-2</v>
      </c>
      <c r="X65" s="1">
        <v>3.1085869433166598E-2</v>
      </c>
      <c r="Y65" s="1">
        <v>2.6180752425666601E-2</v>
      </c>
      <c r="Z65" s="1">
        <v>2.15544306176081E-2</v>
      </c>
      <c r="AA65" s="1">
        <v>1.6984093014430102E-2</v>
      </c>
      <c r="AB65" s="1">
        <v>1.58057636711228E-2</v>
      </c>
      <c r="AC65" s="1">
        <v>1.4225310121279E-2</v>
      </c>
      <c r="AD65" s="1">
        <v>1.27707442716235E-2</v>
      </c>
      <c r="AE65" s="1">
        <v>9.3225471114248403E-3</v>
      </c>
      <c r="AF65" s="1">
        <v>8.2036817956048398E-3</v>
      </c>
      <c r="AG65" s="1">
        <v>6.7598624569410303E-3</v>
      </c>
      <c r="AH65" s="1">
        <v>5.7930858585843103E-3</v>
      </c>
      <c r="AI65" s="1">
        <v>5.0966095985993899E-3</v>
      </c>
      <c r="AJ65" s="1">
        <v>4.0822413087080603E-3</v>
      </c>
      <c r="AK65" s="1">
        <v>3.5584256586562199E-3</v>
      </c>
      <c r="AL65" s="1">
        <v>2.74967394573913E-3</v>
      </c>
      <c r="AM65" s="1">
        <v>2.0904522571920498E-3</v>
      </c>
      <c r="AN65" s="1">
        <v>1.6657092037111699E-3</v>
      </c>
      <c r="AO65" s="1">
        <v>1.3464866533962601E-3</v>
      </c>
      <c r="AP65" s="1">
        <v>1.06277876321578E-3</v>
      </c>
      <c r="AQ65" s="1">
        <v>8.9349562816580703E-4</v>
      </c>
      <c r="AR65" s="1">
        <v>7.1295424350549996E-4</v>
      </c>
      <c r="AS65" s="1">
        <v>6.0548913358864998E-4</v>
      </c>
      <c r="AT65" s="1">
        <v>5.0698968427057697E-3</v>
      </c>
    </row>
    <row r="66" spans="1:46" ht="15.75" customHeight="1" x14ac:dyDescent="0.25">
      <c r="A66" s="1">
        <v>2</v>
      </c>
      <c r="B66" s="1" t="s">
        <v>87</v>
      </c>
      <c r="C66" s="1">
        <v>2012</v>
      </c>
      <c r="D66" s="1">
        <v>1</v>
      </c>
      <c r="E66" s="1">
        <v>9</v>
      </c>
      <c r="F66" s="1">
        <v>0</v>
      </c>
      <c r="G66" s="1">
        <v>0</v>
      </c>
      <c r="H66" s="1">
        <v>0</v>
      </c>
      <c r="I66" s="1">
        <v>0</v>
      </c>
      <c r="J66" s="5">
        <v>1.68228176703879E-5</v>
      </c>
      <c r="K66" s="1">
        <v>1.3714760465145901E-3</v>
      </c>
      <c r="L66" s="1">
        <v>1.54616685020472E-2</v>
      </c>
      <c r="M66" s="1">
        <v>4.4813487835645399E-2</v>
      </c>
      <c r="N66" s="1">
        <v>6.61018475034897E-2</v>
      </c>
      <c r="O66" s="1">
        <v>7.2422729758673296E-2</v>
      </c>
      <c r="P66" s="1">
        <v>7.0983629316374794E-2</v>
      </c>
      <c r="Q66" s="1">
        <v>7.1965015867997806E-2</v>
      </c>
      <c r="R66" s="1">
        <v>7.2829142383581694E-2</v>
      </c>
      <c r="S66" s="1">
        <v>7.3137283103286904E-2</v>
      </c>
      <c r="T66" s="1">
        <v>6.6331870386685796E-2</v>
      </c>
      <c r="U66" s="1">
        <v>5.92754479054384E-2</v>
      </c>
      <c r="V66" s="1">
        <v>5.0770347635198998E-2</v>
      </c>
      <c r="W66" s="1">
        <v>4.46224405894282E-2</v>
      </c>
      <c r="X66" s="1">
        <v>4.0434808208635598E-2</v>
      </c>
      <c r="Y66" s="1">
        <v>3.7343657102339597E-2</v>
      </c>
      <c r="Z66" s="1">
        <v>3.0430145290015E-2</v>
      </c>
      <c r="AA66" s="1">
        <v>2.8441971397712099E-2</v>
      </c>
      <c r="AB66" s="1">
        <v>2.59304579695642E-2</v>
      </c>
      <c r="AC66" s="1">
        <v>2.0908930176228999E-2</v>
      </c>
      <c r="AD66" s="1">
        <v>1.7744408266133001E-2</v>
      </c>
      <c r="AE66" s="1">
        <v>1.49651455369439E-2</v>
      </c>
      <c r="AF66" s="1">
        <v>1.26514251383364E-2</v>
      </c>
      <c r="AG66" s="1">
        <v>1.0850217709746601E-2</v>
      </c>
      <c r="AH66" s="1">
        <v>9.1896723556383602E-3</v>
      </c>
      <c r="AI66" s="1">
        <v>7.1600243880887496E-3</v>
      </c>
      <c r="AJ66" s="1">
        <v>6.0379757619841096E-3</v>
      </c>
      <c r="AK66" s="1">
        <v>4.5977926631028398E-3</v>
      </c>
      <c r="AL66" s="1">
        <v>3.92204839291706E-3</v>
      </c>
      <c r="AM66" s="1">
        <v>3.08057438429528E-3</v>
      </c>
      <c r="AN66" s="1">
        <v>2.62635830719481E-3</v>
      </c>
      <c r="AO66" s="1">
        <v>2.2087859913565702E-3</v>
      </c>
      <c r="AP66" s="1">
        <v>1.67895051601495E-3</v>
      </c>
      <c r="AQ66" s="1">
        <v>1.4347698159675401E-3</v>
      </c>
      <c r="AR66" s="1">
        <v>1.2472203833253899E-3</v>
      </c>
      <c r="AS66" s="1">
        <v>9.8030389504027505E-4</v>
      </c>
      <c r="AT66" s="1">
        <v>6.0311466973852401E-3</v>
      </c>
    </row>
    <row r="67" spans="1:46" ht="15.75" customHeight="1" x14ac:dyDescent="0.25">
      <c r="A67" s="1">
        <v>2</v>
      </c>
      <c r="B67" s="1" t="s">
        <v>87</v>
      </c>
      <c r="C67" s="1">
        <v>2013</v>
      </c>
      <c r="D67" s="1">
        <v>1</v>
      </c>
      <c r="E67" s="1">
        <v>8</v>
      </c>
      <c r="F67" s="1">
        <v>0</v>
      </c>
      <c r="G67" s="1">
        <v>0</v>
      </c>
      <c r="H67" s="1">
        <v>0</v>
      </c>
      <c r="I67" s="1">
        <v>0</v>
      </c>
      <c r="J67" s="5">
        <v>2.44283619273839E-5</v>
      </c>
      <c r="K67" s="1">
        <v>2.2589321095492199E-3</v>
      </c>
      <c r="L67" s="1">
        <v>2.6423306408746201E-2</v>
      </c>
      <c r="M67" s="1">
        <v>7.0562245252226902E-2</v>
      </c>
      <c r="N67" s="1">
        <v>9.3618240243030004E-2</v>
      </c>
      <c r="O67" s="1">
        <v>8.8702608545755401E-2</v>
      </c>
      <c r="P67" s="1">
        <v>8.34399097441164E-2</v>
      </c>
      <c r="Q67" s="1">
        <v>8.2819060621169505E-2</v>
      </c>
      <c r="R67" s="1">
        <v>7.3115009073638507E-2</v>
      </c>
      <c r="S67" s="1">
        <v>6.4580062054952994E-2</v>
      </c>
      <c r="T67" s="1">
        <v>5.5356857461775703E-2</v>
      </c>
      <c r="U67" s="1">
        <v>5.0881281963561002E-2</v>
      </c>
      <c r="V67" s="1">
        <v>4.7424438294591503E-2</v>
      </c>
      <c r="W67" s="1">
        <v>3.7963057172622203E-2</v>
      </c>
      <c r="X67" s="1">
        <v>3.7127192373465401E-2</v>
      </c>
      <c r="Y67" s="1">
        <v>3.18241637290217E-2</v>
      </c>
      <c r="Z67" s="1">
        <v>2.7023875382168501E-2</v>
      </c>
      <c r="AA67" s="1">
        <v>2.1657356042338E-2</v>
      </c>
      <c r="AB67" s="1">
        <v>1.6953744090093599E-2</v>
      </c>
      <c r="AC67" s="1">
        <v>1.43942970375887E-2</v>
      </c>
      <c r="AD67" s="1">
        <v>1.04780388450132E-2</v>
      </c>
      <c r="AE67" s="1">
        <v>9.6203959307419006E-3</v>
      </c>
      <c r="AF67" s="1">
        <v>9.0391852818658396E-3</v>
      </c>
      <c r="AG67" s="1">
        <v>7.7371074998873598E-3</v>
      </c>
      <c r="AH67" s="1">
        <v>6.1594040493697204E-3</v>
      </c>
      <c r="AI67" s="1">
        <v>5.2129202528058902E-3</v>
      </c>
      <c r="AJ67" s="1">
        <v>3.9546291573010197E-3</v>
      </c>
      <c r="AK67" s="1">
        <v>3.1920494439263598E-3</v>
      </c>
      <c r="AL67" s="1">
        <v>2.7585612478375999E-3</v>
      </c>
      <c r="AM67" s="1">
        <v>2.17377852717027E-3</v>
      </c>
      <c r="AN67" s="1">
        <v>2.0896619978920199E-3</v>
      </c>
      <c r="AO67" s="1">
        <v>1.6740341607595899E-3</v>
      </c>
      <c r="AP67" s="1">
        <v>1.5689461132229201E-3</v>
      </c>
      <c r="AQ67" s="1">
        <v>1.16749133513327E-3</v>
      </c>
      <c r="AR67" s="1">
        <v>9.6203959307418995E-4</v>
      </c>
      <c r="AS67" s="1">
        <v>8.4416122396233301E-4</v>
      </c>
      <c r="AT67" s="1">
        <v>5.2175293776978498E-3</v>
      </c>
    </row>
    <row r="68" spans="1:46" ht="15.75" customHeight="1" x14ac:dyDescent="0.25">
      <c r="A68" s="1">
        <v>2</v>
      </c>
      <c r="B68" s="1" t="s">
        <v>87</v>
      </c>
      <c r="C68" s="1">
        <v>2014</v>
      </c>
      <c r="D68" s="1">
        <v>1</v>
      </c>
      <c r="E68" s="1">
        <v>5</v>
      </c>
      <c r="F68" s="1">
        <v>0</v>
      </c>
      <c r="G68" s="1">
        <v>0</v>
      </c>
      <c r="H68" s="1">
        <v>0</v>
      </c>
      <c r="I68" s="1">
        <v>0</v>
      </c>
      <c r="J68" s="5">
        <v>1.6717437784403001E-5</v>
      </c>
      <c r="K68" s="1">
        <v>1.5395593866566501E-3</v>
      </c>
      <c r="L68" s="1">
        <v>1.83277546984262E-2</v>
      </c>
      <c r="M68" s="1">
        <v>5.1862934893938499E-2</v>
      </c>
      <c r="N68" s="1">
        <v>6.7332590897666106E-2</v>
      </c>
      <c r="O68" s="1">
        <v>6.4547776784882896E-2</v>
      </c>
      <c r="P68" s="1">
        <v>6.9655440000046698E-2</v>
      </c>
      <c r="Q68" s="1">
        <v>6.6418185928621601E-2</v>
      </c>
      <c r="R68" s="1">
        <v>5.6766975829111999E-2</v>
      </c>
      <c r="S68" s="1">
        <v>5.5049356291170297E-2</v>
      </c>
      <c r="T68" s="1">
        <v>5.3212479217406197E-2</v>
      </c>
      <c r="U68" s="1">
        <v>5.37927298195741E-2</v>
      </c>
      <c r="V68" s="1">
        <v>5.2033997048011503E-2</v>
      </c>
      <c r="W68" s="1">
        <v>5.0373916598258003E-2</v>
      </c>
      <c r="X68" s="1">
        <v>4.8594092640653397E-2</v>
      </c>
      <c r="Y68" s="1">
        <v>4.14631334815483E-2</v>
      </c>
      <c r="Z68" s="1">
        <v>3.5946379012695297E-2</v>
      </c>
      <c r="AA68" s="1">
        <v>2.9371177465515898E-2</v>
      </c>
      <c r="AB68" s="1">
        <v>2.7951653169927499E-2</v>
      </c>
      <c r="AC68" s="1">
        <v>2.4253503226562698E-2</v>
      </c>
      <c r="AD68" s="1">
        <v>2.03326808996858E-2</v>
      </c>
      <c r="AE68" s="1">
        <v>1.59544616994753E-2</v>
      </c>
      <c r="AF68" s="1">
        <v>1.4295741971401901E-2</v>
      </c>
      <c r="AG68" s="1">
        <v>1.29532928395521E-2</v>
      </c>
      <c r="AH68" s="1">
        <v>1.1225953861038101E-2</v>
      </c>
      <c r="AI68" s="1">
        <v>9.1487150219202607E-3</v>
      </c>
      <c r="AJ68" s="1">
        <v>8.2768812025824992E-3</v>
      </c>
      <c r="AK68" s="1">
        <v>6.36817746298886E-3</v>
      </c>
      <c r="AL68" s="1">
        <v>5.1957213467490101E-3</v>
      </c>
      <c r="AM68" s="1">
        <v>4.4615148059154097E-3</v>
      </c>
      <c r="AN68" s="1">
        <v>3.8083683994550102E-3</v>
      </c>
      <c r="AO68" s="1">
        <v>3.2696198085309098E-3</v>
      </c>
      <c r="AP68" s="1">
        <v>2.5799283055185601E-3</v>
      </c>
      <c r="AQ68" s="1">
        <v>2.1572298350280498E-3</v>
      </c>
      <c r="AR68" s="1">
        <v>1.83114260382647E-3</v>
      </c>
      <c r="AS68" s="1">
        <v>1.4565553641689699E-3</v>
      </c>
      <c r="AT68" s="1">
        <v>8.1736607437043803E-3</v>
      </c>
    </row>
    <row r="69" spans="1:46" ht="15.75" customHeight="1" x14ac:dyDescent="0.25">
      <c r="A69" s="1">
        <v>2</v>
      </c>
      <c r="B69" s="1" t="s">
        <v>87</v>
      </c>
      <c r="C69" s="1">
        <v>2015</v>
      </c>
      <c r="D69" s="1">
        <v>1</v>
      </c>
      <c r="E69" s="1">
        <v>5</v>
      </c>
      <c r="F69" s="1">
        <v>0</v>
      </c>
      <c r="G69" s="1">
        <v>0</v>
      </c>
      <c r="H69" s="1">
        <v>0</v>
      </c>
      <c r="I69" s="1">
        <v>0</v>
      </c>
      <c r="J69" s="5">
        <v>2.4586797994754899E-5</v>
      </c>
      <c r="K69" s="1">
        <v>2.0057413556822099E-3</v>
      </c>
      <c r="L69" s="1">
        <v>2.3246028019701499E-2</v>
      </c>
      <c r="M69" s="1">
        <v>6.3652174854540305E-2</v>
      </c>
      <c r="N69" s="1">
        <v>8.0512515187704997E-2</v>
      </c>
      <c r="O69" s="1">
        <v>7.7148184067597006E-2</v>
      </c>
      <c r="P69" s="1">
        <v>7.3120234968584705E-2</v>
      </c>
      <c r="Q69" s="1">
        <v>7.5801774918691597E-2</v>
      </c>
      <c r="R69" s="1">
        <v>7.3951900328278794E-2</v>
      </c>
      <c r="S69" s="1">
        <v>7.20449572984838E-2</v>
      </c>
      <c r="T69" s="1">
        <v>6.3800710693802207E-2</v>
      </c>
      <c r="U69" s="1">
        <v>5.6358129043921998E-2</v>
      </c>
      <c r="V69" s="1">
        <v>4.9340064401621003E-2</v>
      </c>
      <c r="W69" s="1">
        <v>4.3007723299724201E-2</v>
      </c>
      <c r="X69" s="1">
        <v>3.4854605744491E-2</v>
      </c>
      <c r="Y69" s="1">
        <v>2.9611527463848101E-2</v>
      </c>
      <c r="Z69" s="1">
        <v>2.9964314180029698E-2</v>
      </c>
      <c r="AA69" s="1">
        <v>2.4115024710295901E-2</v>
      </c>
      <c r="AB69" s="1">
        <v>2.0668700002379699E-2</v>
      </c>
      <c r="AC69" s="1">
        <v>1.7261962294904599E-2</v>
      </c>
      <c r="AD69" s="1">
        <v>1.4969750907540399E-2</v>
      </c>
      <c r="AE69" s="1">
        <v>1.31223575536226E-2</v>
      </c>
      <c r="AF69" s="1">
        <v>1.2684080961844601E-2</v>
      </c>
      <c r="AG69" s="1">
        <v>1.07133024840448E-2</v>
      </c>
      <c r="AH69" s="1">
        <v>9.7814853967390005E-3</v>
      </c>
      <c r="AI69" s="1">
        <v>7.2686695282842299E-3</v>
      </c>
      <c r="AJ69" s="1">
        <v>5.3346584639995696E-3</v>
      </c>
      <c r="AK69" s="1">
        <v>3.87490192066878E-3</v>
      </c>
      <c r="AL69" s="1">
        <v>3.0618458346862599E-3</v>
      </c>
      <c r="AM69" s="1">
        <v>2.9795138964469501E-3</v>
      </c>
      <c r="AN69" s="1">
        <v>2.3440917868026798E-3</v>
      </c>
      <c r="AO69" s="1">
        <v>1.54287796590939E-3</v>
      </c>
      <c r="AP69" s="1">
        <v>9.4106533242309398E-4</v>
      </c>
      <c r="AQ69" s="1">
        <v>4.9737513374710496E-4</v>
      </c>
      <c r="AR69" s="1">
        <v>2.2669478885072099E-4</v>
      </c>
      <c r="AS69" s="1">
        <v>1.66468412111275E-4</v>
      </c>
      <c r="AT69" s="5">
        <v>0</v>
      </c>
    </row>
    <row r="70" spans="1:46" ht="15.75" customHeight="1" x14ac:dyDescent="0.25">
      <c r="A70" s="1">
        <v>2</v>
      </c>
      <c r="B70" s="1" t="s">
        <v>87</v>
      </c>
      <c r="C70" s="1">
        <v>2016</v>
      </c>
      <c r="D70" s="1">
        <v>1</v>
      </c>
      <c r="E70" s="1">
        <v>6</v>
      </c>
      <c r="F70" s="1">
        <v>0</v>
      </c>
      <c r="G70" s="1">
        <v>0</v>
      </c>
      <c r="H70" s="1">
        <v>0</v>
      </c>
      <c r="I70" s="1">
        <v>0</v>
      </c>
      <c r="J70" s="5">
        <v>1.6841069980540101E-5</v>
      </c>
      <c r="K70" s="1">
        <v>1.3986508618838601E-3</v>
      </c>
      <c r="L70" s="1">
        <v>1.5056665054602E-2</v>
      </c>
      <c r="M70" s="1">
        <v>4.6099902911231602E-2</v>
      </c>
      <c r="N70" s="1">
        <v>5.9846426282847497E-2</v>
      </c>
      <c r="O70" s="1">
        <v>6.2792490791443306E-2</v>
      </c>
      <c r="P70" s="1">
        <v>6.6233963441966706E-2</v>
      </c>
      <c r="Q70" s="1">
        <v>6.6163230948048393E-2</v>
      </c>
      <c r="R70" s="1">
        <v>6.16453332412688E-2</v>
      </c>
      <c r="S70" s="1">
        <v>6.2155430538679397E-2</v>
      </c>
      <c r="T70" s="1">
        <v>6.2266113793051497E-2</v>
      </c>
      <c r="U70" s="1">
        <v>5.3970015597637699E-2</v>
      </c>
      <c r="V70" s="1">
        <v>4.8506398249950899E-2</v>
      </c>
      <c r="W70" s="1">
        <v>4.1201677707391499E-2</v>
      </c>
      <c r="X70" s="1">
        <v>4.1370556214696298E-2</v>
      </c>
      <c r="Y70" s="1">
        <v>3.95807247217645E-2</v>
      </c>
      <c r="Z70" s="1">
        <v>3.3358323609954499E-2</v>
      </c>
      <c r="AA70" s="1">
        <v>3.20850451579257E-2</v>
      </c>
      <c r="AB70" s="1">
        <v>2.79365282527194E-2</v>
      </c>
      <c r="AC70" s="1">
        <v>2.6787967280046499E-2</v>
      </c>
      <c r="AD70" s="1">
        <v>2.22349840108075E-2</v>
      </c>
      <c r="AE70" s="1">
        <v>2.0244088854607999E-2</v>
      </c>
      <c r="AF70" s="1">
        <v>1.66217618247936E-2</v>
      </c>
      <c r="AG70" s="1">
        <v>1.3790965084064501E-2</v>
      </c>
      <c r="AH70" s="1">
        <v>1.1233274361519999E-2</v>
      </c>
      <c r="AI70" s="1">
        <v>1.0305986336091401E-2</v>
      </c>
      <c r="AJ70" s="1">
        <v>9.2951478912594605E-3</v>
      </c>
      <c r="AK70" s="1">
        <v>8.6450825900106099E-3</v>
      </c>
      <c r="AL70" s="1">
        <v>6.7364279922160599E-3</v>
      </c>
      <c r="AM70" s="1">
        <v>5.2851020058930697E-3</v>
      </c>
      <c r="AN70" s="1">
        <v>4.5820808957054097E-3</v>
      </c>
      <c r="AO70" s="1">
        <v>3.9932048153858502E-3</v>
      </c>
      <c r="AP70" s="1">
        <v>3.59051611985116E-3</v>
      </c>
      <c r="AQ70" s="1">
        <v>2.9393280806036099E-3</v>
      </c>
      <c r="AR70" s="1">
        <v>2.2275121894261098E-3</v>
      </c>
      <c r="AS70" s="1">
        <v>1.8644935698455801E-3</v>
      </c>
      <c r="AT70" s="1">
        <v>7.9377576508279195E-3</v>
      </c>
    </row>
    <row r="71" spans="1:46" ht="15.75" customHeight="1" x14ac:dyDescent="0.25">
      <c r="A71" s="1">
        <v>2</v>
      </c>
      <c r="B71" s="1" t="s">
        <v>87</v>
      </c>
      <c r="C71" s="1">
        <v>2017</v>
      </c>
      <c r="D71" s="1">
        <v>1</v>
      </c>
      <c r="E71" s="1">
        <v>7</v>
      </c>
      <c r="F71" s="1">
        <v>0</v>
      </c>
      <c r="G71" s="1">
        <v>0</v>
      </c>
      <c r="H71" s="1">
        <v>0</v>
      </c>
      <c r="I71" s="1">
        <v>0</v>
      </c>
      <c r="J71" s="5">
        <v>1.56493574676715E-5</v>
      </c>
      <c r="K71" s="1">
        <v>1.28097563142633E-3</v>
      </c>
      <c r="L71" s="1">
        <v>1.33191176589369E-2</v>
      </c>
      <c r="M71" s="1">
        <v>4.4566341160031303E-2</v>
      </c>
      <c r="N71" s="1">
        <v>6.74234897865226E-2</v>
      </c>
      <c r="O71" s="1">
        <v>7.8227225641522694E-2</v>
      </c>
      <c r="P71" s="1">
        <v>6.96497370907945E-2</v>
      </c>
      <c r="Q71" s="1">
        <v>6.8204695614949101E-2</v>
      </c>
      <c r="R71" s="1">
        <v>5.8402897251366999E-2</v>
      </c>
      <c r="S71" s="1">
        <v>5.3020401713957999E-2</v>
      </c>
      <c r="T71" s="1">
        <v>4.6153488898042903E-2</v>
      </c>
      <c r="U71" s="1">
        <v>4.0159280169941899E-2</v>
      </c>
      <c r="V71" s="1">
        <v>4.1480893648985898E-2</v>
      </c>
      <c r="W71" s="1">
        <v>3.5387109573772099E-2</v>
      </c>
      <c r="X71" s="1">
        <v>3.1072556479035899E-2</v>
      </c>
      <c r="Y71" s="1">
        <v>3.3331364543200299E-2</v>
      </c>
      <c r="Z71" s="1">
        <v>3.3307890506998797E-2</v>
      </c>
      <c r="AA71" s="1">
        <v>3.2068562359155797E-2</v>
      </c>
      <c r="AB71" s="1">
        <v>2.84280674759908E-2</v>
      </c>
      <c r="AC71" s="1">
        <v>2.7810927491983502E-2</v>
      </c>
      <c r="AD71" s="1">
        <v>2.6079654219874501E-2</v>
      </c>
      <c r="AE71" s="1">
        <v>2.1075141147108001E-2</v>
      </c>
      <c r="AF71" s="1">
        <v>1.7910942030741402E-2</v>
      </c>
      <c r="AG71" s="1">
        <v>1.69170816270485E-2</v>
      </c>
      <c r="AH71" s="1">
        <v>1.5151606936602899E-2</v>
      </c>
      <c r="AI71" s="1">
        <v>1.45917637936466E-2</v>
      </c>
      <c r="AJ71" s="1">
        <v>1.3221182970268201E-2</v>
      </c>
      <c r="AK71" s="1">
        <v>1.19010839451727E-2</v>
      </c>
      <c r="AL71" s="1">
        <v>1.06592317074156E-2</v>
      </c>
      <c r="AM71" s="1">
        <v>9.48477267036597E-3</v>
      </c>
      <c r="AN71" s="1">
        <v>7.5445047533661304E-3</v>
      </c>
      <c r="AO71" s="1">
        <v>6.3902384356296499E-3</v>
      </c>
      <c r="AP71" s="1">
        <v>5.3914560566042302E-3</v>
      </c>
      <c r="AQ71" s="1">
        <v>4.1393812546948097E-3</v>
      </c>
      <c r="AR71" s="1">
        <v>3.09024328188228E-3</v>
      </c>
      <c r="AS71" s="1">
        <v>2.51777968935521E-3</v>
      </c>
      <c r="AT71" s="1">
        <v>1.0623263426139101E-2</v>
      </c>
    </row>
    <row r="72" spans="1:46" ht="15.75" customHeight="1" x14ac:dyDescent="0.25">
      <c r="A72" s="1">
        <v>2</v>
      </c>
      <c r="B72" s="1" t="s">
        <v>87</v>
      </c>
      <c r="C72" s="1">
        <v>2018</v>
      </c>
      <c r="D72" s="1">
        <v>1</v>
      </c>
      <c r="E72" s="1">
        <v>13</v>
      </c>
      <c r="F72" s="1">
        <v>0</v>
      </c>
      <c r="G72" s="1">
        <v>0</v>
      </c>
      <c r="H72" s="1">
        <v>0</v>
      </c>
      <c r="I72" s="1">
        <v>0</v>
      </c>
      <c r="J72" s="5">
        <v>9.7001372962676305E-6</v>
      </c>
      <c r="K72" s="1">
        <v>1.08152161422169E-3</v>
      </c>
      <c r="L72" s="1">
        <v>1.3726043828715799E-2</v>
      </c>
      <c r="M72" s="1">
        <v>4.6087886564671901E-2</v>
      </c>
      <c r="N72" s="1">
        <v>6.4377451742472405E-2</v>
      </c>
      <c r="O72" s="1">
        <v>6.2294281716630699E-2</v>
      </c>
      <c r="P72" s="1">
        <v>6.4086622400832904E-2</v>
      </c>
      <c r="Q72" s="1">
        <v>5.6662958767337998E-2</v>
      </c>
      <c r="R72" s="1">
        <v>5.2331978547490998E-2</v>
      </c>
      <c r="S72" s="1">
        <v>4.5333198405297398E-2</v>
      </c>
      <c r="T72" s="1">
        <v>4.2675622951993002E-2</v>
      </c>
      <c r="U72" s="1">
        <v>4.23403128005896E-2</v>
      </c>
      <c r="V72" s="1">
        <v>4.2348789497145801E-2</v>
      </c>
      <c r="W72" s="1">
        <v>4.2748505064651401E-2</v>
      </c>
      <c r="X72" s="1">
        <v>4.22196291104441E-2</v>
      </c>
      <c r="Y72" s="1">
        <v>3.87279292382849E-2</v>
      </c>
      <c r="Z72" s="1">
        <v>3.3898396916859398E-2</v>
      </c>
      <c r="AA72" s="1">
        <v>3.3622773195846598E-2</v>
      </c>
      <c r="AB72" s="1">
        <v>3.3127279696118297E-2</v>
      </c>
      <c r="AC72" s="1">
        <v>3.0691758737136501E-2</v>
      </c>
      <c r="AD72" s="1">
        <v>2.6106477620603499E-2</v>
      </c>
      <c r="AE72" s="1">
        <v>2.1707334273809699E-2</v>
      </c>
      <c r="AF72" s="1">
        <v>1.9678257806404E-2</v>
      </c>
      <c r="AG72" s="1">
        <v>1.7939748514764799E-2</v>
      </c>
      <c r="AH72" s="1">
        <v>1.6677944168631401E-2</v>
      </c>
      <c r="AI72" s="1">
        <v>1.49707200044883E-2</v>
      </c>
      <c r="AJ72" s="1">
        <v>1.24561997291477E-2</v>
      </c>
      <c r="AK72" s="1">
        <v>1.1826302525260299E-2</v>
      </c>
      <c r="AL72" s="1">
        <v>1.0246141420835899E-2</v>
      </c>
      <c r="AM72" s="1">
        <v>9.3213949985917408E-3</v>
      </c>
      <c r="AN72" s="1">
        <v>7.81883499253745E-3</v>
      </c>
      <c r="AO72" s="1">
        <v>7.0019261326679898E-3</v>
      </c>
      <c r="AP72" s="1">
        <v>6.1360796431957397E-3</v>
      </c>
      <c r="AQ72" s="1">
        <v>4.9549349972826499E-3</v>
      </c>
      <c r="AR72" s="1">
        <v>4.0709990625822298E-3</v>
      </c>
      <c r="AS72" s="1">
        <v>3.28624921645175E-3</v>
      </c>
      <c r="AT72" s="1">
        <v>1.7407813958707299E-2</v>
      </c>
    </row>
    <row r="73" spans="1:46" ht="15.75" customHeight="1" x14ac:dyDescent="0.25">
      <c r="A73" s="1">
        <v>2</v>
      </c>
      <c r="B73" s="1" t="s">
        <v>87</v>
      </c>
      <c r="C73" s="1">
        <v>2019</v>
      </c>
      <c r="D73" s="1">
        <v>1</v>
      </c>
      <c r="E73" s="1">
        <v>5</v>
      </c>
      <c r="F73" s="1">
        <v>0</v>
      </c>
      <c r="G73" s="1">
        <v>0</v>
      </c>
      <c r="H73" s="1">
        <v>0</v>
      </c>
      <c r="I73" s="1">
        <v>0</v>
      </c>
      <c r="J73" s="5">
        <v>1.9251463408922098E-5</v>
      </c>
      <c r="K73" s="1">
        <v>1.3420453151663E-3</v>
      </c>
      <c r="L73" s="1">
        <v>1.485538181606E-2</v>
      </c>
      <c r="M73" s="1">
        <v>4.3383668963743398E-2</v>
      </c>
      <c r="N73" s="1">
        <v>5.4062574797889403E-2</v>
      </c>
      <c r="O73" s="1">
        <v>5.9284087692995903E-2</v>
      </c>
      <c r="P73" s="1">
        <v>5.4485213883758501E-2</v>
      </c>
      <c r="Q73" s="1">
        <v>5.72217002495546E-2</v>
      </c>
      <c r="R73" s="1">
        <v>5.6712429578345297E-2</v>
      </c>
      <c r="S73" s="1">
        <v>5.2109940542748402E-2</v>
      </c>
      <c r="T73" s="1">
        <v>4.4181314648696499E-2</v>
      </c>
      <c r="U73" s="1">
        <v>4.5268923096953198E-2</v>
      </c>
      <c r="V73" s="1">
        <v>4.0377463641527403E-2</v>
      </c>
      <c r="W73" s="1">
        <v>4.0447324622145397E-2</v>
      </c>
      <c r="X73" s="1">
        <v>4.0383616171070502E-2</v>
      </c>
      <c r="Y73" s="1">
        <v>3.8281634222989101E-2</v>
      </c>
      <c r="Z73" s="1">
        <v>3.5409196801161003E-2</v>
      </c>
      <c r="AA73" s="1">
        <v>3.3723006768973302E-2</v>
      </c>
      <c r="AB73" s="1">
        <v>2.91759897336114E-2</v>
      </c>
      <c r="AC73" s="1">
        <v>2.68331660242235E-2</v>
      </c>
      <c r="AD73" s="1">
        <v>2.5536470805850399E-2</v>
      </c>
      <c r="AE73" s="1">
        <v>2.4217944031034201E-2</v>
      </c>
      <c r="AF73" s="1">
        <v>2.3068016412567199E-2</v>
      </c>
      <c r="AG73" s="1">
        <v>1.9584692347721901E-2</v>
      </c>
      <c r="AH73" s="1">
        <v>1.6681789981220899E-2</v>
      </c>
      <c r="AI73" s="1">
        <v>1.49729745178104E-2</v>
      </c>
      <c r="AJ73" s="1">
        <v>1.3399613938694601E-2</v>
      </c>
      <c r="AK73" s="1">
        <v>1.2520397620122199E-2</v>
      </c>
      <c r="AL73" s="1">
        <v>1.0617579007410401E-2</v>
      </c>
      <c r="AM73" s="1">
        <v>9.5775038115912901E-3</v>
      </c>
      <c r="AN73" s="1">
        <v>9.1629027078671908E-3</v>
      </c>
      <c r="AO73" s="1">
        <v>7.9769530212690995E-3</v>
      </c>
      <c r="AP73" s="1">
        <v>6.8514370522794396E-3</v>
      </c>
      <c r="AQ73" s="1">
        <v>6.0183647052799404E-3</v>
      </c>
      <c r="AR73" s="1">
        <v>4.7930189827368004E-3</v>
      </c>
      <c r="AS73" s="1">
        <v>4.41235602584698E-3</v>
      </c>
      <c r="AT73" s="1">
        <v>2.30500549956754E-2</v>
      </c>
    </row>
    <row r="74" spans="1:46" ht="15.75" customHeight="1" x14ac:dyDescent="0.25">
      <c r="A74" s="1">
        <v>2</v>
      </c>
      <c r="B74" s="1" t="s">
        <v>87</v>
      </c>
      <c r="C74" s="1">
        <v>2020</v>
      </c>
      <c r="D74" s="1">
        <v>1</v>
      </c>
      <c r="E74" s="1">
        <v>2</v>
      </c>
      <c r="F74" s="1">
        <v>0</v>
      </c>
      <c r="G74" s="1">
        <v>0</v>
      </c>
      <c r="H74" s="1">
        <v>0</v>
      </c>
      <c r="I74" s="1">
        <v>0</v>
      </c>
      <c r="J74" s="5">
        <v>2.4817050931280701E-5</v>
      </c>
      <c r="K74" s="1">
        <v>1.9164897870864301E-3</v>
      </c>
      <c r="L74" s="1">
        <v>1.8356810077618801E-2</v>
      </c>
      <c r="M74" s="1">
        <v>4.26347175484992E-2</v>
      </c>
      <c r="N74" s="1">
        <v>6.24720459622937E-2</v>
      </c>
      <c r="O74" s="1">
        <v>6.1329903932916999E-2</v>
      </c>
      <c r="P74" s="1">
        <v>5.2109951247042902E-2</v>
      </c>
      <c r="Q74" s="1">
        <v>4.82393278315697E-2</v>
      </c>
      <c r="R74" s="1">
        <v>5.1226994036100197E-2</v>
      </c>
      <c r="S74" s="1">
        <v>4.7260587957763098E-2</v>
      </c>
      <c r="T74" s="1">
        <v>5.0719359865084503E-2</v>
      </c>
      <c r="U74" s="1">
        <v>4.74182738263208E-2</v>
      </c>
      <c r="V74" s="1">
        <v>4.21648666404182E-2</v>
      </c>
      <c r="W74" s="1">
        <v>3.8946597052515103E-2</v>
      </c>
      <c r="X74" s="1">
        <v>4.0310280059025497E-2</v>
      </c>
      <c r="Y74" s="1">
        <v>3.3540662598529301E-2</v>
      </c>
      <c r="Z74" s="1">
        <v>3.3933552764396399E-2</v>
      </c>
      <c r="AA74" s="1">
        <v>3.02812636284648E-2</v>
      </c>
      <c r="AB74" s="1">
        <v>2.4241657845924601E-2</v>
      </c>
      <c r="AC74" s="1">
        <v>2.5588331413032701E-2</v>
      </c>
      <c r="AD74" s="1">
        <v>2.6784847879843102E-2</v>
      </c>
      <c r="AE74" s="1">
        <v>2.75195998933703E-2</v>
      </c>
      <c r="AF74" s="1">
        <v>2.4732421999172399E-2</v>
      </c>
      <c r="AG74" s="1">
        <v>1.98606118267469E-2</v>
      </c>
      <c r="AH74" s="1">
        <v>1.9616623966467399E-2</v>
      </c>
      <c r="AI74" s="1">
        <v>1.8563154096597999E-2</v>
      </c>
      <c r="AJ74" s="1">
        <v>1.6532756834169701E-2</v>
      </c>
      <c r="AK74" s="1">
        <v>1.6225192708583101E-2</v>
      </c>
      <c r="AL74" s="1">
        <v>1.4543070688999399E-2</v>
      </c>
      <c r="AM74" s="1">
        <v>1.17624456116204E-2</v>
      </c>
      <c r="AN74" s="1">
        <v>9.6154918627957293E-3</v>
      </c>
      <c r="AO74" s="1">
        <v>7.7696888443731099E-3</v>
      </c>
      <c r="AP74" s="1">
        <v>6.1986858674423703E-3</v>
      </c>
      <c r="AQ74" s="1">
        <v>4.8680457882954997E-3</v>
      </c>
      <c r="AR74" s="1">
        <v>3.5335019033841501E-3</v>
      </c>
      <c r="AS74" s="1">
        <v>3.3422154209250699E-3</v>
      </c>
      <c r="AT74" s="1">
        <v>1.5815153681679201E-2</v>
      </c>
    </row>
    <row r="75" spans="1:46" ht="15.75" customHeight="1" x14ac:dyDescent="0.25">
      <c r="A75" s="1">
        <v>2</v>
      </c>
      <c r="B75" s="1" t="s">
        <v>87</v>
      </c>
      <c r="C75" s="1">
        <v>2021</v>
      </c>
      <c r="D75" s="1">
        <v>1</v>
      </c>
      <c r="E75" s="1">
        <v>5</v>
      </c>
      <c r="F75" s="1">
        <v>0</v>
      </c>
      <c r="G75" s="1">
        <v>0</v>
      </c>
      <c r="H75" s="1">
        <v>0</v>
      </c>
      <c r="I75" s="1">
        <v>0</v>
      </c>
      <c r="J75" s="5">
        <v>1.8312146796752902E-5</v>
      </c>
      <c r="K75" s="1">
        <v>1.45108331779887E-3</v>
      </c>
      <c r="L75" s="1">
        <v>1.44161861271291E-2</v>
      </c>
      <c r="M75" s="1">
        <v>4.3344851467914003E-2</v>
      </c>
      <c r="N75" s="1">
        <v>6.0722770146344897E-2</v>
      </c>
      <c r="O75" s="1">
        <v>5.9910554421848498E-2</v>
      </c>
      <c r="P75" s="1">
        <v>6.20662438824056E-2</v>
      </c>
      <c r="Q75" s="1">
        <v>5.3588337178884199E-2</v>
      </c>
      <c r="R75" s="1">
        <v>5.4083793914688399E-2</v>
      </c>
      <c r="S75" s="1">
        <v>4.7652732563235503E-2</v>
      </c>
      <c r="T75" s="1">
        <v>4.4232681955868998E-2</v>
      </c>
      <c r="U75" s="1">
        <v>4.0972708317130201E-2</v>
      </c>
      <c r="V75" s="1">
        <v>3.6606804464542501E-2</v>
      </c>
      <c r="W75" s="1">
        <v>3.3382837856022099E-2</v>
      </c>
      <c r="X75" s="1">
        <v>3.5355200094153202E-2</v>
      </c>
      <c r="Y75" s="1">
        <v>3.229521978897E-2</v>
      </c>
      <c r="Z75" s="1">
        <v>3.0968926550184898E-2</v>
      </c>
      <c r="AA75" s="1">
        <v>3.03559840186397E-2</v>
      </c>
      <c r="AB75" s="1">
        <v>3.1185688872099299E-2</v>
      </c>
      <c r="AC75" s="1">
        <v>2.8755214332361799E-2</v>
      </c>
      <c r="AD75" s="1">
        <v>2.7668830792059999E-2</v>
      </c>
      <c r="AE75" s="1">
        <v>2.5809839260502E-2</v>
      </c>
      <c r="AF75" s="1">
        <v>2.4229645020063102E-2</v>
      </c>
      <c r="AG75" s="1">
        <v>2.3650137588006302E-2</v>
      </c>
      <c r="AH75" s="1">
        <v>2.13492883570548E-2</v>
      </c>
      <c r="AI75" s="1">
        <v>1.8278711697264399E-2</v>
      </c>
      <c r="AJ75" s="1">
        <v>1.5133754800765901E-2</v>
      </c>
      <c r="AK75" s="1">
        <v>1.2763772071795101E-2</v>
      </c>
      <c r="AL75" s="1">
        <v>1.0808693208168799E-2</v>
      </c>
      <c r="AM75" s="1">
        <v>1.0470021369658E-2</v>
      </c>
      <c r="AN75" s="1">
        <v>9.3904277264831894E-3</v>
      </c>
      <c r="AO75" s="1">
        <v>7.6386342677466296E-3</v>
      </c>
      <c r="AP75" s="1">
        <v>6.2845641770788701E-3</v>
      </c>
      <c r="AQ75" s="1">
        <v>6.2571988341129396E-3</v>
      </c>
      <c r="AR75" s="1">
        <v>5.7183279075882602E-3</v>
      </c>
      <c r="AS75" s="1">
        <v>4.8364642989266599E-3</v>
      </c>
      <c r="AT75" s="1">
        <v>2.83455572057063E-2</v>
      </c>
    </row>
    <row r="76" spans="1:46" ht="15.75" customHeight="1" x14ac:dyDescent="0.25">
      <c r="A76" s="1">
        <v>2</v>
      </c>
      <c r="B76" s="1" t="s">
        <v>87</v>
      </c>
      <c r="C76" s="1">
        <v>2022</v>
      </c>
      <c r="D76" s="1">
        <v>1</v>
      </c>
      <c r="E76" s="1">
        <v>6</v>
      </c>
      <c r="F76" s="1">
        <v>0</v>
      </c>
      <c r="G76" s="1">
        <v>0</v>
      </c>
      <c r="H76" s="1">
        <v>0</v>
      </c>
      <c r="I76" s="1">
        <v>0</v>
      </c>
      <c r="J76" s="5">
        <v>8.9899171844891799E-6</v>
      </c>
      <c r="K76" s="1">
        <v>1.15202179628388E-3</v>
      </c>
      <c r="L76" s="1">
        <v>1.39040552728981E-2</v>
      </c>
      <c r="M76" s="1">
        <v>4.4195351556617302E-2</v>
      </c>
      <c r="N76" s="1">
        <v>5.55805239021884E-2</v>
      </c>
      <c r="O76" s="1">
        <v>5.6740682557821699E-2</v>
      </c>
      <c r="P76" s="1">
        <v>5.3657009723875E-2</v>
      </c>
      <c r="Q76" s="1">
        <v>5.1488930426243501E-2</v>
      </c>
      <c r="R76" s="1">
        <v>5.1174677043787101E-2</v>
      </c>
      <c r="S76" s="1">
        <v>4.7699056944563403E-2</v>
      </c>
      <c r="T76" s="1">
        <v>4.4214643787655501E-2</v>
      </c>
      <c r="U76" s="1">
        <v>4.1866109947999601E-2</v>
      </c>
      <c r="V76" s="1">
        <v>3.7985024897805302E-2</v>
      </c>
      <c r="W76" s="1">
        <v>3.3687975723286398E-2</v>
      </c>
      <c r="X76" s="1">
        <v>3.2721658055703998E-2</v>
      </c>
      <c r="Y76" s="1">
        <v>3.2393230789219601E-2</v>
      </c>
      <c r="Z76" s="1">
        <v>3.0897098586253498E-2</v>
      </c>
      <c r="AA76" s="1">
        <v>2.8240151529319399E-2</v>
      </c>
      <c r="AB76" s="1">
        <v>2.7728316828304699E-2</v>
      </c>
      <c r="AC76" s="1">
        <v>2.7129863947118301E-2</v>
      </c>
      <c r="AD76" s="1">
        <v>2.4005244337090399E-2</v>
      </c>
      <c r="AE76" s="1">
        <v>2.35954484771113E-2</v>
      </c>
      <c r="AF76" s="1">
        <v>2.1990190491095601E-2</v>
      </c>
      <c r="AG76" s="1">
        <v>2.0437625231350901E-2</v>
      </c>
      <c r="AH76" s="1">
        <v>1.8156745439995799E-2</v>
      </c>
      <c r="AI76" s="1">
        <v>1.7300012894297299E-2</v>
      </c>
      <c r="AJ76" s="1">
        <v>1.56763157350783E-2</v>
      </c>
      <c r="AK76" s="1">
        <v>1.5102667150940999E-2</v>
      </c>
      <c r="AL76" s="1">
        <v>1.42398319607305E-2</v>
      </c>
      <c r="AM76" s="1">
        <v>1.29620169436972E-2</v>
      </c>
      <c r="AN76" s="1">
        <v>1.14531544930392E-2</v>
      </c>
      <c r="AO76" s="1">
        <v>1.07154563252434E-2</v>
      </c>
      <c r="AP76" s="1">
        <v>1.01332771627559E-2</v>
      </c>
      <c r="AQ76" s="1">
        <v>9.1667626356731098E-3</v>
      </c>
      <c r="AR76" s="1">
        <v>7.9869836498341999E-3</v>
      </c>
      <c r="AS76" s="1">
        <v>7.4752801884864096E-3</v>
      </c>
      <c r="AT76" s="1">
        <v>4.7137613649450301E-2</v>
      </c>
    </row>
    <row r="77" spans="1:46" ht="15.75" customHeight="1" x14ac:dyDescent="0.25">
      <c r="A77" s="1">
        <v>2</v>
      </c>
      <c r="B77" s="1" t="s">
        <v>87</v>
      </c>
      <c r="C77" s="1">
        <v>2023</v>
      </c>
      <c r="D77" s="1">
        <v>1</v>
      </c>
      <c r="E77" s="1">
        <v>8</v>
      </c>
      <c r="F77" s="1">
        <v>0</v>
      </c>
      <c r="G77" s="1">
        <v>0</v>
      </c>
      <c r="H77" s="1">
        <v>0</v>
      </c>
      <c r="I77" s="1">
        <v>0</v>
      </c>
      <c r="J77" s="5">
        <v>1.30063656869777E-5</v>
      </c>
      <c r="K77" s="1">
        <v>1.4771515315924601E-3</v>
      </c>
      <c r="L77" s="1">
        <v>1.96396121873363E-2</v>
      </c>
      <c r="M77" s="1">
        <v>5.5797308797134099E-2</v>
      </c>
      <c r="N77" s="1">
        <v>7.8620383824044904E-2</v>
      </c>
      <c r="O77" s="1">
        <v>7.9182754302319899E-2</v>
      </c>
      <c r="P77" s="1">
        <v>7.30590270164925E-2</v>
      </c>
      <c r="Q77" s="1">
        <v>6.4102802314389806E-2</v>
      </c>
      <c r="R77" s="1">
        <v>4.9297842058127303E-2</v>
      </c>
      <c r="S77" s="1">
        <v>3.6540661821692202E-2</v>
      </c>
      <c r="T77" s="1">
        <v>2.60368860530883E-2</v>
      </c>
      <c r="U77" s="1">
        <v>3.1876744246541203E-2</v>
      </c>
      <c r="V77" s="1">
        <v>3.0073401321529299E-2</v>
      </c>
      <c r="W77" s="1">
        <v>3.2992401392135301E-2</v>
      </c>
      <c r="X77" s="1">
        <v>3.3534126845510402E-2</v>
      </c>
      <c r="Y77" s="1">
        <v>3.10986332580616E-2</v>
      </c>
      <c r="Z77" s="1">
        <v>3.4518481632740697E-2</v>
      </c>
      <c r="AA77" s="1">
        <v>2.9053330641222098E-2</v>
      </c>
      <c r="AB77" s="1">
        <v>2.6150020789540099E-2</v>
      </c>
      <c r="AC77" s="1">
        <v>2.1305046346016401E-2</v>
      </c>
      <c r="AD77" s="1">
        <v>1.74136656026221E-2</v>
      </c>
      <c r="AE77" s="1">
        <v>1.9775456451178001E-2</v>
      </c>
      <c r="AF77" s="1">
        <v>2.0841152636514201E-2</v>
      </c>
      <c r="AG77" s="1">
        <v>1.58031472101758E-2</v>
      </c>
      <c r="AH77" s="1">
        <v>1.5633238655249099E-2</v>
      </c>
      <c r="AI77" s="1">
        <v>1.37260512549904E-2</v>
      </c>
      <c r="AJ77" s="1">
        <v>1.2590161984994399E-2</v>
      </c>
      <c r="AK77" s="1">
        <v>1.34341306029049E-2</v>
      </c>
      <c r="AL77" s="1">
        <v>1.30113204929536E-2</v>
      </c>
      <c r="AM77" s="1">
        <v>1.1613445856977E-2</v>
      </c>
      <c r="AN77" s="1">
        <v>1.07568837738775E-2</v>
      </c>
      <c r="AO77" s="1">
        <v>1.0310125435042301E-2</v>
      </c>
      <c r="AP77" s="1">
        <v>7.9662957581493107E-3</v>
      </c>
      <c r="AQ77" s="1">
        <v>6.8840835528931697E-3</v>
      </c>
      <c r="AR77" s="1">
        <v>5.0873470358492601E-3</v>
      </c>
      <c r="AS77" s="1">
        <v>5.8024906983840299E-3</v>
      </c>
      <c r="AT77" s="1">
        <v>4.4981380252042701E-2</v>
      </c>
    </row>
    <row r="78" spans="1:46" ht="15.75" customHeight="1" x14ac:dyDescent="0.25">
      <c r="A78" s="1">
        <v>2</v>
      </c>
      <c r="B78" s="1" t="s">
        <v>87</v>
      </c>
      <c r="C78" s="1">
        <v>2024</v>
      </c>
      <c r="D78" s="1">
        <v>1</v>
      </c>
      <c r="E78" s="1">
        <v>14</v>
      </c>
      <c r="F78" s="1">
        <v>0</v>
      </c>
      <c r="G78" s="1">
        <v>0</v>
      </c>
      <c r="H78" s="1">
        <v>0</v>
      </c>
      <c r="I78" s="1">
        <v>0</v>
      </c>
      <c r="J78" s="5">
        <v>2.0573960471483099E-5</v>
      </c>
      <c r="K78" s="1">
        <v>1.5018991144182599E-3</v>
      </c>
      <c r="L78" s="1">
        <v>1.5840464844244999E-2</v>
      </c>
      <c r="M78" s="1">
        <v>4.0526460075116198E-2</v>
      </c>
      <c r="N78" s="1">
        <v>5.2865427739531498E-2</v>
      </c>
      <c r="O78" s="1">
        <v>5.0811955592060802E-2</v>
      </c>
      <c r="P78" s="1">
        <v>5.5394858312755001E-2</v>
      </c>
      <c r="Q78" s="1">
        <v>5.1720815598455698E-2</v>
      </c>
      <c r="R78" s="1">
        <v>5.4070913351280801E-2</v>
      </c>
      <c r="S78" s="1">
        <v>5.3460481823065002E-2</v>
      </c>
      <c r="T78" s="1">
        <v>4.8688277455764699E-2</v>
      </c>
      <c r="U78" s="1">
        <v>4.47451824851966E-2</v>
      </c>
      <c r="V78" s="1">
        <v>4.3831444117040402E-2</v>
      </c>
      <c r="W78" s="1">
        <v>4.1523872952612499E-2</v>
      </c>
      <c r="X78" s="1">
        <v>3.6545292672541599E-2</v>
      </c>
      <c r="Y78" s="1">
        <v>3.4233373403065599E-2</v>
      </c>
      <c r="Z78" s="1">
        <v>3.1459706587750297E-2</v>
      </c>
      <c r="AA78" s="1">
        <v>2.70208215903565E-2</v>
      </c>
      <c r="AB78" s="1">
        <v>2.5747993376033101E-2</v>
      </c>
      <c r="AC78" s="1">
        <v>2.1618354093767399E-2</v>
      </c>
      <c r="AD78" s="1">
        <v>2.25364405669717E-2</v>
      </c>
      <c r="AE78" s="1">
        <v>1.9408244113222499E-2</v>
      </c>
      <c r="AF78" s="1">
        <v>1.7446082171761801E-2</v>
      </c>
      <c r="AG78" s="1">
        <v>1.8167231301690099E-2</v>
      </c>
      <c r="AH78" s="1">
        <v>1.55959104481253E-2</v>
      </c>
      <c r="AI78" s="1">
        <v>1.57706830607902E-2</v>
      </c>
      <c r="AJ78" s="1">
        <v>1.3169985985315101E-2</v>
      </c>
      <c r="AK78" s="1">
        <v>1.1411124467688501E-2</v>
      </c>
      <c r="AL78" s="1">
        <v>1.13946865095799E-2</v>
      </c>
      <c r="AM78" s="1">
        <v>1.14047613871304E-2</v>
      </c>
      <c r="AN78" s="1">
        <v>1.1075365916901401E-2</v>
      </c>
      <c r="AO78" s="1">
        <v>1.0900699355579E-2</v>
      </c>
      <c r="AP78" s="1">
        <v>1.05550780299266E-2</v>
      </c>
      <c r="AQ78" s="1">
        <v>8.7458421245477595E-3</v>
      </c>
      <c r="AR78" s="1">
        <v>7.3913543763942397E-3</v>
      </c>
      <c r="AS78" s="1">
        <v>7.0146600073493597E-3</v>
      </c>
      <c r="AT78" s="1">
        <v>5.6383681031497802E-2</v>
      </c>
    </row>
    <row r="79" spans="1:46" ht="15.75" customHeight="1" x14ac:dyDescent="0.25">
      <c r="A79" s="1">
        <v>4</v>
      </c>
      <c r="B79" s="1" t="s">
        <v>111</v>
      </c>
      <c r="C79" s="1">
        <v>1990</v>
      </c>
      <c r="D79" s="1">
        <v>1</v>
      </c>
      <c r="E79" s="1">
        <v>13</v>
      </c>
      <c r="F79" s="1">
        <v>0</v>
      </c>
      <c r="G79" s="1">
        <v>0</v>
      </c>
      <c r="H79" s="1">
        <v>0</v>
      </c>
      <c r="I79" s="1">
        <v>0</v>
      </c>
      <c r="J79" s="5">
        <v>8.2622594877879496E-6</v>
      </c>
      <c r="K79" s="1">
        <v>4.4616201234054899E-4</v>
      </c>
      <c r="L79" s="1">
        <v>6.1985199987510597E-3</v>
      </c>
      <c r="M79" s="1">
        <v>3.1607177597748101E-2</v>
      </c>
      <c r="N79" s="1">
        <v>4.2796102327122998E-2</v>
      </c>
      <c r="O79" s="1">
        <v>3.9031682402588197E-2</v>
      </c>
      <c r="P79" s="1">
        <v>3.6130380376172999E-2</v>
      </c>
      <c r="Q79" s="1">
        <v>4.05920004995785E-2</v>
      </c>
      <c r="R79" s="1">
        <v>3.9677003297698299E-2</v>
      </c>
      <c r="S79" s="1">
        <v>4.1096478692257299E-2</v>
      </c>
      <c r="T79" s="1">
        <v>4.3258692785654397E-2</v>
      </c>
      <c r="U79" s="1">
        <v>4.5475091929645897E-2</v>
      </c>
      <c r="V79" s="1">
        <v>4.6340899865738298E-2</v>
      </c>
      <c r="W79" s="1">
        <v>4.9330684926900598E-2</v>
      </c>
      <c r="X79" s="1">
        <v>5.1298063412841599E-2</v>
      </c>
      <c r="Y79" s="1">
        <v>4.80930753138578E-2</v>
      </c>
      <c r="Z79" s="1">
        <v>4.9274578420611503E-2</v>
      </c>
      <c r="AA79" s="1">
        <v>4.41752271520904E-2</v>
      </c>
      <c r="AB79" s="1">
        <v>4.0867921537356702E-2</v>
      </c>
      <c r="AC79" s="1">
        <v>3.8705419225605303E-2</v>
      </c>
      <c r="AD79" s="1">
        <v>3.8139070159552903E-2</v>
      </c>
      <c r="AE79" s="1">
        <v>3.5299254715372402E-2</v>
      </c>
      <c r="AF79" s="1">
        <v>3.0787964962255401E-2</v>
      </c>
      <c r="AG79" s="1">
        <v>2.5467934507182599E-2</v>
      </c>
      <c r="AH79" s="1">
        <v>2.3274208540390199E-2</v>
      </c>
      <c r="AI79" s="1">
        <v>1.9405069280486902E-2</v>
      </c>
      <c r="AJ79" s="1">
        <v>1.6126777646745201E-2</v>
      </c>
      <c r="AK79" s="1">
        <v>1.26921755922287E-2</v>
      </c>
      <c r="AL79" s="1">
        <v>9.9973339802234204E-3</v>
      </c>
      <c r="AM79" s="1">
        <v>8.4251989307099102E-3</v>
      </c>
      <c r="AN79" s="1">
        <v>7.2907714884796696E-3</v>
      </c>
      <c r="AO79" s="1">
        <v>6.2801818657815204E-3</v>
      </c>
      <c r="AP79" s="1">
        <v>5.1474837336766398E-3</v>
      </c>
      <c r="AQ79" s="1">
        <v>4.4414448386097304E-3</v>
      </c>
      <c r="AR79" s="1">
        <v>3.80448227577213E-3</v>
      </c>
      <c r="AS79" s="1">
        <v>3.3002923014475798E-3</v>
      </c>
      <c r="AT79" s="1">
        <v>1.5716931147037001E-2</v>
      </c>
    </row>
    <row r="80" spans="1:46" ht="15.75" customHeight="1" x14ac:dyDescent="0.25">
      <c r="A80" s="1">
        <v>4</v>
      </c>
      <c r="B80" s="1" t="s">
        <v>111</v>
      </c>
      <c r="C80" s="1">
        <v>1991</v>
      </c>
      <c r="D80" s="1">
        <v>1</v>
      </c>
      <c r="E80" s="1">
        <v>5</v>
      </c>
      <c r="F80" s="1">
        <v>0</v>
      </c>
      <c r="G80" s="1">
        <v>0</v>
      </c>
      <c r="H80" s="1">
        <v>0</v>
      </c>
      <c r="I80" s="1">
        <v>0</v>
      </c>
      <c r="J80" s="5">
        <v>1.88455596347267E-5</v>
      </c>
      <c r="K80" s="1">
        <v>6.1294410352947203E-4</v>
      </c>
      <c r="L80" s="1">
        <v>6.7646290780651796E-3</v>
      </c>
      <c r="M80" s="1">
        <v>2.6643296113095599E-2</v>
      </c>
      <c r="N80" s="1">
        <v>3.7464818082036402E-2</v>
      </c>
      <c r="O80" s="1">
        <v>3.8988991335444999E-2</v>
      </c>
      <c r="P80" s="1">
        <v>4.4151129957357302E-2</v>
      </c>
      <c r="Q80" s="1">
        <v>4.69652972149429E-2</v>
      </c>
      <c r="R80" s="1">
        <v>4.8027136370099602E-2</v>
      </c>
      <c r="S80" s="1">
        <v>4.6624918603015701E-2</v>
      </c>
      <c r="T80" s="1">
        <v>4.83496734890939E-2</v>
      </c>
      <c r="U80" s="1">
        <v>5.1341328845206702E-2</v>
      </c>
      <c r="V80" s="1">
        <v>4.6882577565890503E-2</v>
      </c>
      <c r="W80" s="1">
        <v>4.2252285352358303E-2</v>
      </c>
      <c r="X80" s="1">
        <v>4.3614572159068603E-2</v>
      </c>
      <c r="Y80" s="1">
        <v>4.3088055027798403E-2</v>
      </c>
      <c r="Z80" s="1">
        <v>4.4982728894189701E-2</v>
      </c>
      <c r="AA80" s="1">
        <v>4.0037159736276501E-2</v>
      </c>
      <c r="AB80" s="1">
        <v>3.68628414763272E-2</v>
      </c>
      <c r="AC80" s="1">
        <v>3.3943556158647803E-2</v>
      </c>
      <c r="AD80" s="1">
        <v>3.3317713659794503E-2</v>
      </c>
      <c r="AE80" s="1">
        <v>3.3307981936376602E-2</v>
      </c>
      <c r="AF80" s="1">
        <v>3.26645296522909E-2</v>
      </c>
      <c r="AG80" s="1">
        <v>2.9982976435249602E-2</v>
      </c>
      <c r="AH80" s="1">
        <v>2.7170044952066201E-2</v>
      </c>
      <c r="AI80" s="1">
        <v>2.3673112337222399E-2</v>
      </c>
      <c r="AJ80" s="1">
        <v>1.7873545831435599E-2</v>
      </c>
      <c r="AK80" s="1">
        <v>1.35869533735367E-2</v>
      </c>
      <c r="AL80" s="1">
        <v>1.07302291349726E-2</v>
      </c>
      <c r="AM80" s="1">
        <v>8.9156488970288696E-3</v>
      </c>
      <c r="AN80" s="1">
        <v>7.0816052122492697E-3</v>
      </c>
      <c r="AO80" s="1">
        <v>6.1267377787897403E-3</v>
      </c>
      <c r="AP80" s="1">
        <v>5.0345449148771603E-3</v>
      </c>
      <c r="AQ80" s="1">
        <v>4.22449479418448E-3</v>
      </c>
      <c r="AR80" s="1">
        <v>3.2858468997548299E-3</v>
      </c>
      <c r="AS80" s="1">
        <v>2.7399435575488902E-3</v>
      </c>
      <c r="AT80" s="1">
        <v>1.2667305510542E-2</v>
      </c>
    </row>
    <row r="81" spans="1:46" ht="15.75" customHeight="1" x14ac:dyDescent="0.25">
      <c r="A81" s="1">
        <v>4</v>
      </c>
      <c r="B81" s="1" t="s">
        <v>111</v>
      </c>
      <c r="C81" s="1">
        <v>1992</v>
      </c>
      <c r="D81" s="1">
        <v>1</v>
      </c>
      <c r="E81" s="1">
        <v>9</v>
      </c>
      <c r="F81" s="1">
        <v>0</v>
      </c>
      <c r="G81" s="1">
        <v>0</v>
      </c>
      <c r="H81" s="1">
        <v>0</v>
      </c>
      <c r="I81" s="1">
        <v>0</v>
      </c>
      <c r="J81" s="5">
        <v>1.78686021618864E-5</v>
      </c>
      <c r="K81" s="1">
        <v>5.3605806485659303E-4</v>
      </c>
      <c r="L81" s="1">
        <v>7.6248899145201802E-3</v>
      </c>
      <c r="M81" s="1">
        <v>3.6034895235789899E-2</v>
      </c>
      <c r="N81" s="1">
        <v>4.5128941620060398E-2</v>
      </c>
      <c r="O81" s="1">
        <v>4.2142502578737098E-2</v>
      </c>
      <c r="P81" s="1">
        <v>4.3797373386956599E-2</v>
      </c>
      <c r="Q81" s="1">
        <v>4.8006024816152897E-2</v>
      </c>
      <c r="R81" s="1">
        <v>4.8361014379102403E-2</v>
      </c>
      <c r="S81" s="1">
        <v>5.3242716489729801E-2</v>
      </c>
      <c r="T81" s="1">
        <v>5.1930208098932E-2</v>
      </c>
      <c r="U81" s="1">
        <v>5.35200371952822E-2</v>
      </c>
      <c r="V81" s="1">
        <v>5.0885252244504901E-2</v>
      </c>
      <c r="W81" s="1">
        <v>5.3204120309060098E-2</v>
      </c>
      <c r="X81" s="1">
        <v>5.1610598368263101E-2</v>
      </c>
      <c r="Y81" s="1">
        <v>5.3444274322115903E-2</v>
      </c>
      <c r="Z81" s="1">
        <v>4.9066824164496897E-2</v>
      </c>
      <c r="AA81" s="1">
        <v>4.9224425235564799E-2</v>
      </c>
      <c r="AB81" s="1">
        <v>4.2291526720767199E-2</v>
      </c>
      <c r="AC81" s="1">
        <v>3.82521505160512E-2</v>
      </c>
      <c r="AD81" s="1">
        <v>3.4428507901436298E-2</v>
      </c>
      <c r="AE81" s="1">
        <v>2.9607320790130499E-2</v>
      </c>
      <c r="AF81" s="1">
        <v>2.3595131782727801E-2</v>
      </c>
      <c r="AG81" s="1">
        <v>1.84318205020291E-2</v>
      </c>
      <c r="AH81" s="1">
        <v>1.5528649146780199E-2</v>
      </c>
      <c r="AI81" s="1">
        <v>1.3730710397251201E-2</v>
      </c>
      <c r="AJ81" s="1">
        <v>1.0554149428925399E-2</v>
      </c>
      <c r="AK81" s="1">
        <v>8.5235614792486605E-3</v>
      </c>
      <c r="AL81" s="1">
        <v>5.9413102188272402E-3</v>
      </c>
      <c r="AM81" s="1">
        <v>4.6987276244896603E-3</v>
      </c>
      <c r="AN81" s="1">
        <v>3.1620278385674299E-3</v>
      </c>
      <c r="AO81" s="1">
        <v>2.1347023382733699E-3</v>
      </c>
      <c r="AP81" s="1">
        <v>1.95661193672657E-3</v>
      </c>
      <c r="AQ81" s="1">
        <v>1.8165220957773801E-3</v>
      </c>
      <c r="AR81" s="1">
        <v>1.45926917655406E-3</v>
      </c>
      <c r="AS81" s="1">
        <v>1.0295888565679001E-3</v>
      </c>
      <c r="AT81" s="1">
        <v>5.0796862225810802E-3</v>
      </c>
    </row>
    <row r="82" spans="1:46" ht="15.75" customHeight="1" x14ac:dyDescent="0.25">
      <c r="A82" s="1">
        <v>4</v>
      </c>
      <c r="B82" s="1" t="s">
        <v>111</v>
      </c>
      <c r="C82" s="1">
        <v>1993</v>
      </c>
      <c r="D82" s="1">
        <v>1</v>
      </c>
      <c r="E82" s="1">
        <v>6</v>
      </c>
      <c r="F82" s="1">
        <v>0</v>
      </c>
      <c r="G82" s="1">
        <v>0</v>
      </c>
      <c r="H82" s="1">
        <v>0</v>
      </c>
      <c r="I82" s="1">
        <v>0</v>
      </c>
      <c r="J82" s="5">
        <v>1.6378076694438599E-5</v>
      </c>
      <c r="K82" s="1">
        <v>6.2840094264451397E-4</v>
      </c>
      <c r="L82" s="1">
        <v>8.1129664909938403E-3</v>
      </c>
      <c r="M82" s="1">
        <v>3.4561728593934603E-2</v>
      </c>
      <c r="N82" s="1">
        <v>4.3107959863799103E-2</v>
      </c>
      <c r="O82" s="1">
        <v>3.9913911656869798E-2</v>
      </c>
      <c r="P82" s="1">
        <v>3.7595875052083901E-2</v>
      </c>
      <c r="Q82" s="1">
        <v>4.0634654781929701E-2</v>
      </c>
      <c r="R82" s="1">
        <v>3.91224842008129E-2</v>
      </c>
      <c r="S82" s="1">
        <v>4.6385837963282703E-2</v>
      </c>
      <c r="T82" s="1">
        <v>5.3325832461542003E-2</v>
      </c>
      <c r="U82" s="1">
        <v>5.8982410699883699E-2</v>
      </c>
      <c r="V82" s="1">
        <v>5.7485109688397401E-2</v>
      </c>
      <c r="W82" s="1">
        <v>5.6194043142655498E-2</v>
      </c>
      <c r="X82" s="1">
        <v>5.2640108250466902E-2</v>
      </c>
      <c r="Y82" s="1">
        <v>5.4141611531631398E-2</v>
      </c>
      <c r="Z82" s="1">
        <v>5.0539296662891399E-2</v>
      </c>
      <c r="AA82" s="1">
        <v>4.6061401194026401E-2</v>
      </c>
      <c r="AB82" s="1">
        <v>4.04353163484776E-2</v>
      </c>
      <c r="AC82" s="1">
        <v>3.3438968336328999E-2</v>
      </c>
      <c r="AD82" s="1">
        <v>2.91944604603597E-2</v>
      </c>
      <c r="AE82" s="1">
        <v>2.69178000493282E-2</v>
      </c>
      <c r="AF82" s="1">
        <v>2.4776258771025801E-2</v>
      </c>
      <c r="AG82" s="1">
        <v>2.1600312648864101E-2</v>
      </c>
      <c r="AH82" s="1">
        <v>1.80654495959841E-2</v>
      </c>
      <c r="AI82" s="1">
        <v>1.6524617380652001E-2</v>
      </c>
      <c r="AJ82" s="1">
        <v>1.3032531278085799E-2</v>
      </c>
      <c r="AK82" s="1">
        <v>1.04622507421047E-2</v>
      </c>
      <c r="AL82" s="1">
        <v>7.6567508546500603E-3</v>
      </c>
      <c r="AM82" s="1">
        <v>6.4518847125631402E-3</v>
      </c>
      <c r="AN82" s="1">
        <v>5.6353513889417202E-3</v>
      </c>
      <c r="AO82" s="1">
        <v>4.6723851296114702E-3</v>
      </c>
      <c r="AP82" s="1">
        <v>3.6482165836862102E-3</v>
      </c>
      <c r="AQ82" s="1">
        <v>3.1678648343190499E-3</v>
      </c>
      <c r="AR82" s="1">
        <v>2.6648854789924799E-3</v>
      </c>
      <c r="AS82" s="1">
        <v>2.1269949601856498E-3</v>
      </c>
      <c r="AT82" s="1">
        <v>1.0077689191299101E-2</v>
      </c>
    </row>
    <row r="83" spans="1:46" ht="15.75" customHeight="1" x14ac:dyDescent="0.25">
      <c r="A83" s="1">
        <v>4</v>
      </c>
      <c r="B83" s="1" t="s">
        <v>111</v>
      </c>
      <c r="C83" s="1">
        <v>1994</v>
      </c>
      <c r="D83" s="1">
        <v>1</v>
      </c>
      <c r="E83" s="1">
        <v>10</v>
      </c>
      <c r="F83" s="1">
        <v>0</v>
      </c>
      <c r="G83" s="1">
        <v>0</v>
      </c>
      <c r="H83" s="1">
        <v>0</v>
      </c>
      <c r="I83" s="1">
        <v>0</v>
      </c>
      <c r="J83" s="5">
        <v>1.93360449749245E-5</v>
      </c>
      <c r="K83" s="1">
        <v>6.6736210781510104E-4</v>
      </c>
      <c r="L83" s="1">
        <v>8.4031228786859199E-3</v>
      </c>
      <c r="M83" s="1">
        <v>4.0355042012481197E-2</v>
      </c>
      <c r="N83" s="1">
        <v>5.5056881541748801E-2</v>
      </c>
      <c r="O83" s="1">
        <v>5.1133454786373898E-2</v>
      </c>
      <c r="P83" s="1">
        <v>4.9956104492345103E-2</v>
      </c>
      <c r="Q83" s="1">
        <v>4.9729085001343203E-2</v>
      </c>
      <c r="R83" s="1">
        <v>4.7561299514709998E-2</v>
      </c>
      <c r="S83" s="1">
        <v>5.1974662261509798E-2</v>
      </c>
      <c r="T83" s="1">
        <v>5.2192819398564898E-2</v>
      </c>
      <c r="U83" s="1">
        <v>4.8576441875893599E-2</v>
      </c>
      <c r="V83" s="1">
        <v>4.8456128707160699E-2</v>
      </c>
      <c r="W83" s="1">
        <v>4.5004286604229699E-2</v>
      </c>
      <c r="X83" s="1">
        <v>4.30822300224862E-2</v>
      </c>
      <c r="Y83" s="1">
        <v>4.2976418887484498E-2</v>
      </c>
      <c r="Z83" s="1">
        <v>4.5641659938588403E-2</v>
      </c>
      <c r="AA83" s="1">
        <v>4.2470369525247298E-2</v>
      </c>
      <c r="AB83" s="1">
        <v>3.8974931802396001E-2</v>
      </c>
      <c r="AC83" s="1">
        <v>3.38780935769687E-2</v>
      </c>
      <c r="AD83" s="1">
        <v>3.1057985128611999E-2</v>
      </c>
      <c r="AE83" s="1">
        <v>2.65252939190735E-2</v>
      </c>
      <c r="AF83" s="1">
        <v>2.2784306328785999E-2</v>
      </c>
      <c r="AG83" s="1">
        <v>2.1701487810190202E-2</v>
      </c>
      <c r="AH83" s="1">
        <v>1.79692730551229E-2</v>
      </c>
      <c r="AI83" s="1">
        <v>1.55682017666163E-2</v>
      </c>
      <c r="AJ83" s="1">
        <v>1.2559835435934299E-2</v>
      </c>
      <c r="AK83" s="1">
        <v>1.05315201255554E-2</v>
      </c>
      <c r="AL83" s="1">
        <v>8.5404446054985796E-3</v>
      </c>
      <c r="AM83" s="1">
        <v>7.2553137644799899E-3</v>
      </c>
      <c r="AN83" s="1">
        <v>5.6674305896410601E-3</v>
      </c>
      <c r="AO83" s="1">
        <v>4.2593010180875298E-3</v>
      </c>
      <c r="AP83" s="1">
        <v>3.5247998652206099E-3</v>
      </c>
      <c r="AQ83" s="1">
        <v>2.99082066024179E-3</v>
      </c>
      <c r="AR83" s="1">
        <v>2.5002580377298201E-3</v>
      </c>
      <c r="AS83" s="1">
        <v>1.92465262481887E-3</v>
      </c>
      <c r="AT83" s="1">
        <v>8.5293442833833492E-3</v>
      </c>
    </row>
    <row r="84" spans="1:46" ht="15.75" customHeight="1" x14ac:dyDescent="0.25">
      <c r="A84" s="1">
        <v>4</v>
      </c>
      <c r="B84" s="1" t="s">
        <v>111</v>
      </c>
      <c r="C84" s="1">
        <v>1995</v>
      </c>
      <c r="D84" s="1">
        <v>1</v>
      </c>
      <c r="E84" s="1">
        <v>14</v>
      </c>
      <c r="F84" s="1">
        <v>0</v>
      </c>
      <c r="G84" s="1">
        <v>0</v>
      </c>
      <c r="H84" s="1">
        <v>0</v>
      </c>
      <c r="I84" s="1">
        <v>0</v>
      </c>
      <c r="J84" s="5">
        <v>1.7518235060276999E-5</v>
      </c>
      <c r="K84" s="1">
        <v>5.7525691539815399E-4</v>
      </c>
      <c r="L84" s="1">
        <v>7.8356669768542206E-3</v>
      </c>
      <c r="M84" s="1">
        <v>3.3304410777158303E-2</v>
      </c>
      <c r="N84" s="1">
        <v>4.55126741436091E-2</v>
      </c>
      <c r="O84" s="1">
        <v>4.7092010412120203E-2</v>
      </c>
      <c r="P84" s="1">
        <v>5.0193786117322801E-2</v>
      </c>
      <c r="Q84" s="1">
        <v>4.9408010924191698E-2</v>
      </c>
      <c r="R84" s="1">
        <v>4.48646491748836E-2</v>
      </c>
      <c r="S84" s="1">
        <v>4.3279398630433397E-2</v>
      </c>
      <c r="T84" s="1">
        <v>4.5682466268039498E-2</v>
      </c>
      <c r="U84" s="1">
        <v>4.6673070055721501E-2</v>
      </c>
      <c r="V84" s="1">
        <v>4.9103313416946702E-2</v>
      </c>
      <c r="W84" s="1">
        <v>5.0711247829872498E-2</v>
      </c>
      <c r="X84" s="1">
        <v>5.0733257920076401E-2</v>
      </c>
      <c r="Y84" s="1">
        <v>4.7038257878901098E-2</v>
      </c>
      <c r="Z84" s="1">
        <v>4.8197605691479899E-2</v>
      </c>
      <c r="AA84" s="1">
        <v>4.3794839008168399E-2</v>
      </c>
      <c r="AB84" s="1">
        <v>4.2571781716802003E-2</v>
      </c>
      <c r="AC84" s="1">
        <v>3.9781965351326699E-2</v>
      </c>
      <c r="AD84" s="1">
        <v>3.4175830675028503E-2</v>
      </c>
      <c r="AE84" s="1">
        <v>3.1353373495509297E-2</v>
      </c>
      <c r="AF84" s="1">
        <v>2.5332565725198802E-2</v>
      </c>
      <c r="AG84" s="1">
        <v>2.2713814176444601E-2</v>
      </c>
      <c r="AH84" s="1">
        <v>1.8335528103666E-2</v>
      </c>
      <c r="AI84" s="1">
        <v>1.53798874191373E-2</v>
      </c>
      <c r="AJ84" s="1">
        <v>1.23081322791448E-2</v>
      </c>
      <c r="AK84" s="1">
        <v>1.0364955743997199E-2</v>
      </c>
      <c r="AL84" s="1">
        <v>7.6635540605996203E-3</v>
      </c>
      <c r="AM84" s="1">
        <v>6.2302030842574701E-3</v>
      </c>
      <c r="AN84" s="1">
        <v>5.1544037773507204E-3</v>
      </c>
      <c r="AO84" s="1">
        <v>3.9398061465048496E-3</v>
      </c>
      <c r="AP84" s="1">
        <v>3.39681572388866E-3</v>
      </c>
      <c r="AQ84" s="1">
        <v>2.9255452550662501E-3</v>
      </c>
      <c r="AR84" s="1">
        <v>2.50233763628101E-3</v>
      </c>
      <c r="AS84" s="1">
        <v>2.0686490221605699E-3</v>
      </c>
      <c r="AT84" s="1">
        <v>9.7834102313979193E-3</v>
      </c>
    </row>
    <row r="85" spans="1:46" ht="15.75" customHeight="1" x14ac:dyDescent="0.25">
      <c r="A85" s="1">
        <v>4</v>
      </c>
      <c r="B85" s="1" t="s">
        <v>111</v>
      </c>
      <c r="C85" s="1">
        <v>1996</v>
      </c>
      <c r="D85" s="1">
        <v>1</v>
      </c>
      <c r="E85" s="1">
        <v>13</v>
      </c>
      <c r="F85" s="1">
        <v>0</v>
      </c>
      <c r="G85" s="1">
        <v>0</v>
      </c>
      <c r="H85" s="1">
        <v>0</v>
      </c>
      <c r="I85" s="1">
        <v>0</v>
      </c>
      <c r="J85" s="5">
        <v>2.1575875235388301E-5</v>
      </c>
      <c r="K85" s="1">
        <v>7.86296071722658E-4</v>
      </c>
      <c r="L85" s="1">
        <v>9.7725368914101697E-3</v>
      </c>
      <c r="M85" s="1">
        <v>4.6999040429631302E-2</v>
      </c>
      <c r="N85" s="1">
        <v>6.8362604604069302E-2</v>
      </c>
      <c r="O85" s="1">
        <v>6.7629247277769602E-2</v>
      </c>
      <c r="P85" s="1">
        <v>6.8058762897146199E-2</v>
      </c>
      <c r="Q85" s="1">
        <v>6.8080783635788497E-2</v>
      </c>
      <c r="R85" s="1">
        <v>6.6545337586820602E-2</v>
      </c>
      <c r="S85" s="1">
        <v>6.32328846589299E-2</v>
      </c>
      <c r="T85" s="1">
        <v>5.58707289220381E-2</v>
      </c>
      <c r="U85" s="1">
        <v>5.0236311441753403E-2</v>
      </c>
      <c r="V85" s="1">
        <v>4.81883827480191E-2</v>
      </c>
      <c r="W85" s="1">
        <v>4.25022498966805E-2</v>
      </c>
      <c r="X85" s="1">
        <v>4.0689876376907803E-2</v>
      </c>
      <c r="Y85" s="1">
        <v>3.74487128099752E-2</v>
      </c>
      <c r="Z85" s="1">
        <v>3.3569392685822798E-2</v>
      </c>
      <c r="AA85" s="1">
        <v>2.8384954541632802E-2</v>
      </c>
      <c r="AB85" s="1">
        <v>2.96121102496084E-2</v>
      </c>
      <c r="AC85" s="1">
        <v>2.4489730550683101E-2</v>
      </c>
      <c r="AD85" s="1">
        <v>2.2541006396690901E-2</v>
      </c>
      <c r="AE85" s="1">
        <v>2.2117607649159401E-2</v>
      </c>
      <c r="AF85" s="1">
        <v>2.0281767584672001E-2</v>
      </c>
      <c r="AG85" s="1">
        <v>1.61735652376616E-2</v>
      </c>
      <c r="AH85" s="1">
        <v>1.2026659774249601E-2</v>
      </c>
      <c r="AI85" s="1">
        <v>1.0141551087446399E-2</v>
      </c>
      <c r="AJ85" s="1">
        <v>8.5840842998361495E-3</v>
      </c>
      <c r="AK85" s="1">
        <v>7.2790774956503499E-3</v>
      </c>
      <c r="AL85" s="1">
        <v>6.4082573766137997E-3</v>
      </c>
      <c r="AM85" s="1">
        <v>4.6888603088864602E-3</v>
      </c>
      <c r="AN85" s="1">
        <v>3.2308204927218101E-3</v>
      </c>
      <c r="AO85" s="1">
        <v>2.8174311718458401E-3</v>
      </c>
      <c r="AP85" s="1">
        <v>2.1727128793739502E-3</v>
      </c>
      <c r="AQ85" s="1">
        <v>1.88021518932719E-3</v>
      </c>
      <c r="AR85" s="1">
        <v>1.5868277724666001E-3</v>
      </c>
      <c r="AS85" s="1">
        <v>1.4055459341486499E-3</v>
      </c>
      <c r="AT85" s="1">
        <v>6.1824891976043203E-3</v>
      </c>
    </row>
    <row r="86" spans="1:46" ht="15.75" customHeight="1" x14ac:dyDescent="0.25">
      <c r="A86" s="1">
        <v>4</v>
      </c>
      <c r="B86" s="1" t="s">
        <v>111</v>
      </c>
      <c r="C86" s="1">
        <v>1997</v>
      </c>
      <c r="D86" s="1">
        <v>1</v>
      </c>
      <c r="E86" s="1">
        <v>3</v>
      </c>
      <c r="F86" s="1">
        <v>0</v>
      </c>
      <c r="G86" s="1">
        <v>0</v>
      </c>
      <c r="H86" s="1">
        <v>0</v>
      </c>
      <c r="I86" s="1">
        <v>0</v>
      </c>
      <c r="J86" s="5">
        <v>2.60653175642203E-5</v>
      </c>
      <c r="K86" s="1">
        <v>1.0056363218381699E-3</v>
      </c>
      <c r="L86" s="1">
        <v>1.25895483835184E-2</v>
      </c>
      <c r="M86" s="1">
        <v>4.9196771477026002E-2</v>
      </c>
      <c r="N86" s="1">
        <v>5.7484633207184201E-2</v>
      </c>
      <c r="O86" s="1">
        <v>5.72257985420698E-2</v>
      </c>
      <c r="P86" s="1">
        <v>5.1296544966385603E-2</v>
      </c>
      <c r="Q86" s="1">
        <v>5.9586225207071498E-2</v>
      </c>
      <c r="R86" s="1">
        <v>5.4810361933604002E-2</v>
      </c>
      <c r="S86" s="1">
        <v>5.5565801515334502E-2</v>
      </c>
      <c r="T86" s="1">
        <v>5.33390353741214E-2</v>
      </c>
      <c r="U86" s="1">
        <v>5.6229254772870302E-2</v>
      </c>
      <c r="V86" s="1">
        <v>4.7635883274052403E-2</v>
      </c>
      <c r="W86" s="1">
        <v>5.0822519888822297E-2</v>
      </c>
      <c r="X86" s="1">
        <v>4.8400263865877501E-2</v>
      </c>
      <c r="Y86" s="1">
        <v>4.6863925555028302E-2</v>
      </c>
      <c r="Z86" s="1">
        <v>4.66334293456378E-2</v>
      </c>
      <c r="AA86" s="1">
        <v>4.0157258728736898E-2</v>
      </c>
      <c r="AB86" s="1">
        <v>3.3830660602742299E-2</v>
      </c>
      <c r="AC86" s="1">
        <v>2.92552881149577E-2</v>
      </c>
      <c r="AD86" s="1">
        <v>2.9990875623427098E-2</v>
      </c>
      <c r="AE86" s="1">
        <v>2.23404018332405E-2</v>
      </c>
      <c r="AF86" s="1">
        <v>1.9820249326885898E-2</v>
      </c>
      <c r="AG86" s="1">
        <v>1.50163506827825E-2</v>
      </c>
      <c r="AH86" s="1">
        <v>1.15620899353474E-2</v>
      </c>
      <c r="AI86" s="1">
        <v>9.66114026368705E-3</v>
      </c>
      <c r="AJ86" s="1">
        <v>6.7966830974144198E-3</v>
      </c>
      <c r="AK86" s="1">
        <v>5.0371226192855801E-3</v>
      </c>
      <c r="AL86" s="1">
        <v>4.0740697523052299E-3</v>
      </c>
      <c r="AM86" s="1">
        <v>3.71749014632493E-3</v>
      </c>
      <c r="AN86" s="1">
        <v>3.4460774500602899E-3</v>
      </c>
      <c r="AO86" s="1">
        <v>2.72776579160445E-3</v>
      </c>
      <c r="AP86" s="1">
        <v>2.1731200806448798E-3</v>
      </c>
      <c r="AQ86" s="1">
        <v>2.0180920581553598E-3</v>
      </c>
      <c r="AR86" s="1">
        <v>1.77304776454289E-3</v>
      </c>
      <c r="AS86" s="1">
        <v>1.3190263027847301E-3</v>
      </c>
      <c r="AT86" s="1">
        <v>6.5714908770630803E-3</v>
      </c>
    </row>
    <row r="87" spans="1:46" ht="15.75" customHeight="1" x14ac:dyDescent="0.25">
      <c r="A87" s="1">
        <v>4</v>
      </c>
      <c r="B87" s="1" t="s">
        <v>111</v>
      </c>
      <c r="C87" s="1">
        <v>1998</v>
      </c>
      <c r="D87" s="1">
        <v>1</v>
      </c>
      <c r="E87" s="1">
        <v>9</v>
      </c>
      <c r="F87" s="1">
        <v>0</v>
      </c>
      <c r="G87" s="1">
        <v>0</v>
      </c>
      <c r="H87" s="1">
        <v>0</v>
      </c>
      <c r="I87" s="1">
        <v>0</v>
      </c>
      <c r="J87" s="5">
        <v>2.52241185055639E-5</v>
      </c>
      <c r="K87" s="1">
        <v>7.5406838479791097E-4</v>
      </c>
      <c r="L87" s="1">
        <v>7.8606318774444208E-3</v>
      </c>
      <c r="M87" s="1">
        <v>3.5445860633647602E-2</v>
      </c>
      <c r="N87" s="1">
        <v>5.2482982570576597E-2</v>
      </c>
      <c r="O87" s="1">
        <v>5.0158159648313799E-2</v>
      </c>
      <c r="P87" s="1">
        <v>5.2205959795410303E-2</v>
      </c>
      <c r="Q87" s="1">
        <v>5.1946195627642397E-2</v>
      </c>
      <c r="R87" s="1">
        <v>5.3680021878603802E-2</v>
      </c>
      <c r="S87" s="1">
        <v>5.4243803053622898E-2</v>
      </c>
      <c r="T87" s="1">
        <v>5.2569607503865502E-2</v>
      </c>
      <c r="U87" s="1">
        <v>5.1586862571036902E-2</v>
      </c>
      <c r="V87" s="1">
        <v>5.3296460392381097E-2</v>
      </c>
      <c r="W87" s="1">
        <v>4.7338589980626102E-2</v>
      </c>
      <c r="X87" s="1">
        <v>4.82749800640958E-2</v>
      </c>
      <c r="Y87" s="1">
        <v>4.0783859396338197E-2</v>
      </c>
      <c r="Z87" s="1">
        <v>4.1143856245536001E-2</v>
      </c>
      <c r="AA87" s="1">
        <v>4.0342879850885603E-2</v>
      </c>
      <c r="AB87" s="1">
        <v>4.1271083159050898E-2</v>
      </c>
      <c r="AC87" s="1">
        <v>3.5674869077974403E-2</v>
      </c>
      <c r="AD87" s="1">
        <v>2.9028977644350602E-2</v>
      </c>
      <c r="AE87" s="1">
        <v>2.7718982963541899E-2</v>
      </c>
      <c r="AF87" s="1">
        <v>2.5107622905623701E-2</v>
      </c>
      <c r="AG87" s="1">
        <v>2.1064351594120002E-2</v>
      </c>
      <c r="AH87" s="1">
        <v>1.66887414580957E-2</v>
      </c>
      <c r="AI87" s="1">
        <v>1.2598783400936901E-2</v>
      </c>
      <c r="AJ87" s="1">
        <v>1.0394770730463901E-2</v>
      </c>
      <c r="AK87" s="1">
        <v>8.7523265930358404E-3</v>
      </c>
      <c r="AL87" s="1">
        <v>7.1689599963181702E-3</v>
      </c>
      <c r="AM87" s="1">
        <v>5.7497714340840698E-3</v>
      </c>
      <c r="AN87" s="1">
        <v>4.8180278987601296E-3</v>
      </c>
      <c r="AO87" s="1">
        <v>3.9285458251428701E-3</v>
      </c>
      <c r="AP87" s="1">
        <v>2.8808598503722999E-3</v>
      </c>
      <c r="AQ87" s="1">
        <v>2.3931935592647301E-3</v>
      </c>
      <c r="AR87" s="1">
        <v>2.04614066561581E-3</v>
      </c>
      <c r="AS87" s="1">
        <v>1.53502036958201E-3</v>
      </c>
      <c r="AT87" s="1">
        <v>7.0389672803355396E-3</v>
      </c>
    </row>
    <row r="88" spans="1:46" ht="15.75" customHeight="1" x14ac:dyDescent="0.25">
      <c r="A88" s="1">
        <v>4</v>
      </c>
      <c r="B88" s="1" t="s">
        <v>111</v>
      </c>
      <c r="C88" s="1">
        <v>1999</v>
      </c>
      <c r="D88" s="1">
        <v>1</v>
      </c>
      <c r="E88" s="1">
        <v>5</v>
      </c>
      <c r="F88" s="1">
        <v>0</v>
      </c>
      <c r="G88" s="1">
        <v>0</v>
      </c>
      <c r="H88" s="1">
        <v>0</v>
      </c>
      <c r="I88" s="1">
        <v>0</v>
      </c>
      <c r="J88" s="5">
        <v>2.61191962524041E-5</v>
      </c>
      <c r="K88" s="1">
        <v>8.2269814689390705E-4</v>
      </c>
      <c r="L88" s="1">
        <v>1.1170309597278201E-2</v>
      </c>
      <c r="M88" s="1">
        <v>4.8217845403756399E-2</v>
      </c>
      <c r="N88" s="1">
        <v>6.4232870160457797E-2</v>
      </c>
      <c r="O88" s="1">
        <v>5.7502936996202E-2</v>
      </c>
      <c r="P88" s="1">
        <v>6.22008871481117E-2</v>
      </c>
      <c r="Q88" s="1">
        <v>6.6828733829560394E-2</v>
      </c>
      <c r="R88" s="1">
        <v>6.3152824434903804E-2</v>
      </c>
      <c r="S88" s="1">
        <v>5.9452039615244999E-2</v>
      </c>
      <c r="T88" s="1">
        <v>5.6859115769097197E-2</v>
      </c>
      <c r="U88" s="1">
        <v>4.8315085701492601E-2</v>
      </c>
      <c r="V88" s="1">
        <v>4.99740504089181E-2</v>
      </c>
      <c r="W88" s="1">
        <v>4.6733687092028901E-2</v>
      </c>
      <c r="X88" s="1">
        <v>4.5662800045680303E-2</v>
      </c>
      <c r="Y88" s="1">
        <v>3.9341615342257601E-2</v>
      </c>
      <c r="Z88" s="1">
        <v>3.3081601570317698E-2</v>
      </c>
      <c r="AA88" s="1">
        <v>3.1236523455829699E-2</v>
      </c>
      <c r="AB88" s="1">
        <v>3.2716837383693201E-2</v>
      </c>
      <c r="AC88" s="1">
        <v>3.1788418680539603E-2</v>
      </c>
      <c r="AD88" s="1">
        <v>2.7512898473214201E-2</v>
      </c>
      <c r="AE88" s="1">
        <v>2.3924505346520301E-2</v>
      </c>
      <c r="AF88" s="1">
        <v>1.8520319264772898E-2</v>
      </c>
      <c r="AG88" s="1">
        <v>1.6078230950229901E-2</v>
      </c>
      <c r="AH88" s="1">
        <v>1.2493342997059001E-2</v>
      </c>
      <c r="AI88" s="1">
        <v>1.03119943645855E-2</v>
      </c>
      <c r="AJ88" s="1">
        <v>8.6783573626169792E-3</v>
      </c>
      <c r="AK88" s="1">
        <v>7.0292297550788203E-3</v>
      </c>
      <c r="AL88" s="1">
        <v>5.2012252277514699E-3</v>
      </c>
      <c r="AM88" s="1">
        <v>4.26862293039291E-3</v>
      </c>
      <c r="AN88" s="1">
        <v>3.42783356531552E-3</v>
      </c>
      <c r="AO88" s="1">
        <v>2.8109230252587299E-3</v>
      </c>
      <c r="AP88" s="1">
        <v>2.0441945846199801E-3</v>
      </c>
      <c r="AQ88" s="1">
        <v>1.7462548351607301E-3</v>
      </c>
      <c r="AR88" s="1">
        <v>1.36532162228476E-3</v>
      </c>
      <c r="AS88" s="1">
        <v>1.0309732962312599E-3</v>
      </c>
      <c r="AT88" s="1">
        <v>4.2387724203901602E-3</v>
      </c>
    </row>
    <row r="89" spans="1:46" ht="15.75" customHeight="1" x14ac:dyDescent="0.25">
      <c r="A89" s="1">
        <v>4</v>
      </c>
      <c r="B89" s="1" t="s">
        <v>111</v>
      </c>
      <c r="C89" s="1">
        <v>2000</v>
      </c>
      <c r="D89" s="1">
        <v>1</v>
      </c>
      <c r="E89" s="1">
        <v>6</v>
      </c>
      <c r="F89" s="1">
        <v>0</v>
      </c>
      <c r="G89" s="1">
        <v>0</v>
      </c>
      <c r="H89" s="1">
        <v>0</v>
      </c>
      <c r="I89" s="1">
        <v>0</v>
      </c>
      <c r="J89" s="5">
        <v>2.5056520240177599E-5</v>
      </c>
      <c r="K89" s="1">
        <v>8.7666886865016302E-4</v>
      </c>
      <c r="L89" s="1">
        <v>1.14331973836662E-2</v>
      </c>
      <c r="M89" s="1">
        <v>5.2165355091879299E-2</v>
      </c>
      <c r="N89" s="1">
        <v>7.2251636136637196E-2</v>
      </c>
      <c r="O89" s="1">
        <v>7.0531784427929498E-2</v>
      </c>
      <c r="P89" s="1">
        <v>7.2876115769166402E-2</v>
      </c>
      <c r="Q89" s="1">
        <v>7.6834581957480302E-2</v>
      </c>
      <c r="R89" s="1">
        <v>6.8521849362984402E-2</v>
      </c>
      <c r="S89" s="1">
        <v>6.8874806024639204E-2</v>
      </c>
      <c r="T89" s="1">
        <v>5.8001049589792297E-2</v>
      </c>
      <c r="U89" s="1">
        <v>4.8218334474539298E-2</v>
      </c>
      <c r="V89" s="1">
        <v>4.5096168316710698E-2</v>
      </c>
      <c r="W89" s="1">
        <v>4.3592158422787998E-2</v>
      </c>
      <c r="X89" s="1">
        <v>3.89671423951218E-2</v>
      </c>
      <c r="Y89" s="1">
        <v>3.2692572118310698E-2</v>
      </c>
      <c r="Z89" s="1">
        <v>3.20746659555977E-2</v>
      </c>
      <c r="AA89" s="1">
        <v>2.7595580957848899E-2</v>
      </c>
      <c r="AB89" s="1">
        <v>2.56153425094847E-2</v>
      </c>
      <c r="AC89" s="1">
        <v>2.44512196725237E-2</v>
      </c>
      <c r="AD89" s="1">
        <v>2.3826894709872599E-2</v>
      </c>
      <c r="AE89" s="1">
        <v>2.2036590871724101E-2</v>
      </c>
      <c r="AF89" s="1">
        <v>1.77010395207832E-2</v>
      </c>
      <c r="AG89" s="1">
        <v>1.43781118612772E-2</v>
      </c>
      <c r="AH89" s="1">
        <v>1.1368545374651399E-2</v>
      </c>
      <c r="AI89" s="1">
        <v>8.7015726678527795E-3</v>
      </c>
      <c r="AJ89" s="1">
        <v>6.7097339786366898E-3</v>
      </c>
      <c r="AK89" s="1">
        <v>5.23820475909935E-3</v>
      </c>
      <c r="AL89" s="1">
        <v>3.9836773784321803E-3</v>
      </c>
      <c r="AM89" s="1">
        <v>3.1466813334956301E-3</v>
      </c>
      <c r="AN89" s="1">
        <v>2.4792034748753501E-3</v>
      </c>
      <c r="AO89" s="1">
        <v>1.87421224697748E-3</v>
      </c>
      <c r="AP89" s="1">
        <v>1.4226535380811899E-3</v>
      </c>
      <c r="AQ89" s="1">
        <v>1.09444405691047E-3</v>
      </c>
      <c r="AR89" s="1">
        <v>9.4217156199408495E-4</v>
      </c>
      <c r="AS89" s="1">
        <v>7.9345647427228995E-4</v>
      </c>
      <c r="AT89" s="1">
        <v>3.6075202350734701E-3</v>
      </c>
    </row>
    <row r="90" spans="1:46" ht="15.75" customHeight="1" x14ac:dyDescent="0.25">
      <c r="A90" s="1">
        <v>4</v>
      </c>
      <c r="B90" s="1" t="s">
        <v>111</v>
      </c>
      <c r="C90" s="1">
        <v>2001</v>
      </c>
      <c r="D90" s="1">
        <v>1</v>
      </c>
      <c r="E90" s="1">
        <v>18</v>
      </c>
      <c r="F90" s="1">
        <v>0</v>
      </c>
      <c r="G90" s="1">
        <v>0</v>
      </c>
      <c r="H90" s="1">
        <v>0</v>
      </c>
      <c r="I90" s="1">
        <v>0</v>
      </c>
      <c r="J90" s="5">
        <v>2.7054975710643999E-5</v>
      </c>
      <c r="K90" s="1">
        <v>9.7798727013291E-4</v>
      </c>
      <c r="L90" s="1">
        <v>1.3254647729901399E-2</v>
      </c>
      <c r="M90" s="1">
        <v>5.9717631942392699E-2</v>
      </c>
      <c r="N90" s="1">
        <v>8.6131304525080707E-2</v>
      </c>
      <c r="O90" s="1">
        <v>8.1250815943711904E-2</v>
      </c>
      <c r="P90" s="1">
        <v>7.7445941581865796E-2</v>
      </c>
      <c r="Q90" s="1">
        <v>8.1175663233404596E-2</v>
      </c>
      <c r="R90" s="1">
        <v>8.6650216096250399E-2</v>
      </c>
      <c r="S90" s="1">
        <v>7.9910950479946702E-2</v>
      </c>
      <c r="T90" s="1">
        <v>6.4005058278421803E-2</v>
      </c>
      <c r="U90" s="1">
        <v>4.73281708431533E-2</v>
      </c>
      <c r="V90" s="1">
        <v>3.9831795351010398E-2</v>
      </c>
      <c r="W90" s="1">
        <v>3.2662226787689701E-2</v>
      </c>
      <c r="X90" s="1">
        <v>3.4550492314669098E-2</v>
      </c>
      <c r="Y90" s="1">
        <v>3.55287658808413E-2</v>
      </c>
      <c r="Z90" s="1">
        <v>2.9987219744807201E-2</v>
      </c>
      <c r="AA90" s="1">
        <v>2.6816634257955E-2</v>
      </c>
      <c r="AB90" s="1">
        <v>2.54766256461702E-2</v>
      </c>
      <c r="AC90" s="1">
        <v>2.27880195414225E-2</v>
      </c>
      <c r="AD90" s="1">
        <v>1.9351321886072501E-2</v>
      </c>
      <c r="AE90" s="1">
        <v>1.4807231150841401E-2</v>
      </c>
      <c r="AF90" s="1">
        <v>1.118773347442E-2</v>
      </c>
      <c r="AG90" s="1">
        <v>8.32949696640717E-3</v>
      </c>
      <c r="AH90" s="1">
        <v>5.7725870397218604E-3</v>
      </c>
      <c r="AI90" s="1">
        <v>4.2192878786837702E-3</v>
      </c>
      <c r="AJ90" s="1">
        <v>2.54059105244714E-3</v>
      </c>
      <c r="AK90" s="1">
        <v>1.57749117635607E-3</v>
      </c>
      <c r="AL90" s="1">
        <v>1.3650595152206401E-3</v>
      </c>
      <c r="AM90" s="1">
        <v>1.04283332302668E-3</v>
      </c>
      <c r="AN90" s="1">
        <v>1.09164679772154E-3</v>
      </c>
      <c r="AO90" s="1">
        <v>7.5238599119124296E-4</v>
      </c>
      <c r="AP90" s="1">
        <v>4.4833959749067197E-4</v>
      </c>
      <c r="AQ90" s="1">
        <v>3.4241006296222498E-4</v>
      </c>
      <c r="AR90" s="1">
        <v>3.13494162996351E-4</v>
      </c>
      <c r="AS90" s="1">
        <v>1.9425186264203099E-4</v>
      </c>
      <c r="AT90" s="1">
        <v>1.14661563726063E-3</v>
      </c>
    </row>
    <row r="91" spans="1:46" ht="15.75" customHeight="1" x14ac:dyDescent="0.25">
      <c r="A91" s="1">
        <v>4</v>
      </c>
      <c r="B91" s="1" t="s">
        <v>111</v>
      </c>
      <c r="C91" s="1">
        <v>2002</v>
      </c>
      <c r="D91" s="1">
        <v>1</v>
      </c>
      <c r="E91" s="1">
        <v>11</v>
      </c>
      <c r="F91" s="1">
        <v>0</v>
      </c>
      <c r="G91" s="1">
        <v>0</v>
      </c>
      <c r="H91" s="1">
        <v>0</v>
      </c>
      <c r="I91" s="1">
        <v>0</v>
      </c>
      <c r="J91" s="5">
        <v>2.4039978124815899E-5</v>
      </c>
      <c r="K91" s="1">
        <v>9.1656901671406405E-4</v>
      </c>
      <c r="L91" s="1">
        <v>1.1772951376752201E-2</v>
      </c>
      <c r="M91" s="1">
        <v>5.5337697406642503E-2</v>
      </c>
      <c r="N91" s="1">
        <v>7.7203851539380905E-2</v>
      </c>
      <c r="O91" s="1">
        <v>7.0550937095689603E-2</v>
      </c>
      <c r="P91" s="1">
        <v>7.4738019554309601E-2</v>
      </c>
      <c r="Q91" s="1">
        <v>8.0203646123149896E-2</v>
      </c>
      <c r="R91" s="1">
        <v>8.2412752670186801E-2</v>
      </c>
      <c r="S91" s="1">
        <v>7.9919472053375906E-2</v>
      </c>
      <c r="T91" s="1">
        <v>6.8076433974229994E-2</v>
      </c>
      <c r="U91" s="1">
        <v>5.8861886438611802E-2</v>
      </c>
      <c r="V91" s="1">
        <v>4.8652550255962997E-2</v>
      </c>
      <c r="W91" s="1">
        <v>4.26908748847711E-2</v>
      </c>
      <c r="X91" s="1">
        <v>3.5469552500591299E-2</v>
      </c>
      <c r="Y91" s="1">
        <v>3.30241126362677E-2</v>
      </c>
      <c r="Z91" s="1">
        <v>2.8729567887373301E-2</v>
      </c>
      <c r="AA91" s="1">
        <v>2.6210034657635099E-2</v>
      </c>
      <c r="AB91" s="1">
        <v>2.2081377717990101E-2</v>
      </c>
      <c r="AC91" s="1">
        <v>1.8987516254643198E-2</v>
      </c>
      <c r="AD91" s="1">
        <v>1.6877499866195401E-2</v>
      </c>
      <c r="AE91" s="1">
        <v>1.38778846852482E-2</v>
      </c>
      <c r="AF91" s="1">
        <v>1.1731748528672601E-2</v>
      </c>
      <c r="AG91" s="1">
        <v>9.57771864793662E-3</v>
      </c>
      <c r="AH91" s="1">
        <v>7.6667795907761904E-3</v>
      </c>
      <c r="AI91" s="1">
        <v>5.4628159246316796E-3</v>
      </c>
      <c r="AJ91" s="1">
        <v>4.0037327747128098E-3</v>
      </c>
      <c r="AK91" s="1">
        <v>3.1119213474108702E-3</v>
      </c>
      <c r="AL91" s="1">
        <v>2.4923836027016901E-3</v>
      </c>
      <c r="AM91" s="1">
        <v>1.9483146450410499E-3</v>
      </c>
      <c r="AN91" s="1">
        <v>1.51152857483295E-3</v>
      </c>
      <c r="AO91" s="1">
        <v>1.1988892573291301E-3</v>
      </c>
      <c r="AP91" s="1">
        <v>8.8935958873697198E-4</v>
      </c>
      <c r="AQ91" s="1">
        <v>7.0325906156177903E-4</v>
      </c>
      <c r="AR91" s="1">
        <v>5.82700365294046E-4</v>
      </c>
      <c r="AS91" s="1">
        <v>4.6824136496842998E-4</v>
      </c>
      <c r="AT91" s="1">
        <v>2.0313781515469498E-3</v>
      </c>
    </row>
    <row r="92" spans="1:46" ht="15.75" customHeight="1" x14ac:dyDescent="0.25">
      <c r="A92" s="1">
        <v>4</v>
      </c>
      <c r="B92" s="1" t="s">
        <v>111</v>
      </c>
      <c r="C92" s="1">
        <v>2003</v>
      </c>
      <c r="D92" s="1">
        <v>1</v>
      </c>
      <c r="E92" s="1">
        <v>4</v>
      </c>
      <c r="F92" s="1">
        <v>0</v>
      </c>
      <c r="G92" s="1">
        <v>0</v>
      </c>
      <c r="H92" s="1">
        <v>0</v>
      </c>
      <c r="I92" s="1">
        <v>0</v>
      </c>
      <c r="J92" s="5">
        <v>2.84815814196202E-5</v>
      </c>
      <c r="K92" s="1">
        <v>1.0783715999566599E-3</v>
      </c>
      <c r="L92" s="1">
        <v>1.40677187246319E-2</v>
      </c>
      <c r="M92" s="1">
        <v>5.8161353505858999E-2</v>
      </c>
      <c r="N92" s="1">
        <v>8.3792812536522696E-2</v>
      </c>
      <c r="O92" s="1">
        <v>6.9557914567696E-2</v>
      </c>
      <c r="P92" s="1">
        <v>7.4768516219824097E-2</v>
      </c>
      <c r="Q92" s="1">
        <v>8.0261751189488001E-2</v>
      </c>
      <c r="R92" s="1">
        <v>8.9050883491016905E-2</v>
      </c>
      <c r="S92" s="1">
        <v>8.30765171325442E-2</v>
      </c>
      <c r="T92" s="1">
        <v>7.6880845612696105E-2</v>
      </c>
      <c r="U92" s="1">
        <v>6.2483897266826703E-2</v>
      </c>
      <c r="V92" s="1">
        <v>5.2558338954171599E-2</v>
      </c>
      <c r="W92" s="1">
        <v>4.7090748320268702E-2</v>
      </c>
      <c r="X92" s="1">
        <v>3.7996393860767801E-2</v>
      </c>
      <c r="Y92" s="1">
        <v>2.9234542767495299E-2</v>
      </c>
      <c r="Z92" s="1">
        <v>2.5087799112531398E-2</v>
      </c>
      <c r="AA92" s="1">
        <v>2.0659076889030001E-2</v>
      </c>
      <c r="AB92" s="1">
        <v>1.6680712851424199E-2</v>
      </c>
      <c r="AC92" s="1">
        <v>1.4849707278091699E-2</v>
      </c>
      <c r="AD92" s="1">
        <v>1.3112003436995701E-2</v>
      </c>
      <c r="AE92" s="1">
        <v>1.01382426122215E-2</v>
      </c>
      <c r="AF92" s="1">
        <v>7.9463612160740396E-3</v>
      </c>
      <c r="AG92" s="1">
        <v>6.4216690490436499E-3</v>
      </c>
      <c r="AH92" s="1">
        <v>4.99955422505709E-3</v>
      </c>
      <c r="AI92" s="1">
        <v>3.9481364588576998E-3</v>
      </c>
      <c r="AJ92" s="1">
        <v>3.1653840315667599E-3</v>
      </c>
      <c r="AK92" s="1">
        <v>2.5093255354182698E-3</v>
      </c>
      <c r="AL92" s="1">
        <v>2.0101885491602498E-3</v>
      </c>
      <c r="AM92" s="1">
        <v>1.68532392124374E-3</v>
      </c>
      <c r="AN92" s="1">
        <v>1.3732268987911901E-3</v>
      </c>
      <c r="AO92" s="1">
        <v>1.02904717542919E-3</v>
      </c>
      <c r="AP92" s="1">
        <v>7.8024255613135896E-4</v>
      </c>
      <c r="AQ92" s="1">
        <v>6.2888641272517798E-4</v>
      </c>
      <c r="AR92" s="1">
        <v>4.8320476063631602E-4</v>
      </c>
      <c r="AS92" s="1">
        <v>4.2493209980077099E-4</v>
      </c>
      <c r="AT92" s="1">
        <v>1.9778875985847402E-3</v>
      </c>
    </row>
    <row r="93" spans="1:46" ht="15.75" customHeight="1" x14ac:dyDescent="0.25">
      <c r="A93" s="1">
        <v>4</v>
      </c>
      <c r="B93" s="1" t="s">
        <v>111</v>
      </c>
      <c r="C93" s="1">
        <v>2004</v>
      </c>
      <c r="D93" s="1">
        <v>1</v>
      </c>
      <c r="E93" s="1">
        <v>8</v>
      </c>
      <c r="F93" s="1">
        <v>0</v>
      </c>
      <c r="G93" s="1">
        <v>0</v>
      </c>
      <c r="H93" s="1">
        <v>0</v>
      </c>
      <c r="I93" s="1">
        <v>0</v>
      </c>
      <c r="J93" s="5">
        <v>4.7667967100342099E-5</v>
      </c>
      <c r="K93" s="1">
        <v>1.5021851253783499E-3</v>
      </c>
      <c r="L93" s="1">
        <v>1.85312442911168E-2</v>
      </c>
      <c r="M93" s="1">
        <v>7.1166643004459601E-2</v>
      </c>
      <c r="N93" s="1">
        <v>9.3219991790803106E-2</v>
      </c>
      <c r="O93" s="1">
        <v>8.1919505723548697E-2</v>
      </c>
      <c r="P93" s="1">
        <v>8.0567796775395203E-2</v>
      </c>
      <c r="Q93" s="1">
        <v>8.2289512214122104E-2</v>
      </c>
      <c r="R93" s="1">
        <v>8.7053818165515107E-2</v>
      </c>
      <c r="S93" s="1">
        <v>8.1457770604392896E-2</v>
      </c>
      <c r="T93" s="1">
        <v>7.57018850490839E-2</v>
      </c>
      <c r="U93" s="1">
        <v>6.15921667873826E-2</v>
      </c>
      <c r="V93" s="1">
        <v>5.4055990021162001E-2</v>
      </c>
      <c r="W93" s="1">
        <v>4.5304151261539201E-2</v>
      </c>
      <c r="X93" s="1">
        <v>3.5419274984821399E-2</v>
      </c>
      <c r="Y93" s="1">
        <v>2.7407277429887501E-2</v>
      </c>
      <c r="Z93" s="1">
        <v>2.0523164098308001E-2</v>
      </c>
      <c r="AA93" s="1">
        <v>1.6341609780745399E-2</v>
      </c>
      <c r="AB93" s="1">
        <v>1.3864421479649801E-2</v>
      </c>
      <c r="AC93" s="1">
        <v>1.2542601635191599E-2</v>
      </c>
      <c r="AD93" s="1">
        <v>9.8573920434347102E-3</v>
      </c>
      <c r="AE93" s="1">
        <v>7.6433652760245904E-3</v>
      </c>
      <c r="AF93" s="1">
        <v>5.6799603608645496E-3</v>
      </c>
      <c r="AG93" s="1">
        <v>4.41894938254523E-3</v>
      </c>
      <c r="AH93" s="1">
        <v>3.08424630373565E-3</v>
      </c>
      <c r="AI93" s="1">
        <v>2.4151769997506701E-3</v>
      </c>
      <c r="AJ93" s="1">
        <v>1.7013599284516701E-3</v>
      </c>
      <c r="AK93" s="1">
        <v>1.13269396417894E-3</v>
      </c>
      <c r="AL93" s="1">
        <v>8.5853873718021601E-4</v>
      </c>
      <c r="AM93" s="1">
        <v>6.4003908257972899E-4</v>
      </c>
      <c r="AN93" s="1">
        <v>4.5142853167459099E-4</v>
      </c>
      <c r="AO93" s="1">
        <v>3.3779840469485699E-4</v>
      </c>
      <c r="AP93" s="1">
        <v>2.2803324802055599E-4</v>
      </c>
      <c r="AQ93" s="1">
        <v>1.9479450339383099E-4</v>
      </c>
      <c r="AR93" s="1">
        <v>1.3707761349936201E-4</v>
      </c>
      <c r="AS93" s="1">
        <v>1.2642747310216899E-4</v>
      </c>
      <c r="AT93" s="1">
        <v>5.8403995726545295E-4</v>
      </c>
    </row>
    <row r="94" spans="1:46" ht="15.75" customHeight="1" x14ac:dyDescent="0.25">
      <c r="A94" s="1">
        <v>4</v>
      </c>
      <c r="B94" s="1" t="s">
        <v>111</v>
      </c>
      <c r="C94" s="1">
        <v>2005</v>
      </c>
      <c r="D94" s="1">
        <v>1</v>
      </c>
      <c r="E94" s="1">
        <v>12</v>
      </c>
      <c r="F94" s="1">
        <v>0</v>
      </c>
      <c r="G94" s="1">
        <v>0</v>
      </c>
      <c r="H94" s="1">
        <v>0</v>
      </c>
      <c r="I94" s="1">
        <v>0</v>
      </c>
      <c r="J94" s="5">
        <v>3.7087861143047901E-5</v>
      </c>
      <c r="K94" s="1">
        <v>1.3935218414777601E-3</v>
      </c>
      <c r="L94" s="1">
        <v>1.9596025926596601E-2</v>
      </c>
      <c r="M94" s="1">
        <v>8.7262192270744304E-2</v>
      </c>
      <c r="N94" s="1">
        <v>0.121329665271145</v>
      </c>
      <c r="O94" s="1">
        <v>9.40691783148003E-2</v>
      </c>
      <c r="P94" s="1">
        <v>8.4484693257935894E-2</v>
      </c>
      <c r="Q94" s="1">
        <v>8.8442186205788198E-2</v>
      </c>
      <c r="R94" s="1">
        <v>8.9337567167207393E-2</v>
      </c>
      <c r="S94" s="1">
        <v>8.4474148669963903E-2</v>
      </c>
      <c r="T94" s="1">
        <v>7.7251833122078006E-2</v>
      </c>
      <c r="U94" s="1">
        <v>5.7731073737212903E-2</v>
      </c>
      <c r="V94" s="1">
        <v>4.2893747641103E-2</v>
      </c>
      <c r="W94" s="1">
        <v>3.3957936547760102E-2</v>
      </c>
      <c r="X94" s="1">
        <v>2.4678699132362199E-2</v>
      </c>
      <c r="Y94" s="1">
        <v>1.9128609794249601E-2</v>
      </c>
      <c r="Z94" s="1">
        <v>1.4875050268596099E-2</v>
      </c>
      <c r="AA94" s="1">
        <v>1.1852025978955899E-2</v>
      </c>
      <c r="AB94" s="1">
        <v>1.0463140120120999E-2</v>
      </c>
      <c r="AC94" s="1">
        <v>9.1784275183203097E-3</v>
      </c>
      <c r="AD94" s="1">
        <v>7.2108619437093596E-3</v>
      </c>
      <c r="AE94" s="1">
        <v>5.3319254490358297E-3</v>
      </c>
      <c r="AF94" s="1">
        <v>3.8687729662944099E-3</v>
      </c>
      <c r="AG94" s="1">
        <v>3.2359158847309298E-3</v>
      </c>
      <c r="AH94" s="1">
        <v>2.3038106686504999E-3</v>
      </c>
      <c r="AI94" s="1">
        <v>1.5421459909112901E-3</v>
      </c>
      <c r="AJ94" s="1">
        <v>1.03609666987368E-3</v>
      </c>
      <c r="AK94" s="1">
        <v>6.8857977489849903E-4</v>
      </c>
      <c r="AL94" s="1">
        <v>5.6649889863596699E-4</v>
      </c>
      <c r="AM94" s="1">
        <v>4.1123893090967798E-4</v>
      </c>
      <c r="AN94" s="1">
        <v>3.0679296901418298E-4</v>
      </c>
      <c r="AO94" s="1">
        <v>2.5197929188364903E-4</v>
      </c>
      <c r="AP94" s="1">
        <v>1.7053143996166101E-4</v>
      </c>
      <c r="AQ94" s="1">
        <v>1.51987509390137E-4</v>
      </c>
      <c r="AR94" s="1">
        <v>1.14536041765295E-4</v>
      </c>
      <c r="AS94" s="5">
        <v>7.7629983863144301E-5</v>
      </c>
      <c r="AT94" s="1">
        <v>2.9388493891047498E-4</v>
      </c>
    </row>
    <row r="95" spans="1:46" ht="15.75" customHeight="1" x14ac:dyDescent="0.25">
      <c r="A95" s="1">
        <v>4</v>
      </c>
      <c r="B95" s="1" t="s">
        <v>111</v>
      </c>
      <c r="C95" s="1">
        <v>2006</v>
      </c>
      <c r="D95" s="1">
        <v>1</v>
      </c>
      <c r="E95" s="1">
        <v>7</v>
      </c>
      <c r="F95" s="1">
        <v>0</v>
      </c>
      <c r="G95" s="1">
        <v>0</v>
      </c>
      <c r="H95" s="1">
        <v>0</v>
      </c>
      <c r="I95" s="1">
        <v>0</v>
      </c>
      <c r="J95" s="5">
        <v>6.4399286580951899E-5</v>
      </c>
      <c r="K95" s="1">
        <v>2.00550632657341E-3</v>
      </c>
      <c r="L95" s="1">
        <v>2.3516618704829101E-2</v>
      </c>
      <c r="M95" s="1">
        <v>9.3553531375519999E-2</v>
      </c>
      <c r="N95" s="1">
        <v>0.11931799779992</v>
      </c>
      <c r="O95" s="1">
        <v>0.103617951920118</v>
      </c>
      <c r="P95" s="1">
        <v>0.106200050694118</v>
      </c>
      <c r="Q95" s="1">
        <v>0.104142024561013</v>
      </c>
      <c r="R95" s="1">
        <v>9.1114361503582E-2</v>
      </c>
      <c r="S95" s="1">
        <v>8.5284662978525799E-2</v>
      </c>
      <c r="T95" s="1">
        <v>6.6420548849484895E-2</v>
      </c>
      <c r="U95" s="1">
        <v>4.5175036635691203E-2</v>
      </c>
      <c r="V95" s="1">
        <v>3.7000203701821097E-2</v>
      </c>
      <c r="W95" s="1">
        <v>2.7480363532096999E-2</v>
      </c>
      <c r="X95" s="1">
        <v>2.1855367205357301E-2</v>
      </c>
      <c r="Y95" s="1">
        <v>1.8417945867835399E-2</v>
      </c>
      <c r="Z95" s="1">
        <v>1.2049544184350501E-2</v>
      </c>
      <c r="AA95" s="1">
        <v>9.5323448855649702E-3</v>
      </c>
      <c r="AB95" s="1">
        <v>7.4944513449634702E-3</v>
      </c>
      <c r="AC95" s="1">
        <v>5.6991492916766201E-3</v>
      </c>
      <c r="AD95" s="1">
        <v>5.07566415984628E-3</v>
      </c>
      <c r="AE95" s="1">
        <v>3.5327072722300401E-3</v>
      </c>
      <c r="AF95" s="1">
        <v>2.95373892879352E-3</v>
      </c>
      <c r="AG95" s="1">
        <v>2.00450594930613E-3</v>
      </c>
      <c r="AH95" s="1">
        <v>1.63461645473049E-3</v>
      </c>
      <c r="AI95" s="1">
        <v>1.1816956469708601E-3</v>
      </c>
      <c r="AJ95" s="1">
        <v>8.5532256352176803E-4</v>
      </c>
      <c r="AK95" s="1">
        <v>6.8025654174830698E-4</v>
      </c>
      <c r="AL95" s="1">
        <v>4.40791233393894E-4</v>
      </c>
      <c r="AM95" s="1">
        <v>3.4212902540870698E-4</v>
      </c>
      <c r="AN95" s="1">
        <v>2.6960167353113002E-4</v>
      </c>
      <c r="AO95" s="1">
        <v>2.2008299880092299E-4</v>
      </c>
      <c r="AP95" s="1">
        <v>1.6581253205115001E-4</v>
      </c>
      <c r="AQ95" s="1">
        <v>1.4705545828970799E-4</v>
      </c>
      <c r="AR95" s="1">
        <v>1.1004149940046101E-4</v>
      </c>
      <c r="AS95" s="5">
        <v>9.2284802906296095E-5</v>
      </c>
      <c r="AT95" s="1">
        <v>3.51632609447838E-4</v>
      </c>
    </row>
    <row r="96" spans="1:46" ht="15.75" customHeight="1" x14ac:dyDescent="0.25">
      <c r="A96" s="1">
        <v>4</v>
      </c>
      <c r="B96" s="1" t="s">
        <v>111</v>
      </c>
      <c r="C96" s="1">
        <v>2007</v>
      </c>
      <c r="D96" s="1">
        <v>1</v>
      </c>
      <c r="E96" s="1">
        <v>17</v>
      </c>
      <c r="F96" s="1">
        <v>0</v>
      </c>
      <c r="G96" s="1">
        <v>0</v>
      </c>
      <c r="H96" s="1">
        <v>0</v>
      </c>
      <c r="I96" s="1">
        <v>0</v>
      </c>
      <c r="J96" s="5">
        <v>4.7688250396203E-5</v>
      </c>
      <c r="K96" s="1">
        <v>1.6605925813252501E-3</v>
      </c>
      <c r="L96" s="1">
        <v>1.9383492328426798E-2</v>
      </c>
      <c r="M96" s="1">
        <v>7.5544218176486294E-2</v>
      </c>
      <c r="N96" s="1">
        <v>0.107190031511245</v>
      </c>
      <c r="O96" s="1">
        <v>9.0071594041435304E-2</v>
      </c>
      <c r="P96" s="1">
        <v>8.9531127203611699E-2</v>
      </c>
      <c r="Q96" s="1">
        <v>9.3958597554332807E-2</v>
      </c>
      <c r="R96" s="1">
        <v>9.8083220107997401E-2</v>
      </c>
      <c r="S96" s="1">
        <v>9.4236641979774993E-2</v>
      </c>
      <c r="T96" s="1">
        <v>7.5216841078220395E-2</v>
      </c>
      <c r="U96" s="1">
        <v>5.8798379421697702E-2</v>
      </c>
      <c r="V96" s="1">
        <v>4.71694351203409E-2</v>
      </c>
      <c r="W96" s="1">
        <v>3.5689722154275599E-2</v>
      </c>
      <c r="X96" s="1">
        <v>3.0159803601148099E-2</v>
      </c>
      <c r="Y96" s="1">
        <v>2.2466099203893999E-2</v>
      </c>
      <c r="Z96" s="1">
        <v>1.6204412670548899E-2</v>
      </c>
      <c r="AA96" s="1">
        <v>1.20590978013387E-2</v>
      </c>
      <c r="AB96" s="1">
        <v>7.8822648356022904E-3</v>
      </c>
      <c r="AC96" s="1">
        <v>5.9856976359372099E-3</v>
      </c>
      <c r="AD96" s="1">
        <v>4.8938011441068997E-3</v>
      </c>
      <c r="AE96" s="1">
        <v>3.5789483781541202E-3</v>
      </c>
      <c r="AF96" s="1">
        <v>2.6343647287833498E-3</v>
      </c>
      <c r="AG96" s="1">
        <v>1.9313741410462201E-3</v>
      </c>
      <c r="AH96" s="1">
        <v>1.4306475118860901E-3</v>
      </c>
      <c r="AI96" s="1">
        <v>1.15644007210792E-3</v>
      </c>
      <c r="AJ96" s="1">
        <v>7.7740070257948204E-4</v>
      </c>
      <c r="AK96" s="1">
        <v>5.0648210765622502E-4</v>
      </c>
      <c r="AL96" s="1">
        <v>3.9027625611605198E-4</v>
      </c>
      <c r="AM96" s="1">
        <v>3.0586257150668199E-4</v>
      </c>
      <c r="AN96" s="1">
        <v>2.3679682955355999E-4</v>
      </c>
      <c r="AO96" s="1">
        <v>1.7458284771483499E-4</v>
      </c>
      <c r="AP96" s="1">
        <v>1.4018701194056199E-4</v>
      </c>
      <c r="AQ96" s="1">
        <v>1.1839841477677999E-4</v>
      </c>
      <c r="AR96" s="5">
        <v>8.5372931025386501E-5</v>
      </c>
      <c r="AS96" s="5">
        <v>6.65991083119387E-5</v>
      </c>
      <c r="AT96" s="1">
        <v>2.3350798469864899E-4</v>
      </c>
    </row>
    <row r="97" spans="1:46" ht="15.75" customHeight="1" x14ac:dyDescent="0.25">
      <c r="A97" s="1">
        <v>4</v>
      </c>
      <c r="B97" s="1" t="s">
        <v>111</v>
      </c>
      <c r="C97" s="1">
        <v>2008</v>
      </c>
      <c r="D97" s="1">
        <v>1</v>
      </c>
      <c r="E97" s="1">
        <v>13</v>
      </c>
      <c r="F97" s="1">
        <v>0</v>
      </c>
      <c r="G97" s="1">
        <v>0</v>
      </c>
      <c r="H97" s="1">
        <v>0</v>
      </c>
      <c r="I97" s="1">
        <v>0</v>
      </c>
      <c r="J97" s="5">
        <v>5.0841432187581001E-5</v>
      </c>
      <c r="K97" s="1">
        <v>1.8676444477070599E-3</v>
      </c>
      <c r="L97" s="1">
        <v>2.3280706830792801E-2</v>
      </c>
      <c r="M97" s="1">
        <v>8.9562889489792005E-2</v>
      </c>
      <c r="N97" s="1">
        <v>0.120371759815217</v>
      </c>
      <c r="O97" s="1">
        <v>0.10602980682719999</v>
      </c>
      <c r="P97" s="1">
        <v>9.9763340915018706E-2</v>
      </c>
      <c r="Q97" s="1">
        <v>9.3671188484623094E-2</v>
      </c>
      <c r="R97" s="1">
        <v>9.2546840587597295E-2</v>
      </c>
      <c r="S97" s="1">
        <v>8.3307318170221994E-2</v>
      </c>
      <c r="T97" s="1">
        <v>7.7722153388860293E-2</v>
      </c>
      <c r="U97" s="1">
        <v>6.1940428108204597E-2</v>
      </c>
      <c r="V97" s="1">
        <v>4.4387164250380001E-2</v>
      </c>
      <c r="W97" s="1">
        <v>2.8555246025192198E-2</v>
      </c>
      <c r="X97" s="1">
        <v>2.1986195772975899E-2</v>
      </c>
      <c r="Y97" s="1">
        <v>1.3549241677990299E-2</v>
      </c>
      <c r="Z97" s="1">
        <v>9.6982625848432598E-3</v>
      </c>
      <c r="AA97" s="1">
        <v>7.9219251990241008E-3</v>
      </c>
      <c r="AB97" s="1">
        <v>6.1523320848216696E-3</v>
      </c>
      <c r="AC97" s="1">
        <v>4.54771423016669E-3</v>
      </c>
      <c r="AD97" s="1">
        <v>3.4426912652733401E-3</v>
      </c>
      <c r="AE97" s="1">
        <v>2.5003090043678199E-3</v>
      </c>
      <c r="AF97" s="1">
        <v>1.9738667256704E-3</v>
      </c>
      <c r="AG97" s="1">
        <v>1.3991769654072E-3</v>
      </c>
      <c r="AH97" s="1">
        <v>1.0855683352297299E-3</v>
      </c>
      <c r="AI97" s="1">
        <v>7.0814851975559297E-4</v>
      </c>
      <c r="AJ97" s="1">
        <v>4.6535474155367498E-4</v>
      </c>
      <c r="AK97" s="1">
        <v>3.4862696357198402E-4</v>
      </c>
      <c r="AL97" s="1">
        <v>2.6250780292771399E-4</v>
      </c>
      <c r="AM97" s="1">
        <v>2.0284693862596099E-4</v>
      </c>
      <c r="AN97" s="1">
        <v>1.6186251880127801E-4</v>
      </c>
      <c r="AO97" s="1">
        <v>1.18024753292599E-4</v>
      </c>
      <c r="AP97" s="5">
        <v>9.3382222385352898E-5</v>
      </c>
      <c r="AQ97" s="5">
        <v>6.6923926042836295E-5</v>
      </c>
      <c r="AR97" s="5">
        <v>5.1230524780853297E-5</v>
      </c>
      <c r="AS97" s="5">
        <v>4.4615950695224197E-5</v>
      </c>
      <c r="AT97" s="1">
        <v>1.6186251880127801E-4</v>
      </c>
    </row>
    <row r="98" spans="1:46" ht="15.75" customHeight="1" x14ac:dyDescent="0.25">
      <c r="A98" s="1">
        <v>4</v>
      </c>
      <c r="B98" s="1" t="s">
        <v>111</v>
      </c>
      <c r="C98" s="1">
        <v>2009</v>
      </c>
      <c r="D98" s="1">
        <v>1</v>
      </c>
      <c r="E98" s="1">
        <v>8</v>
      </c>
      <c r="F98" s="1">
        <v>0</v>
      </c>
      <c r="G98" s="1">
        <v>0</v>
      </c>
      <c r="H98" s="1">
        <v>0</v>
      </c>
      <c r="I98" s="1">
        <v>0</v>
      </c>
      <c r="J98" s="5">
        <v>2.4888799527795999E-5</v>
      </c>
      <c r="K98" s="1">
        <v>1.0287370471489001E-3</v>
      </c>
      <c r="L98" s="1">
        <v>1.34460519409725E-2</v>
      </c>
      <c r="M98" s="1">
        <v>6.5032806447207603E-2</v>
      </c>
      <c r="N98" s="1">
        <v>8.9241312121243893E-2</v>
      </c>
      <c r="O98" s="1">
        <v>7.7093056537348201E-2</v>
      </c>
      <c r="P98" s="1">
        <v>8.3705668960909696E-2</v>
      </c>
      <c r="Q98" s="1">
        <v>9.0418243262313194E-2</v>
      </c>
      <c r="R98" s="1">
        <v>9.2489137787728895E-2</v>
      </c>
      <c r="S98" s="1">
        <v>8.8848378165300196E-2</v>
      </c>
      <c r="T98" s="1">
        <v>8.1474217277755806E-2</v>
      </c>
      <c r="U98" s="1">
        <v>7.4472981703397598E-2</v>
      </c>
      <c r="V98" s="1">
        <v>6.4382932237315199E-2</v>
      </c>
      <c r="W98" s="1">
        <v>5.1343885370973598E-2</v>
      </c>
      <c r="X98" s="1">
        <v>3.7383627578318999E-2</v>
      </c>
      <c r="Y98" s="1">
        <v>2.72195624012226E-2</v>
      </c>
      <c r="Z98" s="1">
        <v>1.9966348065631901E-2</v>
      </c>
      <c r="AA98" s="1">
        <v>1.43932090341137E-2</v>
      </c>
      <c r="AB98" s="1">
        <v>9.0892919844157097E-3</v>
      </c>
      <c r="AC98" s="1">
        <v>5.9504564857974802E-3</v>
      </c>
      <c r="AD98" s="1">
        <v>3.7857816144485799E-3</v>
      </c>
      <c r="AE98" s="1">
        <v>2.6209695293584901E-3</v>
      </c>
      <c r="AF98" s="1">
        <v>1.87398019973994E-3</v>
      </c>
      <c r="AG98" s="1">
        <v>1.3583103010267801E-3</v>
      </c>
      <c r="AH98" s="1">
        <v>9.4707575719495704E-4</v>
      </c>
      <c r="AI98" s="1">
        <v>6.7102155589646205E-4</v>
      </c>
      <c r="AJ98" s="1">
        <v>4.4694102420012797E-4</v>
      </c>
      <c r="AK98" s="1">
        <v>3.02569719749677E-4</v>
      </c>
      <c r="AL98" s="1">
        <v>2.2676461791991899E-4</v>
      </c>
      <c r="AM98" s="1">
        <v>1.7023613533227801E-4</v>
      </c>
      <c r="AN98" s="1">
        <v>1.3176423279421401E-4</v>
      </c>
      <c r="AO98" s="5">
        <v>9.2804314579134905E-5</v>
      </c>
      <c r="AP98" s="5">
        <v>7.8570523999512998E-5</v>
      </c>
      <c r="AQ98" s="5">
        <v>5.1729661763654501E-5</v>
      </c>
      <c r="AR98" s="5">
        <v>4.8801567701560799E-5</v>
      </c>
      <c r="AS98" s="5">
        <v>3.8553238484233102E-5</v>
      </c>
      <c r="AT98" s="1">
        <v>1.4933279716677599E-4</v>
      </c>
    </row>
    <row r="99" spans="1:46" ht="15.75" customHeight="1" x14ac:dyDescent="0.25">
      <c r="A99" s="1">
        <v>4</v>
      </c>
      <c r="B99" s="1" t="s">
        <v>111</v>
      </c>
      <c r="C99" s="1">
        <v>2010</v>
      </c>
      <c r="D99" s="1">
        <v>1</v>
      </c>
      <c r="E99" s="1">
        <v>6</v>
      </c>
      <c r="F99" s="1">
        <v>0</v>
      </c>
      <c r="G99" s="1">
        <v>0</v>
      </c>
      <c r="H99" s="1">
        <v>0</v>
      </c>
      <c r="I99" s="1">
        <v>0</v>
      </c>
      <c r="J99" s="5">
        <v>4.08249622294601E-5</v>
      </c>
      <c r="K99" s="1">
        <v>1.29805500344181E-3</v>
      </c>
      <c r="L99" s="1">
        <v>1.5496500078968E-2</v>
      </c>
      <c r="M99" s="1">
        <v>6.7205486636529699E-2</v>
      </c>
      <c r="N99" s="1">
        <v>9.0488528781598396E-2</v>
      </c>
      <c r="O99" s="1">
        <v>9.0603106869023398E-2</v>
      </c>
      <c r="P99" s="1">
        <v>8.9103608986259603E-2</v>
      </c>
      <c r="Q99" s="1">
        <v>8.2955056782456599E-2</v>
      </c>
      <c r="R99" s="1">
        <v>8.6174194451976993E-2</v>
      </c>
      <c r="S99" s="1">
        <v>8.5198269259995393E-2</v>
      </c>
      <c r="T99" s="1">
        <v>8.3173261735686704E-2</v>
      </c>
      <c r="U99" s="1">
        <v>6.9899189162611494E-2</v>
      </c>
      <c r="V99" s="1">
        <v>6.4207012357745896E-2</v>
      </c>
      <c r="W99" s="1">
        <v>4.9689864383647399E-2</v>
      </c>
      <c r="X99" s="1">
        <v>3.7864407486761703E-2</v>
      </c>
      <c r="Y99" s="1">
        <v>2.8525846372985199E-2</v>
      </c>
      <c r="Z99" s="1">
        <v>1.9815751283602401E-2</v>
      </c>
      <c r="AA99" s="1">
        <v>1.39745037681142E-2</v>
      </c>
      <c r="AB99" s="1">
        <v>8.9591422586037892E-3</v>
      </c>
      <c r="AC99" s="1">
        <v>5.6030025716746297E-3</v>
      </c>
      <c r="AD99" s="1">
        <v>3.4094058329037298E-3</v>
      </c>
      <c r="AE99" s="1">
        <v>2.1433105170466601E-3</v>
      </c>
      <c r="AF99" s="1">
        <v>1.33761349786488E-3</v>
      </c>
      <c r="AG99" s="1">
        <v>8.9159333569740703E-4</v>
      </c>
      <c r="AH99" s="1">
        <v>6.0343466069092495E-4</v>
      </c>
      <c r="AI99" s="1">
        <v>4.0988858063228001E-4</v>
      </c>
      <c r="AJ99" s="1">
        <v>2.6141385485981E-4</v>
      </c>
      <c r="AK99" s="1">
        <v>1.7730549289437101E-4</v>
      </c>
      <c r="AL99" s="1">
        <v>1.1368411014992001E-4</v>
      </c>
      <c r="AM99" s="5">
        <v>8.6417803259441095E-5</v>
      </c>
      <c r="AN99" s="5">
        <v>6.1013949025415802E-5</v>
      </c>
      <c r="AO99" s="5">
        <v>5.0062727405469398E-5</v>
      </c>
      <c r="AP99" s="5">
        <v>3.3077159178613699E-5</v>
      </c>
      <c r="AQ99" s="5">
        <v>2.7042812571704401E-5</v>
      </c>
      <c r="AR99" s="5">
        <v>2.52548580215091E-5</v>
      </c>
      <c r="AS99" s="5">
        <v>1.7432556864404501E-5</v>
      </c>
      <c r="AT99" s="5">
        <v>7.6435057020850494E-5</v>
      </c>
    </row>
    <row r="100" spans="1:46" ht="15.75" customHeight="1" x14ac:dyDescent="0.25">
      <c r="A100" s="1">
        <v>4</v>
      </c>
      <c r="B100" s="1" t="s">
        <v>111</v>
      </c>
      <c r="C100" s="1">
        <v>2011</v>
      </c>
      <c r="D100" s="1">
        <v>1</v>
      </c>
      <c r="E100" s="1">
        <v>7</v>
      </c>
      <c r="F100" s="1">
        <v>0</v>
      </c>
      <c r="G100" s="1">
        <v>0</v>
      </c>
      <c r="H100" s="1">
        <v>0</v>
      </c>
      <c r="I100" s="1">
        <v>0</v>
      </c>
      <c r="J100" s="5">
        <v>2.6871499039081601E-5</v>
      </c>
      <c r="K100" s="1">
        <v>1.03854712502397E-3</v>
      </c>
      <c r="L100" s="1">
        <v>1.41211744830182E-2</v>
      </c>
      <c r="M100" s="1">
        <v>6.7106364010202493E-2</v>
      </c>
      <c r="N100" s="1">
        <v>8.74572073395182E-2</v>
      </c>
      <c r="O100" s="1">
        <v>7.7448017771017993E-2</v>
      </c>
      <c r="P100" s="1">
        <v>8.3912509626936402E-2</v>
      </c>
      <c r="Q100" s="1">
        <v>8.8574997143390205E-2</v>
      </c>
      <c r="R100" s="1">
        <v>9.0668311127092394E-2</v>
      </c>
      <c r="S100" s="1">
        <v>8.9866765781881505E-2</v>
      </c>
      <c r="T100" s="1">
        <v>7.6750811309463499E-2</v>
      </c>
      <c r="U100" s="1">
        <v>6.9845804398727201E-2</v>
      </c>
      <c r="V100" s="1">
        <v>6.0654702689861298E-2</v>
      </c>
      <c r="W100" s="1">
        <v>4.8373943457847103E-2</v>
      </c>
      <c r="X100" s="1">
        <v>3.9432189893217701E-2</v>
      </c>
      <c r="Y100" s="1">
        <v>3.29139550392211E-2</v>
      </c>
      <c r="Z100" s="1">
        <v>2.5378315200585699E-2</v>
      </c>
      <c r="AA100" s="1">
        <v>1.7165562003280701E-2</v>
      </c>
      <c r="AB100" s="1">
        <v>1.11630501233345E-2</v>
      </c>
      <c r="AC100" s="1">
        <v>7.0864097030481502E-3</v>
      </c>
      <c r="AD100" s="1">
        <v>4.0583226116321196E-3</v>
      </c>
      <c r="AE100" s="1">
        <v>2.48331384813423E-3</v>
      </c>
      <c r="AF100" s="1">
        <v>1.53385421542001E-3</v>
      </c>
      <c r="AG100" s="1">
        <v>9.3299781348306896E-4</v>
      </c>
      <c r="AH100" s="1">
        <v>6.45803624053365E-4</v>
      </c>
      <c r="AI100" s="1">
        <v>4.0960879616329902E-4</v>
      </c>
      <c r="AJ100" s="1">
        <v>2.73072530775532E-4</v>
      </c>
      <c r="AK100" s="1">
        <v>1.70428246157779E-4</v>
      </c>
      <c r="AL100" s="1">
        <v>1.1539412500266301E-4</v>
      </c>
      <c r="AM100" s="5">
        <v>8.9087492309748194E-5</v>
      </c>
      <c r="AN100" s="5">
        <v>6.9236475001597801E-5</v>
      </c>
      <c r="AO100" s="5">
        <v>4.5189307693350498E-5</v>
      </c>
      <c r="AP100" s="5">
        <v>3.2197381731512201E-5</v>
      </c>
      <c r="AQ100" s="5">
        <v>3.4134066346941601E-5</v>
      </c>
      <c r="AR100" s="5">
        <v>2.2917434615913501E-5</v>
      </c>
      <c r="AS100" s="5">
        <v>2.2110482692817899E-5</v>
      </c>
      <c r="AT100" s="5">
        <v>7.68218230786959E-5</v>
      </c>
    </row>
    <row r="101" spans="1:46" ht="15.75" customHeight="1" x14ac:dyDescent="0.25">
      <c r="A101" s="1">
        <v>4</v>
      </c>
      <c r="B101" s="1" t="s">
        <v>111</v>
      </c>
      <c r="C101" s="1">
        <v>2012</v>
      </c>
      <c r="D101" s="1">
        <v>1</v>
      </c>
      <c r="E101" s="1">
        <v>12</v>
      </c>
      <c r="F101" s="1">
        <v>0</v>
      </c>
      <c r="G101" s="1">
        <v>0</v>
      </c>
      <c r="H101" s="1">
        <v>0</v>
      </c>
      <c r="I101" s="1">
        <v>0</v>
      </c>
      <c r="J101" s="5">
        <v>3.1259237550586203E-5</v>
      </c>
      <c r="K101" s="1">
        <v>1.1334993796496399E-3</v>
      </c>
      <c r="L101" s="1">
        <v>1.3940493488550599E-2</v>
      </c>
      <c r="M101" s="1">
        <v>6.1842599694673303E-2</v>
      </c>
      <c r="N101" s="1">
        <v>8.3427619517066301E-2</v>
      </c>
      <c r="O101" s="1">
        <v>8.6601042293748404E-2</v>
      </c>
      <c r="P101" s="1">
        <v>8.4910508933242396E-2</v>
      </c>
      <c r="Q101" s="1">
        <v>7.7556702895778706E-2</v>
      </c>
      <c r="R101" s="1">
        <v>8.3719935630377204E-2</v>
      </c>
      <c r="S101" s="1">
        <v>8.4431200624133396E-2</v>
      </c>
      <c r="T101" s="1">
        <v>8.5963748108370194E-2</v>
      </c>
      <c r="U101" s="1">
        <v>7.4636639524949699E-2</v>
      </c>
      <c r="V101" s="1">
        <v>6.9744709655659307E-2</v>
      </c>
      <c r="W101" s="1">
        <v>5.6067056602969498E-2</v>
      </c>
      <c r="X101" s="1">
        <v>4.48168288470382E-2</v>
      </c>
      <c r="Y101" s="1">
        <v>3.3162953278892203E-2</v>
      </c>
      <c r="Z101" s="1">
        <v>2.3174641229845399E-2</v>
      </c>
      <c r="AA101" s="1">
        <v>1.4998332371305999E-2</v>
      </c>
      <c r="AB101" s="1">
        <v>8.8248676340258493E-3</v>
      </c>
      <c r="AC101" s="1">
        <v>4.7725252141422002E-3</v>
      </c>
      <c r="AD101" s="1">
        <v>2.4720142992706801E-3</v>
      </c>
      <c r="AE101" s="1">
        <v>1.3509998403244299E-3</v>
      </c>
      <c r="AF101" s="1">
        <v>8.3226546583632796E-4</v>
      </c>
      <c r="AG101" s="1">
        <v>5.0803301388520296E-4</v>
      </c>
      <c r="AH101" s="1">
        <v>3.2855054482598098E-4</v>
      </c>
      <c r="AI101" s="1">
        <v>2.1327623938418E-4</v>
      </c>
      <c r="AJ101" s="1">
        <v>1.30106015751089E-4</v>
      </c>
      <c r="AK101" s="5">
        <v>9.7250961268490404E-5</v>
      </c>
      <c r="AL101" s="5">
        <v>7.8852130758235494E-5</v>
      </c>
      <c r="AM101" s="5">
        <v>5.2568087172157E-5</v>
      </c>
      <c r="AN101" s="5">
        <v>4.1772854985017598E-5</v>
      </c>
      <c r="AO101" s="5">
        <v>3.7173147357453901E-5</v>
      </c>
      <c r="AP101" s="5">
        <v>2.7598245765382399E-5</v>
      </c>
      <c r="AQ101" s="5">
        <v>1.6521398825534999E-5</v>
      </c>
      <c r="AR101" s="5">
        <v>1.6145912488591101E-5</v>
      </c>
      <c r="AS101" s="5">
        <v>7.3219835704075802E-6</v>
      </c>
      <c r="AT101" s="5">
        <v>3.2385696561418099E-5</v>
      </c>
    </row>
    <row r="102" spans="1:46" ht="15.75" customHeight="1" x14ac:dyDescent="0.25">
      <c r="A102" s="1">
        <v>4</v>
      </c>
      <c r="B102" s="1" t="s">
        <v>111</v>
      </c>
      <c r="C102" s="1">
        <v>2013</v>
      </c>
      <c r="D102" s="1">
        <v>1</v>
      </c>
      <c r="E102" s="1">
        <v>18</v>
      </c>
      <c r="F102" s="1">
        <v>0</v>
      </c>
      <c r="G102" s="1">
        <v>0</v>
      </c>
      <c r="H102" s="1">
        <v>0</v>
      </c>
      <c r="I102" s="1">
        <v>0</v>
      </c>
      <c r="J102" s="5">
        <v>2.5930284603140599E-5</v>
      </c>
      <c r="K102" s="1">
        <v>8.8537219181032505E-4</v>
      </c>
      <c r="L102" s="1">
        <v>1.12826143501046E-2</v>
      </c>
      <c r="M102" s="1">
        <v>5.4306570279670098E-2</v>
      </c>
      <c r="N102" s="1">
        <v>6.56651042259324E-2</v>
      </c>
      <c r="O102" s="1">
        <v>6.3413179303284398E-2</v>
      </c>
      <c r="P102" s="1">
        <v>7.1539427532384098E-2</v>
      </c>
      <c r="Q102" s="1">
        <v>7.3446862832091397E-2</v>
      </c>
      <c r="R102" s="1">
        <v>7.6555823759251504E-2</v>
      </c>
      <c r="S102" s="1">
        <v>8.1159117582613099E-2</v>
      </c>
      <c r="T102" s="1">
        <v>7.7712260988047205E-2</v>
      </c>
      <c r="U102" s="1">
        <v>7.8639424600747104E-2</v>
      </c>
      <c r="V102" s="1">
        <v>7.2121388662085506E-2</v>
      </c>
      <c r="W102" s="1">
        <v>6.1671662182034299E-2</v>
      </c>
      <c r="X102" s="1">
        <v>5.1146818073390499E-2</v>
      </c>
      <c r="Y102" s="1">
        <v>4.4995726849490901E-2</v>
      </c>
      <c r="Z102" s="1">
        <v>3.88989912049999E-2</v>
      </c>
      <c r="AA102" s="1">
        <v>2.8771655686097099E-2</v>
      </c>
      <c r="AB102" s="1">
        <v>2.0916918031518902E-2</v>
      </c>
      <c r="AC102" s="1">
        <v>1.2757076272194599E-2</v>
      </c>
      <c r="AD102" s="1">
        <v>6.6655088631227596E-3</v>
      </c>
      <c r="AE102" s="1">
        <v>3.46948990140165E-3</v>
      </c>
      <c r="AF102" s="1">
        <v>1.6761122109452699E-3</v>
      </c>
      <c r="AG102" s="1">
        <v>9.0176797314014598E-4</v>
      </c>
      <c r="AH102" s="1">
        <v>5.0345741583417202E-4</v>
      </c>
      <c r="AI102" s="1">
        <v>3.2346025123505199E-4</v>
      </c>
      <c r="AJ102" s="1">
        <v>1.8792773274234901E-4</v>
      </c>
      <c r="AK102" s="1">
        <v>1.20473349771292E-4</v>
      </c>
      <c r="AL102" s="5">
        <v>7.7790853809421695E-5</v>
      </c>
      <c r="AM102" s="5">
        <v>4.6514118772643903E-5</v>
      </c>
      <c r="AN102" s="5">
        <v>3.2791562659641703E-5</v>
      </c>
      <c r="AO102" s="5">
        <v>2.2989736864640099E-5</v>
      </c>
      <c r="AP102" s="5">
        <v>1.3722556113002201E-5</v>
      </c>
      <c r="AQ102" s="5">
        <v>1.3366126084093101E-5</v>
      </c>
      <c r="AR102" s="5">
        <v>5.7919879697736601E-6</v>
      </c>
      <c r="AS102" s="5">
        <v>5.5246654480918004E-6</v>
      </c>
      <c r="AT102" s="5">
        <v>2.13858017345489E-5</v>
      </c>
    </row>
    <row r="103" spans="1:46" ht="15.75" customHeight="1" x14ac:dyDescent="0.25">
      <c r="A103" s="1">
        <v>4</v>
      </c>
      <c r="B103" s="1" t="s">
        <v>111</v>
      </c>
      <c r="C103" s="1">
        <v>2014</v>
      </c>
      <c r="D103" s="1">
        <v>1</v>
      </c>
      <c r="E103" s="1">
        <v>11</v>
      </c>
      <c r="F103" s="1">
        <v>0</v>
      </c>
      <c r="G103" s="1">
        <v>0</v>
      </c>
      <c r="H103" s="1">
        <v>0</v>
      </c>
      <c r="I103" s="1">
        <v>0</v>
      </c>
      <c r="J103" s="5">
        <v>2.8019580599272799E-5</v>
      </c>
      <c r="K103" s="1">
        <v>1.13521065029574E-3</v>
      </c>
      <c r="L103" s="1">
        <v>1.4023458387733599E-2</v>
      </c>
      <c r="M103" s="1">
        <v>6.1751966420241201E-2</v>
      </c>
      <c r="N103" s="1">
        <v>8.2120151302697897E-2</v>
      </c>
      <c r="O103" s="1">
        <v>7.3746169328476205E-2</v>
      </c>
      <c r="P103" s="1">
        <v>7.7493351614148095E-2</v>
      </c>
      <c r="Q103" s="1">
        <v>7.6442199705650096E-2</v>
      </c>
      <c r="R103" s="1">
        <v>7.4055219987118601E-2</v>
      </c>
      <c r="S103" s="1">
        <v>7.9686472283167595E-2</v>
      </c>
      <c r="T103" s="1">
        <v>7.8179413702804998E-2</v>
      </c>
      <c r="U103" s="1">
        <v>6.7954696666398903E-2</v>
      </c>
      <c r="V103" s="1">
        <v>5.8555076548127402E-2</v>
      </c>
      <c r="W103" s="1">
        <v>5.1128141211396597E-2</v>
      </c>
      <c r="X103" s="1">
        <v>4.9470581794319297E-2</v>
      </c>
      <c r="Y103" s="1">
        <v>4.0915573586632399E-2</v>
      </c>
      <c r="Z103" s="1">
        <v>3.4535917533438598E-2</v>
      </c>
      <c r="AA103" s="1">
        <v>2.79567833278484E-2</v>
      </c>
      <c r="AB103" s="1">
        <v>2.0187462384282501E-2</v>
      </c>
      <c r="AC103" s="1">
        <v>1.30965342132747E-2</v>
      </c>
      <c r="AD103" s="1">
        <v>8.1166422488803906E-3</v>
      </c>
      <c r="AE103" s="1">
        <v>4.3977073452761001E-3</v>
      </c>
      <c r="AF103" s="1">
        <v>2.2659412050485099E-3</v>
      </c>
      <c r="AG103" s="1">
        <v>1.1075707388102801E-3</v>
      </c>
      <c r="AH103" s="1">
        <v>6.0769838356634096E-4</v>
      </c>
      <c r="AI103" s="1">
        <v>3.4170220243015601E-4</v>
      </c>
      <c r="AJ103" s="1">
        <v>2.05021321458093E-4</v>
      </c>
      <c r="AK103" s="1">
        <v>1.39414498591504E-4</v>
      </c>
      <c r="AL103" s="5">
        <v>9.7195293135688703E-5</v>
      </c>
      <c r="AM103" s="5">
        <v>5.77097052993152E-5</v>
      </c>
      <c r="AN103" s="5">
        <v>4.6775234821550197E-5</v>
      </c>
      <c r="AO103" s="5">
        <v>3.5081426116162698E-5</v>
      </c>
      <c r="AP103" s="5">
        <v>2.49062938660202E-5</v>
      </c>
      <c r="AQ103" s="5">
        <v>2.5513764448118299E-5</v>
      </c>
      <c r="AR103" s="5">
        <v>1.2301279287485601E-5</v>
      </c>
      <c r="AS103" s="5">
        <v>1.17697425281498E-5</v>
      </c>
      <c r="AT103" s="5">
        <v>4.4649087784206999E-5</v>
      </c>
    </row>
    <row r="104" spans="1:46" ht="15.75" customHeight="1" x14ac:dyDescent="0.25">
      <c r="A104" s="1">
        <v>4</v>
      </c>
      <c r="B104" s="1" t="s">
        <v>111</v>
      </c>
      <c r="C104" s="1">
        <v>2015</v>
      </c>
      <c r="D104" s="1">
        <v>1</v>
      </c>
      <c r="E104" s="1">
        <v>4</v>
      </c>
      <c r="F104" s="1">
        <v>0</v>
      </c>
      <c r="G104" s="1">
        <v>0</v>
      </c>
      <c r="H104" s="1">
        <v>0</v>
      </c>
      <c r="I104" s="1">
        <v>0</v>
      </c>
      <c r="J104" s="5">
        <v>2.4621134549622498E-5</v>
      </c>
      <c r="K104" s="1">
        <v>8.2782758051749698E-4</v>
      </c>
      <c r="L104" s="1">
        <v>1.14062438422968E-2</v>
      </c>
      <c r="M104" s="1">
        <v>5.0654035663326297E-2</v>
      </c>
      <c r="N104" s="1">
        <v>7.2446294763138894E-2</v>
      </c>
      <c r="O104" s="1">
        <v>7.0106125606653497E-2</v>
      </c>
      <c r="P104" s="1">
        <v>7.337562645496E-2</v>
      </c>
      <c r="Q104" s="1">
        <v>7.8499609739532406E-2</v>
      </c>
      <c r="R104" s="1">
        <v>7.7357746556080104E-2</v>
      </c>
      <c r="S104" s="1">
        <v>7.5436214111889693E-2</v>
      </c>
      <c r="T104" s="1">
        <v>7.1455100535137997E-2</v>
      </c>
      <c r="U104" s="1">
        <v>6.7966022524621694E-2</v>
      </c>
      <c r="V104" s="1">
        <v>6.1175389735913598E-2</v>
      </c>
      <c r="W104" s="1">
        <v>5.4561672961186199E-2</v>
      </c>
      <c r="X104" s="1">
        <v>5.1528782764400601E-2</v>
      </c>
      <c r="Y104" s="1">
        <v>4.7185862389691698E-2</v>
      </c>
      <c r="Z104" s="1">
        <v>4.1799021395069101E-2</v>
      </c>
      <c r="AA104" s="1">
        <v>3.1471384550919398E-2</v>
      </c>
      <c r="AB104" s="1">
        <v>2.3392013445926799E-2</v>
      </c>
      <c r="AC104" s="1">
        <v>1.6740513294909401E-2</v>
      </c>
      <c r="AD104" s="1">
        <v>1.0742247458971199E-2</v>
      </c>
      <c r="AE104" s="1">
        <v>5.7422989465638497E-3</v>
      </c>
      <c r="AF104" s="1">
        <v>2.90769405034929E-3</v>
      </c>
      <c r="AG104" s="1">
        <v>1.4475368916344101E-3</v>
      </c>
      <c r="AH104" s="1">
        <v>7.3398853940384199E-4</v>
      </c>
      <c r="AI104" s="1">
        <v>3.8155016056773601E-4</v>
      </c>
      <c r="AJ104" s="1">
        <v>2.2716480744840401E-4</v>
      </c>
      <c r="AK104" s="1">
        <v>1.3115786769515899E-4</v>
      </c>
      <c r="AL104" s="5">
        <v>7.8044351025218604E-5</v>
      </c>
      <c r="AM104" s="5">
        <v>5.4584590746804703E-5</v>
      </c>
      <c r="AN104" s="5">
        <v>3.5073502990500001E-5</v>
      </c>
      <c r="AO104" s="5">
        <v>2.2917785618516599E-5</v>
      </c>
      <c r="AP104" s="5">
        <v>2.2298386007205301E-5</v>
      </c>
      <c r="AQ104" s="5">
        <v>1.0607218343705301E-5</v>
      </c>
      <c r="AR104" s="5">
        <v>1.05297933922914E-5</v>
      </c>
      <c r="AS104" s="5">
        <v>1.10717680521888E-5</v>
      </c>
      <c r="AT104" s="5">
        <v>3.1124830468390801E-5</v>
      </c>
    </row>
    <row r="105" spans="1:46" ht="15.75" customHeight="1" x14ac:dyDescent="0.25">
      <c r="A105" s="1">
        <v>4</v>
      </c>
      <c r="B105" s="1" t="s">
        <v>111</v>
      </c>
      <c r="C105" s="1">
        <v>2016</v>
      </c>
      <c r="D105" s="1">
        <v>1</v>
      </c>
      <c r="E105" s="1">
        <v>4</v>
      </c>
      <c r="F105" s="1">
        <v>0</v>
      </c>
      <c r="G105" s="1">
        <v>0</v>
      </c>
      <c r="H105" s="1">
        <v>0</v>
      </c>
      <c r="I105" s="1">
        <v>0</v>
      </c>
      <c r="J105" s="5">
        <v>2.3037774196585299E-5</v>
      </c>
      <c r="K105" s="1">
        <v>8.0934949669478101E-4</v>
      </c>
      <c r="L105" s="1">
        <v>9.9124453821999997E-3</v>
      </c>
      <c r="M105" s="1">
        <v>4.3864365104417602E-2</v>
      </c>
      <c r="N105" s="1">
        <v>6.4937726016624897E-2</v>
      </c>
      <c r="O105" s="1">
        <v>6.10949219060066E-2</v>
      </c>
      <c r="P105" s="1">
        <v>6.4534048095045607E-2</v>
      </c>
      <c r="Q105" s="1">
        <v>6.6152377893335806E-2</v>
      </c>
      <c r="R105" s="1">
        <v>6.9372645227507301E-2</v>
      </c>
      <c r="S105" s="1">
        <v>6.7419603152187799E-2</v>
      </c>
      <c r="T105" s="1">
        <v>6.5447879804843498E-2</v>
      </c>
      <c r="U105" s="1">
        <v>6.5735630465241196E-2</v>
      </c>
      <c r="V105" s="1">
        <v>6.4454080436536304E-2</v>
      </c>
      <c r="W105" s="1">
        <v>6.2676775228485596E-2</v>
      </c>
      <c r="X105" s="1">
        <v>6.0018792030554602E-2</v>
      </c>
      <c r="Y105" s="1">
        <v>5.6074016233508502E-2</v>
      </c>
      <c r="Z105" s="1">
        <v>4.9986062885001299E-2</v>
      </c>
      <c r="AA105" s="1">
        <v>4.1015065006027099E-2</v>
      </c>
      <c r="AB105" s="1">
        <v>3.16112227926287E-2</v>
      </c>
      <c r="AC105" s="1">
        <v>2.3336305353882699E-2</v>
      </c>
      <c r="AD105" s="1">
        <v>1.53697396620757E-2</v>
      </c>
      <c r="AE105" s="1">
        <v>8.1790005519466798E-3</v>
      </c>
      <c r="AF105" s="1">
        <v>3.9899652772009096E-3</v>
      </c>
      <c r="AG105" s="1">
        <v>1.9723878985230402E-3</v>
      </c>
      <c r="AH105" s="1">
        <v>9.3790323027252199E-4</v>
      </c>
      <c r="AI105" s="1">
        <v>4.2383597400128101E-4</v>
      </c>
      <c r="AJ105" s="1">
        <v>2.2063099134422099E-4</v>
      </c>
      <c r="AK105" s="1">
        <v>1.36454508702852E-4</v>
      </c>
      <c r="AL105" s="5">
        <v>8.2182829105126494E-5</v>
      </c>
      <c r="AM105" s="5">
        <v>4.9619821346491498E-5</v>
      </c>
      <c r="AN105" s="5">
        <v>3.6550314831120898E-5</v>
      </c>
      <c r="AO105" s="5">
        <v>2.4957588712967402E-5</v>
      </c>
      <c r="AP105" s="5">
        <v>2.4957588712967402E-5</v>
      </c>
      <c r="AQ105" s="5">
        <v>1.1888082197596899E-5</v>
      </c>
      <c r="AR105" s="5">
        <v>1.25526333763446E-5</v>
      </c>
      <c r="AS105" s="5">
        <v>1.2478794356483701E-5</v>
      </c>
      <c r="AT105" s="5">
        <v>3.8543968367363903E-5</v>
      </c>
    </row>
    <row r="106" spans="1:46" ht="15.75" customHeight="1" x14ac:dyDescent="0.25">
      <c r="A106" s="1">
        <v>4</v>
      </c>
      <c r="B106" s="1" t="s">
        <v>111</v>
      </c>
      <c r="C106" s="1">
        <v>2017</v>
      </c>
      <c r="D106" s="1">
        <v>1</v>
      </c>
      <c r="E106" s="1">
        <v>5</v>
      </c>
      <c r="F106" s="1">
        <v>0</v>
      </c>
      <c r="G106" s="1">
        <v>0</v>
      </c>
      <c r="H106" s="1">
        <v>0</v>
      </c>
      <c r="I106" s="1">
        <v>0</v>
      </c>
      <c r="J106" s="5">
        <v>1.9139145638524299E-5</v>
      </c>
      <c r="K106" s="1">
        <v>6.1910975456791798E-4</v>
      </c>
      <c r="L106" s="1">
        <v>8.3441127405520094E-3</v>
      </c>
      <c r="M106" s="1">
        <v>3.9120413685143698E-2</v>
      </c>
      <c r="N106" s="1">
        <v>5.5586625076840902E-2</v>
      </c>
      <c r="O106" s="1">
        <v>5.4608586996820099E-2</v>
      </c>
      <c r="P106" s="1">
        <v>6.0001498955696099E-2</v>
      </c>
      <c r="Q106" s="1">
        <v>6.2985652353340998E-2</v>
      </c>
      <c r="R106" s="1">
        <v>6.3557274836411604E-2</v>
      </c>
      <c r="S106" s="1">
        <v>6.8045654129675601E-2</v>
      </c>
      <c r="T106" s="1">
        <v>6.88117747130612E-2</v>
      </c>
      <c r="U106" s="1">
        <v>6.8259624230335894E-2</v>
      </c>
      <c r="V106" s="1">
        <v>6.7805499458750501E-2</v>
      </c>
      <c r="W106" s="1">
        <v>6.6336001404203093E-2</v>
      </c>
      <c r="X106" s="1">
        <v>6.4896404797479296E-2</v>
      </c>
      <c r="Y106" s="1">
        <v>5.8762669212931197E-2</v>
      </c>
      <c r="Z106" s="1">
        <v>4.9832510285349102E-2</v>
      </c>
      <c r="AA106" s="1">
        <v>4.4854834573152397E-2</v>
      </c>
      <c r="AB106" s="1">
        <v>3.5811837899979701E-2</v>
      </c>
      <c r="AC106" s="1">
        <v>2.5836848047887599E-2</v>
      </c>
      <c r="AD106" s="1">
        <v>1.6977254318137999E-2</v>
      </c>
      <c r="AE106" s="1">
        <v>9.6391394529743695E-3</v>
      </c>
      <c r="AF106" s="1">
        <v>5.0400859697136598E-3</v>
      </c>
      <c r="AG106" s="1">
        <v>2.2833832883526399E-3</v>
      </c>
      <c r="AH106" s="1">
        <v>9.69938615489738E-4</v>
      </c>
      <c r="AI106" s="1">
        <v>4.2938257171645902E-4</v>
      </c>
      <c r="AJ106" s="1">
        <v>2.1552342262512201E-4</v>
      </c>
      <c r="AK106" s="1">
        <v>1.17164856778445E-4</v>
      </c>
      <c r="AL106" s="5">
        <v>7.7666098243287107E-5</v>
      </c>
      <c r="AM106" s="5">
        <v>4.2605402464889001E-5</v>
      </c>
      <c r="AN106" s="5">
        <v>3.0622633021638897E-5</v>
      </c>
      <c r="AO106" s="5">
        <v>1.9860330836497699E-5</v>
      </c>
      <c r="AP106" s="5">
        <v>9.9856412027083507E-6</v>
      </c>
      <c r="AQ106" s="5">
        <v>9.5973107114919101E-6</v>
      </c>
      <c r="AR106" s="5">
        <v>9.9301654182488599E-6</v>
      </c>
      <c r="AS106" s="5">
        <v>1.03739716939248E-5</v>
      </c>
      <c r="AT106" s="5">
        <v>2.1413652801363499E-5</v>
      </c>
    </row>
    <row r="107" spans="1:46" ht="15.75" customHeight="1" x14ac:dyDescent="0.25">
      <c r="A107" s="1">
        <v>4</v>
      </c>
      <c r="B107" s="1" t="s">
        <v>111</v>
      </c>
      <c r="C107" s="1">
        <v>2018</v>
      </c>
      <c r="D107" s="1">
        <v>1</v>
      </c>
      <c r="E107" s="1">
        <v>8</v>
      </c>
      <c r="F107" s="1">
        <v>0</v>
      </c>
      <c r="G107" s="1">
        <v>0</v>
      </c>
      <c r="H107" s="1">
        <v>0</v>
      </c>
      <c r="I107" s="1">
        <v>0</v>
      </c>
      <c r="J107" s="5">
        <v>2.3805181542052499E-5</v>
      </c>
      <c r="K107" s="1">
        <v>8.9269430782696702E-4</v>
      </c>
      <c r="L107" s="1">
        <v>1.1768809585500599E-2</v>
      </c>
      <c r="M107" s="1">
        <v>5.9967908254436902E-2</v>
      </c>
      <c r="N107" s="1">
        <v>7.8066338548635497E-2</v>
      </c>
      <c r="O107" s="1">
        <v>7.3764584854356594E-2</v>
      </c>
      <c r="P107" s="1">
        <v>7.5322742191654607E-2</v>
      </c>
      <c r="Q107" s="1">
        <v>7.6904507973457006E-2</v>
      </c>
      <c r="R107" s="1">
        <v>7.2934354555947795E-2</v>
      </c>
      <c r="S107" s="1">
        <v>6.9071226086859006E-2</v>
      </c>
      <c r="T107" s="1">
        <v>7.0282339289940599E-2</v>
      </c>
      <c r="U107" s="1">
        <v>6.2946900476831602E-2</v>
      </c>
      <c r="V107" s="1">
        <v>5.8331547944717697E-2</v>
      </c>
      <c r="W107" s="1">
        <v>5.3095785164728897E-2</v>
      </c>
      <c r="X107" s="1">
        <v>5.0791797718125802E-2</v>
      </c>
      <c r="Y107" s="1">
        <v>4.64823712793829E-2</v>
      </c>
      <c r="Z107" s="1">
        <v>3.80013326966923E-2</v>
      </c>
      <c r="AA107" s="1">
        <v>3.2886956668864202E-2</v>
      </c>
      <c r="AB107" s="1">
        <v>2.4091925774263501E-2</v>
      </c>
      <c r="AC107" s="1">
        <v>1.8350843913359401E-2</v>
      </c>
      <c r="AD107" s="1">
        <v>1.22241574588815E-2</v>
      </c>
      <c r="AE107" s="1">
        <v>7.2563505240189402E-3</v>
      </c>
      <c r="AF107" s="1">
        <v>3.5402829904895299E-3</v>
      </c>
      <c r="AG107" s="1">
        <v>1.63085167266813E-3</v>
      </c>
      <c r="AH107" s="1">
        <v>7.3186177963995903E-4</v>
      </c>
      <c r="AI107" s="1">
        <v>3.4527350087852897E-4</v>
      </c>
      <c r="AJ107" s="1">
        <v>1.39289822576637E-4</v>
      </c>
      <c r="AK107" s="5">
        <v>6.1381955711738495E-5</v>
      </c>
      <c r="AL107" s="5">
        <v>2.9608924149412302E-5</v>
      </c>
      <c r="AM107" s="5">
        <v>2.0067177828837599E-5</v>
      </c>
      <c r="AN107" s="5">
        <v>1.2984644477483101E-5</v>
      </c>
      <c r="AO107" s="5">
        <v>8.4596926141178106E-6</v>
      </c>
      <c r="AP107" s="5">
        <v>4.52495186336534E-6</v>
      </c>
      <c r="AQ107" s="5">
        <v>3.73800371321484E-6</v>
      </c>
      <c r="AR107" s="5">
        <v>3.44289815690841E-6</v>
      </c>
      <c r="AS107" s="5">
        <v>2.45921296922029E-6</v>
      </c>
      <c r="AT107" s="5">
        <v>6.4923222387415698E-6</v>
      </c>
    </row>
    <row r="108" spans="1:46" ht="15.75" customHeight="1" x14ac:dyDescent="0.25">
      <c r="A108" s="1">
        <v>4</v>
      </c>
      <c r="B108" s="1" t="s">
        <v>111</v>
      </c>
      <c r="C108" s="1">
        <v>2019</v>
      </c>
      <c r="D108" s="1">
        <v>1</v>
      </c>
      <c r="E108" s="1">
        <v>15</v>
      </c>
      <c r="F108" s="1">
        <v>0</v>
      </c>
      <c r="G108" s="1">
        <v>0</v>
      </c>
      <c r="H108" s="1">
        <v>0</v>
      </c>
      <c r="I108" s="1">
        <v>0</v>
      </c>
      <c r="J108" s="5">
        <v>3.5392927239637999E-5</v>
      </c>
      <c r="K108" s="1">
        <v>1.00648636837721E-3</v>
      </c>
      <c r="L108" s="1">
        <v>1.09263373641535E-2</v>
      </c>
      <c r="M108" s="1">
        <v>3.8047396782610897E-2</v>
      </c>
      <c r="N108" s="1">
        <v>5.0947012732482699E-2</v>
      </c>
      <c r="O108" s="1">
        <v>5.5969367421474098E-2</v>
      </c>
      <c r="P108" s="1">
        <v>6.1387066023416599E-2</v>
      </c>
      <c r="Q108" s="1">
        <v>6.43941130255926E-2</v>
      </c>
      <c r="R108" s="1">
        <v>6.9024318996453199E-2</v>
      </c>
      <c r="S108" s="1">
        <v>6.7214609807109804E-2</v>
      </c>
      <c r="T108" s="1">
        <v>6.2832277219035101E-2</v>
      </c>
      <c r="U108" s="1">
        <v>6.2094187215558497E-2</v>
      </c>
      <c r="V108" s="1">
        <v>6.7093561080265901E-2</v>
      </c>
      <c r="W108" s="1">
        <v>6.6054999871577702E-2</v>
      </c>
      <c r="X108" s="1">
        <v>5.6068295568793197E-2</v>
      </c>
      <c r="Y108" s="1">
        <v>5.7738522215022098E-2</v>
      </c>
      <c r="Z108" s="1">
        <v>5.0432463474314702E-2</v>
      </c>
      <c r="AA108" s="1">
        <v>4.3361988905546198E-2</v>
      </c>
      <c r="AB108" s="1">
        <v>3.8346639066737701E-2</v>
      </c>
      <c r="AC108" s="1">
        <v>2.91261670602696E-2</v>
      </c>
      <c r="AD108" s="1">
        <v>2.2145157946467899E-2</v>
      </c>
      <c r="AE108" s="1">
        <v>1.30363948666E-2</v>
      </c>
      <c r="AF108" s="1">
        <v>6.4783803901554103E-3</v>
      </c>
      <c r="AG108" s="1">
        <v>3.4839912751518701E-3</v>
      </c>
      <c r="AH108" s="1">
        <v>1.5877660414448699E-3</v>
      </c>
      <c r="AI108" s="1">
        <v>5.9283153126393697E-4</v>
      </c>
      <c r="AJ108" s="1">
        <v>2.5143725393159501E-4</v>
      </c>
      <c r="AK108" s="1">
        <v>1.2731622437592001E-4</v>
      </c>
      <c r="AL108" s="5">
        <v>6.7836443875972794E-5</v>
      </c>
      <c r="AM108" s="5">
        <v>3.2443516636334802E-5</v>
      </c>
      <c r="AN108" s="5">
        <v>2.58073427789027E-5</v>
      </c>
      <c r="AO108" s="5">
        <v>1.4992837233457801E-5</v>
      </c>
      <c r="AP108" s="5">
        <v>8.6024475929675707E-6</v>
      </c>
      <c r="AQ108" s="5">
        <v>8.4795554844966095E-6</v>
      </c>
      <c r="AR108" s="5">
        <v>8.6024475929675707E-6</v>
      </c>
      <c r="AS108" s="5">
        <v>9.3398002437933599E-6</v>
      </c>
      <c r="AT108" s="5">
        <v>1.9416953138412501E-5</v>
      </c>
    </row>
    <row r="109" spans="1:46" ht="15.75" customHeight="1" x14ac:dyDescent="0.25">
      <c r="A109" s="1">
        <v>4</v>
      </c>
      <c r="B109" s="1" t="s">
        <v>111</v>
      </c>
      <c r="C109" s="1">
        <v>2020</v>
      </c>
      <c r="D109" s="1">
        <v>1</v>
      </c>
      <c r="E109" s="1">
        <v>16</v>
      </c>
      <c r="F109" s="1">
        <v>0</v>
      </c>
      <c r="G109" s="1">
        <v>0</v>
      </c>
      <c r="H109" s="1">
        <v>0</v>
      </c>
      <c r="I109" s="1">
        <v>0</v>
      </c>
      <c r="J109" s="5">
        <v>5.23472872588797E-5</v>
      </c>
      <c r="K109" s="1">
        <v>1.66115391568178E-3</v>
      </c>
      <c r="L109" s="1">
        <v>1.76556930466749E-2</v>
      </c>
      <c r="M109" s="1">
        <v>7.2915816023248703E-2</v>
      </c>
      <c r="N109" s="1">
        <v>9.0442153106741696E-2</v>
      </c>
      <c r="O109" s="1">
        <v>6.80430978705822E-2</v>
      </c>
      <c r="P109" s="1">
        <v>6.8215494936621393E-2</v>
      </c>
      <c r="Q109" s="1">
        <v>6.6387992974761403E-2</v>
      </c>
      <c r="R109" s="1">
        <v>7.40762972181256E-2</v>
      </c>
      <c r="S109" s="1">
        <v>6.5904536695099394E-2</v>
      </c>
      <c r="T109" s="1">
        <v>6.8675453100669401E-2</v>
      </c>
      <c r="U109" s="1">
        <v>8.2015403131112302E-2</v>
      </c>
      <c r="V109" s="1">
        <v>6.9372021003127601E-2</v>
      </c>
      <c r="W109" s="1">
        <v>5.3681794102066097E-2</v>
      </c>
      <c r="X109" s="1">
        <v>4.1845723470918299E-2</v>
      </c>
      <c r="Y109" s="1">
        <v>2.7680314884055399E-2</v>
      </c>
      <c r="Z109" s="1">
        <v>2.3065378039312599E-2</v>
      </c>
      <c r="AA109" s="1">
        <v>2.69846776000374E-2</v>
      </c>
      <c r="AB109" s="1">
        <v>2.07460442318292E-2</v>
      </c>
      <c r="AC109" s="1">
        <v>1.40348893506307E-2</v>
      </c>
      <c r="AD109" s="1">
        <v>1.6078062135997301E-2</v>
      </c>
      <c r="AE109" s="1">
        <v>1.4118877664854999E-2</v>
      </c>
      <c r="AF109" s="1">
        <v>7.8814075696969198E-3</v>
      </c>
      <c r="AG109" s="1">
        <v>4.7587173937472197E-3</v>
      </c>
      <c r="AH109" s="1">
        <v>2.0415442030963099E-3</v>
      </c>
      <c r="AI109" s="1">
        <v>1.00506791537049E-3</v>
      </c>
      <c r="AJ109" s="1">
        <v>3.4432882285840899E-4</v>
      </c>
      <c r="AK109" s="1">
        <v>1.3051923623214E-4</v>
      </c>
      <c r="AL109" s="5">
        <v>7.4449475212628896E-5</v>
      </c>
      <c r="AM109" s="5">
        <v>3.7224737606314401E-5</v>
      </c>
      <c r="AN109" s="5">
        <v>2.09389149035519E-5</v>
      </c>
      <c r="AO109" s="5">
        <v>1.0702112061815401E-5</v>
      </c>
      <c r="AP109" s="5">
        <v>6.9796383011839603E-6</v>
      </c>
      <c r="AQ109" s="5">
        <v>6.9796383011839603E-6</v>
      </c>
      <c r="AR109" s="5">
        <v>7.9102567413418201E-6</v>
      </c>
      <c r="AS109" s="1">
        <v>0</v>
      </c>
      <c r="AT109" s="5">
        <v>2.0008296463394001E-5</v>
      </c>
    </row>
    <row r="110" spans="1:46" ht="15.75" customHeight="1" x14ac:dyDescent="0.25">
      <c r="A110" s="1">
        <v>4</v>
      </c>
      <c r="B110" s="1" t="s">
        <v>111</v>
      </c>
      <c r="C110" s="1">
        <v>2021</v>
      </c>
      <c r="D110" s="1">
        <v>1</v>
      </c>
      <c r="E110" s="1">
        <v>10</v>
      </c>
      <c r="F110" s="1">
        <v>0</v>
      </c>
      <c r="G110" s="1">
        <v>0</v>
      </c>
      <c r="H110" s="1">
        <v>0</v>
      </c>
      <c r="I110" s="1">
        <v>0</v>
      </c>
      <c r="J110" s="5">
        <v>2.7219239136795101E-5</v>
      </c>
      <c r="K110" s="1">
        <v>9.7614503252173095E-4</v>
      </c>
      <c r="L110" s="1">
        <v>1.15044678342887E-2</v>
      </c>
      <c r="M110" s="1">
        <v>5.0189515596163803E-2</v>
      </c>
      <c r="N110" s="1">
        <v>6.79805099728268E-2</v>
      </c>
      <c r="O110" s="1">
        <v>6.0403962437449998E-2</v>
      </c>
      <c r="P110" s="1">
        <v>5.6592874476572103E-2</v>
      </c>
      <c r="Q110" s="1">
        <v>5.5919559916185801E-2</v>
      </c>
      <c r="R110" s="1">
        <v>5.3988177382653199E-2</v>
      </c>
      <c r="S110" s="1">
        <v>5.2612553854974001E-2</v>
      </c>
      <c r="T110" s="1">
        <v>5.8362256514372601E-2</v>
      </c>
      <c r="U110" s="1">
        <v>6.1497071301914598E-2</v>
      </c>
      <c r="V110" s="1">
        <v>6.1447235110451602E-2</v>
      </c>
      <c r="W110" s="1">
        <v>6.3655149334345004E-2</v>
      </c>
      <c r="X110" s="1">
        <v>5.8224845379599897E-2</v>
      </c>
      <c r="Y110" s="1">
        <v>5.41689157603997E-2</v>
      </c>
      <c r="Z110" s="1">
        <v>4.9034078618893202E-2</v>
      </c>
      <c r="AA110" s="1">
        <v>4.5327133833843E-2</v>
      </c>
      <c r="AB110" s="1">
        <v>3.9574406814540303E-2</v>
      </c>
      <c r="AC110" s="1">
        <v>3.22178485887087E-2</v>
      </c>
      <c r="AD110" s="1">
        <v>2.5583454910409899E-2</v>
      </c>
      <c r="AE110" s="1">
        <v>1.7828470140691902E-2</v>
      </c>
      <c r="AF110" s="1">
        <v>1.1705456274001699E-2</v>
      </c>
      <c r="AG110" s="1">
        <v>6.07370365086263E-3</v>
      </c>
      <c r="AH110" s="1">
        <v>2.8304063885000699E-3</v>
      </c>
      <c r="AI110" s="1">
        <v>1.3088903689258901E-3</v>
      </c>
      <c r="AJ110" s="1">
        <v>5.09407402975576E-4</v>
      </c>
      <c r="AK110" s="1">
        <v>2.18411382638728E-4</v>
      </c>
      <c r="AL110" s="5">
        <v>9.4018144844485398E-5</v>
      </c>
      <c r="AM110" s="5">
        <v>4.6680337650059198E-5</v>
      </c>
      <c r="AN110" s="5">
        <v>2.80082025900355E-5</v>
      </c>
      <c r="AO110" s="5">
        <v>1.9198110695517299E-5</v>
      </c>
      <c r="AP110" s="5">
        <v>9.9935370743788708E-6</v>
      </c>
      <c r="AQ110" s="5">
        <v>9.9935370743788708E-6</v>
      </c>
      <c r="AR110" s="5">
        <v>1.0125030983252301E-5</v>
      </c>
      <c r="AS110" s="1">
        <v>0</v>
      </c>
      <c r="AT110" s="5">
        <v>1.98555802398843E-5</v>
      </c>
    </row>
    <row r="111" spans="1:46" ht="15.75" customHeight="1" x14ac:dyDescent="0.25">
      <c r="A111" s="1">
        <v>4</v>
      </c>
      <c r="B111" s="1" t="s">
        <v>111</v>
      </c>
      <c r="C111" s="1">
        <v>2022</v>
      </c>
      <c r="D111" s="1">
        <v>1</v>
      </c>
      <c r="E111" s="1">
        <v>7</v>
      </c>
      <c r="F111" s="1">
        <v>0</v>
      </c>
      <c r="G111" s="1">
        <v>0</v>
      </c>
      <c r="H111" s="1">
        <v>0</v>
      </c>
      <c r="I111" s="1">
        <v>0</v>
      </c>
      <c r="J111" s="5">
        <v>2.0804139986372401E-5</v>
      </c>
      <c r="K111" s="1">
        <v>9.1004055589036898E-4</v>
      </c>
      <c r="L111" s="1">
        <v>1.2325703243187399E-2</v>
      </c>
      <c r="M111" s="1">
        <v>5.99609050850472E-2</v>
      </c>
      <c r="N111" s="1">
        <v>7.4889281210403599E-2</v>
      </c>
      <c r="O111" s="1">
        <v>6.8842304900040299E-2</v>
      </c>
      <c r="P111" s="1">
        <v>6.6715690716658602E-2</v>
      </c>
      <c r="Q111" s="1">
        <v>6.7485069046785195E-2</v>
      </c>
      <c r="R111" s="1">
        <v>6.00977251047774E-2</v>
      </c>
      <c r="S111" s="1">
        <v>5.9682579428472798E-2</v>
      </c>
      <c r="T111" s="1">
        <v>5.4572445403892202E-2</v>
      </c>
      <c r="U111" s="1">
        <v>5.2429056711242199E-2</v>
      </c>
      <c r="V111" s="1">
        <v>5.1702786058564799E-2</v>
      </c>
      <c r="W111" s="1">
        <v>4.79031254284411E-2</v>
      </c>
      <c r="X111" s="1">
        <v>4.8076680686345401E-2</v>
      </c>
      <c r="Y111" s="1">
        <v>4.4114429142364298E-2</v>
      </c>
      <c r="Z111" s="1">
        <v>4.4181246042410603E-2</v>
      </c>
      <c r="AA111" s="1">
        <v>4.4534916422179001E-2</v>
      </c>
      <c r="AB111" s="1">
        <v>3.8077480052625103E-2</v>
      </c>
      <c r="AC111" s="1">
        <v>3.45427442141297E-2</v>
      </c>
      <c r="AD111" s="1">
        <v>2.58274963820007E-2</v>
      </c>
      <c r="AE111" s="1">
        <v>1.8975624763786302E-2</v>
      </c>
      <c r="AF111" s="1">
        <v>1.12454810737148E-2</v>
      </c>
      <c r="AG111" s="1">
        <v>6.8435312197514097E-3</v>
      </c>
      <c r="AH111" s="1">
        <v>3.4362441667581101E-3</v>
      </c>
      <c r="AI111" s="1">
        <v>1.56911945915234E-3</v>
      </c>
      <c r="AJ111" s="1">
        <v>5.9647905861828798E-4</v>
      </c>
      <c r="AK111" s="1">
        <v>2.3615510254801001E-4</v>
      </c>
      <c r="AL111" s="5">
        <v>9.6711137233947096E-5</v>
      </c>
      <c r="AM111" s="5">
        <v>4.27328280801162E-5</v>
      </c>
      <c r="AN111" s="5">
        <v>1.8836180798472301E-5</v>
      </c>
      <c r="AO111" s="5">
        <v>1.38694266575816E-5</v>
      </c>
      <c r="AP111" s="5">
        <v>7.5906997247574798E-6</v>
      </c>
      <c r="AQ111" s="5">
        <v>8.3403984630051295E-6</v>
      </c>
      <c r="AR111" s="5">
        <v>8.6215354898479992E-6</v>
      </c>
      <c r="AS111" s="1">
        <v>0</v>
      </c>
      <c r="AT111" s="5">
        <v>8.1529737784432202E-6</v>
      </c>
    </row>
    <row r="112" spans="1:46" ht="15.75" customHeight="1" x14ac:dyDescent="0.25">
      <c r="A112" s="1">
        <v>4</v>
      </c>
      <c r="B112" s="1" t="s">
        <v>111</v>
      </c>
      <c r="C112" s="1">
        <v>2023</v>
      </c>
      <c r="D112" s="1">
        <v>1</v>
      </c>
      <c r="E112" s="1">
        <v>9</v>
      </c>
      <c r="F112" s="1">
        <v>0</v>
      </c>
      <c r="G112" s="1">
        <v>0</v>
      </c>
      <c r="H112" s="1">
        <v>0</v>
      </c>
      <c r="I112" s="1">
        <v>0</v>
      </c>
      <c r="J112" s="5">
        <v>2.1114046246677899E-5</v>
      </c>
      <c r="K112" s="1">
        <v>9.4503558717889599E-4</v>
      </c>
      <c r="L112" s="1">
        <v>1.1467111323626799E-2</v>
      </c>
      <c r="M112" s="1">
        <v>4.8107080249575301E-2</v>
      </c>
      <c r="N112" s="1">
        <v>6.1147006000939599E-2</v>
      </c>
      <c r="O112" s="1">
        <v>5.89340355331196E-2</v>
      </c>
      <c r="P112" s="1">
        <v>6.67527852794325E-2</v>
      </c>
      <c r="Q112" s="1">
        <v>6.7069860008412793E-2</v>
      </c>
      <c r="R112" s="1">
        <v>7.0048760705595001E-2</v>
      </c>
      <c r="S112" s="1">
        <v>6.7301568464206096E-2</v>
      </c>
      <c r="T112" s="1">
        <v>5.9936406676916701E-2</v>
      </c>
      <c r="U112" s="1">
        <v>5.6413273235962402E-2</v>
      </c>
      <c r="V112" s="1">
        <v>5.12675435427149E-2</v>
      </c>
      <c r="W112" s="1">
        <v>5.1166523752482901E-2</v>
      </c>
      <c r="X112" s="1">
        <v>5.3334808889668697E-2</v>
      </c>
      <c r="Y112" s="1">
        <v>4.9907325718564703E-2</v>
      </c>
      <c r="Z112" s="1">
        <v>4.4202983887980503E-2</v>
      </c>
      <c r="AA112" s="1">
        <v>4.1970173497394299E-2</v>
      </c>
      <c r="AB112" s="1">
        <v>3.4228690239285799E-2</v>
      </c>
      <c r="AC112" s="1">
        <v>3.10857006395918E-2</v>
      </c>
      <c r="AD112" s="1">
        <v>2.50834869410534E-2</v>
      </c>
      <c r="AE112" s="1">
        <v>1.93393742561167E-2</v>
      </c>
      <c r="AF112" s="1">
        <v>1.3521635435776599E-2</v>
      </c>
      <c r="AG112" s="1">
        <v>8.6077052071424406E-3</v>
      </c>
      <c r="AH112" s="1">
        <v>4.3548630471973602E-3</v>
      </c>
      <c r="AI112" s="1">
        <v>2.1099484835473302E-3</v>
      </c>
      <c r="AJ112" s="1">
        <v>9.61053139503962E-4</v>
      </c>
      <c r="AK112" s="1">
        <v>3.9397718190460699E-4</v>
      </c>
      <c r="AL112" s="1">
        <v>1.51529685347926E-4</v>
      </c>
      <c r="AM112" s="5">
        <v>7.5173285343775796E-5</v>
      </c>
      <c r="AN112" s="5">
        <v>3.2217122290189599E-5</v>
      </c>
      <c r="AO112" s="5">
        <v>2.1114046246677899E-5</v>
      </c>
      <c r="AP112" s="5">
        <v>9.9199613831374795E-6</v>
      </c>
      <c r="AQ112" s="5">
        <v>9.6469349230511308E-6</v>
      </c>
      <c r="AR112" s="5">
        <v>1.0466014303310201E-5</v>
      </c>
      <c r="AS112" s="1">
        <v>0</v>
      </c>
      <c r="AT112" s="5">
        <v>1.0101979023195099E-5</v>
      </c>
    </row>
    <row r="113" spans="1:46" ht="15.75" customHeight="1" x14ac:dyDescent="0.25">
      <c r="A113" s="1">
        <v>4</v>
      </c>
      <c r="B113" s="1" t="s">
        <v>111</v>
      </c>
      <c r="C113" s="1">
        <v>2024</v>
      </c>
      <c r="D113" s="1">
        <v>1</v>
      </c>
      <c r="E113" s="1">
        <v>10</v>
      </c>
      <c r="F113" s="1">
        <v>0</v>
      </c>
      <c r="G113" s="1">
        <v>0</v>
      </c>
      <c r="H113" s="1">
        <v>0</v>
      </c>
      <c r="I113" s="1">
        <v>0</v>
      </c>
      <c r="J113" s="5">
        <v>3.1512414458914297E-5</v>
      </c>
      <c r="K113" s="1">
        <v>1.0007578894830999E-3</v>
      </c>
      <c r="L113" s="1">
        <v>1.1630706969877599E-2</v>
      </c>
      <c r="M113" s="1">
        <v>5.0770717263933E-2</v>
      </c>
      <c r="N113" s="1">
        <v>6.4222300667267404E-2</v>
      </c>
      <c r="O113" s="1">
        <v>6.2737079193880593E-2</v>
      </c>
      <c r="P113" s="1">
        <v>6.2495643169970701E-2</v>
      </c>
      <c r="Q113" s="1">
        <v>6.2961804088910903E-2</v>
      </c>
      <c r="R113" s="1">
        <v>6.5183747615481097E-2</v>
      </c>
      <c r="S113" s="1">
        <v>6.2136751783077503E-2</v>
      </c>
      <c r="T113" s="1">
        <v>6.3820994843741402E-2</v>
      </c>
      <c r="U113" s="1">
        <v>6.0278474251651802E-2</v>
      </c>
      <c r="V113" s="1">
        <v>5.2153364236719998E-2</v>
      </c>
      <c r="W113" s="1">
        <v>4.99228264152973E-2</v>
      </c>
      <c r="X113" s="1">
        <v>4.4792748579633598E-2</v>
      </c>
      <c r="Y113" s="1">
        <v>4.48563304461808E-2</v>
      </c>
      <c r="Z113" s="1">
        <v>4.08365877593687E-2</v>
      </c>
      <c r="AA113" s="1">
        <v>4.0276048750660098E-2</v>
      </c>
      <c r="AB113" s="1">
        <v>4.0200212056267802E-2</v>
      </c>
      <c r="AC113" s="1">
        <v>3.2655773981504398E-2</v>
      </c>
      <c r="AD113" s="1">
        <v>2.7305984589474398E-2</v>
      </c>
      <c r="AE113" s="1">
        <v>2.2488086556644801E-2</v>
      </c>
      <c r="AF113" s="1">
        <v>1.6688051606512402E-2</v>
      </c>
      <c r="AG113" s="1">
        <v>9.7222164750085903E-3</v>
      </c>
      <c r="AH113" s="1">
        <v>5.5776177824236502E-3</v>
      </c>
      <c r="AI113" s="1">
        <v>2.90606531218458E-3</v>
      </c>
      <c r="AJ113" s="1">
        <v>1.3426198402798099E-3</v>
      </c>
      <c r="AK113" s="1">
        <v>5.4621518395451499E-4</v>
      </c>
      <c r="AL113" s="1">
        <v>2.3395580431618201E-4</v>
      </c>
      <c r="AM113" s="1">
        <v>1.06712494417687E-4</v>
      </c>
      <c r="AN113" s="5">
        <v>4.9019311380533397E-5</v>
      </c>
      <c r="AO113" s="5">
        <v>2.4668809298645099E-5</v>
      </c>
      <c r="AP113" s="5">
        <v>1.2095674236755E-5</v>
      </c>
      <c r="AQ113" s="5">
        <v>1.16977902158091E-5</v>
      </c>
      <c r="AR113" s="5">
        <v>1.0902022173917299E-5</v>
      </c>
      <c r="AS113" s="1">
        <v>0</v>
      </c>
      <c r="AT113" s="5">
        <v>9.70837011107967E-6</v>
      </c>
    </row>
    <row r="114" spans="1:46" ht="15.75" customHeight="1" x14ac:dyDescent="0.25">
      <c r="A114" s="1">
        <v>4</v>
      </c>
      <c r="B114" s="1" t="s">
        <v>87</v>
      </c>
      <c r="C114" s="1">
        <v>1990</v>
      </c>
      <c r="D114" s="1">
        <v>1</v>
      </c>
      <c r="E114" s="1">
        <v>12</v>
      </c>
      <c r="F114" s="1">
        <v>0</v>
      </c>
      <c r="G114" s="1">
        <v>0</v>
      </c>
      <c r="H114" s="1">
        <v>0</v>
      </c>
      <c r="I114" s="1">
        <v>0</v>
      </c>
      <c r="J114" s="5">
        <v>1.3217820446592099E-5</v>
      </c>
      <c r="K114" s="1">
        <v>1.1850771893554201E-3</v>
      </c>
      <c r="L114" s="1">
        <v>1.2928114792968201E-2</v>
      </c>
      <c r="M114" s="1">
        <v>4.2534946197133501E-2</v>
      </c>
      <c r="N114" s="1">
        <v>5.7816195161662101E-2</v>
      </c>
      <c r="O114" s="1">
        <v>5.2471487984367501E-2</v>
      </c>
      <c r="P114" s="1">
        <v>5.1001412858259501E-2</v>
      </c>
      <c r="Q114" s="1">
        <v>5.0281313242970499E-2</v>
      </c>
      <c r="R114" s="1">
        <v>4.5433089129573903E-2</v>
      </c>
      <c r="S114" s="1">
        <v>4.7753631415101701E-2</v>
      </c>
      <c r="T114" s="1">
        <v>4.18496112602793E-2</v>
      </c>
      <c r="U114" s="1">
        <v>3.2929755251231797E-2</v>
      </c>
      <c r="V114" s="1">
        <v>2.84322560447537E-2</v>
      </c>
      <c r="W114" s="1">
        <v>2.88943365622839E-2</v>
      </c>
      <c r="X114" s="1">
        <v>2.4512357485188301E-2</v>
      </c>
      <c r="Y114" s="1">
        <v>2.0778956940143398E-2</v>
      </c>
      <c r="Z114" s="1">
        <v>1.9717366785645202E-2</v>
      </c>
      <c r="AA114" s="1">
        <v>2.13007892487335E-2</v>
      </c>
      <c r="AB114" s="1">
        <v>1.56900960682054E-2</v>
      </c>
      <c r="AC114" s="1">
        <v>1.42165806874606E-2</v>
      </c>
      <c r="AD114" s="1">
        <v>1.35864708908286E-2</v>
      </c>
      <c r="AE114" s="1">
        <v>1.1945831561149501E-2</v>
      </c>
      <c r="AF114" s="1">
        <v>1.20615327565656E-2</v>
      </c>
      <c r="AG114" s="1">
        <v>1.2115490434553001E-2</v>
      </c>
      <c r="AH114" s="1">
        <v>1.3494670411836499E-2</v>
      </c>
      <c r="AI114" s="1">
        <v>1.4912598520292201E-2</v>
      </c>
      <c r="AJ114" s="1">
        <v>1.6363299580813999E-2</v>
      </c>
      <c r="AK114" s="1">
        <v>1.5805254065520899E-2</v>
      </c>
      <c r="AL114" s="1">
        <v>1.44548635875663E-2</v>
      </c>
      <c r="AM114" s="1">
        <v>1.28397545686129E-2</v>
      </c>
      <c r="AN114" s="1">
        <v>1.0626403374926E-2</v>
      </c>
      <c r="AO114" s="1">
        <v>9.9088386841062193E-3</v>
      </c>
      <c r="AP114" s="1">
        <v>1.06198849977195E-2</v>
      </c>
      <c r="AQ114" s="1">
        <v>9.9626152960601705E-3</v>
      </c>
      <c r="AR114" s="1">
        <v>8.4184841622445793E-3</v>
      </c>
      <c r="AS114" s="1">
        <v>8.3449713526375004E-3</v>
      </c>
      <c r="AT114" s="1">
        <v>0.194798443628802</v>
      </c>
    </row>
    <row r="115" spans="1:46" ht="15.75" customHeight="1" x14ac:dyDescent="0.25">
      <c r="A115" s="1">
        <v>4</v>
      </c>
      <c r="B115" s="1" t="s">
        <v>87</v>
      </c>
      <c r="C115" s="1">
        <v>1991</v>
      </c>
      <c r="D115" s="1">
        <v>1</v>
      </c>
      <c r="E115" s="1">
        <v>18</v>
      </c>
      <c r="F115" s="1">
        <v>0</v>
      </c>
      <c r="G115" s="1">
        <v>0</v>
      </c>
      <c r="H115" s="1">
        <v>0</v>
      </c>
      <c r="I115" s="1">
        <v>0</v>
      </c>
      <c r="J115" s="5">
        <v>1.1023290786889199E-5</v>
      </c>
      <c r="K115" s="1">
        <v>1.1211335159136101E-3</v>
      </c>
      <c r="L115" s="1">
        <v>1.3545030661607499E-2</v>
      </c>
      <c r="M115" s="1">
        <v>3.6242634820682199E-2</v>
      </c>
      <c r="N115" s="1">
        <v>4.4035193606595101E-2</v>
      </c>
      <c r="O115" s="1">
        <v>4.49660780921044E-2</v>
      </c>
      <c r="P115" s="1">
        <v>4.1891747134528E-2</v>
      </c>
      <c r="Q115" s="1">
        <v>4.3012102535797798E-2</v>
      </c>
      <c r="R115" s="1">
        <v>4.1858936633715198E-2</v>
      </c>
      <c r="S115" s="1">
        <v>4.3377038303730797E-2</v>
      </c>
      <c r="T115" s="1">
        <v>3.6713264494395402E-2</v>
      </c>
      <c r="U115" s="1">
        <v>3.1301217775354703E-2</v>
      </c>
      <c r="V115" s="1">
        <v>3.16099996031615E-2</v>
      </c>
      <c r="W115" s="1">
        <v>3.2581994479017197E-2</v>
      </c>
      <c r="X115" s="1">
        <v>2.9116531227167199E-2</v>
      </c>
      <c r="Y115" s="1">
        <v>2.8848989475480698E-2</v>
      </c>
      <c r="Z115" s="1">
        <v>3.0225863337650101E-2</v>
      </c>
      <c r="AA115" s="1">
        <v>2.7154255781326998E-2</v>
      </c>
      <c r="AB115" s="1">
        <v>2.38419514285277E-2</v>
      </c>
      <c r="AC115" s="1">
        <v>2.1037107509247199E-2</v>
      </c>
      <c r="AD115" s="1">
        <v>1.9299318138137699E-2</v>
      </c>
      <c r="AE115" s="1">
        <v>1.59237271276443E-2</v>
      </c>
      <c r="AF115" s="1">
        <v>1.43502496321463E-2</v>
      </c>
      <c r="AG115" s="1">
        <v>1.40102135328143E-2</v>
      </c>
      <c r="AH115" s="1">
        <v>1.5076489966341399E-2</v>
      </c>
      <c r="AI115" s="1">
        <v>1.2901659536975099E-2</v>
      </c>
      <c r="AJ115" s="1">
        <v>1.3620637467828199E-2</v>
      </c>
      <c r="AK115" s="1">
        <v>1.4362829152220801E-2</v>
      </c>
      <c r="AL115" s="1">
        <v>1.3128739327185E-2</v>
      </c>
      <c r="AM115" s="1">
        <v>1.2023297789921001E-2</v>
      </c>
      <c r="AN115" s="1">
        <v>1.15744553262336E-2</v>
      </c>
      <c r="AO115" s="1">
        <v>1.03995022141252E-2</v>
      </c>
      <c r="AP115" s="1">
        <v>1.09130578790203E-2</v>
      </c>
      <c r="AQ115" s="1">
        <v>9.9964388286469703E-3</v>
      </c>
      <c r="AR115" s="1">
        <v>8.7356337341747692E-3</v>
      </c>
      <c r="AS115" s="1">
        <v>7.8947511757960706E-3</v>
      </c>
      <c r="AT115" s="1">
        <v>0.193296905463999</v>
      </c>
    </row>
    <row r="116" spans="1:46" ht="15.75" customHeight="1" x14ac:dyDescent="0.25">
      <c r="A116" s="1">
        <v>4</v>
      </c>
      <c r="B116" s="1" t="s">
        <v>87</v>
      </c>
      <c r="C116" s="1">
        <v>1992</v>
      </c>
      <c r="D116" s="1">
        <v>1</v>
      </c>
      <c r="E116" s="1">
        <v>7</v>
      </c>
      <c r="F116" s="1">
        <v>0</v>
      </c>
      <c r="G116" s="1">
        <v>0</v>
      </c>
      <c r="H116" s="1">
        <v>0</v>
      </c>
      <c r="I116" s="1">
        <v>0</v>
      </c>
      <c r="J116" s="5">
        <v>1.2519054065491099E-5</v>
      </c>
      <c r="K116" s="1">
        <v>1.1157606935868901E-3</v>
      </c>
      <c r="L116" s="1">
        <v>1.33054071489797E-2</v>
      </c>
      <c r="M116" s="1">
        <v>3.5585150367532098E-2</v>
      </c>
      <c r="N116" s="1">
        <v>4.6765839309334201E-2</v>
      </c>
      <c r="O116" s="1">
        <v>4.4402737447659602E-2</v>
      </c>
      <c r="P116" s="1">
        <v>4.7440564160738899E-2</v>
      </c>
      <c r="Q116" s="1">
        <v>4.2557481041131502E-2</v>
      </c>
      <c r="R116" s="1">
        <v>4.5329929889385001E-2</v>
      </c>
      <c r="S116" s="1">
        <v>4.17030556011617E-2</v>
      </c>
      <c r="T116" s="1">
        <v>4.3997433072289302E-2</v>
      </c>
      <c r="U116" s="1">
        <v>3.69621159079229E-2</v>
      </c>
      <c r="V116" s="1">
        <v>3.4853437738766702E-2</v>
      </c>
      <c r="W116" s="1">
        <v>3.7076743496710002E-2</v>
      </c>
      <c r="X116" s="1">
        <v>3.4207011165822601E-2</v>
      </c>
      <c r="Y116" s="1">
        <v>3.0723845185726E-2</v>
      </c>
      <c r="Z116" s="1">
        <v>3.2132238768093797E-2</v>
      </c>
      <c r="AA116" s="1">
        <v>2.8940923235898999E-2</v>
      </c>
      <c r="AB116" s="1">
        <v>2.77458751998973E-2</v>
      </c>
      <c r="AC116" s="1">
        <v>2.28545764510594E-2</v>
      </c>
      <c r="AD116" s="1">
        <v>2.1268829602763901E-2</v>
      </c>
      <c r="AE116" s="1">
        <v>1.9792102850288699E-2</v>
      </c>
      <c r="AF116" s="1">
        <v>1.7454691130810902E-2</v>
      </c>
      <c r="AG116" s="1">
        <v>1.8499510518026702E-2</v>
      </c>
      <c r="AH116" s="1">
        <v>1.6376487599420501E-2</v>
      </c>
      <c r="AI116" s="1">
        <v>1.4846554867166999E-2</v>
      </c>
      <c r="AJ116" s="1">
        <v>1.2188472794074199E-2</v>
      </c>
      <c r="AK116" s="1">
        <v>1.151909462201E-2</v>
      </c>
      <c r="AL116" s="1">
        <v>1.1054585553454999E-2</v>
      </c>
      <c r="AM116" s="1">
        <v>9.8818370825074792E-3</v>
      </c>
      <c r="AN116" s="1">
        <v>8.14025409245921E-3</v>
      </c>
      <c r="AO116" s="1">
        <v>7.4955228080864199E-3</v>
      </c>
      <c r="AP116" s="1">
        <v>7.4059333274302504E-3</v>
      </c>
      <c r="AQ116" s="1">
        <v>7.5482071606120301E-3</v>
      </c>
      <c r="AR116" s="1">
        <v>6.9105178441510803E-3</v>
      </c>
      <c r="AS116" s="1">
        <v>7.5656816735784503E-3</v>
      </c>
      <c r="AT116" s="1">
        <v>0.15433907153739601</v>
      </c>
    </row>
    <row r="117" spans="1:46" ht="15.75" customHeight="1" x14ac:dyDescent="0.25">
      <c r="A117" s="1">
        <v>4</v>
      </c>
      <c r="B117" s="1" t="s">
        <v>87</v>
      </c>
      <c r="C117" s="1">
        <v>1993</v>
      </c>
      <c r="D117" s="1">
        <v>1</v>
      </c>
      <c r="E117" s="1">
        <v>8</v>
      </c>
      <c r="F117" s="1">
        <v>0</v>
      </c>
      <c r="G117" s="1">
        <v>0</v>
      </c>
      <c r="H117" s="1">
        <v>0</v>
      </c>
      <c r="I117" s="1">
        <v>0</v>
      </c>
      <c r="J117" s="5">
        <v>9.3877298126462193E-6</v>
      </c>
      <c r="K117" s="1">
        <v>9.7877287350980999E-4</v>
      </c>
      <c r="L117" s="1">
        <v>1.1083561978975901E-2</v>
      </c>
      <c r="M117" s="1">
        <v>3.1503588602577598E-2</v>
      </c>
      <c r="N117" s="1">
        <v>4.5113021328187397E-2</v>
      </c>
      <c r="O117" s="1">
        <v>5.0761332642940603E-2</v>
      </c>
      <c r="P117" s="1">
        <v>5.2815367925947598E-2</v>
      </c>
      <c r="Q117" s="1">
        <v>5.0034722355441798E-2</v>
      </c>
      <c r="R117" s="1">
        <v>4.6695057882701202E-2</v>
      </c>
      <c r="S117" s="1">
        <v>4.3511392989716798E-2</v>
      </c>
      <c r="T117" s="1">
        <v>3.8382590479552198E-2</v>
      </c>
      <c r="U117" s="1">
        <v>3.4610519008397803E-2</v>
      </c>
      <c r="V117" s="1">
        <v>3.0178286050331501E-2</v>
      </c>
      <c r="W117" s="1">
        <v>2.9584818261305899E-2</v>
      </c>
      <c r="X117" s="1">
        <v>2.7800741434737399E-2</v>
      </c>
      <c r="Y117" s="1">
        <v>2.7117641234109299E-2</v>
      </c>
      <c r="Z117" s="1">
        <v>2.54031968730207E-2</v>
      </c>
      <c r="AA117" s="1">
        <v>2.3164182496487998E-2</v>
      </c>
      <c r="AB117" s="1">
        <v>2.37870379614488E-2</v>
      </c>
      <c r="AC117" s="1">
        <v>2.2971366689379501E-2</v>
      </c>
      <c r="AD117" s="1">
        <v>2.0859372378833601E-2</v>
      </c>
      <c r="AE117" s="1">
        <v>1.9426723176990599E-2</v>
      </c>
      <c r="AF117" s="1">
        <v>1.79349720935446E-2</v>
      </c>
      <c r="AG117" s="1">
        <v>1.5695957717011901E-2</v>
      </c>
      <c r="AH117" s="1">
        <v>1.3404045523795699E-2</v>
      </c>
      <c r="AI117" s="1">
        <v>1.2731231009745001E-2</v>
      </c>
      <c r="AJ117" s="1">
        <v>1.26617618091314E-2</v>
      </c>
      <c r="AK117" s="1">
        <v>1.2655067949612899E-2</v>
      </c>
      <c r="AL117" s="1">
        <v>1.19776820193056E-2</v>
      </c>
      <c r="AM117" s="1">
        <v>1.06927058890372E-2</v>
      </c>
      <c r="AN117" s="1">
        <v>1.01416869652514E-2</v>
      </c>
      <c r="AO117" s="1">
        <v>9.7958919784134502E-3</v>
      </c>
      <c r="AP117" s="1">
        <v>9.46446429981046E-3</v>
      </c>
      <c r="AQ117" s="1">
        <v>8.6527113845326006E-3</v>
      </c>
      <c r="AR117" s="1">
        <v>8.5890380866729104E-3</v>
      </c>
      <c r="AS117" s="1">
        <v>8.7193234499858101E-3</v>
      </c>
      <c r="AT117" s="1">
        <v>0.181090777469742</v>
      </c>
    </row>
    <row r="118" spans="1:46" ht="15.75" customHeight="1" x14ac:dyDescent="0.25">
      <c r="A118" s="1">
        <v>4</v>
      </c>
      <c r="B118" s="1" t="s">
        <v>87</v>
      </c>
      <c r="C118" s="1">
        <v>1994</v>
      </c>
      <c r="D118" s="1">
        <v>1</v>
      </c>
      <c r="E118" s="1">
        <v>5</v>
      </c>
      <c r="F118" s="1">
        <v>0</v>
      </c>
      <c r="G118" s="1">
        <v>0</v>
      </c>
      <c r="H118" s="1">
        <v>0</v>
      </c>
      <c r="I118" s="1">
        <v>0</v>
      </c>
      <c r="J118" s="5">
        <v>7.2458249021710702E-6</v>
      </c>
      <c r="K118" s="1">
        <v>8.4232714487738702E-4</v>
      </c>
      <c r="L118" s="1">
        <v>9.3660520752495407E-3</v>
      </c>
      <c r="M118" s="1">
        <v>2.9239620664598599E-2</v>
      </c>
      <c r="N118" s="1">
        <v>3.7466431451820402E-2</v>
      </c>
      <c r="O118" s="1">
        <v>3.9274182425992697E-2</v>
      </c>
      <c r="P118" s="1">
        <v>3.4946613503171103E-2</v>
      </c>
      <c r="Q118" s="1">
        <v>3.5254231705835998E-2</v>
      </c>
      <c r="R118" s="1">
        <v>3.3665419918196299E-2</v>
      </c>
      <c r="S118" s="1">
        <v>3.2997486604487099E-2</v>
      </c>
      <c r="T118" s="1">
        <v>3.0613692550592101E-2</v>
      </c>
      <c r="U118" s="1">
        <v>3.1822674903303198E-2</v>
      </c>
      <c r="V118" s="1">
        <v>3.0487878681836202E-2</v>
      </c>
      <c r="W118" s="1">
        <v>3.0310191293894399E-2</v>
      </c>
      <c r="X118" s="1">
        <v>2.8479056066628702E-2</v>
      </c>
      <c r="Y118" s="1">
        <v>2.82832541164314E-2</v>
      </c>
      <c r="Z118" s="1">
        <v>2.79662492769614E-2</v>
      </c>
      <c r="AA118" s="1">
        <v>2.76275069627849E-2</v>
      </c>
      <c r="AB118" s="1">
        <v>2.4368450196275399E-2</v>
      </c>
      <c r="AC118" s="1">
        <v>2.3768940524540101E-2</v>
      </c>
      <c r="AD118" s="1">
        <v>2.3270625384677099E-2</v>
      </c>
      <c r="AE118" s="1">
        <v>2.18748160239771E-2</v>
      </c>
      <c r="AF118" s="1">
        <v>2.1809932955534898E-2</v>
      </c>
      <c r="AG118" s="1">
        <v>1.9898681959748601E-2</v>
      </c>
      <c r="AH118" s="1">
        <v>1.97512952941249E-2</v>
      </c>
      <c r="AI118" s="1">
        <v>1.7648523971947098E-2</v>
      </c>
      <c r="AJ118" s="1">
        <v>1.71306121692806E-2</v>
      </c>
      <c r="AK118" s="1">
        <v>1.7045144371002699E-2</v>
      </c>
      <c r="AL118" s="1">
        <v>1.52532848082635E-2</v>
      </c>
      <c r="AM118" s="1">
        <v>1.3351255771443599E-2</v>
      </c>
      <c r="AN118" s="1">
        <v>1.3051377427196999E-2</v>
      </c>
      <c r="AO118" s="1">
        <v>1.1504393810583401E-2</v>
      </c>
      <c r="AP118" s="1">
        <v>1.14219725523212E-2</v>
      </c>
      <c r="AQ118" s="1">
        <v>1.1305298303612399E-2</v>
      </c>
      <c r="AR118" s="1">
        <v>1.00957395784659E-2</v>
      </c>
      <c r="AS118" s="1">
        <v>9.7621022772886607E-3</v>
      </c>
      <c r="AT118" s="1">
        <v>0.20903743744815201</v>
      </c>
    </row>
    <row r="119" spans="1:46" ht="15.75" customHeight="1" x14ac:dyDescent="0.25">
      <c r="A119" s="1">
        <v>4</v>
      </c>
      <c r="B119" s="1" t="s">
        <v>87</v>
      </c>
      <c r="C119" s="1">
        <v>1995</v>
      </c>
      <c r="D119" s="1">
        <v>1</v>
      </c>
      <c r="E119" s="1">
        <v>9</v>
      </c>
      <c r="F119" s="1">
        <v>0</v>
      </c>
      <c r="G119" s="1">
        <v>0</v>
      </c>
      <c r="H119" s="1">
        <v>0</v>
      </c>
      <c r="I119" s="1">
        <v>0</v>
      </c>
      <c r="J119" s="5">
        <v>1.19733050033534E-5</v>
      </c>
      <c r="K119" s="1">
        <v>1.1603843020392801E-3</v>
      </c>
      <c r="L119" s="1">
        <v>1.1627789630399499E-2</v>
      </c>
      <c r="M119" s="1">
        <v>3.9903433584675803E-2</v>
      </c>
      <c r="N119" s="1">
        <v>4.79684807877203E-2</v>
      </c>
      <c r="O119" s="1">
        <v>4.9811172427736403E-2</v>
      </c>
      <c r="P119" s="1">
        <v>4.1663509420168797E-2</v>
      </c>
      <c r="Q119" s="1">
        <v>3.1639800565790001E-2</v>
      </c>
      <c r="R119" s="1">
        <v>3.60558975454554E-2</v>
      </c>
      <c r="S119" s="1">
        <v>3.4515959474809801E-2</v>
      </c>
      <c r="T119" s="1">
        <v>3.4213205905439303E-2</v>
      </c>
      <c r="U119" s="1">
        <v>3.6151170843839203E-2</v>
      </c>
      <c r="V119" s="1">
        <v>3.7656899471618099E-2</v>
      </c>
      <c r="W119" s="1">
        <v>3.29919287950972E-2</v>
      </c>
      <c r="X119" s="1">
        <v>3.5135321437911801E-2</v>
      </c>
      <c r="Y119" s="1">
        <v>3.5997912539796298E-2</v>
      </c>
      <c r="Z119" s="1">
        <v>3.8544634514009503E-2</v>
      </c>
      <c r="AA119" s="1">
        <v>3.43681746816255E-2</v>
      </c>
      <c r="AB119" s="1">
        <v>3.4054816184966301E-2</v>
      </c>
      <c r="AC119" s="1">
        <v>2.8833771014646899E-2</v>
      </c>
      <c r="AD119" s="1">
        <v>2.7350449571945799E-2</v>
      </c>
      <c r="AE119" s="1">
        <v>2.45569064674491E-2</v>
      </c>
      <c r="AF119" s="1">
        <v>2.26370725337686E-2</v>
      </c>
      <c r="AG119" s="1">
        <v>1.9069711831626601E-2</v>
      </c>
      <c r="AH119" s="1">
        <v>1.5287344781067301E-2</v>
      </c>
      <c r="AI119" s="1">
        <v>1.32246864234181E-2</v>
      </c>
      <c r="AJ119" s="1">
        <v>1.135941655111E-2</v>
      </c>
      <c r="AK119" s="1">
        <v>9.6865747949272194E-3</v>
      </c>
      <c r="AL119" s="1">
        <v>1.0694898123423901E-2</v>
      </c>
      <c r="AM119" s="1">
        <v>9.1807881821427094E-3</v>
      </c>
      <c r="AN119" s="1">
        <v>9.4548058195051705E-3</v>
      </c>
      <c r="AO119" s="1">
        <v>8.2975003673238894E-3</v>
      </c>
      <c r="AP119" s="1">
        <v>6.3082212646239002E-3</v>
      </c>
      <c r="AQ119" s="1">
        <v>6.4724265903841702E-3</v>
      </c>
      <c r="AR119" s="1">
        <v>6.8589932947781497E-3</v>
      </c>
      <c r="AS119" s="1">
        <v>6.1412791834342803E-3</v>
      </c>
      <c r="AT119" s="1">
        <v>0.151112687786322</v>
      </c>
    </row>
    <row r="120" spans="1:46" ht="15.75" customHeight="1" x14ac:dyDescent="0.25">
      <c r="A120" s="1">
        <v>4</v>
      </c>
      <c r="B120" s="1" t="s">
        <v>87</v>
      </c>
      <c r="C120" s="1">
        <v>1996</v>
      </c>
      <c r="D120" s="1">
        <v>1</v>
      </c>
      <c r="E120" s="1">
        <v>19</v>
      </c>
      <c r="F120" s="1">
        <v>0</v>
      </c>
      <c r="G120" s="1">
        <v>0</v>
      </c>
      <c r="H120" s="1">
        <v>0</v>
      </c>
      <c r="I120" s="1">
        <v>0</v>
      </c>
      <c r="J120" s="5">
        <v>9.5065903079225301E-6</v>
      </c>
      <c r="K120" s="1">
        <v>1.13984017791991E-3</v>
      </c>
      <c r="L120" s="1">
        <v>1.4733721084517201E-2</v>
      </c>
      <c r="M120" s="1">
        <v>4.0025461365013199E-2</v>
      </c>
      <c r="N120" s="1">
        <v>5.8485901658669098E-2</v>
      </c>
      <c r="O120" s="1">
        <v>6.2349108342942897E-2</v>
      </c>
      <c r="P120" s="1">
        <v>6.5146490445265604E-2</v>
      </c>
      <c r="Q120" s="1">
        <v>5.7591603127559503E-2</v>
      </c>
      <c r="R120" s="1">
        <v>4.9703306106911399E-2</v>
      </c>
      <c r="S120" s="1">
        <v>4.1160276630913303E-2</v>
      </c>
      <c r="T120" s="1">
        <v>3.2555182701047701E-2</v>
      </c>
      <c r="U120" s="1">
        <v>2.8383962490797301E-2</v>
      </c>
      <c r="V120" s="1">
        <v>2.5565122656065298E-2</v>
      </c>
      <c r="W120" s="1">
        <v>2.61648526960622E-2</v>
      </c>
      <c r="X120" s="1">
        <v>2.22963494829026E-2</v>
      </c>
      <c r="Y120" s="1">
        <v>2.4902513311603099E-2</v>
      </c>
      <c r="Z120" s="1">
        <v>2.5019987606122399E-2</v>
      </c>
      <c r="AA120" s="1">
        <v>2.1560946818368301E-2</v>
      </c>
      <c r="AB120" s="1">
        <v>2.2823557819693401E-2</v>
      </c>
      <c r="AC120" s="1">
        <v>2.3775167509516401E-2</v>
      </c>
      <c r="AD120" s="1">
        <v>2.1688335128494499E-2</v>
      </c>
      <c r="AE120" s="1">
        <v>2.1626678099925901E-2</v>
      </c>
      <c r="AF120" s="1">
        <v>1.8527665467976202E-2</v>
      </c>
      <c r="AG120" s="1">
        <v>1.9196386191921998E-2</v>
      </c>
      <c r="AH120" s="1">
        <v>1.7512769048388901E-2</v>
      </c>
      <c r="AI120" s="1">
        <v>1.45499722747084E-2</v>
      </c>
      <c r="AJ120" s="1">
        <v>1.26478393625261E-2</v>
      </c>
      <c r="AK120" s="1">
        <v>1.19777605542505E-2</v>
      </c>
      <c r="AL120" s="1">
        <v>1.14934676822783E-2</v>
      </c>
      <c r="AM120" s="1">
        <v>1.1632263900774001E-2</v>
      </c>
      <c r="AN120" s="1">
        <v>1.1265309514888199E-2</v>
      </c>
      <c r="AO120" s="1">
        <v>1.0492831148153E-2</v>
      </c>
      <c r="AP120" s="1">
        <v>9.52655414756917E-3</v>
      </c>
      <c r="AQ120" s="1">
        <v>9.67390629734197E-3</v>
      </c>
      <c r="AR120" s="1">
        <v>8.1539383155381298E-3</v>
      </c>
      <c r="AS120" s="1">
        <v>7.1064478720380296E-3</v>
      </c>
      <c r="AT120" s="1">
        <v>0.139535016371028</v>
      </c>
    </row>
    <row r="121" spans="1:46" ht="15.75" customHeight="1" x14ac:dyDescent="0.25">
      <c r="A121" s="1">
        <v>4</v>
      </c>
      <c r="B121" s="1" t="s">
        <v>87</v>
      </c>
      <c r="C121" s="1">
        <v>1997</v>
      </c>
      <c r="D121" s="1">
        <v>1</v>
      </c>
      <c r="E121" s="1">
        <v>20</v>
      </c>
      <c r="F121" s="1">
        <v>0</v>
      </c>
      <c r="G121" s="1">
        <v>0</v>
      </c>
      <c r="H121" s="1">
        <v>0</v>
      </c>
      <c r="I121" s="1">
        <v>0</v>
      </c>
      <c r="J121" s="5">
        <v>8.2728090164858898E-6</v>
      </c>
      <c r="K121" s="1">
        <v>1.1279001822329499E-3</v>
      </c>
      <c r="L121" s="1">
        <v>1.27103194411377E-2</v>
      </c>
      <c r="M121" s="1">
        <v>3.4472065217959903E-2</v>
      </c>
      <c r="N121" s="1">
        <v>4.7157201255179797E-2</v>
      </c>
      <c r="O121" s="1">
        <v>4.7750653643156497E-2</v>
      </c>
      <c r="P121" s="1">
        <v>4.2883200467559703E-2</v>
      </c>
      <c r="Q121" s="1">
        <v>4.1151141909211E-2</v>
      </c>
      <c r="R121" s="1">
        <v>4.5518455116178802E-2</v>
      </c>
      <c r="S121" s="1">
        <v>4.4652973302307102E-2</v>
      </c>
      <c r="T121" s="1">
        <v>4.1558212776404597E-2</v>
      </c>
      <c r="U121" s="1">
        <v>3.43351988923195E-2</v>
      </c>
      <c r="V121" s="1">
        <v>3.4014262566062402E-2</v>
      </c>
      <c r="W121" s="1">
        <v>3.5129388557902201E-2</v>
      </c>
      <c r="X121" s="1">
        <v>3.2706793764589202E-2</v>
      </c>
      <c r="Y121" s="1">
        <v>2.7767440145922601E-2</v>
      </c>
      <c r="Z121" s="1">
        <v>2.2729542772795E-2</v>
      </c>
      <c r="AA121" s="1">
        <v>2.1828536543734799E-2</v>
      </c>
      <c r="AB121" s="1">
        <v>2.2862151034970999E-2</v>
      </c>
      <c r="AC121" s="1">
        <v>2.33552347841448E-2</v>
      </c>
      <c r="AD121" s="1">
        <v>2.2730394385487799E-2</v>
      </c>
      <c r="AE121" s="1">
        <v>1.8933175046920801E-2</v>
      </c>
      <c r="AF121" s="1">
        <v>1.8138133768645301E-2</v>
      </c>
      <c r="AG121" s="1">
        <v>1.83782885480357E-2</v>
      </c>
      <c r="AH121" s="1">
        <v>1.9072961187508199E-2</v>
      </c>
      <c r="AI121" s="1">
        <v>1.6094993259485501E-2</v>
      </c>
      <c r="AJ121" s="1">
        <v>1.5872235710821098E-2</v>
      </c>
      <c r="AK121" s="1">
        <v>1.33045017828512E-2</v>
      </c>
      <c r="AL121" s="1">
        <v>1.24365867898569E-2</v>
      </c>
      <c r="AM121" s="1">
        <v>1.10771696141185E-2</v>
      </c>
      <c r="AN121" s="1">
        <v>1.13255972025253E-2</v>
      </c>
      <c r="AO121" s="1">
        <v>1.04456379728747E-2</v>
      </c>
      <c r="AP121" s="1">
        <v>1.08154811994941E-2</v>
      </c>
      <c r="AQ121" s="1">
        <v>1.0274828798475501E-2</v>
      </c>
      <c r="AR121" s="1">
        <v>9.6738335552190007E-3</v>
      </c>
      <c r="AS121" s="1">
        <v>9.1846428926412108E-3</v>
      </c>
      <c r="AT121" s="1">
        <v>0.158522593102254</v>
      </c>
    </row>
    <row r="122" spans="1:46" ht="15.75" customHeight="1" x14ac:dyDescent="0.25">
      <c r="A122" s="1">
        <v>4</v>
      </c>
      <c r="B122" s="1" t="s">
        <v>87</v>
      </c>
      <c r="C122" s="1">
        <v>1998</v>
      </c>
      <c r="D122" s="1">
        <v>1</v>
      </c>
      <c r="E122" s="1">
        <v>6</v>
      </c>
      <c r="F122" s="1">
        <v>0</v>
      </c>
      <c r="G122" s="1">
        <v>0</v>
      </c>
      <c r="H122" s="1">
        <v>0</v>
      </c>
      <c r="I122" s="1">
        <v>0</v>
      </c>
      <c r="J122" s="5">
        <v>1.72418598345443E-5</v>
      </c>
      <c r="K122" s="1">
        <v>1.10347902941083E-3</v>
      </c>
      <c r="L122" s="1">
        <v>1.20551304925362E-2</v>
      </c>
      <c r="M122" s="1">
        <v>3.3659180865220198E-2</v>
      </c>
      <c r="N122" s="1">
        <v>4.3180230341799797E-2</v>
      </c>
      <c r="O122" s="1">
        <v>4.6414141915150198E-2</v>
      </c>
      <c r="P122" s="1">
        <v>4.1728135077926103E-2</v>
      </c>
      <c r="Q122" s="1">
        <v>4.6203224369502999E-2</v>
      </c>
      <c r="R122" s="1">
        <v>4.9274046844007498E-2</v>
      </c>
      <c r="S122" s="1">
        <v>4.2947701423894202E-2</v>
      </c>
      <c r="T122" s="1">
        <v>4.4067123268905502E-2</v>
      </c>
      <c r="U122" s="1">
        <v>3.5747335424086001E-2</v>
      </c>
      <c r="V122" s="1">
        <v>3.0470853934993901E-2</v>
      </c>
      <c r="W122" s="1">
        <v>3.02015974937422E-2</v>
      </c>
      <c r="X122" s="1">
        <v>2.6248251604555801E-2</v>
      </c>
      <c r="Y122" s="1">
        <v>2.77537257769584E-2</v>
      </c>
      <c r="Z122" s="1">
        <v>2.514004877793E-2</v>
      </c>
      <c r="AA122" s="1">
        <v>2.6156846128446699E-2</v>
      </c>
      <c r="AB122" s="1">
        <v>2.4898072265594599E-2</v>
      </c>
      <c r="AC122" s="1">
        <v>2.29211631311406E-2</v>
      </c>
      <c r="AD122" s="1">
        <v>2.2062731082255E-2</v>
      </c>
      <c r="AE122" s="1">
        <v>1.9182750015234201E-2</v>
      </c>
      <c r="AF122" s="1">
        <v>1.8416432012040001E-2</v>
      </c>
      <c r="AG122" s="1">
        <v>1.7538514299642701E-2</v>
      </c>
      <c r="AH122" s="1">
        <v>1.5859204389730298E-2</v>
      </c>
      <c r="AI122" s="1">
        <v>1.49862466644087E-2</v>
      </c>
      <c r="AJ122" s="1">
        <v>1.41696202208753E-2</v>
      </c>
      <c r="AK122" s="1">
        <v>1.3947011277121101E-2</v>
      </c>
      <c r="AL122" s="1">
        <v>1.34409745004703E-2</v>
      </c>
      <c r="AM122" s="1">
        <v>1.2443190433743799E-2</v>
      </c>
      <c r="AN122" s="1">
        <v>1.1054275957619999E-2</v>
      </c>
      <c r="AO122" s="1">
        <v>1.0427546162127301E-2</v>
      </c>
      <c r="AP122" s="1">
        <v>1.0428372826639999E-2</v>
      </c>
      <c r="AQ122" s="1">
        <v>9.9067475191798003E-3</v>
      </c>
      <c r="AR122" s="1">
        <v>9.9276503218559305E-3</v>
      </c>
      <c r="AS122" s="1">
        <v>8.7789409341120107E-3</v>
      </c>
      <c r="AT122" s="1">
        <v>0.16724226135730799</v>
      </c>
    </row>
    <row r="123" spans="1:46" ht="15.75" customHeight="1" x14ac:dyDescent="0.25">
      <c r="A123" s="1">
        <v>4</v>
      </c>
      <c r="B123" s="1" t="s">
        <v>87</v>
      </c>
      <c r="C123" s="1">
        <v>1999</v>
      </c>
      <c r="D123" s="1">
        <v>1</v>
      </c>
      <c r="E123" s="1">
        <v>9</v>
      </c>
      <c r="F123" s="1">
        <v>0</v>
      </c>
      <c r="G123" s="1">
        <v>0</v>
      </c>
      <c r="H123" s="1">
        <v>0</v>
      </c>
      <c r="I123" s="1">
        <v>0</v>
      </c>
      <c r="J123" s="5">
        <v>3.4722551034258503E-5</v>
      </c>
      <c r="K123" s="1">
        <v>2.6746886281541001E-3</v>
      </c>
      <c r="L123" s="1">
        <v>2.61124105762786E-2</v>
      </c>
      <c r="M123" s="1">
        <v>7.6759635420228803E-2</v>
      </c>
      <c r="N123" s="1">
        <v>0.104883148093785</v>
      </c>
      <c r="O123" s="1">
        <v>0.10892429186163</v>
      </c>
      <c r="P123" s="1">
        <v>9.3318784935182794E-2</v>
      </c>
      <c r="Q123" s="1">
        <v>7.7694338435444002E-2</v>
      </c>
      <c r="R123" s="1">
        <v>6.5878324465053498E-2</v>
      </c>
      <c r="S123" s="1">
        <v>6.5814666454824006E-2</v>
      </c>
      <c r="T123" s="1">
        <v>5.31255030824156E-2</v>
      </c>
      <c r="U123" s="1">
        <v>4.7468182393702499E-2</v>
      </c>
      <c r="V123" s="1">
        <v>4.3573644952445902E-2</v>
      </c>
      <c r="W123" s="1">
        <v>4.0100337650503901E-2</v>
      </c>
      <c r="X123" s="1">
        <v>3.1319214933643098E-2</v>
      </c>
      <c r="Y123" s="1">
        <v>2.4568835353028399E-2</v>
      </c>
      <c r="Z123" s="1">
        <v>1.9083724488131702E-2</v>
      </c>
      <c r="AA123" s="1">
        <v>2.0912445509269399E-2</v>
      </c>
      <c r="AB123" s="1">
        <v>1.64614704193678E-2</v>
      </c>
      <c r="AC123" s="1">
        <v>1.22388224074793E-2</v>
      </c>
      <c r="AD123" s="1">
        <v>8.9563137698063303E-3</v>
      </c>
      <c r="AE123" s="1">
        <v>5.8712677203382599E-3</v>
      </c>
      <c r="AF123" s="1">
        <v>5.9529884717623299E-3</v>
      </c>
      <c r="AG123" s="1">
        <v>3.7537182065065901E-3</v>
      </c>
      <c r="AH123" s="1">
        <v>5.8046284809795904E-3</v>
      </c>
      <c r="AI123" s="1">
        <v>3.4568228585217398E-3</v>
      </c>
      <c r="AJ123" s="1">
        <v>3.4224510403262098E-3</v>
      </c>
      <c r="AK123" s="1">
        <v>1.87992801559218E-3</v>
      </c>
      <c r="AL123" s="1">
        <v>2.6357572830550801E-3</v>
      </c>
      <c r="AM123" s="1">
        <v>1.31314374820469E-3</v>
      </c>
      <c r="AN123" s="1">
        <v>0</v>
      </c>
      <c r="AO123" s="1">
        <v>0</v>
      </c>
      <c r="AP123" s="1">
        <v>0</v>
      </c>
      <c r="AQ123" s="1">
        <v>5.0084649370627605E-4</v>
      </c>
      <c r="AR123" s="1">
        <v>0</v>
      </c>
      <c r="AS123" s="1">
        <v>5.4538956422497096E-4</v>
      </c>
      <c r="AT123" s="1">
        <v>2.8091069885973301E-2</v>
      </c>
    </row>
    <row r="124" spans="1:46" ht="15.75" customHeight="1" x14ac:dyDescent="0.25">
      <c r="A124" s="1">
        <v>4</v>
      </c>
      <c r="B124" s="1" t="s">
        <v>87</v>
      </c>
      <c r="C124" s="1">
        <v>2000</v>
      </c>
      <c r="D124" s="1">
        <v>1</v>
      </c>
      <c r="E124" s="1">
        <v>8</v>
      </c>
      <c r="F124" s="1">
        <v>0</v>
      </c>
      <c r="G124" s="1">
        <v>0</v>
      </c>
      <c r="H124" s="1">
        <v>0</v>
      </c>
      <c r="I124" s="1">
        <v>0</v>
      </c>
      <c r="J124" s="5">
        <v>2.0526961731436899E-5</v>
      </c>
      <c r="K124" s="1">
        <v>1.6300386117096401E-3</v>
      </c>
      <c r="L124" s="1">
        <v>1.7386089273735101E-2</v>
      </c>
      <c r="M124" s="1">
        <v>5.0787907641037799E-2</v>
      </c>
      <c r="N124" s="1">
        <v>6.9432077087397306E-2</v>
      </c>
      <c r="O124" s="1">
        <v>7.6651137484272505E-2</v>
      </c>
      <c r="P124" s="1">
        <v>7.3670276402959103E-2</v>
      </c>
      <c r="Q124" s="1">
        <v>6.1699595334444197E-2</v>
      </c>
      <c r="R124" s="1">
        <v>6.1697740488504599E-2</v>
      </c>
      <c r="S124" s="1">
        <v>5.13421356077867E-2</v>
      </c>
      <c r="T124" s="1">
        <v>4.1948082862150897E-2</v>
      </c>
      <c r="U124" s="1">
        <v>4.0776933135895303E-2</v>
      </c>
      <c r="V124" s="1">
        <v>3.8815742695771302E-2</v>
      </c>
      <c r="W124" s="1">
        <v>3.4953087854777902E-2</v>
      </c>
      <c r="X124" s="1">
        <v>3.0020681532226399E-2</v>
      </c>
      <c r="Y124" s="1">
        <v>2.9803664557294701E-2</v>
      </c>
      <c r="Z124" s="1">
        <v>2.5531583389236299E-2</v>
      </c>
      <c r="AA124" s="1">
        <v>2.1135845825205501E-2</v>
      </c>
      <c r="AB124" s="1">
        <v>1.6967636029764099E-2</v>
      </c>
      <c r="AC124" s="1">
        <v>1.7020066341656401E-2</v>
      </c>
      <c r="AD124" s="1">
        <v>1.7564649109519399E-2</v>
      </c>
      <c r="AE124" s="1">
        <v>1.6006578520265699E-2</v>
      </c>
      <c r="AF124" s="1">
        <v>1.4112780815946699E-2</v>
      </c>
      <c r="AG124" s="1">
        <v>1.18316912794418E-2</v>
      </c>
      <c r="AH124" s="1">
        <v>1.04477288957175E-2</v>
      </c>
      <c r="AI124" s="1">
        <v>9.51288654216529E-3</v>
      </c>
      <c r="AJ124" s="1">
        <v>8.4258231651709401E-3</v>
      </c>
      <c r="AK124" s="1">
        <v>8.5304364761636907E-3</v>
      </c>
      <c r="AL124" s="1">
        <v>8.8042117368468207E-3</v>
      </c>
      <c r="AM124" s="1">
        <v>8.4057908290233897E-3</v>
      </c>
      <c r="AN124" s="1">
        <v>6.90559143308489E-3</v>
      </c>
      <c r="AO124" s="1">
        <v>7.1515440046742099E-3</v>
      </c>
      <c r="AP124" s="1">
        <v>6.1034323924112101E-3</v>
      </c>
      <c r="AQ124" s="1">
        <v>6.3272504691214504E-3</v>
      </c>
      <c r="AR124" s="1">
        <v>6.2719760601217403E-3</v>
      </c>
      <c r="AS124" s="1">
        <v>5.7178717497689199E-3</v>
      </c>
      <c r="AT124" s="1">
        <v>8.6588907402999293E-2</v>
      </c>
    </row>
    <row r="125" spans="1:46" ht="15.75" customHeight="1" x14ac:dyDescent="0.25">
      <c r="A125" s="1">
        <v>4</v>
      </c>
      <c r="B125" s="1" t="s">
        <v>87</v>
      </c>
      <c r="C125" s="1">
        <v>2001</v>
      </c>
      <c r="D125" s="1">
        <v>1</v>
      </c>
      <c r="E125" s="1">
        <v>9</v>
      </c>
      <c r="F125" s="1">
        <v>0</v>
      </c>
      <c r="G125" s="1">
        <v>0</v>
      </c>
      <c r="H125" s="1">
        <v>0</v>
      </c>
      <c r="I125" s="1">
        <v>0</v>
      </c>
      <c r="J125" s="5">
        <v>2.3365137473525501E-5</v>
      </c>
      <c r="K125" s="1">
        <v>2.1601730871749999E-3</v>
      </c>
      <c r="L125" s="1">
        <v>2.4827001546397401E-2</v>
      </c>
      <c r="M125" s="1">
        <v>6.7334027895108603E-2</v>
      </c>
      <c r="N125" s="1">
        <v>8.1226916594284299E-2</v>
      </c>
      <c r="O125" s="1">
        <v>7.8528904493567794E-2</v>
      </c>
      <c r="P125" s="1">
        <v>7.4659549557621899E-2</v>
      </c>
      <c r="Q125" s="1">
        <v>7.3877919581384899E-2</v>
      </c>
      <c r="R125" s="1">
        <v>6.7265585676377193E-2</v>
      </c>
      <c r="S125" s="1">
        <v>6.6664594663909602E-2</v>
      </c>
      <c r="T125" s="1">
        <v>5.6107409977817498E-2</v>
      </c>
      <c r="U125" s="1">
        <v>4.5014259897698201E-2</v>
      </c>
      <c r="V125" s="1">
        <v>3.6901266974579502E-2</v>
      </c>
      <c r="W125" s="1">
        <v>3.0652415255362799E-2</v>
      </c>
      <c r="X125" s="1">
        <v>2.60278814422065E-2</v>
      </c>
      <c r="Y125" s="1">
        <v>2.19288427963793E-2</v>
      </c>
      <c r="Z125" s="1">
        <v>2.1066316542285898E-2</v>
      </c>
      <c r="AA125" s="1">
        <v>1.9710477291345702E-2</v>
      </c>
      <c r="AB125" s="1">
        <v>1.98410795927897E-2</v>
      </c>
      <c r="AC125" s="1">
        <v>1.65557428807694E-2</v>
      </c>
      <c r="AD125" s="1">
        <v>1.4936053917038601E-2</v>
      </c>
      <c r="AE125" s="1">
        <v>1.2444580814555E-2</v>
      </c>
      <c r="AF125" s="1">
        <v>1.0612621781135499E-2</v>
      </c>
      <c r="AG125" s="1">
        <v>9.5389275864793902E-3</v>
      </c>
      <c r="AH125" s="1">
        <v>8.9446595616810409E-3</v>
      </c>
      <c r="AI125" s="1">
        <v>7.5590628243359399E-3</v>
      </c>
      <c r="AJ125" s="1">
        <v>6.5572274487022304E-3</v>
      </c>
      <c r="AK125" s="1">
        <v>5.1387872633990497E-3</v>
      </c>
      <c r="AL125" s="1">
        <v>5.1658996399013496E-3</v>
      </c>
      <c r="AM125" s="1">
        <v>4.0947403422353403E-3</v>
      </c>
      <c r="AN125" s="1">
        <v>4.3766649726942001E-3</v>
      </c>
      <c r="AO125" s="1">
        <v>4.5416537028728204E-3</v>
      </c>
      <c r="AP125" s="1">
        <v>4.4211909893890301E-3</v>
      </c>
      <c r="AQ125" s="1">
        <v>4.5884941907324804E-3</v>
      </c>
      <c r="AR125" s="1">
        <v>3.7415079573171802E-3</v>
      </c>
      <c r="AS125" s="1">
        <v>3.3460640268690302E-3</v>
      </c>
      <c r="AT125" s="1">
        <v>5.9618132096127298E-2</v>
      </c>
    </row>
    <row r="126" spans="1:46" ht="15.75" customHeight="1" x14ac:dyDescent="0.25">
      <c r="A126" s="1">
        <v>4</v>
      </c>
      <c r="B126" s="1" t="s">
        <v>87</v>
      </c>
      <c r="C126" s="1">
        <v>2002</v>
      </c>
      <c r="D126" s="1">
        <v>1</v>
      </c>
      <c r="E126" s="1">
        <v>20</v>
      </c>
      <c r="F126" s="1">
        <v>0</v>
      </c>
      <c r="G126" s="1">
        <v>0</v>
      </c>
      <c r="H126" s="1">
        <v>0</v>
      </c>
      <c r="I126" s="1">
        <v>0</v>
      </c>
      <c r="J126" s="5">
        <v>2.3497424433751602E-5</v>
      </c>
      <c r="K126" s="1">
        <v>2.0673214766233402E-3</v>
      </c>
      <c r="L126" s="1">
        <v>2.4888404179197701E-2</v>
      </c>
      <c r="M126" s="1">
        <v>7.2145113767073193E-2</v>
      </c>
      <c r="N126" s="1">
        <v>8.9932664063423207E-2</v>
      </c>
      <c r="O126" s="1">
        <v>9.6604238076808097E-2</v>
      </c>
      <c r="P126" s="1">
        <v>9.0935032558618706E-2</v>
      </c>
      <c r="Q126" s="1">
        <v>8.9491296576583404E-2</v>
      </c>
      <c r="R126" s="1">
        <v>8.0505226256473994E-2</v>
      </c>
      <c r="S126" s="1">
        <v>6.6186822147316707E-2</v>
      </c>
      <c r="T126" s="1">
        <v>5.4546785518447001E-2</v>
      </c>
      <c r="U126" s="1">
        <v>5.1191850370208701E-2</v>
      </c>
      <c r="V126" s="1">
        <v>4.0109425698093802E-2</v>
      </c>
      <c r="W126" s="1">
        <v>3.1199157165460501E-2</v>
      </c>
      <c r="X126" s="1">
        <v>2.59167554033344E-2</v>
      </c>
      <c r="Y126" s="1">
        <v>1.9861198002628599E-2</v>
      </c>
      <c r="Z126" s="1">
        <v>1.9054942626745501E-2</v>
      </c>
      <c r="AA126" s="1">
        <v>1.7076753207229001E-2</v>
      </c>
      <c r="AB126" s="1">
        <v>1.3313663277841E-2</v>
      </c>
      <c r="AC126" s="1">
        <v>1.0032270549344901E-2</v>
      </c>
      <c r="AD126" s="1">
        <v>9.5579162935885698E-3</v>
      </c>
      <c r="AE126" s="1">
        <v>7.9974839680914105E-3</v>
      </c>
      <c r="AF126" s="1">
        <v>7.4516207235534801E-3</v>
      </c>
      <c r="AG126" s="1">
        <v>7.1881784457673804E-3</v>
      </c>
      <c r="AH126" s="1">
        <v>5.7948263642005901E-3</v>
      </c>
      <c r="AI126" s="1">
        <v>4.5169279738419502E-3</v>
      </c>
      <c r="AJ126" s="1">
        <v>4.8937905118755804E-3</v>
      </c>
      <c r="AK126" s="1">
        <v>3.8471384090933199E-3</v>
      </c>
      <c r="AL126" s="1">
        <v>3.4595438743231198E-3</v>
      </c>
      <c r="AM126" s="1">
        <v>3.5145594786463799E-3</v>
      </c>
      <c r="AN126" s="1">
        <v>3.3675876075487301E-3</v>
      </c>
      <c r="AO126" s="1">
        <v>2.9430524103273899E-3</v>
      </c>
      <c r="AP126" s="1">
        <v>2.6790452906077901E-3</v>
      </c>
      <c r="AQ126" s="1">
        <v>2.5377218388451801E-3</v>
      </c>
      <c r="AR126" s="1">
        <v>2.2252512812309601E-3</v>
      </c>
      <c r="AS126" s="1">
        <v>1.7792520905364801E-3</v>
      </c>
      <c r="AT126" s="1">
        <v>3.11636850920365E-2</v>
      </c>
    </row>
    <row r="127" spans="1:46" ht="15.75" customHeight="1" x14ac:dyDescent="0.25">
      <c r="A127" s="1">
        <v>4</v>
      </c>
      <c r="B127" s="1" t="s">
        <v>87</v>
      </c>
      <c r="C127" s="1">
        <v>2003</v>
      </c>
      <c r="D127" s="1">
        <v>1</v>
      </c>
      <c r="E127" s="1">
        <v>21</v>
      </c>
      <c r="F127" s="1">
        <v>0</v>
      </c>
      <c r="G127" s="1">
        <v>0</v>
      </c>
      <c r="H127" s="1">
        <v>0</v>
      </c>
      <c r="I127" s="1">
        <v>0</v>
      </c>
      <c r="J127" s="5">
        <v>1.70085453999204E-5</v>
      </c>
      <c r="K127" s="1">
        <v>1.6423005312382101E-3</v>
      </c>
      <c r="L127" s="1">
        <v>1.7243109970702102E-2</v>
      </c>
      <c r="M127" s="1">
        <v>5.2618514359324998E-2</v>
      </c>
      <c r="N127" s="1">
        <v>7.2863981128879401E-2</v>
      </c>
      <c r="O127" s="1">
        <v>8.1312557813370198E-2</v>
      </c>
      <c r="P127" s="1">
        <v>8.1260138034104895E-2</v>
      </c>
      <c r="Q127" s="1">
        <v>7.1961900858304201E-2</v>
      </c>
      <c r="R127" s="1">
        <v>7.0786359425417902E-2</v>
      </c>
      <c r="S127" s="1">
        <v>6.5405873385320903E-2</v>
      </c>
      <c r="T127" s="1">
        <v>5.8474821427700101E-2</v>
      </c>
      <c r="U127" s="1">
        <v>5.14304953460019E-2</v>
      </c>
      <c r="V127" s="1">
        <v>4.4892382611411201E-2</v>
      </c>
      <c r="W127" s="1">
        <v>3.9324802571915098E-2</v>
      </c>
      <c r="X127" s="1">
        <v>3.2402394301300798E-2</v>
      </c>
      <c r="Y127" s="1">
        <v>2.6193996401716699E-2</v>
      </c>
      <c r="Z127" s="1">
        <v>2.3156716319071902E-2</v>
      </c>
      <c r="AA127" s="1">
        <v>1.9275073488766298E-2</v>
      </c>
      <c r="AB127" s="1">
        <v>1.63521828446513E-2</v>
      </c>
      <c r="AC127" s="1">
        <v>1.3994408092164E-2</v>
      </c>
      <c r="AD127" s="1">
        <v>1.1956449758917799E-2</v>
      </c>
      <c r="AE127" s="1">
        <v>1.0898155757845701E-2</v>
      </c>
      <c r="AF127" s="1">
        <v>9.25264869755669E-3</v>
      </c>
      <c r="AG127" s="1">
        <v>8.8643798537962198E-3</v>
      </c>
      <c r="AH127" s="1">
        <v>8.2206342932705408E-3</v>
      </c>
      <c r="AI127" s="1">
        <v>7.7426523432408099E-3</v>
      </c>
      <c r="AJ127" s="1">
        <v>6.8273974206959102E-3</v>
      </c>
      <c r="AK127" s="1">
        <v>6.4353643906583996E-3</v>
      </c>
      <c r="AL127" s="1">
        <v>5.8554008753824299E-3</v>
      </c>
      <c r="AM127" s="1">
        <v>5.3535093717782204E-3</v>
      </c>
      <c r="AN127" s="1">
        <v>4.63134326381439E-3</v>
      </c>
      <c r="AO127" s="1">
        <v>4.4495470080644197E-3</v>
      </c>
      <c r="AP127" s="1">
        <v>4.3564182512845304E-3</v>
      </c>
      <c r="AQ127" s="1">
        <v>3.9805572808076003E-3</v>
      </c>
      <c r="AR127" s="1">
        <v>3.7135091765981899E-3</v>
      </c>
      <c r="AS127" s="1">
        <v>3.2806974618928399E-3</v>
      </c>
      <c r="AT127" s="1">
        <v>5.3572317337632902E-2</v>
      </c>
    </row>
    <row r="128" spans="1:46" ht="15.75" customHeight="1" x14ac:dyDescent="0.25">
      <c r="A128" s="1">
        <v>4</v>
      </c>
      <c r="B128" s="1" t="s">
        <v>87</v>
      </c>
      <c r="C128" s="1">
        <v>2004</v>
      </c>
      <c r="D128" s="1">
        <v>1</v>
      </c>
      <c r="E128" s="1">
        <v>11</v>
      </c>
      <c r="F128" s="1">
        <v>0</v>
      </c>
      <c r="G128" s="1">
        <v>0</v>
      </c>
      <c r="H128" s="1">
        <v>0</v>
      </c>
      <c r="I128" s="1">
        <v>0</v>
      </c>
      <c r="J128" s="5">
        <v>3.2475494106096597E-5</v>
      </c>
      <c r="K128" s="1">
        <v>2.4597053185059698E-3</v>
      </c>
      <c r="L128" s="1">
        <v>2.4798287299415401E-2</v>
      </c>
      <c r="M128" s="1">
        <v>6.11256029046994E-2</v>
      </c>
      <c r="N128" s="1">
        <v>8.2797012892657201E-2</v>
      </c>
      <c r="O128" s="1">
        <v>8.9796450439889097E-2</v>
      </c>
      <c r="P128" s="1">
        <v>8.4414064600936603E-2</v>
      </c>
      <c r="Q128" s="1">
        <v>8.5145503887487595E-2</v>
      </c>
      <c r="R128" s="1">
        <v>7.8970829941448398E-2</v>
      </c>
      <c r="S128" s="1">
        <v>7.1467965261020894E-2</v>
      </c>
      <c r="T128" s="1">
        <v>6.5561527501387898E-2</v>
      </c>
      <c r="U128" s="1">
        <v>5.1691300943225098E-2</v>
      </c>
      <c r="V128" s="1">
        <v>3.89824436339372E-2</v>
      </c>
      <c r="W128" s="1">
        <v>3.1750777816571103E-2</v>
      </c>
      <c r="X128" s="1">
        <v>2.96942244213893E-2</v>
      </c>
      <c r="Y128" s="1">
        <v>2.27533567126505E-2</v>
      </c>
      <c r="Z128" s="1">
        <v>1.9949069309313502E-2</v>
      </c>
      <c r="AA128" s="1">
        <v>1.6826066267328198E-2</v>
      </c>
      <c r="AB128" s="1">
        <v>1.3794222507044301E-2</v>
      </c>
      <c r="AC128" s="1">
        <v>1.2361882293312299E-2</v>
      </c>
      <c r="AD128" s="1">
        <v>1.04482210721972E-2</v>
      </c>
      <c r="AE128" s="1">
        <v>7.8962169809686806E-3</v>
      </c>
      <c r="AF128" s="1">
        <v>7.3524518656202797E-3</v>
      </c>
      <c r="AG128" s="1">
        <v>6.4344778988879503E-3</v>
      </c>
      <c r="AH128" s="1">
        <v>6.41875292279447E-3</v>
      </c>
      <c r="AI128" s="1">
        <v>5.4381069498924796E-3</v>
      </c>
      <c r="AJ128" s="1">
        <v>5.4408417283435201E-3</v>
      </c>
      <c r="AK128" s="1">
        <v>4.5135239352367997E-3</v>
      </c>
      <c r="AL128" s="1">
        <v>3.8765484543488E-3</v>
      </c>
      <c r="AM128" s="1">
        <v>3.6372553398828201E-3</v>
      </c>
      <c r="AN128" s="1">
        <v>3.03583197885834E-3</v>
      </c>
      <c r="AO128" s="1">
        <v>3.0150932422712902E-3</v>
      </c>
      <c r="AP128" s="1">
        <v>2.9535607271229001E-3</v>
      </c>
      <c r="AQ128" s="1">
        <v>2.8277609183750699E-3</v>
      </c>
      <c r="AR128" s="1">
        <v>2.6028253907770501E-3</v>
      </c>
      <c r="AS128" s="1">
        <v>2.4758860910079599E-3</v>
      </c>
      <c r="AT128" s="1">
        <v>3.7259875057088498E-2</v>
      </c>
    </row>
    <row r="129" spans="1:46" ht="15.75" customHeight="1" x14ac:dyDescent="0.25">
      <c r="A129" s="1">
        <v>4</v>
      </c>
      <c r="B129" s="1" t="s">
        <v>87</v>
      </c>
      <c r="C129" s="1">
        <v>2005</v>
      </c>
      <c r="D129" s="1">
        <v>1</v>
      </c>
      <c r="E129" s="1">
        <v>18</v>
      </c>
      <c r="F129" s="1">
        <v>0</v>
      </c>
      <c r="G129" s="1">
        <v>0</v>
      </c>
      <c r="H129" s="1">
        <v>0</v>
      </c>
      <c r="I129" s="1">
        <v>0</v>
      </c>
      <c r="J129" s="5">
        <v>2.9181106397662599E-5</v>
      </c>
      <c r="K129" s="1">
        <v>2.2936668547758401E-3</v>
      </c>
      <c r="L129" s="1">
        <v>2.53705003890017E-2</v>
      </c>
      <c r="M129" s="1">
        <v>6.8741119097025002E-2</v>
      </c>
      <c r="N129" s="1">
        <v>8.4652954523238996E-2</v>
      </c>
      <c r="O129" s="1">
        <v>9.2161906983708505E-2</v>
      </c>
      <c r="P129" s="1">
        <v>8.3266134401159903E-2</v>
      </c>
      <c r="Q129" s="1">
        <v>8.0970394571612606E-2</v>
      </c>
      <c r="R129" s="1">
        <v>7.6992196525662401E-2</v>
      </c>
      <c r="S129" s="1">
        <v>7.3061836359052695E-2</v>
      </c>
      <c r="T129" s="1">
        <v>6.0788550035471803E-2</v>
      </c>
      <c r="U129" s="1">
        <v>5.0051975855903402E-2</v>
      </c>
      <c r="V129" s="1">
        <v>4.4085954463760499E-2</v>
      </c>
      <c r="W129" s="1">
        <v>3.5196719724721701E-2</v>
      </c>
      <c r="X129" s="1">
        <v>2.96122054203188E-2</v>
      </c>
      <c r="Y129" s="1">
        <v>2.5654019553892699E-2</v>
      </c>
      <c r="Z129" s="1">
        <v>2.2750419737526301E-2</v>
      </c>
      <c r="AA129" s="1">
        <v>1.81496914217593E-2</v>
      </c>
      <c r="AB129" s="1">
        <v>1.5912632724202999E-2</v>
      </c>
      <c r="AC129" s="1">
        <v>1.2722643470185299E-2</v>
      </c>
      <c r="AD129" s="1">
        <v>1.14877086150121E-2</v>
      </c>
      <c r="AE129" s="1">
        <v>9.2071174472559501E-3</v>
      </c>
      <c r="AF129" s="1">
        <v>7.7466269909926104E-3</v>
      </c>
      <c r="AG129" s="1">
        <v>6.3730420155310502E-3</v>
      </c>
      <c r="AH129" s="1">
        <v>5.6799508736871101E-3</v>
      </c>
      <c r="AI129" s="1">
        <v>4.8036406539693297E-3</v>
      </c>
      <c r="AJ129" s="1">
        <v>3.8932858101209302E-3</v>
      </c>
      <c r="AK129" s="1">
        <v>3.6660558832538898E-3</v>
      </c>
      <c r="AL129" s="1">
        <v>3.0845864598709602E-3</v>
      </c>
      <c r="AM129" s="1">
        <v>2.6915982810893201E-3</v>
      </c>
      <c r="AN129" s="1">
        <v>2.6111509139985002E-3</v>
      </c>
      <c r="AO129" s="1">
        <v>2.4145372299093299E-3</v>
      </c>
      <c r="AP129" s="1">
        <v>2.3045898372252402E-3</v>
      </c>
      <c r="AQ129" s="1">
        <v>2.09099370597022E-3</v>
      </c>
      <c r="AR129" s="1">
        <v>1.9246773454633199E-3</v>
      </c>
      <c r="AS129" s="1">
        <v>1.7288609593631599E-3</v>
      </c>
      <c r="AT129" s="1">
        <v>2.5826873757909399E-2</v>
      </c>
    </row>
    <row r="130" spans="1:46" ht="15.75" customHeight="1" x14ac:dyDescent="0.25">
      <c r="A130" s="1">
        <v>4</v>
      </c>
      <c r="B130" s="1" t="s">
        <v>87</v>
      </c>
      <c r="C130" s="1">
        <v>2006</v>
      </c>
      <c r="D130" s="1">
        <v>1</v>
      </c>
      <c r="E130" s="1">
        <v>13</v>
      </c>
      <c r="F130" s="1">
        <v>0</v>
      </c>
      <c r="G130" s="1">
        <v>0</v>
      </c>
      <c r="H130" s="1">
        <v>0</v>
      </c>
      <c r="I130" s="1">
        <v>0</v>
      </c>
      <c r="J130" s="5">
        <v>2.6130657274182101E-5</v>
      </c>
      <c r="K130" s="1">
        <v>2.4691896988121701E-3</v>
      </c>
      <c r="L130" s="1">
        <v>2.5071578586587501E-2</v>
      </c>
      <c r="M130" s="1">
        <v>6.6721957318457203E-2</v>
      </c>
      <c r="N130" s="1">
        <v>9.7176766130722306E-2</v>
      </c>
      <c r="O130" s="1">
        <v>0.102117874030713</v>
      </c>
      <c r="P130" s="1">
        <v>0.10497535060468299</v>
      </c>
      <c r="Q130" s="1">
        <v>9.9786788528578502E-2</v>
      </c>
      <c r="R130" s="1">
        <v>8.4650526595709499E-2</v>
      </c>
      <c r="S130" s="1">
        <v>7.8499013069211504E-2</v>
      </c>
      <c r="T130" s="1">
        <v>6.7148443226739504E-2</v>
      </c>
      <c r="U130" s="1">
        <v>5.0772496738127899E-2</v>
      </c>
      <c r="V130" s="1">
        <v>4.2120730562804999E-2</v>
      </c>
      <c r="W130" s="1">
        <v>3.35570110599843E-2</v>
      </c>
      <c r="X130" s="1">
        <v>2.5391443017799199E-2</v>
      </c>
      <c r="Y130" s="1">
        <v>1.8767478812392099E-2</v>
      </c>
      <c r="Z130" s="1">
        <v>1.50540920346935E-2</v>
      </c>
      <c r="AA130" s="1">
        <v>1.2203541659036501E-2</v>
      </c>
      <c r="AB130" s="1">
        <v>9.8582889330789594E-3</v>
      </c>
      <c r="AC130" s="1">
        <v>7.2145800252428399E-3</v>
      </c>
      <c r="AD130" s="1">
        <v>6.0824614281590004E-3</v>
      </c>
      <c r="AE130" s="1">
        <v>5.0759588823088798E-3</v>
      </c>
      <c r="AF130" s="1">
        <v>4.0795308067331504E-3</v>
      </c>
      <c r="AG130" s="1">
        <v>3.7105533329338499E-3</v>
      </c>
      <c r="AH130" s="1">
        <v>3.3292975984876498E-3</v>
      </c>
      <c r="AI130" s="1">
        <v>3.2290776077372801E-3</v>
      </c>
      <c r="AJ130" s="1">
        <v>3.0122666120406499E-3</v>
      </c>
      <c r="AK130" s="1">
        <v>2.6917725264368302E-3</v>
      </c>
      <c r="AL130" s="1">
        <v>2.32804217257211E-3</v>
      </c>
      <c r="AM130" s="1">
        <v>2.1505845763847898E-3</v>
      </c>
      <c r="AN130" s="1">
        <v>2.00817774136043E-3</v>
      </c>
      <c r="AO130" s="1">
        <v>1.6079274327510701E-3</v>
      </c>
      <c r="AP130" s="1">
        <v>1.2870135775524801E-3</v>
      </c>
      <c r="AQ130" s="1">
        <v>1.0389297470457901E-3</v>
      </c>
      <c r="AR130" s="1">
        <v>8.8665832654443496E-4</v>
      </c>
      <c r="AS130" s="1">
        <v>8.8403476657714704E-4</v>
      </c>
      <c r="AT130" s="1">
        <v>1.3014431573725701E-2</v>
      </c>
    </row>
    <row r="131" spans="1:46" ht="15.75" customHeight="1" x14ac:dyDescent="0.25">
      <c r="A131" s="1">
        <v>4</v>
      </c>
      <c r="B131" s="1" t="s">
        <v>87</v>
      </c>
      <c r="C131" s="1">
        <v>2007</v>
      </c>
      <c r="D131" s="1">
        <v>1</v>
      </c>
      <c r="E131" s="1">
        <v>20</v>
      </c>
      <c r="F131" s="1">
        <v>0</v>
      </c>
      <c r="G131" s="1">
        <v>0</v>
      </c>
      <c r="H131" s="1">
        <v>0</v>
      </c>
      <c r="I131" s="1">
        <v>0</v>
      </c>
      <c r="J131" s="5">
        <v>3.4424970263505202E-5</v>
      </c>
      <c r="K131" s="1">
        <v>2.82113487651969E-3</v>
      </c>
      <c r="L131" s="1">
        <v>2.9830521247142999E-2</v>
      </c>
      <c r="M131" s="1">
        <v>9.5763759069737997E-2</v>
      </c>
      <c r="N131" s="1">
        <v>0.113258152166932</v>
      </c>
      <c r="O131" s="1">
        <v>0.10370650743262499</v>
      </c>
      <c r="P131" s="1">
        <v>9.93083321273176E-2</v>
      </c>
      <c r="Q131" s="1">
        <v>0.105573334178258</v>
      </c>
      <c r="R131" s="1">
        <v>9.0725724615652106E-2</v>
      </c>
      <c r="S131" s="1">
        <v>8.8780628161509598E-2</v>
      </c>
      <c r="T131" s="1">
        <v>6.7415395497522193E-2</v>
      </c>
      <c r="U131" s="1">
        <v>5.0656600645511002E-2</v>
      </c>
      <c r="V131" s="1">
        <v>3.5406510087286999E-2</v>
      </c>
      <c r="W131" s="1">
        <v>2.3867808114188101E-2</v>
      </c>
      <c r="X131" s="1">
        <v>1.73758752891226E-2</v>
      </c>
      <c r="Y131" s="1">
        <v>1.64523954898151E-2</v>
      </c>
      <c r="Z131" s="1">
        <v>1.4690556340060499E-2</v>
      </c>
      <c r="AA131" s="1">
        <v>1.0965808811250999E-2</v>
      </c>
      <c r="AB131" s="1">
        <v>8.51769674684031E-3</v>
      </c>
      <c r="AC131" s="1">
        <v>5.2456118867195804E-3</v>
      </c>
      <c r="AD131" s="1">
        <v>4.4283185628516903E-3</v>
      </c>
      <c r="AE131" s="1">
        <v>2.6156126659913001E-3</v>
      </c>
      <c r="AF131" s="1">
        <v>1.2245698377316499E-3</v>
      </c>
      <c r="AG131" s="1">
        <v>3.9220488509167497E-4</v>
      </c>
      <c r="AH131" s="1">
        <v>4.5917087202217502E-4</v>
      </c>
      <c r="AI131" s="1">
        <v>7.7207843755164795E-4</v>
      </c>
      <c r="AJ131" s="1">
        <v>9.818823607993779E-4</v>
      </c>
      <c r="AK131" s="1">
        <v>5.1654582246135096E-4</v>
      </c>
      <c r="AL131" s="1">
        <v>5.79401365181283E-4</v>
      </c>
      <c r="AM131" s="1">
        <v>5.8916367018138204E-4</v>
      </c>
      <c r="AN131" s="1">
        <v>7.4005122641097399E-4</v>
      </c>
      <c r="AO131" s="1">
        <v>6.2821289018177601E-4</v>
      </c>
      <c r="AP131" s="1">
        <v>3.9391757017941202E-4</v>
      </c>
      <c r="AQ131" s="1">
        <v>2.7951020631860902E-4</v>
      </c>
      <c r="AR131" s="1">
        <v>1.71439777282431E-4</v>
      </c>
      <c r="AS131" s="1">
        <v>2.6683633666935798E-4</v>
      </c>
      <c r="AT131" s="1">
        <v>4.5643057588179697E-3</v>
      </c>
    </row>
    <row r="132" spans="1:46" ht="15.75" customHeight="1" x14ac:dyDescent="0.25">
      <c r="A132" s="1">
        <v>4</v>
      </c>
      <c r="B132" s="1" t="s">
        <v>87</v>
      </c>
      <c r="C132" s="1">
        <v>2008</v>
      </c>
      <c r="D132" s="1">
        <v>1</v>
      </c>
      <c r="E132" s="1">
        <v>22</v>
      </c>
      <c r="F132" s="1">
        <v>0</v>
      </c>
      <c r="G132" s="1">
        <v>0</v>
      </c>
      <c r="H132" s="1">
        <v>0</v>
      </c>
      <c r="I132" s="1">
        <v>0</v>
      </c>
      <c r="J132" s="5">
        <v>3.35134050278319E-5</v>
      </c>
      <c r="K132" s="1">
        <v>2.4905902283504102E-3</v>
      </c>
      <c r="L132" s="1">
        <v>2.59156010247273E-2</v>
      </c>
      <c r="M132" s="1">
        <v>7.5604714066206294E-2</v>
      </c>
      <c r="N132" s="1">
        <v>9.8775748630748297E-2</v>
      </c>
      <c r="O132" s="1">
        <v>0.102251976694148</v>
      </c>
      <c r="P132" s="1">
        <v>9.3677128036770405E-2</v>
      </c>
      <c r="Q132" s="1">
        <v>9.1218332577292602E-2</v>
      </c>
      <c r="R132" s="1">
        <v>8.0357029474896494E-2</v>
      </c>
      <c r="S132" s="1">
        <v>7.76004325616243E-2</v>
      </c>
      <c r="T132" s="1">
        <v>6.5913133827046597E-2</v>
      </c>
      <c r="U132" s="1">
        <v>5.5027101459971903E-2</v>
      </c>
      <c r="V132" s="1">
        <v>4.2867082302907498E-2</v>
      </c>
      <c r="W132" s="1">
        <v>3.3209779307066901E-2</v>
      </c>
      <c r="X132" s="1">
        <v>2.7855750284458199E-2</v>
      </c>
      <c r="Y132" s="1">
        <v>2.1723561002656201E-2</v>
      </c>
      <c r="Z132" s="1">
        <v>1.8183170522792901E-2</v>
      </c>
      <c r="AA132" s="1">
        <v>1.5889650573580501E-2</v>
      </c>
      <c r="AB132" s="1">
        <v>1.2290635504865101E-2</v>
      </c>
      <c r="AC132" s="1">
        <v>1.0284318753156199E-2</v>
      </c>
      <c r="AD132" s="1">
        <v>8.5215709365640893E-3</v>
      </c>
      <c r="AE132" s="1">
        <v>6.7599688774088304E-3</v>
      </c>
      <c r="AF132" s="1">
        <v>5.6096284108124797E-3</v>
      </c>
      <c r="AG132" s="1">
        <v>4.8221111325516298E-3</v>
      </c>
      <c r="AH132" s="1">
        <v>3.6398804172963202E-3</v>
      </c>
      <c r="AI132" s="1">
        <v>2.7362597187681101E-3</v>
      </c>
      <c r="AJ132" s="1">
        <v>2.2773838653101001E-3</v>
      </c>
      <c r="AK132" s="1">
        <v>1.7186361552734299E-3</v>
      </c>
      <c r="AL132" s="1">
        <v>1.42560869079931E-3</v>
      </c>
      <c r="AM132" s="1">
        <v>1.1221739296071499E-3</v>
      </c>
      <c r="AN132" s="1">
        <v>1.0595391897260701E-3</v>
      </c>
      <c r="AO132" s="1">
        <v>9.0132918365450998E-4</v>
      </c>
      <c r="AP132" s="1">
        <v>7.6937611884407195E-4</v>
      </c>
      <c r="AQ132" s="1">
        <v>6.7131837820708301E-4</v>
      </c>
      <c r="AR132" s="1">
        <v>5.5110932712434696E-4</v>
      </c>
      <c r="AS132" s="1">
        <v>4.8093168411734798E-4</v>
      </c>
      <c r="AT132" s="1">
        <v>5.7639237456414702E-3</v>
      </c>
    </row>
    <row r="133" spans="1:46" ht="15.75" customHeight="1" x14ac:dyDescent="0.25">
      <c r="A133" s="1">
        <v>4</v>
      </c>
      <c r="B133" s="1" t="s">
        <v>87</v>
      </c>
      <c r="C133" s="1">
        <v>2009</v>
      </c>
      <c r="D133" s="1">
        <v>1</v>
      </c>
      <c r="E133" s="1">
        <v>17</v>
      </c>
      <c r="F133" s="1">
        <v>0</v>
      </c>
      <c r="G133" s="1">
        <v>0</v>
      </c>
      <c r="H133" s="1">
        <v>0</v>
      </c>
      <c r="I133" s="1">
        <v>0</v>
      </c>
      <c r="J133" s="5">
        <v>1.6098387621269999E-5</v>
      </c>
      <c r="K133" s="1">
        <v>1.6999897328061201E-3</v>
      </c>
      <c r="L133" s="1">
        <v>2.11092790748507E-2</v>
      </c>
      <c r="M133" s="1">
        <v>6.5877642952787696E-2</v>
      </c>
      <c r="N133" s="1">
        <v>8.8935274107245998E-2</v>
      </c>
      <c r="O133" s="1">
        <v>8.5358480684260093E-2</v>
      </c>
      <c r="P133" s="1">
        <v>8.2147388966737497E-2</v>
      </c>
      <c r="Q133" s="1">
        <v>8.0685655370726195E-2</v>
      </c>
      <c r="R133" s="1">
        <v>7.4874316310421199E-2</v>
      </c>
      <c r="S133" s="1">
        <v>7.1639971366334501E-2</v>
      </c>
      <c r="T133" s="1">
        <v>6.0652106330923397E-2</v>
      </c>
      <c r="U133" s="1">
        <v>5.3538586583031303E-2</v>
      </c>
      <c r="V133" s="1">
        <v>4.6888521527658301E-2</v>
      </c>
      <c r="W133" s="1">
        <v>4.0272799699210597E-2</v>
      </c>
      <c r="X133" s="1">
        <v>3.6532875948329199E-2</v>
      </c>
      <c r="Y133" s="1">
        <v>3.19964397521421E-2</v>
      </c>
      <c r="Z133" s="1">
        <v>2.79355320391899E-2</v>
      </c>
      <c r="AA133" s="1">
        <v>2.21513813668676E-2</v>
      </c>
      <c r="AB133" s="1">
        <v>1.7171881769148401E-2</v>
      </c>
      <c r="AC133" s="1">
        <v>1.49638090359176E-2</v>
      </c>
      <c r="AD133" s="1">
        <v>1.26336568632256E-2</v>
      </c>
      <c r="AE133" s="1">
        <v>9.8400499980145304E-3</v>
      </c>
      <c r="AF133" s="1">
        <v>7.7435927522912498E-3</v>
      </c>
      <c r="AG133" s="1">
        <v>5.9274263221516304E-3</v>
      </c>
      <c r="AH133" s="1">
        <v>5.1434348449957796E-3</v>
      </c>
      <c r="AI133" s="1">
        <v>4.4999465175789002E-3</v>
      </c>
      <c r="AJ133" s="1">
        <v>3.8488561737853098E-3</v>
      </c>
      <c r="AK133" s="1">
        <v>3.3627743031097398E-3</v>
      </c>
      <c r="AL133" s="1">
        <v>2.89502670722506E-3</v>
      </c>
      <c r="AM133" s="1">
        <v>2.2747021708854598E-3</v>
      </c>
      <c r="AN133" s="1">
        <v>1.87313683522155E-3</v>
      </c>
      <c r="AO133" s="1">
        <v>1.6250427948804301E-3</v>
      </c>
      <c r="AP133" s="1">
        <v>1.3848190773763599E-3</v>
      </c>
      <c r="AQ133" s="1">
        <v>1.1343997143788301E-3</v>
      </c>
      <c r="AR133" s="1">
        <v>1.0302968077612799E-3</v>
      </c>
      <c r="AS133" s="1">
        <v>9.3710503053148601E-4</v>
      </c>
      <c r="AT133" s="1">
        <v>9.3977020803767408E-3</v>
      </c>
    </row>
    <row r="134" spans="1:46" ht="15.75" customHeight="1" x14ac:dyDescent="0.25">
      <c r="A134" s="1">
        <v>4</v>
      </c>
      <c r="B134" s="1" t="s">
        <v>87</v>
      </c>
      <c r="C134" s="1">
        <v>2010</v>
      </c>
      <c r="D134" s="1">
        <v>1</v>
      </c>
      <c r="E134" s="1">
        <v>10</v>
      </c>
      <c r="F134" s="1">
        <v>0</v>
      </c>
      <c r="G134" s="1">
        <v>0</v>
      </c>
      <c r="H134" s="1">
        <v>0</v>
      </c>
      <c r="I134" s="1">
        <v>0</v>
      </c>
      <c r="J134" s="5">
        <v>1.8020099380848101E-5</v>
      </c>
      <c r="K134" s="1">
        <v>1.8296350904375199E-3</v>
      </c>
      <c r="L134" s="1">
        <v>2.13420877016137E-2</v>
      </c>
      <c r="M134" s="1">
        <v>6.1221162634712001E-2</v>
      </c>
      <c r="N134" s="1">
        <v>7.8278631706653903E-2</v>
      </c>
      <c r="O134" s="1">
        <v>8.2233703518874907E-2</v>
      </c>
      <c r="P134" s="1">
        <v>7.4217734310804695E-2</v>
      </c>
      <c r="Q134" s="1">
        <v>7.1212967739517102E-2</v>
      </c>
      <c r="R134" s="1">
        <v>7.0750395188429502E-2</v>
      </c>
      <c r="S134" s="1">
        <v>7.0065546411488502E-2</v>
      </c>
      <c r="T134" s="1">
        <v>6.5912083505140606E-2</v>
      </c>
      <c r="U134" s="1">
        <v>5.7823438896265497E-2</v>
      </c>
      <c r="V134" s="1">
        <v>5.1255282672883998E-2</v>
      </c>
      <c r="W134" s="1">
        <v>4.4393194828469498E-2</v>
      </c>
      <c r="X134" s="1">
        <v>3.7761458254442298E-2</v>
      </c>
      <c r="Y134" s="1">
        <v>3.4266068977370397E-2</v>
      </c>
      <c r="Z134" s="1">
        <v>2.94270772903313E-2</v>
      </c>
      <c r="AA134" s="1">
        <v>2.6409305647320701E-2</v>
      </c>
      <c r="AB134" s="1">
        <v>2.23453482345955E-2</v>
      </c>
      <c r="AC134" s="1">
        <v>1.7281275306233301E-2</v>
      </c>
      <c r="AD134" s="1">
        <v>1.43395790827786E-2</v>
      </c>
      <c r="AE134" s="1">
        <v>1.2004616205458399E-2</v>
      </c>
      <c r="AF134" s="1">
        <v>9.2198308473671296E-3</v>
      </c>
      <c r="AG134" s="1">
        <v>7.53274154306961E-3</v>
      </c>
      <c r="AH134" s="1">
        <v>6.4591856224087097E-3</v>
      </c>
      <c r="AI134" s="1">
        <v>4.96079735879744E-3</v>
      </c>
      <c r="AJ134" s="1">
        <v>3.8778063861022202E-3</v>
      </c>
      <c r="AK134" s="1">
        <v>3.07531696037304E-3</v>
      </c>
      <c r="AL134" s="1">
        <v>2.6299145039784901E-3</v>
      </c>
      <c r="AM134" s="1">
        <v>2.1846820485215E-3</v>
      </c>
      <c r="AN134" s="1">
        <v>1.73511456915685E-3</v>
      </c>
      <c r="AO134" s="1">
        <v>1.4966882542357201E-3</v>
      </c>
      <c r="AP134" s="1">
        <v>1.2641269716602501E-3</v>
      </c>
      <c r="AQ134" s="1">
        <v>1.1018610767638401E-3</v>
      </c>
      <c r="AR134" s="1">
        <v>9.8124541156844507E-4</v>
      </c>
      <c r="AS134" s="1">
        <v>8.8357987294300001E-4</v>
      </c>
      <c r="AT134" s="1">
        <v>8.2084952698514204E-3</v>
      </c>
    </row>
    <row r="135" spans="1:46" ht="15.75" customHeight="1" x14ac:dyDescent="0.25">
      <c r="A135" s="1">
        <v>4</v>
      </c>
      <c r="B135" s="1" t="s">
        <v>87</v>
      </c>
      <c r="C135" s="1">
        <v>2011</v>
      </c>
      <c r="D135" s="1">
        <v>1</v>
      </c>
      <c r="E135" s="1">
        <v>12</v>
      </c>
      <c r="F135" s="1">
        <v>0</v>
      </c>
      <c r="G135" s="1">
        <v>0</v>
      </c>
      <c r="H135" s="1">
        <v>0</v>
      </c>
      <c r="I135" s="1">
        <v>0</v>
      </c>
      <c r="J135" s="5">
        <v>1.6478436464346599E-5</v>
      </c>
      <c r="K135" s="1">
        <v>1.4451742783311099E-3</v>
      </c>
      <c r="L135" s="1">
        <v>1.7450664215743102E-2</v>
      </c>
      <c r="M135" s="1">
        <v>4.6778893032539702E-2</v>
      </c>
      <c r="N135" s="1">
        <v>6.7868673637558594E-2</v>
      </c>
      <c r="O135" s="1">
        <v>7.5974909347423902E-2</v>
      </c>
      <c r="P135" s="1">
        <v>6.9472780125527198E-2</v>
      </c>
      <c r="Q135" s="1">
        <v>7.0135921690157796E-2</v>
      </c>
      <c r="R135" s="1">
        <v>6.9620778045548101E-2</v>
      </c>
      <c r="S135" s="1">
        <v>6.9665901240726205E-2</v>
      </c>
      <c r="T135" s="1">
        <v>6.6127349515106598E-2</v>
      </c>
      <c r="U135" s="1">
        <v>5.8495754377046197E-2</v>
      </c>
      <c r="V135" s="1">
        <v>5.40443434725255E-2</v>
      </c>
      <c r="W135" s="1">
        <v>4.5848554390660101E-2</v>
      </c>
      <c r="X135" s="1">
        <v>4.1641470957641299E-2</v>
      </c>
      <c r="Y135" s="1">
        <v>3.8895886235338697E-2</v>
      </c>
      <c r="Z135" s="1">
        <v>3.5027919784511301E-2</v>
      </c>
      <c r="AA135" s="1">
        <v>3.03711444405028E-2</v>
      </c>
      <c r="AB135" s="1">
        <v>2.5817243821337099E-2</v>
      </c>
      <c r="AC135" s="1">
        <v>2.0752434669737099E-2</v>
      </c>
      <c r="AD135" s="1">
        <v>1.64094426369071E-2</v>
      </c>
      <c r="AE135" s="1">
        <v>1.43829029599507E-2</v>
      </c>
      <c r="AF135" s="1">
        <v>1.1400228957864401E-2</v>
      </c>
      <c r="AG135" s="1">
        <v>9.5211481866520203E-3</v>
      </c>
      <c r="AH135" s="1">
        <v>7.5195571705107796E-3</v>
      </c>
      <c r="AI135" s="1">
        <v>5.7323398324851402E-3</v>
      </c>
      <c r="AJ135" s="1">
        <v>4.8576736652023696E-3</v>
      </c>
      <c r="AK135" s="1">
        <v>3.8137570149820599E-3</v>
      </c>
      <c r="AL135" s="1">
        <v>3.1747940907710802E-3</v>
      </c>
      <c r="AM135" s="1">
        <v>2.4667603370810498E-3</v>
      </c>
      <c r="AN135" s="1">
        <v>2.08868032287571E-3</v>
      </c>
      <c r="AO135" s="1">
        <v>1.76180666497314E-3</v>
      </c>
      <c r="AP135" s="1">
        <v>1.42653978475928E-3</v>
      </c>
      <c r="AQ135" s="1">
        <v>1.2398868408827501E-3</v>
      </c>
      <c r="AR135" s="1">
        <v>1.0603180846451099E-3</v>
      </c>
      <c r="AS135" s="1">
        <v>9.3726882543937896E-4</v>
      </c>
      <c r="AT135" s="1">
        <v>6.75461890959106E-3</v>
      </c>
    </row>
    <row r="136" spans="1:46" ht="15.75" customHeight="1" x14ac:dyDescent="0.25">
      <c r="A136" s="1">
        <v>4</v>
      </c>
      <c r="B136" s="1" t="s">
        <v>87</v>
      </c>
      <c r="C136" s="1">
        <v>2012</v>
      </c>
      <c r="D136" s="1">
        <v>1</v>
      </c>
      <c r="E136" s="1">
        <v>11</v>
      </c>
      <c r="F136" s="1">
        <v>0</v>
      </c>
      <c r="G136" s="1">
        <v>0</v>
      </c>
      <c r="H136" s="1">
        <v>0</v>
      </c>
      <c r="I136" s="1">
        <v>0</v>
      </c>
      <c r="J136" s="5">
        <v>1.6687354814798298E-5</v>
      </c>
      <c r="K136" s="1">
        <v>1.56819416872067E-3</v>
      </c>
      <c r="L136" s="1">
        <v>1.8858045929107298E-2</v>
      </c>
      <c r="M136" s="1">
        <v>5.8414586149845897E-2</v>
      </c>
      <c r="N136" s="1">
        <v>8.1656400188800798E-2</v>
      </c>
      <c r="O136" s="1">
        <v>9.0697442153910304E-2</v>
      </c>
      <c r="P136" s="1">
        <v>8.2310377623992695E-2</v>
      </c>
      <c r="Q136" s="1">
        <v>8.1586146425030495E-2</v>
      </c>
      <c r="R136" s="1">
        <v>8.1936247129044903E-2</v>
      </c>
      <c r="S136" s="1">
        <v>7.3828946102597395E-2</v>
      </c>
      <c r="T136" s="1">
        <v>6.5441130641713099E-2</v>
      </c>
      <c r="U136" s="1">
        <v>5.9842940285218603E-2</v>
      </c>
      <c r="V136" s="1">
        <v>5.1272064542016001E-2</v>
      </c>
      <c r="W136" s="1">
        <v>4.4705757295941E-2</v>
      </c>
      <c r="X136" s="1">
        <v>3.7001539325044901E-2</v>
      </c>
      <c r="Y136" s="1">
        <v>3.1177819368228402E-2</v>
      </c>
      <c r="Z136" s="1">
        <v>2.4989313835160499E-2</v>
      </c>
      <c r="AA136" s="1">
        <v>2.0881888321046E-2</v>
      </c>
      <c r="AB136" s="1">
        <v>1.62601585315395E-2</v>
      </c>
      <c r="AC136" s="1">
        <v>1.46001004745633E-2</v>
      </c>
      <c r="AD136" s="1">
        <v>1.1628916949788499E-2</v>
      </c>
      <c r="AE136" s="1">
        <v>8.8392084086245902E-3</v>
      </c>
      <c r="AF136" s="1">
        <v>8.0151033910957799E-3</v>
      </c>
      <c r="AG136" s="1">
        <v>6.7073153942600302E-3</v>
      </c>
      <c r="AH136" s="1">
        <v>5.3336123459058402E-3</v>
      </c>
      <c r="AI136" s="1">
        <v>3.8985832686072599E-3</v>
      </c>
      <c r="AJ136" s="1">
        <v>3.34189311198558E-3</v>
      </c>
      <c r="AK136" s="1">
        <v>2.8875798771526998E-3</v>
      </c>
      <c r="AL136" s="1">
        <v>2.1458269556349201E-3</v>
      </c>
      <c r="AM136" s="1">
        <v>1.9599298229980599E-3</v>
      </c>
      <c r="AN136" s="1">
        <v>1.4252669747319201E-3</v>
      </c>
      <c r="AO136" s="1">
        <v>1.0544739507471099E-3</v>
      </c>
      <c r="AP136" s="1">
        <v>8.5305757813248996E-4</v>
      </c>
      <c r="AQ136" s="1">
        <v>7.2856991121409505E-4</v>
      </c>
      <c r="AR136" s="1">
        <v>5.6069512177722301E-4</v>
      </c>
      <c r="AS136" s="1">
        <v>4.8777138123655498E-4</v>
      </c>
      <c r="AT136" s="1">
        <v>3.0864097097710202E-3</v>
      </c>
    </row>
    <row r="137" spans="1:46" ht="15.75" customHeight="1" x14ac:dyDescent="0.25">
      <c r="A137" s="1">
        <v>4</v>
      </c>
      <c r="B137" s="1" t="s">
        <v>87</v>
      </c>
      <c r="C137" s="1">
        <v>2013</v>
      </c>
      <c r="D137" s="1">
        <v>1</v>
      </c>
      <c r="E137" s="1">
        <v>19</v>
      </c>
      <c r="F137" s="1">
        <v>0</v>
      </c>
      <c r="G137" s="1">
        <v>0</v>
      </c>
      <c r="H137" s="1">
        <v>0</v>
      </c>
      <c r="I137" s="1">
        <v>0</v>
      </c>
      <c r="J137" s="5">
        <v>2.16977594485418E-5</v>
      </c>
      <c r="K137" s="1">
        <v>1.7608483695046801E-3</v>
      </c>
      <c r="L137" s="1">
        <v>2.0698803196702999E-2</v>
      </c>
      <c r="M137" s="1">
        <v>6.4581554949522099E-2</v>
      </c>
      <c r="N137" s="1">
        <v>7.7749731812470801E-2</v>
      </c>
      <c r="O137" s="1">
        <v>7.35921403411081E-2</v>
      </c>
      <c r="P137" s="1">
        <v>7.8592184918188104E-2</v>
      </c>
      <c r="Q137" s="1">
        <v>6.9404902426142501E-2</v>
      </c>
      <c r="R137" s="1">
        <v>6.74163349970789E-2</v>
      </c>
      <c r="S137" s="1">
        <v>6.5044726923492904E-2</v>
      </c>
      <c r="T137" s="1">
        <v>5.4788561241979797E-2</v>
      </c>
      <c r="U137" s="1">
        <v>5.1480082584680099E-2</v>
      </c>
      <c r="V137" s="1">
        <v>4.8369461714034903E-2</v>
      </c>
      <c r="W137" s="1">
        <v>4.7029893604714303E-2</v>
      </c>
      <c r="X137" s="1">
        <v>4.2115351089619599E-2</v>
      </c>
      <c r="Y137" s="1">
        <v>3.56745538022262E-2</v>
      </c>
      <c r="Z137" s="1">
        <v>2.88861627050532E-2</v>
      </c>
      <c r="AA137" s="1">
        <v>2.5235998043764401E-2</v>
      </c>
      <c r="AB137" s="1">
        <v>2.4612993069499298E-2</v>
      </c>
      <c r="AC137" s="1">
        <v>2.0574631860452899E-2</v>
      </c>
      <c r="AD137" s="1">
        <v>1.9343552548375002E-2</v>
      </c>
      <c r="AE137" s="1">
        <v>1.5164155902913101E-2</v>
      </c>
      <c r="AF137" s="1">
        <v>1.2984712639492701E-2</v>
      </c>
      <c r="AG137" s="1">
        <v>9.7717256066967503E-3</v>
      </c>
      <c r="AH137" s="1">
        <v>8.4666376002621793E-3</v>
      </c>
      <c r="AI137" s="1">
        <v>6.5602423790110899E-3</v>
      </c>
      <c r="AJ137" s="1">
        <v>4.8929521702969101E-3</v>
      </c>
      <c r="AK137" s="1">
        <v>4.29808983452451E-3</v>
      </c>
      <c r="AL137" s="1">
        <v>3.78958887794334E-3</v>
      </c>
      <c r="AM137" s="1">
        <v>2.8737715657736998E-3</v>
      </c>
      <c r="AN137" s="1">
        <v>2.0378707537511598E-3</v>
      </c>
      <c r="AO137" s="1">
        <v>1.65805254875094E-3</v>
      </c>
      <c r="AP137" s="1">
        <v>1.5020864758832099E-3</v>
      </c>
      <c r="AQ137" s="1">
        <v>1.32839698564414E-3</v>
      </c>
      <c r="AR137" s="1">
        <v>1.07876533733517E-3</v>
      </c>
      <c r="AS137" s="1">
        <v>9.0389428593801505E-4</v>
      </c>
      <c r="AT137" s="1">
        <v>5.7148890777238498E-3</v>
      </c>
    </row>
    <row r="138" spans="1:46" ht="15.75" customHeight="1" x14ac:dyDescent="0.25">
      <c r="A138" s="1">
        <v>4</v>
      </c>
      <c r="B138" s="1" t="s">
        <v>87</v>
      </c>
      <c r="C138" s="1">
        <v>2014</v>
      </c>
      <c r="D138" s="1">
        <v>1</v>
      </c>
      <c r="E138" s="1">
        <v>29</v>
      </c>
      <c r="F138" s="1">
        <v>0</v>
      </c>
      <c r="G138" s="1">
        <v>0</v>
      </c>
      <c r="H138" s="1">
        <v>0</v>
      </c>
      <c r="I138" s="1">
        <v>0</v>
      </c>
      <c r="J138" s="5">
        <v>2.0224432048817998E-5</v>
      </c>
      <c r="K138" s="1">
        <v>1.62863916951613E-3</v>
      </c>
      <c r="L138" s="1">
        <v>1.9101785273579801E-2</v>
      </c>
      <c r="M138" s="1">
        <v>5.4467829844984501E-2</v>
      </c>
      <c r="N138" s="1">
        <v>7.4855106731101198E-2</v>
      </c>
      <c r="O138" s="1">
        <v>8.1657479972803898E-2</v>
      </c>
      <c r="P138" s="1">
        <v>7.7345860015830395E-2</v>
      </c>
      <c r="Q138" s="1">
        <v>7.1177694435734101E-2</v>
      </c>
      <c r="R138" s="1">
        <v>7.0913727438191201E-2</v>
      </c>
      <c r="S138" s="1">
        <v>7.1844814498551901E-2</v>
      </c>
      <c r="T138" s="1">
        <v>6.4324283122587506E-2</v>
      </c>
      <c r="U138" s="1">
        <v>5.9838465934853903E-2</v>
      </c>
      <c r="V138" s="1">
        <v>5.51764481528082E-2</v>
      </c>
      <c r="W138" s="1">
        <v>4.6558836736459698E-2</v>
      </c>
      <c r="X138" s="1">
        <v>3.87530645499954E-2</v>
      </c>
      <c r="Y138" s="1">
        <v>3.2896660497896899E-2</v>
      </c>
      <c r="Z138" s="1">
        <v>2.6998472005999401E-2</v>
      </c>
      <c r="AA138" s="1">
        <v>2.2239052596020499E-2</v>
      </c>
      <c r="AB138" s="1">
        <v>1.7723566548064399E-2</v>
      </c>
      <c r="AC138" s="1">
        <v>1.7428881309390801E-2</v>
      </c>
      <c r="AD138" s="1">
        <v>1.49677014866198E-2</v>
      </c>
      <c r="AE138" s="1">
        <v>1.15050306843747E-2</v>
      </c>
      <c r="AF138" s="1">
        <v>1.03173222928286E-2</v>
      </c>
      <c r="AG138" s="1">
        <v>8.8291093684816201E-3</v>
      </c>
      <c r="AH138" s="1">
        <v>7.7129496752213799E-3</v>
      </c>
      <c r="AI138" s="1">
        <v>6.7770927016416399E-3</v>
      </c>
      <c r="AJ138" s="1">
        <v>5.9860502933925903E-3</v>
      </c>
      <c r="AK138" s="1">
        <v>5.1789809767274998E-3</v>
      </c>
      <c r="AL138" s="1">
        <v>4.3075178316050802E-3</v>
      </c>
      <c r="AM138" s="1">
        <v>3.3968459998219899E-3</v>
      </c>
      <c r="AN138" s="1">
        <v>2.8961005100849799E-3</v>
      </c>
      <c r="AO138" s="1">
        <v>2.1302432436325698E-3</v>
      </c>
      <c r="AP138" s="1">
        <v>1.67309476071778E-3</v>
      </c>
      <c r="AQ138" s="1">
        <v>1.3808898769181099E-3</v>
      </c>
      <c r="AR138" s="1">
        <v>1.27308983816734E-3</v>
      </c>
      <c r="AS138" s="1">
        <v>1.1388644801829701E-3</v>
      </c>
      <c r="AT138" s="1">
        <v>5.5782227131628897E-3</v>
      </c>
    </row>
    <row r="139" spans="1:46" ht="15.75" customHeight="1" x14ac:dyDescent="0.25">
      <c r="A139" s="1">
        <v>4</v>
      </c>
      <c r="B139" s="1" t="s">
        <v>87</v>
      </c>
      <c r="C139" s="1">
        <v>2015</v>
      </c>
      <c r="D139" s="1">
        <v>1</v>
      </c>
      <c r="E139" s="1">
        <v>27</v>
      </c>
      <c r="F139" s="1">
        <v>0</v>
      </c>
      <c r="G139" s="1">
        <v>0</v>
      </c>
      <c r="H139" s="1">
        <v>0</v>
      </c>
      <c r="I139" s="1">
        <v>0</v>
      </c>
      <c r="J139" s="5">
        <v>1.9298221181488801E-5</v>
      </c>
      <c r="K139" s="1">
        <v>1.53629756663357E-3</v>
      </c>
      <c r="L139" s="1">
        <v>1.74455919480659E-2</v>
      </c>
      <c r="M139" s="1">
        <v>5.6141410202591502E-2</v>
      </c>
      <c r="N139" s="1">
        <v>7.9449383949052696E-2</v>
      </c>
      <c r="O139" s="1">
        <v>7.5283753484124694E-2</v>
      </c>
      <c r="P139" s="1">
        <v>7.3605305618169803E-2</v>
      </c>
      <c r="Q139" s="1">
        <v>7.3543133513848002E-2</v>
      </c>
      <c r="R139" s="1">
        <v>6.9025360250041301E-2</v>
      </c>
      <c r="S139" s="1">
        <v>5.8792926107707998E-2</v>
      </c>
      <c r="T139" s="1">
        <v>5.2410586566448598E-2</v>
      </c>
      <c r="U139" s="1">
        <v>5.0215264694003801E-2</v>
      </c>
      <c r="V139" s="1">
        <v>4.9999502623165402E-2</v>
      </c>
      <c r="W139" s="1">
        <v>4.1726235832220897E-2</v>
      </c>
      <c r="X139" s="1">
        <v>3.6121694184868998E-2</v>
      </c>
      <c r="Y139" s="1">
        <v>3.2823289968705101E-2</v>
      </c>
      <c r="Z139" s="1">
        <v>3.22300188804246E-2</v>
      </c>
      <c r="AA139" s="1">
        <v>2.94276983190652E-2</v>
      </c>
      <c r="AB139" s="1">
        <v>2.57822245477352E-2</v>
      </c>
      <c r="AC139" s="1">
        <v>2.14535539564338E-2</v>
      </c>
      <c r="AD139" s="1">
        <v>1.92972264278197E-2</v>
      </c>
      <c r="AE139" s="1">
        <v>1.5847420703211299E-2</v>
      </c>
      <c r="AF139" s="1">
        <v>1.39842470808954E-2</v>
      </c>
      <c r="AG139" s="1">
        <v>1.29588549987367E-2</v>
      </c>
      <c r="AH139" s="1">
        <v>1.08424170922554E-2</v>
      </c>
      <c r="AI139" s="1">
        <v>1.00171694483295E-2</v>
      </c>
      <c r="AJ139" s="1">
        <v>7.78494221475936E-3</v>
      </c>
      <c r="AK139" s="1">
        <v>6.1809019232567401E-3</v>
      </c>
      <c r="AL139" s="1">
        <v>5.0942330150784802E-3</v>
      </c>
      <c r="AM139" s="1">
        <v>4.0707309648911599E-3</v>
      </c>
      <c r="AN139" s="1">
        <v>3.0150983711903401E-3</v>
      </c>
      <c r="AO139" s="1">
        <v>2.4709681141658899E-3</v>
      </c>
      <c r="AP139" s="1">
        <v>1.8379068791195201E-3</v>
      </c>
      <c r="AQ139" s="1">
        <v>1.29168763938986E-3</v>
      </c>
      <c r="AR139" s="1">
        <v>1.25965657124326E-3</v>
      </c>
      <c r="AS139" s="1">
        <v>1.0604074113127399E-3</v>
      </c>
      <c r="AT139" s="1">
        <v>5.9536007098562197E-3</v>
      </c>
    </row>
    <row r="140" spans="1:46" ht="15.75" customHeight="1" x14ac:dyDescent="0.25">
      <c r="A140" s="1">
        <v>4</v>
      </c>
      <c r="B140" s="1" t="s">
        <v>87</v>
      </c>
      <c r="C140" s="1">
        <v>2016</v>
      </c>
      <c r="D140" s="1">
        <v>1</v>
      </c>
      <c r="E140" s="1">
        <v>6</v>
      </c>
      <c r="F140" s="1">
        <v>0</v>
      </c>
      <c r="G140" s="1">
        <v>0</v>
      </c>
      <c r="H140" s="1">
        <v>0</v>
      </c>
      <c r="I140" s="1">
        <v>0</v>
      </c>
      <c r="J140" s="5">
        <v>2.2783117254452101E-5</v>
      </c>
      <c r="K140" s="1">
        <v>1.7373266062382399E-3</v>
      </c>
      <c r="L140" s="1">
        <v>1.9307324886112899E-2</v>
      </c>
      <c r="M140" s="1">
        <v>5.1593166431810701E-2</v>
      </c>
      <c r="N140" s="1">
        <v>7.4383916030543007E-2</v>
      </c>
      <c r="O140" s="1">
        <v>8.12311540901961E-2</v>
      </c>
      <c r="P140" s="1">
        <v>8.3774775216069394E-2</v>
      </c>
      <c r="Q140" s="1">
        <v>7.3028206638316898E-2</v>
      </c>
      <c r="R140" s="1">
        <v>6.2904186739542206E-2</v>
      </c>
      <c r="S140" s="1">
        <v>5.9604166120821103E-2</v>
      </c>
      <c r="T140" s="1">
        <v>5.7169676126596701E-2</v>
      </c>
      <c r="U140" s="1">
        <v>4.6854847620816001E-2</v>
      </c>
      <c r="V140" s="1">
        <v>3.91983532362849E-2</v>
      </c>
      <c r="W140" s="1">
        <v>3.6787671599591301E-2</v>
      </c>
      <c r="X140" s="1">
        <v>2.9784369186745201E-2</v>
      </c>
      <c r="Y140" s="1">
        <v>2.8347893643851999E-2</v>
      </c>
      <c r="Z140" s="1">
        <v>2.9436812733028599E-2</v>
      </c>
      <c r="AA140" s="1">
        <v>2.8874183652429899E-2</v>
      </c>
      <c r="AB140" s="1">
        <v>2.6046798801152401E-2</v>
      </c>
      <c r="AC140" s="1">
        <v>2.3296876548539999E-2</v>
      </c>
      <c r="AD140" s="1">
        <v>1.85358885358771E-2</v>
      </c>
      <c r="AE140" s="1">
        <v>1.6864519054090501E-2</v>
      </c>
      <c r="AF140" s="1">
        <v>1.37464216266462E-2</v>
      </c>
      <c r="AG140" s="1">
        <v>1.0746340746579999E-2</v>
      </c>
      <c r="AH140" s="1">
        <v>1.0294551531424201E-2</v>
      </c>
      <c r="AI140" s="1">
        <v>9.4750428037815408E-3</v>
      </c>
      <c r="AJ140" s="1">
        <v>8.6543949202761792E-3</v>
      </c>
      <c r="AK140" s="1">
        <v>8.3249510447767992E-3</v>
      </c>
      <c r="AL140" s="1">
        <v>7.0536531019783702E-3</v>
      </c>
      <c r="AM140" s="1">
        <v>6.4348636373474499E-3</v>
      </c>
      <c r="AN140" s="1">
        <v>5.8756520243369303E-3</v>
      </c>
      <c r="AO140" s="1">
        <v>5.1626543698588502E-3</v>
      </c>
      <c r="AP140" s="1">
        <v>4.0773805794430198E-3</v>
      </c>
      <c r="AQ140" s="1">
        <v>3.6489440594730501E-3</v>
      </c>
      <c r="AR140" s="1">
        <v>2.9162390085698698E-3</v>
      </c>
      <c r="AS140" s="1">
        <v>2.60821126328968E-3</v>
      </c>
      <c r="AT140" s="1">
        <v>1.21958026663082E-2</v>
      </c>
    </row>
    <row r="141" spans="1:46" ht="15.75" customHeight="1" x14ac:dyDescent="0.25">
      <c r="A141" s="1">
        <v>4</v>
      </c>
      <c r="B141" s="1" t="s">
        <v>87</v>
      </c>
      <c r="C141" s="1">
        <v>2017</v>
      </c>
      <c r="D141" s="1">
        <v>1</v>
      </c>
      <c r="E141" s="1">
        <v>17</v>
      </c>
      <c r="F141" s="1">
        <v>0</v>
      </c>
      <c r="G141" s="1">
        <v>0</v>
      </c>
      <c r="H141" s="1">
        <v>0</v>
      </c>
      <c r="I141" s="1">
        <v>0</v>
      </c>
      <c r="J141" s="5">
        <v>2.2870828013823799E-5</v>
      </c>
      <c r="K141" s="1">
        <v>1.75965350228807E-3</v>
      </c>
      <c r="L141" s="1">
        <v>1.82797426658447E-2</v>
      </c>
      <c r="M141" s="1">
        <v>5.6797134238574701E-2</v>
      </c>
      <c r="N141" s="1">
        <v>6.9760692958083695E-2</v>
      </c>
      <c r="O141" s="1">
        <v>7.5439309515699701E-2</v>
      </c>
      <c r="P141" s="1">
        <v>6.7464275124859002E-2</v>
      </c>
      <c r="Q141" s="1">
        <v>7.1222558944600001E-2</v>
      </c>
      <c r="R141" s="1">
        <v>7.1051261110292294E-2</v>
      </c>
      <c r="S141" s="1">
        <v>6.9168501875582905E-2</v>
      </c>
      <c r="T141" s="1">
        <v>6.5264941622794906E-2</v>
      </c>
      <c r="U141" s="1">
        <v>5.6276706213362199E-2</v>
      </c>
      <c r="V141" s="1">
        <v>5.0071943923530197E-2</v>
      </c>
      <c r="W141" s="1">
        <v>4.44388356461458E-2</v>
      </c>
      <c r="X141" s="1">
        <v>3.9951952591107301E-2</v>
      </c>
      <c r="Y141" s="1">
        <v>3.2900269537375702E-2</v>
      </c>
      <c r="Z141" s="1">
        <v>2.6561782916401599E-2</v>
      </c>
      <c r="AA141" s="1">
        <v>2.2237796167012599E-2</v>
      </c>
      <c r="AB141" s="1">
        <v>1.9232499353257299E-2</v>
      </c>
      <c r="AC141" s="1">
        <v>1.6468396424729501E-2</v>
      </c>
      <c r="AD141" s="1">
        <v>1.40011475087892E-2</v>
      </c>
      <c r="AE141" s="1">
        <v>1.3222605853135E-2</v>
      </c>
      <c r="AF141" s="1">
        <v>1.24202598662827E-2</v>
      </c>
      <c r="AG141" s="1">
        <v>1.10410089115715E-2</v>
      </c>
      <c r="AH141" s="1">
        <v>1.02624672559172E-2</v>
      </c>
      <c r="AI141" s="1">
        <v>1.0046828020358301E-2</v>
      </c>
      <c r="AJ141" s="1">
        <v>8.06546751181377E-3</v>
      </c>
      <c r="AK141" s="1">
        <v>7.2624213975732797E-3</v>
      </c>
      <c r="AL141" s="1">
        <v>5.6453605066775197E-3</v>
      </c>
      <c r="AM141" s="1">
        <v>4.7984397427778599E-3</v>
      </c>
      <c r="AN141" s="1">
        <v>3.9148789788968803E-3</v>
      </c>
      <c r="AO141" s="1">
        <v>3.2891984696615498E-3</v>
      </c>
      <c r="AP141" s="1">
        <v>2.80401018965401E-3</v>
      </c>
      <c r="AQ141" s="1">
        <v>2.3755322280888998E-3</v>
      </c>
      <c r="AR141" s="1">
        <v>2.3377253491272702E-3</v>
      </c>
      <c r="AS141" s="1">
        <v>2.2037676421891601E-3</v>
      </c>
      <c r="AT141" s="1">
        <v>1.1937755407929801E-2</v>
      </c>
    </row>
    <row r="142" spans="1:46" ht="15.75" customHeight="1" x14ac:dyDescent="0.25">
      <c r="A142" s="1">
        <v>4</v>
      </c>
      <c r="B142" s="1" t="s">
        <v>87</v>
      </c>
      <c r="C142" s="1">
        <v>2018</v>
      </c>
      <c r="D142" s="1">
        <v>1</v>
      </c>
      <c r="E142" s="1">
        <v>11</v>
      </c>
      <c r="F142" s="1">
        <v>0</v>
      </c>
      <c r="G142" s="1">
        <v>0</v>
      </c>
      <c r="H142" s="1">
        <v>0</v>
      </c>
      <c r="I142" s="1">
        <v>0</v>
      </c>
      <c r="J142" s="5">
        <v>1.22726843183322E-5</v>
      </c>
      <c r="K142" s="1">
        <v>1.2981772745613599E-3</v>
      </c>
      <c r="L142" s="1">
        <v>1.39514511699209E-2</v>
      </c>
      <c r="M142" s="1">
        <v>4.2524578436702702E-2</v>
      </c>
      <c r="N142" s="1">
        <v>5.19022728874994E-2</v>
      </c>
      <c r="O142" s="1">
        <v>6.0424970330785602E-2</v>
      </c>
      <c r="P142" s="1">
        <v>6.6380767667313101E-2</v>
      </c>
      <c r="Q142" s="1">
        <v>6.5896542089375398E-2</v>
      </c>
      <c r="R142" s="1">
        <v>5.6841755599309901E-2</v>
      </c>
      <c r="S142" s="1">
        <v>5.0201824293614999E-2</v>
      </c>
      <c r="T142" s="1">
        <v>5.2271135232844899E-2</v>
      </c>
      <c r="U142" s="1">
        <v>5.5390987949723997E-2</v>
      </c>
      <c r="V142" s="1">
        <v>4.57015673172416E-2</v>
      </c>
      <c r="W142" s="1">
        <v>4.6751018189618097E-2</v>
      </c>
      <c r="X142" s="1">
        <v>3.9528270741961503E-2</v>
      </c>
      <c r="Y142" s="1">
        <v>3.5374785279160603E-2</v>
      </c>
      <c r="Z142" s="1">
        <v>3.2375886684396601E-2</v>
      </c>
      <c r="AA142" s="1">
        <v>3.2318886883895899E-2</v>
      </c>
      <c r="AB142" s="1">
        <v>2.9866804557093101E-2</v>
      </c>
      <c r="AC142" s="1">
        <v>3.0192848870483499E-2</v>
      </c>
      <c r="AD142" s="1">
        <v>2.8202628563527302E-2</v>
      </c>
      <c r="AE142" s="1">
        <v>2.4839913060304301E-2</v>
      </c>
      <c r="AF142" s="1">
        <v>2.08092908038458E-2</v>
      </c>
      <c r="AG142" s="1">
        <v>1.9345159564668798E-2</v>
      </c>
      <c r="AH142" s="1">
        <v>1.52488102655277E-2</v>
      </c>
      <c r="AI142" s="1">
        <v>1.26763192692462E-2</v>
      </c>
      <c r="AJ142" s="1">
        <v>9.9594196874856402E-3</v>
      </c>
      <c r="AK142" s="1">
        <v>8.3752888683071396E-3</v>
      </c>
      <c r="AL142" s="1">
        <v>8.1190624923721897E-3</v>
      </c>
      <c r="AM142" s="1">
        <v>6.9992482299039201E-3</v>
      </c>
      <c r="AN142" s="1">
        <v>5.7190708923427896E-3</v>
      </c>
      <c r="AO142" s="1">
        <v>5.3802084419977301E-3</v>
      </c>
      <c r="AP142" s="1">
        <v>3.9299862450481397E-3</v>
      </c>
      <c r="AQ142" s="1">
        <v>3.7431687170913098E-3</v>
      </c>
      <c r="AR142" s="1">
        <v>2.9924895262866602E-3</v>
      </c>
      <c r="AS142" s="1">
        <v>2.22953765116367E-3</v>
      </c>
      <c r="AT142" s="1">
        <v>1.22235935810588E-2</v>
      </c>
    </row>
    <row r="143" spans="1:46" ht="15.75" customHeight="1" x14ac:dyDescent="0.25">
      <c r="A143" s="1">
        <v>4</v>
      </c>
      <c r="B143" s="1" t="s">
        <v>87</v>
      </c>
      <c r="C143" s="1">
        <v>2019</v>
      </c>
      <c r="D143" s="1">
        <v>1</v>
      </c>
      <c r="E143" s="1">
        <v>25</v>
      </c>
      <c r="F143" s="1">
        <v>0</v>
      </c>
      <c r="G143" s="1">
        <v>0</v>
      </c>
      <c r="H143" s="1">
        <v>0</v>
      </c>
      <c r="I143" s="1">
        <v>0</v>
      </c>
      <c r="J143" s="5">
        <v>1.73118767048141E-5</v>
      </c>
      <c r="K143" s="1">
        <v>1.13052737695545E-3</v>
      </c>
      <c r="L143" s="1">
        <v>1.14538931396588E-2</v>
      </c>
      <c r="M143" s="1">
        <v>3.3474986734001601E-2</v>
      </c>
      <c r="N143" s="1">
        <v>4.80589290100219E-2</v>
      </c>
      <c r="O143" s="1">
        <v>5.3485584075670202E-2</v>
      </c>
      <c r="P143" s="1">
        <v>5.7654732240139797E-2</v>
      </c>
      <c r="Q143" s="1">
        <v>5.5479000307131203E-2</v>
      </c>
      <c r="R143" s="1">
        <v>5.0793741818399303E-2</v>
      </c>
      <c r="S143" s="1">
        <v>4.6502483095029697E-2</v>
      </c>
      <c r="T143" s="1">
        <v>4.7612529903561997E-2</v>
      </c>
      <c r="U143" s="1">
        <v>4.6132982726611302E-2</v>
      </c>
      <c r="V143" s="1">
        <v>4.6471028033338399E-2</v>
      </c>
      <c r="W143" s="1">
        <v>4.35168026447601E-2</v>
      </c>
      <c r="X143" s="1">
        <v>4.2640775312398203E-2</v>
      </c>
      <c r="Y143" s="1">
        <v>4.0604233959502897E-2</v>
      </c>
      <c r="Z143" s="1">
        <v>3.9244478786536398E-2</v>
      </c>
      <c r="AA143" s="1">
        <v>3.6573194382852503E-2</v>
      </c>
      <c r="AB143" s="1">
        <v>3.4196521023805798E-2</v>
      </c>
      <c r="AC143" s="1">
        <v>2.9503147592868598E-2</v>
      </c>
      <c r="AD143" s="1">
        <v>2.6207785491008901E-2</v>
      </c>
      <c r="AE143" s="1">
        <v>2.27345902271055E-2</v>
      </c>
      <c r="AF143" s="1">
        <v>2.0401737555968E-2</v>
      </c>
      <c r="AG143" s="1">
        <v>1.88255839241913E-2</v>
      </c>
      <c r="AH143" s="1">
        <v>1.7941364364460099E-2</v>
      </c>
      <c r="AI143" s="1">
        <v>1.7103052192062301E-2</v>
      </c>
      <c r="AJ143" s="1">
        <v>1.43119757843942E-2</v>
      </c>
      <c r="AK143" s="1">
        <v>1.29423281104535E-2</v>
      </c>
      <c r="AL143" s="1">
        <v>1.14980229682233E-2</v>
      </c>
      <c r="AM143" s="1">
        <v>1.0177837799153501E-2</v>
      </c>
      <c r="AN143" s="1">
        <v>8.6741776510782E-3</v>
      </c>
      <c r="AO143" s="1">
        <v>8.0493271012638101E-3</v>
      </c>
      <c r="AP143" s="1">
        <v>6.7054153868887599E-3</v>
      </c>
      <c r="AQ143" s="1">
        <v>5.9206618330464303E-3</v>
      </c>
      <c r="AR143" s="1">
        <v>5.1549204295138398E-3</v>
      </c>
      <c r="AS143" s="1">
        <v>4.2648271973292698E-3</v>
      </c>
      <c r="AT143" s="1">
        <v>2.4539507943910101E-2</v>
      </c>
    </row>
    <row r="144" spans="1:46" ht="15.75" customHeight="1" x14ac:dyDescent="0.25">
      <c r="A144" s="1">
        <v>4</v>
      </c>
      <c r="B144" s="1" t="s">
        <v>87</v>
      </c>
      <c r="C144" s="1">
        <v>2020</v>
      </c>
      <c r="D144" s="1">
        <v>1</v>
      </c>
      <c r="E144" s="1">
        <v>24</v>
      </c>
      <c r="F144" s="1">
        <v>0</v>
      </c>
      <c r="G144" s="1">
        <v>0</v>
      </c>
      <c r="H144" s="1">
        <v>0</v>
      </c>
      <c r="I144" s="1">
        <v>0</v>
      </c>
      <c r="J144" s="5">
        <v>2.6616829118663199E-5</v>
      </c>
      <c r="K144" s="1">
        <v>1.83988831282759E-3</v>
      </c>
      <c r="L144" s="1">
        <v>1.8408494761013201E-2</v>
      </c>
      <c r="M144" s="1">
        <v>4.1397302199529702E-2</v>
      </c>
      <c r="N144" s="1">
        <v>4.9693619964544203E-2</v>
      </c>
      <c r="O144" s="1">
        <v>5.5632130283463699E-2</v>
      </c>
      <c r="P144" s="1">
        <v>6.2804626374578995E-2</v>
      </c>
      <c r="Q144" s="1">
        <v>5.6847632146549303E-2</v>
      </c>
      <c r="R144" s="1">
        <v>6.2008894087385601E-2</v>
      </c>
      <c r="S144" s="1">
        <v>5.1264012882545298E-2</v>
      </c>
      <c r="T144" s="1">
        <v>5.3611469339538503E-2</v>
      </c>
      <c r="U144" s="1">
        <v>4.6502927573944398E-2</v>
      </c>
      <c r="V144" s="1">
        <v>4.2937936023863497E-2</v>
      </c>
      <c r="W144" s="1">
        <v>3.4928673367330201E-2</v>
      </c>
      <c r="X144" s="1">
        <v>3.6340289506074798E-2</v>
      </c>
      <c r="Y144" s="1">
        <v>3.5708139814506601E-2</v>
      </c>
      <c r="Z144" s="1">
        <v>2.9146906597665001E-2</v>
      </c>
      <c r="AA144" s="1">
        <v>2.7747674678024199E-2</v>
      </c>
      <c r="AB144" s="1">
        <v>2.7780760875331399E-2</v>
      </c>
      <c r="AC144" s="1">
        <v>2.9433961706146101E-2</v>
      </c>
      <c r="AD144" s="1">
        <v>2.4583968794725301E-2</v>
      </c>
      <c r="AE144" s="1">
        <v>2.1973486311094199E-2</v>
      </c>
      <c r="AF144" s="1">
        <v>1.7713684617561402E-2</v>
      </c>
      <c r="AG144" s="1">
        <v>1.64137112898423E-2</v>
      </c>
      <c r="AH144" s="1">
        <v>1.42418519693958E-2</v>
      </c>
      <c r="AI144" s="1">
        <v>1.45424003315274E-2</v>
      </c>
      <c r="AJ144" s="1">
        <v>1.2848719739761301E-2</v>
      </c>
      <c r="AK144" s="1">
        <v>1.17742501031864E-2</v>
      </c>
      <c r="AL144" s="1">
        <v>1.0350619423520099E-2</v>
      </c>
      <c r="AM144" s="1">
        <v>1.0154320308770001E-2</v>
      </c>
      <c r="AN144" s="1">
        <v>1.0004600644977499E-2</v>
      </c>
      <c r="AO144" s="1">
        <v>8.5839273907688807E-3</v>
      </c>
      <c r="AP144" s="1">
        <v>7.3329364221917104E-3</v>
      </c>
      <c r="AQ144" s="1">
        <v>7.3440267676578201E-3</v>
      </c>
      <c r="AR144" s="1">
        <v>7.02684288732708E-3</v>
      </c>
      <c r="AS144" s="1">
        <v>5.4534925438683201E-3</v>
      </c>
      <c r="AT144" s="1">
        <v>3.5595203129843399E-2</v>
      </c>
    </row>
    <row r="145" spans="1:46" ht="15.75" customHeight="1" x14ac:dyDescent="0.25">
      <c r="A145" s="1">
        <v>4</v>
      </c>
      <c r="B145" s="1" t="s">
        <v>87</v>
      </c>
      <c r="C145" s="1">
        <v>2021</v>
      </c>
      <c r="D145" s="1">
        <v>1</v>
      </c>
      <c r="E145" s="1">
        <v>29</v>
      </c>
      <c r="F145" s="1">
        <v>0</v>
      </c>
      <c r="G145" s="1">
        <v>0</v>
      </c>
      <c r="H145" s="1">
        <v>0</v>
      </c>
      <c r="I145" s="1">
        <v>0</v>
      </c>
      <c r="J145" s="5">
        <v>2.1800759111808899E-5</v>
      </c>
      <c r="K145" s="1">
        <v>1.7077261304250301E-3</v>
      </c>
      <c r="L145" s="1">
        <v>1.9263197634547299E-2</v>
      </c>
      <c r="M145" s="1">
        <v>4.71634809623699E-2</v>
      </c>
      <c r="N145" s="1">
        <v>5.8483466526985502E-2</v>
      </c>
      <c r="O145" s="1">
        <v>5.38865537723342E-2</v>
      </c>
      <c r="P145" s="1">
        <v>5.6433843545328502E-2</v>
      </c>
      <c r="Q145" s="1">
        <v>4.9605869233186398E-2</v>
      </c>
      <c r="R145" s="1">
        <v>4.2474442419213797E-2</v>
      </c>
      <c r="S145" s="1">
        <v>4.58079660208211E-2</v>
      </c>
      <c r="T145" s="1">
        <v>4.7713891525751902E-2</v>
      </c>
      <c r="U145" s="1">
        <v>4.1099002052670398E-2</v>
      </c>
      <c r="V145" s="1">
        <v>4.0747494114088102E-2</v>
      </c>
      <c r="W145" s="1">
        <v>4.1202614262642601E-2</v>
      </c>
      <c r="X145" s="1">
        <v>3.7709218427548701E-2</v>
      </c>
      <c r="Y145" s="1">
        <v>3.7611701053457201E-2</v>
      </c>
      <c r="Z145" s="1">
        <v>3.8384807543250202E-2</v>
      </c>
      <c r="AA145" s="1">
        <v>3.6768972784565201E-2</v>
      </c>
      <c r="AB145" s="1">
        <v>3.1807776377658498E-2</v>
      </c>
      <c r="AC145" s="1">
        <v>2.7768775522857801E-2</v>
      </c>
      <c r="AD145" s="1">
        <v>2.3212534076872099E-2</v>
      </c>
      <c r="AE145" s="1">
        <v>2.3104116323224601E-2</v>
      </c>
      <c r="AF145" s="1">
        <v>2.13638062625142E-2</v>
      </c>
      <c r="AG145" s="1">
        <v>2.0153746923426499E-2</v>
      </c>
      <c r="AH145" s="1">
        <v>2.01365172912252E-2</v>
      </c>
      <c r="AI145" s="1">
        <v>1.8289782019366801E-2</v>
      </c>
      <c r="AJ145" s="1">
        <v>1.6420894363249599E-2</v>
      </c>
      <c r="AK145" s="1">
        <v>1.4541809577870501E-2</v>
      </c>
      <c r="AL145" s="1">
        <v>1.29836413432878E-2</v>
      </c>
      <c r="AM145" s="1">
        <v>1.07236293153636E-2</v>
      </c>
      <c r="AN145" s="1">
        <v>8.7533564085382608E-3</v>
      </c>
      <c r="AO145" s="1">
        <v>8.7994193027906304E-3</v>
      </c>
      <c r="AP145" s="1">
        <v>7.8501486143683595E-3</v>
      </c>
      <c r="AQ145" s="1">
        <v>6.5156139732551596E-3</v>
      </c>
      <c r="AR145" s="1">
        <v>5.0897740023134602E-3</v>
      </c>
      <c r="AS145" s="1">
        <v>4.01286338554303E-3</v>
      </c>
      <c r="AT145" s="1">
        <v>2.23857461479758E-2</v>
      </c>
    </row>
    <row r="146" spans="1:46" ht="15.75" customHeight="1" x14ac:dyDescent="0.25">
      <c r="A146" s="1">
        <v>4</v>
      </c>
      <c r="B146" s="1" t="s">
        <v>87</v>
      </c>
      <c r="C146" s="1">
        <v>2022</v>
      </c>
      <c r="D146" s="1">
        <v>1</v>
      </c>
      <c r="E146" s="1">
        <v>11</v>
      </c>
      <c r="F146" s="1">
        <v>0</v>
      </c>
      <c r="G146" s="1">
        <v>0</v>
      </c>
      <c r="H146" s="1">
        <v>0</v>
      </c>
      <c r="I146" s="1">
        <v>0</v>
      </c>
      <c r="J146" s="5">
        <v>1.15524399908505E-5</v>
      </c>
      <c r="K146" s="1">
        <v>1.575752814752E-3</v>
      </c>
      <c r="L146" s="1">
        <v>1.6998773644314801E-2</v>
      </c>
      <c r="M146" s="1">
        <v>5.1749154939014698E-2</v>
      </c>
      <c r="N146" s="1">
        <v>6.2355450094614497E-2</v>
      </c>
      <c r="O146" s="1">
        <v>6.6105372115644503E-2</v>
      </c>
      <c r="P146" s="1">
        <v>6.1420857699354701E-2</v>
      </c>
      <c r="Q146" s="1">
        <v>5.7242981956885798E-2</v>
      </c>
      <c r="R146" s="1">
        <v>5.5090762386590303E-2</v>
      </c>
      <c r="S146" s="1">
        <v>4.8518707636239902E-2</v>
      </c>
      <c r="T146" s="1">
        <v>4.3244633699083601E-2</v>
      </c>
      <c r="U146" s="1">
        <v>4.4426833391480597E-2</v>
      </c>
      <c r="V146" s="1">
        <v>3.8897065449193503E-2</v>
      </c>
      <c r="W146" s="1">
        <v>3.69214698503137E-2</v>
      </c>
      <c r="X146" s="1">
        <v>3.4873093879491598E-2</v>
      </c>
      <c r="Y146" s="1">
        <v>3.6751777342892603E-2</v>
      </c>
      <c r="Z146" s="1">
        <v>3.26367982181517E-2</v>
      </c>
      <c r="AA146" s="1">
        <v>3.3906668094034802E-2</v>
      </c>
      <c r="AB146" s="1">
        <v>3.3543151315656002E-2</v>
      </c>
      <c r="AC146" s="1">
        <v>2.7861404607267101E-2</v>
      </c>
      <c r="AD146" s="1">
        <v>2.73149741956999E-2</v>
      </c>
      <c r="AE146" s="1">
        <v>2.4352030058935398E-2</v>
      </c>
      <c r="AF146" s="1">
        <v>2.2159505309116301E-2</v>
      </c>
      <c r="AG146" s="1">
        <v>2.1066516125537501E-2</v>
      </c>
      <c r="AH146" s="1">
        <v>1.9731567504372601E-2</v>
      </c>
      <c r="AI146" s="1">
        <v>1.62196257471541E-2</v>
      </c>
      <c r="AJ146" s="1">
        <v>1.49673412521459E-2</v>
      </c>
      <c r="AK146" s="1">
        <v>1.3111634308282299E-2</v>
      </c>
      <c r="AL146" s="1">
        <v>1.03891092837718E-2</v>
      </c>
      <c r="AM146" s="1">
        <v>8.0428087216300893E-3</v>
      </c>
      <c r="AN146" s="1">
        <v>6.6472739707353597E-3</v>
      </c>
      <c r="AO146" s="1">
        <v>5.8778814673447199E-3</v>
      </c>
      <c r="AP146" s="1">
        <v>4.2831313068299797E-3</v>
      </c>
      <c r="AQ146" s="1">
        <v>3.4792098439111298E-3</v>
      </c>
      <c r="AR146" s="1">
        <v>2.5507787499797802E-3</v>
      </c>
      <c r="AS146" s="1">
        <v>1.70359981731742E-3</v>
      </c>
      <c r="AT146" s="1">
        <v>1.3970750762268501E-2</v>
      </c>
    </row>
    <row r="147" spans="1:46" ht="15.75" customHeight="1" x14ac:dyDescent="0.25">
      <c r="A147" s="1">
        <v>4</v>
      </c>
      <c r="B147" s="1" t="s">
        <v>87</v>
      </c>
      <c r="C147" s="1">
        <v>2023</v>
      </c>
      <c r="D147" s="1">
        <v>1</v>
      </c>
      <c r="E147" s="1">
        <v>9</v>
      </c>
      <c r="F147" s="1">
        <v>0</v>
      </c>
      <c r="G147" s="1">
        <v>0</v>
      </c>
      <c r="H147" s="1">
        <v>0</v>
      </c>
      <c r="I147" s="1">
        <v>0</v>
      </c>
      <c r="J147" s="5">
        <v>1.0032444740504799E-5</v>
      </c>
      <c r="K147" s="1">
        <v>1.3794611518194099E-3</v>
      </c>
      <c r="L147" s="1">
        <v>1.52892599985156E-2</v>
      </c>
      <c r="M147" s="1">
        <v>3.9452588942035099E-2</v>
      </c>
      <c r="N147" s="1">
        <v>5.0383309058842397E-2</v>
      </c>
      <c r="O147" s="1">
        <v>5.0332403691085097E-2</v>
      </c>
      <c r="P147" s="1">
        <v>5.4602881002293303E-2</v>
      </c>
      <c r="Q147" s="1">
        <v>5.4481748521352298E-2</v>
      </c>
      <c r="R147" s="1">
        <v>4.6884122383564E-2</v>
      </c>
      <c r="S147" s="1">
        <v>4.7915513438691999E-2</v>
      </c>
      <c r="T147" s="1">
        <v>4.3390323502683202E-2</v>
      </c>
      <c r="U147" s="1">
        <v>4.1833901172802099E-2</v>
      </c>
      <c r="V147" s="1">
        <v>3.5109097727437602E-2</v>
      </c>
      <c r="W147" s="1">
        <v>3.30639652884843E-2</v>
      </c>
      <c r="X147" s="1">
        <v>2.7977144233021001E-2</v>
      </c>
      <c r="Y147" s="1">
        <v>2.8879042436591E-2</v>
      </c>
      <c r="Z147" s="1">
        <v>2.9369053047759199E-2</v>
      </c>
      <c r="AA147" s="1">
        <v>2.8279603863345801E-2</v>
      </c>
      <c r="AB147" s="1">
        <v>2.55353586547904E-2</v>
      </c>
      <c r="AC147" s="1">
        <v>2.2679734731013899E-2</v>
      </c>
      <c r="AD147" s="1">
        <v>2.2853073081808201E-2</v>
      </c>
      <c r="AE147" s="1">
        <v>2.16384041241523E-2</v>
      </c>
      <c r="AF147" s="1">
        <v>2.1943464758669099E-2</v>
      </c>
      <c r="AG147" s="1">
        <v>2.1158611743738301E-2</v>
      </c>
      <c r="AH147" s="1">
        <v>2.1102690153610701E-2</v>
      </c>
      <c r="AI147" s="1">
        <v>2.0881047439251E-2</v>
      </c>
      <c r="AJ147" s="1">
        <v>1.8074006558060501E-2</v>
      </c>
      <c r="AK147" s="1">
        <v>1.6530496356132501E-2</v>
      </c>
      <c r="AL147" s="1">
        <v>1.6099844376345599E-2</v>
      </c>
      <c r="AM147" s="1">
        <v>1.4754382065035701E-2</v>
      </c>
      <c r="AN147" s="1">
        <v>1.39618189305358E-2</v>
      </c>
      <c r="AO147" s="1">
        <v>1.2652027533858801E-2</v>
      </c>
      <c r="AP147" s="1">
        <v>1.1439773794381099E-2</v>
      </c>
      <c r="AQ147" s="1">
        <v>1.06003925844256E-2</v>
      </c>
      <c r="AR147" s="1">
        <v>9.4656116126662602E-3</v>
      </c>
      <c r="AS147" s="1">
        <v>8.8880028960323897E-3</v>
      </c>
      <c r="AT147" s="1">
        <v>6.1107806700428299E-2</v>
      </c>
    </row>
    <row r="148" spans="1:46" ht="15.75" customHeight="1" x14ac:dyDescent="0.25">
      <c r="A148" s="1">
        <v>4</v>
      </c>
      <c r="B148" s="1" t="s">
        <v>87</v>
      </c>
      <c r="C148" s="1">
        <v>2024</v>
      </c>
      <c r="D148" s="1">
        <v>1</v>
      </c>
      <c r="E148" s="1">
        <v>11</v>
      </c>
      <c r="F148" s="1">
        <v>0</v>
      </c>
      <c r="G148" s="1">
        <v>0</v>
      </c>
      <c r="H148" s="1">
        <v>0</v>
      </c>
      <c r="I148" s="1">
        <v>0</v>
      </c>
      <c r="J148" s="5">
        <v>2.61124022243322E-5</v>
      </c>
      <c r="K148" s="1">
        <v>1.8048114601222E-3</v>
      </c>
      <c r="L148" s="1">
        <v>1.8318544639151599E-2</v>
      </c>
      <c r="M148" s="1">
        <v>5.1898121629347302E-2</v>
      </c>
      <c r="N148" s="1">
        <v>6.5348231106982499E-2</v>
      </c>
      <c r="O148" s="1">
        <v>6.4113864518856797E-2</v>
      </c>
      <c r="P148" s="1">
        <v>5.8997361536209297E-2</v>
      </c>
      <c r="Q148" s="1">
        <v>5.1573938933647298E-2</v>
      </c>
      <c r="R148" s="1">
        <v>4.2047495681730898E-2</v>
      </c>
      <c r="S148" s="1">
        <v>4.55112780576373E-2</v>
      </c>
      <c r="T148" s="1">
        <v>4.9304521167991097E-2</v>
      </c>
      <c r="U148" s="1">
        <v>4.08999389414254E-2</v>
      </c>
      <c r="V148" s="1">
        <v>3.7145169955625598E-2</v>
      </c>
      <c r="W148" s="1">
        <v>2.9004767457946501E-2</v>
      </c>
      <c r="X148" s="1">
        <v>2.9675356170388401E-2</v>
      </c>
      <c r="Y148" s="1">
        <v>3.0488174137499002E-2</v>
      </c>
      <c r="Z148" s="1">
        <v>2.9851059302376599E-2</v>
      </c>
      <c r="AA148" s="1">
        <v>2.8704613728123201E-2</v>
      </c>
      <c r="AB148" s="1">
        <v>2.6024759001972899E-2</v>
      </c>
      <c r="AC148" s="1">
        <v>2.72902382395574E-2</v>
      </c>
      <c r="AD148" s="1">
        <v>2.50727674868369E-2</v>
      </c>
      <c r="AE148" s="1">
        <v>2.3054473248955099E-2</v>
      </c>
      <c r="AF148" s="1">
        <v>1.8995105869123501E-2</v>
      </c>
      <c r="AG148" s="1">
        <v>1.8676756795197098E-2</v>
      </c>
      <c r="AH148" s="1">
        <v>1.6388310310898699E-2</v>
      </c>
      <c r="AI148" s="1">
        <v>1.7139180770604799E-2</v>
      </c>
      <c r="AJ148" s="1">
        <v>1.7248769522493101E-2</v>
      </c>
      <c r="AK148" s="1">
        <v>1.5131998193244E-2</v>
      </c>
      <c r="AL148" s="1">
        <v>1.25221469283759E-2</v>
      </c>
      <c r="AM148" s="1">
        <v>1.22639397170193E-2</v>
      </c>
      <c r="AN148" s="1">
        <v>1.163307519094E-2</v>
      </c>
      <c r="AO148" s="1">
        <v>9.9543810777310698E-3</v>
      </c>
      <c r="AP148" s="1">
        <v>9.8913224042744292E-3</v>
      </c>
      <c r="AQ148" s="1">
        <v>8.1045673924988494E-3</v>
      </c>
      <c r="AR148" s="1">
        <v>6.9425654935160704E-3</v>
      </c>
      <c r="AS148" s="1">
        <v>6.0953013787904001E-3</v>
      </c>
      <c r="AT148" s="1">
        <v>4.2856980150685203E-2</v>
      </c>
    </row>
    <row r="149" spans="1:46" ht="15.75" customHeight="1" x14ac:dyDescent="0.25"/>
    <row r="150" spans="1:46" ht="15.75" customHeight="1" x14ac:dyDescent="0.25"/>
    <row r="151" spans="1:46" ht="15.75" customHeight="1" x14ac:dyDescent="0.25"/>
    <row r="152" spans="1:46" ht="15.75" customHeight="1" x14ac:dyDescent="0.25"/>
    <row r="153" spans="1:46" ht="15.75" customHeight="1" x14ac:dyDescent="0.25"/>
    <row r="154" spans="1:46" ht="15.75" customHeight="1" x14ac:dyDescent="0.25"/>
    <row r="155" spans="1:46" ht="15.75" customHeight="1" x14ac:dyDescent="0.25"/>
    <row r="156" spans="1:46" ht="15.75" customHeight="1" x14ac:dyDescent="0.25"/>
    <row r="157" spans="1:46" ht="15.75" customHeight="1" x14ac:dyDescent="0.25"/>
    <row r="158" spans="1:46" ht="15.75" customHeight="1" x14ac:dyDescent="0.25"/>
    <row r="159" spans="1:46" ht="15.75" customHeight="1" x14ac:dyDescent="0.25"/>
    <row r="160" spans="1:46"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activeCell="G33" sqref="G33"/>
    </sheetView>
  </sheetViews>
  <sheetFormatPr defaultColWidth="14.42578125" defaultRowHeight="15" customHeight="1" x14ac:dyDescent="0.25"/>
  <cols>
    <col min="1" max="1" width="12.42578125" customWidth="1"/>
    <col min="2" max="7" width="11.42578125" customWidth="1"/>
    <col min="8" max="8" width="14.7109375" customWidth="1"/>
    <col min="9" max="26" width="11.42578125" customWidth="1"/>
  </cols>
  <sheetData>
    <row r="1" spans="1:21" ht="19.5" customHeight="1" x14ac:dyDescent="0.25">
      <c r="A1" s="9" t="s">
        <v>123</v>
      </c>
      <c r="B1" s="10"/>
      <c r="C1" s="10"/>
      <c r="D1" s="10"/>
      <c r="E1" s="10"/>
      <c r="F1" s="10"/>
      <c r="G1" s="10"/>
      <c r="H1" s="10"/>
      <c r="I1" s="10"/>
      <c r="J1" s="10"/>
      <c r="K1" s="10"/>
      <c r="L1" s="10"/>
      <c r="M1" s="10"/>
      <c r="N1" s="10"/>
      <c r="O1" s="10"/>
      <c r="P1" s="10"/>
      <c r="Q1" s="10"/>
      <c r="R1" s="10"/>
      <c r="S1" s="10"/>
      <c r="T1" s="10"/>
      <c r="U1" s="11"/>
    </row>
    <row r="2" spans="1:21" x14ac:dyDescent="0.25">
      <c r="A2" s="1" t="s">
        <v>124</v>
      </c>
      <c r="B2" s="1" t="s">
        <v>74</v>
      </c>
      <c r="C2" s="1" t="s">
        <v>125</v>
      </c>
      <c r="D2" s="1" t="s">
        <v>126</v>
      </c>
      <c r="E2" s="1" t="s">
        <v>127</v>
      </c>
      <c r="F2" s="1" t="s">
        <v>128</v>
      </c>
      <c r="G2" s="1" t="s">
        <v>129</v>
      </c>
      <c r="H2" s="1" t="s">
        <v>130</v>
      </c>
    </row>
    <row r="3" spans="1:21" x14ac:dyDescent="0.25">
      <c r="A3" s="1">
        <v>1</v>
      </c>
      <c r="B3" s="1">
        <v>0</v>
      </c>
      <c r="C3" s="1">
        <v>5</v>
      </c>
      <c r="D3" s="1">
        <v>0</v>
      </c>
      <c r="E3" s="1">
        <v>3</v>
      </c>
      <c r="F3" s="1">
        <v>2</v>
      </c>
      <c r="G3" s="1">
        <v>0.5</v>
      </c>
      <c r="H3"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O34" sqref="O34"/>
    </sheetView>
  </sheetViews>
  <sheetFormatPr defaultColWidth="14.42578125" defaultRowHeight="15" customHeight="1" x14ac:dyDescent="0.25"/>
  <cols>
    <col min="1" max="26" width="11.42578125" customWidth="1"/>
  </cols>
  <sheetData>
    <row r="1" spans="1:20" x14ac:dyDescent="0.25">
      <c r="A1" s="9" t="s">
        <v>265</v>
      </c>
      <c r="B1" s="10"/>
      <c r="C1" s="10"/>
      <c r="D1" s="10"/>
      <c r="E1" s="10"/>
      <c r="F1" s="10"/>
      <c r="G1" s="10"/>
      <c r="H1" s="10"/>
      <c r="I1" s="10"/>
      <c r="J1" s="10"/>
      <c r="K1" s="10"/>
      <c r="L1" s="10"/>
      <c r="M1" s="10"/>
      <c r="N1" s="10"/>
      <c r="O1" s="10"/>
      <c r="P1" s="10"/>
      <c r="Q1" s="10"/>
      <c r="R1" s="10"/>
      <c r="S1" s="10"/>
      <c r="T1" s="11"/>
    </row>
    <row r="2" spans="1:20" x14ac:dyDescent="0.25">
      <c r="A2" s="1" t="s">
        <v>106</v>
      </c>
      <c r="B2" s="1" t="s">
        <v>132</v>
      </c>
      <c r="C2" s="1" t="s">
        <v>42</v>
      </c>
      <c r="D2" s="1" t="s">
        <v>266</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activeCell="I30" sqref="I30"/>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32" width="8" customWidth="1"/>
    <col min="33" max="38" width="11.42578125" customWidth="1"/>
  </cols>
  <sheetData>
    <row r="1" spans="1:38" ht="34.5" customHeight="1" x14ac:dyDescent="0.25">
      <c r="A1" s="9" t="s">
        <v>99</v>
      </c>
      <c r="B1" s="10"/>
      <c r="C1" s="10"/>
      <c r="D1" s="10"/>
      <c r="E1" s="10"/>
      <c r="F1" s="10"/>
      <c r="G1" s="10"/>
      <c r="H1" s="10"/>
      <c r="I1" s="10"/>
      <c r="J1" s="10"/>
      <c r="K1" s="10"/>
      <c r="L1" s="10"/>
      <c r="M1" s="10"/>
      <c r="N1" s="10"/>
      <c r="O1" s="10"/>
      <c r="P1" s="10"/>
      <c r="Q1" s="10"/>
      <c r="R1" s="10"/>
      <c r="S1" s="10"/>
      <c r="T1" s="10"/>
      <c r="U1" s="10"/>
      <c r="V1" s="10"/>
      <c r="W1" s="11"/>
    </row>
    <row r="2" spans="1:38" x14ac:dyDescent="0.25">
      <c r="A2" s="1" t="s">
        <v>100</v>
      </c>
      <c r="B2" s="1" t="s">
        <v>47</v>
      </c>
      <c r="C2" s="1" t="s">
        <v>48</v>
      </c>
      <c r="D2" s="1" t="s">
        <v>101</v>
      </c>
      <c r="E2" s="1" t="s">
        <v>102</v>
      </c>
      <c r="F2" s="1" t="s">
        <v>103</v>
      </c>
      <c r="G2" s="1" t="s">
        <v>104</v>
      </c>
      <c r="H2" s="1" t="s">
        <v>105</v>
      </c>
      <c r="I2" s="1" t="s">
        <v>79</v>
      </c>
      <c r="J2" s="1" t="s">
        <v>80</v>
      </c>
      <c r="K2" s="1" t="s">
        <v>81</v>
      </c>
      <c r="L2" s="1" t="s">
        <v>44</v>
      </c>
      <c r="M2" s="1" t="s">
        <v>83</v>
      </c>
      <c r="N2" s="1" t="s">
        <v>106</v>
      </c>
      <c r="O2" s="1" t="s">
        <v>107</v>
      </c>
      <c r="P2" s="1" t="s">
        <v>108</v>
      </c>
      <c r="Q2" s="1" t="s">
        <v>109</v>
      </c>
      <c r="R2" s="1" t="s">
        <v>110</v>
      </c>
      <c r="AG2" s="1"/>
      <c r="AH2" s="1"/>
      <c r="AI2" s="1"/>
      <c r="AJ2" s="1"/>
      <c r="AK2" s="1"/>
      <c r="AL2" s="1"/>
    </row>
    <row r="3" spans="1:38" x14ac:dyDescent="0.25">
      <c r="A3" s="1">
        <v>0</v>
      </c>
      <c r="B3" s="1" t="s">
        <v>111</v>
      </c>
      <c r="C3" s="1" t="s">
        <v>112</v>
      </c>
      <c r="D3" s="1">
        <v>50</v>
      </c>
      <c r="E3" s="1">
        <v>80</v>
      </c>
      <c r="F3" s="1">
        <v>65</v>
      </c>
      <c r="G3" s="1">
        <v>5</v>
      </c>
      <c r="H3" s="1">
        <v>0</v>
      </c>
      <c r="I3" s="1">
        <v>0</v>
      </c>
      <c r="J3" s="1">
        <v>65</v>
      </c>
      <c r="K3" s="1">
        <f t="shared" ref="K3:K5" si="0">J3*0.05</f>
        <v>3.25</v>
      </c>
      <c r="L3" s="1" t="s">
        <v>113</v>
      </c>
      <c r="M3" s="1" t="s">
        <v>114</v>
      </c>
      <c r="N3" s="1">
        <v>1970</v>
      </c>
      <c r="O3" s="1">
        <v>1</v>
      </c>
      <c r="P3" s="1">
        <v>1</v>
      </c>
      <c r="Q3" s="1">
        <v>1</v>
      </c>
      <c r="R3" s="1">
        <v>0</v>
      </c>
      <c r="AG3" s="1"/>
      <c r="AH3" s="1"/>
      <c r="AI3" s="1"/>
      <c r="AJ3" s="1"/>
      <c r="AK3" s="1"/>
      <c r="AL3" s="1"/>
    </row>
    <row r="4" spans="1:38" x14ac:dyDescent="0.25">
      <c r="A4" s="1">
        <v>0</v>
      </c>
      <c r="B4" s="1" t="s">
        <v>111</v>
      </c>
      <c r="C4" s="1" t="s">
        <v>115</v>
      </c>
      <c r="D4" s="1">
        <v>0.01</v>
      </c>
      <c r="E4" s="1">
        <v>2</v>
      </c>
      <c r="F4" s="1">
        <v>1.5</v>
      </c>
      <c r="G4" s="1">
        <v>5</v>
      </c>
      <c r="H4" s="1">
        <v>0</v>
      </c>
      <c r="I4" s="1">
        <v>0</v>
      </c>
      <c r="J4" s="1">
        <v>1.5</v>
      </c>
      <c r="K4" s="1">
        <f t="shared" si="0"/>
        <v>7.5000000000000011E-2</v>
      </c>
      <c r="L4" s="1" t="s">
        <v>113</v>
      </c>
      <c r="M4" s="1" t="s">
        <v>114</v>
      </c>
      <c r="N4" s="1">
        <v>1971</v>
      </c>
      <c r="O4" s="1">
        <v>1</v>
      </c>
      <c r="P4" s="1">
        <v>1</v>
      </c>
      <c r="Q4" s="1">
        <v>1</v>
      </c>
      <c r="R4" s="1">
        <v>0</v>
      </c>
      <c r="AG4" s="1"/>
      <c r="AH4" s="1"/>
      <c r="AI4" s="1"/>
      <c r="AJ4" s="1"/>
      <c r="AK4" s="1"/>
      <c r="AL4" s="1"/>
    </row>
    <row r="5" spans="1:38" x14ac:dyDescent="0.25">
      <c r="A5" s="1">
        <v>0</v>
      </c>
      <c r="B5" s="1" t="s">
        <v>111</v>
      </c>
      <c r="C5" s="1" t="s">
        <v>116</v>
      </c>
      <c r="D5" s="1">
        <v>75</v>
      </c>
      <c r="E5" s="1">
        <v>150</v>
      </c>
      <c r="F5" s="1">
        <v>149</v>
      </c>
      <c r="G5" s="1">
        <v>5</v>
      </c>
      <c r="H5" s="1">
        <v>0</v>
      </c>
      <c r="I5" s="1">
        <v>0</v>
      </c>
      <c r="J5" s="1">
        <v>120</v>
      </c>
      <c r="K5" s="1">
        <f t="shared" si="0"/>
        <v>6</v>
      </c>
      <c r="L5" s="1" t="s">
        <v>113</v>
      </c>
      <c r="M5" s="1" t="s">
        <v>114</v>
      </c>
      <c r="N5" s="1">
        <v>1972</v>
      </c>
      <c r="O5" s="1">
        <v>1</v>
      </c>
      <c r="P5" s="1">
        <v>1</v>
      </c>
      <c r="Q5" s="1">
        <v>1</v>
      </c>
      <c r="R5" s="1">
        <v>0</v>
      </c>
      <c r="AG5" s="1"/>
      <c r="AH5" s="1"/>
      <c r="AI5" s="1"/>
      <c r="AJ5" s="1"/>
      <c r="AK5" s="1"/>
      <c r="AL5" s="1"/>
    </row>
    <row r="6" spans="1:38" x14ac:dyDescent="0.25">
      <c r="A6" s="1">
        <v>0</v>
      </c>
      <c r="B6" s="1" t="s">
        <v>111</v>
      </c>
      <c r="C6" s="1" t="s">
        <v>117</v>
      </c>
      <c r="D6" s="1">
        <v>-10</v>
      </c>
      <c r="E6" s="1">
        <v>0</v>
      </c>
      <c r="F6" s="1">
        <v>-5</v>
      </c>
      <c r="G6" s="1">
        <v>5</v>
      </c>
      <c r="H6" s="1">
        <v>0</v>
      </c>
      <c r="I6" s="1">
        <v>0</v>
      </c>
      <c r="J6" s="1">
        <v>-0.1</v>
      </c>
      <c r="K6" s="1">
        <v>1E-3</v>
      </c>
      <c r="L6" s="1" t="s">
        <v>113</v>
      </c>
      <c r="M6" s="1" t="s">
        <v>114</v>
      </c>
      <c r="N6" s="1">
        <v>1973</v>
      </c>
      <c r="O6" s="1">
        <v>1</v>
      </c>
      <c r="P6" s="1">
        <v>1</v>
      </c>
      <c r="Q6" s="1">
        <v>1</v>
      </c>
      <c r="R6" s="1">
        <v>0</v>
      </c>
      <c r="AG6" s="1"/>
      <c r="AH6" s="1"/>
      <c r="AI6" s="1"/>
      <c r="AJ6" s="1"/>
      <c r="AK6" s="1"/>
      <c r="AL6" s="1"/>
    </row>
    <row r="7" spans="1:38" x14ac:dyDescent="0.25">
      <c r="A7" s="1">
        <v>0</v>
      </c>
      <c r="B7" s="1" t="s">
        <v>87</v>
      </c>
      <c r="C7" s="1" t="s">
        <v>112</v>
      </c>
      <c r="D7" s="1">
        <v>50</v>
      </c>
      <c r="E7" s="1">
        <v>80</v>
      </c>
      <c r="F7" s="1">
        <v>65</v>
      </c>
      <c r="G7" s="1">
        <v>5</v>
      </c>
      <c r="H7" s="1">
        <v>0</v>
      </c>
      <c r="I7" s="1">
        <v>0</v>
      </c>
      <c r="J7" s="1">
        <v>65</v>
      </c>
      <c r="K7" s="1">
        <f t="shared" ref="K7:K9" si="1">J7*0.05</f>
        <v>3.25</v>
      </c>
      <c r="L7" s="1" t="s">
        <v>113</v>
      </c>
      <c r="M7" s="1" t="s">
        <v>118</v>
      </c>
      <c r="N7" s="1">
        <v>1974</v>
      </c>
      <c r="O7" s="1">
        <v>1</v>
      </c>
      <c r="P7" s="1">
        <v>1</v>
      </c>
      <c r="Q7" s="1">
        <v>1</v>
      </c>
      <c r="R7" s="1">
        <v>0</v>
      </c>
      <c r="AG7" s="1"/>
      <c r="AH7" s="1"/>
      <c r="AI7" s="1"/>
      <c r="AJ7" s="1"/>
      <c r="AK7" s="1"/>
      <c r="AL7" s="1"/>
    </row>
    <row r="8" spans="1:38" x14ac:dyDescent="0.25">
      <c r="A8" s="1">
        <v>0</v>
      </c>
      <c r="B8" s="1" t="s">
        <v>87</v>
      </c>
      <c r="C8" s="1" t="s">
        <v>115</v>
      </c>
      <c r="D8" s="1">
        <v>0.01</v>
      </c>
      <c r="E8" s="1">
        <v>2</v>
      </c>
      <c r="F8" s="1">
        <v>1.5</v>
      </c>
      <c r="G8" s="1">
        <v>5</v>
      </c>
      <c r="H8" s="1">
        <v>0</v>
      </c>
      <c r="I8" s="1">
        <v>0</v>
      </c>
      <c r="J8" s="1">
        <v>1.5</v>
      </c>
      <c r="K8" s="1">
        <f t="shared" si="1"/>
        <v>7.5000000000000011E-2</v>
      </c>
      <c r="L8" s="1" t="s">
        <v>113</v>
      </c>
      <c r="M8" s="1" t="s">
        <v>118</v>
      </c>
      <c r="N8" s="1">
        <v>1975</v>
      </c>
      <c r="O8" s="1">
        <v>1</v>
      </c>
      <c r="P8" s="1">
        <v>1</v>
      </c>
      <c r="Q8" s="1">
        <v>1</v>
      </c>
      <c r="R8" s="1">
        <v>0</v>
      </c>
      <c r="AG8" s="1"/>
      <c r="AH8" s="1"/>
      <c r="AI8" s="1"/>
      <c r="AJ8" s="1"/>
      <c r="AK8" s="1"/>
      <c r="AL8" s="1"/>
    </row>
    <row r="9" spans="1:38" x14ac:dyDescent="0.25">
      <c r="A9" s="1">
        <v>0</v>
      </c>
      <c r="B9" s="1" t="s">
        <v>87</v>
      </c>
      <c r="C9" s="1" t="s">
        <v>116</v>
      </c>
      <c r="D9" s="1">
        <v>75</v>
      </c>
      <c r="E9" s="1">
        <v>150</v>
      </c>
      <c r="F9" s="1">
        <v>120</v>
      </c>
      <c r="G9" s="1">
        <v>5</v>
      </c>
      <c r="H9" s="1">
        <v>0</v>
      </c>
      <c r="I9" s="1">
        <v>0</v>
      </c>
      <c r="J9" s="1">
        <v>120</v>
      </c>
      <c r="K9" s="1">
        <f t="shared" si="1"/>
        <v>6</v>
      </c>
      <c r="L9" s="1" t="s">
        <v>113</v>
      </c>
      <c r="M9" s="1" t="s">
        <v>118</v>
      </c>
      <c r="N9" s="1">
        <v>1976</v>
      </c>
      <c r="O9" s="1">
        <v>1</v>
      </c>
      <c r="P9" s="1">
        <v>1</v>
      </c>
      <c r="Q9" s="1">
        <v>1</v>
      </c>
      <c r="R9" s="1">
        <v>0</v>
      </c>
      <c r="AG9" s="1"/>
      <c r="AH9" s="1"/>
      <c r="AI9" s="1"/>
      <c r="AJ9" s="1"/>
      <c r="AK9" s="1"/>
      <c r="AL9" s="1"/>
    </row>
    <row r="10" spans="1:38" x14ac:dyDescent="0.25">
      <c r="A10" s="1">
        <v>0</v>
      </c>
      <c r="B10" s="1" t="s">
        <v>87</v>
      </c>
      <c r="C10" s="1" t="s">
        <v>117</v>
      </c>
      <c r="D10" s="1">
        <v>-10</v>
      </c>
      <c r="E10" s="1">
        <v>0</v>
      </c>
      <c r="F10" s="1">
        <v>-5</v>
      </c>
      <c r="G10" s="1">
        <v>5</v>
      </c>
      <c r="H10" s="1">
        <v>0</v>
      </c>
      <c r="I10" s="1">
        <v>0</v>
      </c>
      <c r="J10" s="1">
        <v>-0.1</v>
      </c>
      <c r="K10" s="1">
        <v>1E-3</v>
      </c>
      <c r="L10" s="1" t="s">
        <v>113</v>
      </c>
      <c r="M10" s="1" t="s">
        <v>118</v>
      </c>
      <c r="N10" s="1">
        <v>1977</v>
      </c>
      <c r="O10" s="1">
        <v>1</v>
      </c>
      <c r="P10" s="1">
        <v>1</v>
      </c>
      <c r="Q10" s="1">
        <v>1</v>
      </c>
      <c r="R10" s="1">
        <v>0</v>
      </c>
      <c r="AG10" s="1"/>
      <c r="AH10" s="1"/>
      <c r="AI10" s="1"/>
      <c r="AJ10" s="1"/>
      <c r="AK10" s="1"/>
      <c r="AL10" s="1"/>
    </row>
    <row r="11" spans="1:38" x14ac:dyDescent="0.25">
      <c r="A11" s="1">
        <v>1</v>
      </c>
      <c r="B11" s="1" t="s">
        <v>111</v>
      </c>
      <c r="C11" s="1" t="s">
        <v>112</v>
      </c>
      <c r="D11" s="1">
        <v>50</v>
      </c>
      <c r="E11" s="1">
        <v>80</v>
      </c>
      <c r="F11" s="1">
        <v>75</v>
      </c>
      <c r="G11" s="1">
        <v>5</v>
      </c>
      <c r="H11" s="1">
        <v>0</v>
      </c>
      <c r="I11" s="1">
        <v>0</v>
      </c>
      <c r="J11" s="1">
        <v>65</v>
      </c>
      <c r="K11" s="1">
        <f t="shared" ref="K11:K13" si="2">J11*0.05</f>
        <v>3.25</v>
      </c>
      <c r="L11" s="1" t="s">
        <v>113</v>
      </c>
      <c r="M11" s="1" t="s">
        <v>119</v>
      </c>
      <c r="N11" s="1">
        <v>1978</v>
      </c>
      <c r="O11" s="1">
        <v>1</v>
      </c>
      <c r="P11" s="1">
        <v>1</v>
      </c>
      <c r="Q11" s="1">
        <v>1</v>
      </c>
      <c r="R11" s="1">
        <v>0</v>
      </c>
      <c r="AG11" s="1"/>
      <c r="AH11" s="1"/>
      <c r="AI11" s="1"/>
      <c r="AJ11" s="1"/>
      <c r="AK11" s="1"/>
      <c r="AL11" s="1"/>
    </row>
    <row r="12" spans="1:38" x14ac:dyDescent="0.25">
      <c r="A12" s="1">
        <v>1</v>
      </c>
      <c r="B12" s="1" t="s">
        <v>111</v>
      </c>
      <c r="C12" s="1" t="s">
        <v>115</v>
      </c>
      <c r="D12" s="1">
        <v>0.01</v>
      </c>
      <c r="E12" s="1">
        <v>2</v>
      </c>
      <c r="F12" s="1">
        <v>1.5</v>
      </c>
      <c r="G12" s="1">
        <v>5</v>
      </c>
      <c r="H12" s="1">
        <v>0</v>
      </c>
      <c r="I12" s="1">
        <v>0</v>
      </c>
      <c r="J12" s="1">
        <v>1.5</v>
      </c>
      <c r="K12" s="1">
        <f t="shared" si="2"/>
        <v>7.5000000000000011E-2</v>
      </c>
      <c r="L12" s="1" t="s">
        <v>113</v>
      </c>
      <c r="M12" s="1" t="s">
        <v>119</v>
      </c>
      <c r="N12" s="1">
        <v>1979</v>
      </c>
      <c r="O12" s="1">
        <v>1</v>
      </c>
      <c r="P12" s="1">
        <v>1</v>
      </c>
      <c r="Q12" s="1">
        <v>1</v>
      </c>
      <c r="R12" s="1">
        <v>0</v>
      </c>
      <c r="AG12" s="1"/>
      <c r="AH12" s="1"/>
      <c r="AI12" s="1"/>
      <c r="AJ12" s="1"/>
      <c r="AK12" s="1"/>
      <c r="AL12" s="1"/>
    </row>
    <row r="13" spans="1:38" x14ac:dyDescent="0.25">
      <c r="A13" s="1">
        <v>1</v>
      </c>
      <c r="B13" s="1" t="s">
        <v>111</v>
      </c>
      <c r="C13" s="1" t="s">
        <v>116</v>
      </c>
      <c r="D13" s="1">
        <v>75</v>
      </c>
      <c r="E13" s="1">
        <v>150</v>
      </c>
      <c r="F13" s="1">
        <v>149</v>
      </c>
      <c r="G13" s="1">
        <v>5</v>
      </c>
      <c r="H13" s="1">
        <v>0</v>
      </c>
      <c r="I13" s="1">
        <v>0</v>
      </c>
      <c r="J13" s="1">
        <v>120</v>
      </c>
      <c r="K13" s="1">
        <f t="shared" si="2"/>
        <v>6</v>
      </c>
      <c r="L13" s="1" t="s">
        <v>113</v>
      </c>
      <c r="M13" s="1" t="s">
        <v>119</v>
      </c>
      <c r="N13" s="1">
        <v>1980</v>
      </c>
      <c r="O13" s="1">
        <v>1</v>
      </c>
      <c r="P13" s="1">
        <v>1</v>
      </c>
      <c r="Q13" s="1">
        <v>1</v>
      </c>
      <c r="R13" s="1">
        <v>0</v>
      </c>
      <c r="AG13" s="1"/>
      <c r="AH13" s="1"/>
      <c r="AI13" s="1"/>
      <c r="AJ13" s="1"/>
      <c r="AK13" s="1"/>
      <c r="AL13" s="1"/>
    </row>
    <row r="14" spans="1:38" x14ac:dyDescent="0.25">
      <c r="A14" s="1">
        <v>1</v>
      </c>
      <c r="B14" s="1" t="s">
        <v>111</v>
      </c>
      <c r="C14" s="1" t="s">
        <v>117</v>
      </c>
      <c r="D14" s="1">
        <v>-10</v>
      </c>
      <c r="E14" s="1">
        <v>0</v>
      </c>
      <c r="F14" s="1">
        <v>-5</v>
      </c>
      <c r="G14" s="1">
        <v>5</v>
      </c>
      <c r="H14" s="1">
        <v>0</v>
      </c>
      <c r="I14" s="1">
        <v>0</v>
      </c>
      <c r="J14" s="1">
        <v>-0.1</v>
      </c>
      <c r="K14" s="1">
        <v>1E-3</v>
      </c>
      <c r="L14" s="1" t="s">
        <v>113</v>
      </c>
      <c r="M14" s="1" t="s">
        <v>119</v>
      </c>
      <c r="N14" s="1">
        <v>1981</v>
      </c>
      <c r="O14" s="1">
        <v>1</v>
      </c>
      <c r="P14" s="1">
        <v>1</v>
      </c>
      <c r="Q14" s="1">
        <v>1</v>
      </c>
      <c r="R14" s="1">
        <v>0</v>
      </c>
      <c r="AG14" s="1"/>
      <c r="AH14" s="1"/>
      <c r="AI14" s="1"/>
      <c r="AJ14" s="1"/>
      <c r="AK14" s="1"/>
      <c r="AL14" s="1"/>
    </row>
    <row r="15" spans="1:38" x14ac:dyDescent="0.25">
      <c r="A15" s="1">
        <v>1</v>
      </c>
      <c r="B15" s="1" t="s">
        <v>87</v>
      </c>
      <c r="C15" s="1" t="s">
        <v>112</v>
      </c>
      <c r="D15" s="1">
        <v>50</v>
      </c>
      <c r="E15" s="1">
        <v>80</v>
      </c>
      <c r="F15" s="1">
        <v>75</v>
      </c>
      <c r="G15" s="1">
        <v>5</v>
      </c>
      <c r="H15" s="1">
        <v>0</v>
      </c>
      <c r="I15" s="1">
        <v>0</v>
      </c>
      <c r="J15" s="1">
        <v>65</v>
      </c>
      <c r="K15" s="1">
        <f t="shared" ref="K15:K17" si="3">J15*0.05</f>
        <v>3.25</v>
      </c>
      <c r="L15" s="1" t="s">
        <v>113</v>
      </c>
      <c r="M15" s="1" t="s">
        <v>120</v>
      </c>
      <c r="N15" s="1">
        <v>1982</v>
      </c>
      <c r="O15" s="1">
        <v>1</v>
      </c>
      <c r="P15" s="1">
        <v>1</v>
      </c>
      <c r="Q15" s="1">
        <v>1</v>
      </c>
      <c r="R15" s="1">
        <v>0</v>
      </c>
      <c r="AG15" s="1"/>
      <c r="AH15" s="1"/>
      <c r="AI15" s="1"/>
      <c r="AJ15" s="1"/>
      <c r="AK15" s="1"/>
      <c r="AL15" s="1"/>
    </row>
    <row r="16" spans="1:38" x14ac:dyDescent="0.25">
      <c r="A16" s="1">
        <v>1</v>
      </c>
      <c r="B16" s="1" t="s">
        <v>87</v>
      </c>
      <c r="C16" s="1" t="s">
        <v>115</v>
      </c>
      <c r="D16" s="1">
        <v>0.01</v>
      </c>
      <c r="E16" s="1">
        <v>2</v>
      </c>
      <c r="F16" s="1">
        <v>1.5</v>
      </c>
      <c r="G16" s="1">
        <v>5</v>
      </c>
      <c r="H16" s="1">
        <v>0</v>
      </c>
      <c r="I16" s="1">
        <v>0</v>
      </c>
      <c r="J16" s="1">
        <v>1.5</v>
      </c>
      <c r="K16" s="1">
        <f t="shared" si="3"/>
        <v>7.5000000000000011E-2</v>
      </c>
      <c r="L16" s="1" t="s">
        <v>113</v>
      </c>
      <c r="M16" s="1" t="s">
        <v>120</v>
      </c>
      <c r="N16" s="1">
        <v>1983</v>
      </c>
      <c r="O16" s="1">
        <v>1</v>
      </c>
      <c r="P16" s="1">
        <v>1</v>
      </c>
      <c r="Q16" s="1">
        <v>1</v>
      </c>
      <c r="R16" s="1">
        <v>0</v>
      </c>
      <c r="AG16" s="1"/>
      <c r="AH16" s="1"/>
      <c r="AI16" s="1"/>
      <c r="AJ16" s="1"/>
      <c r="AK16" s="1"/>
      <c r="AL16" s="1"/>
    </row>
    <row r="17" spans="1:38" x14ac:dyDescent="0.25">
      <c r="A17" s="1">
        <v>1</v>
      </c>
      <c r="B17" s="1" t="s">
        <v>87</v>
      </c>
      <c r="C17" s="1" t="s">
        <v>116</v>
      </c>
      <c r="D17" s="1">
        <v>75</v>
      </c>
      <c r="E17" s="1">
        <v>150</v>
      </c>
      <c r="F17" s="1">
        <v>120</v>
      </c>
      <c r="G17" s="1">
        <v>5</v>
      </c>
      <c r="H17" s="1">
        <v>0</v>
      </c>
      <c r="I17" s="1">
        <v>0</v>
      </c>
      <c r="J17" s="1">
        <v>120</v>
      </c>
      <c r="K17" s="1">
        <f t="shared" si="3"/>
        <v>6</v>
      </c>
      <c r="L17" s="1" t="s">
        <v>113</v>
      </c>
      <c r="M17" s="1" t="s">
        <v>120</v>
      </c>
      <c r="N17" s="1">
        <v>1984</v>
      </c>
      <c r="O17" s="1">
        <v>1</v>
      </c>
      <c r="P17" s="1">
        <v>1</v>
      </c>
      <c r="Q17" s="1">
        <v>1</v>
      </c>
      <c r="R17" s="1">
        <v>0</v>
      </c>
      <c r="AG17" s="1"/>
      <c r="AH17" s="1"/>
      <c r="AI17" s="1"/>
      <c r="AJ17" s="1"/>
      <c r="AK17" s="1"/>
      <c r="AL17" s="1"/>
    </row>
    <row r="18" spans="1:38" x14ac:dyDescent="0.25">
      <c r="A18" s="1">
        <v>1</v>
      </c>
      <c r="B18" s="1" t="s">
        <v>87</v>
      </c>
      <c r="C18" s="1" t="s">
        <v>117</v>
      </c>
      <c r="D18" s="1">
        <v>-10</v>
      </c>
      <c r="E18" s="1">
        <v>0</v>
      </c>
      <c r="F18" s="1">
        <v>-5</v>
      </c>
      <c r="G18" s="1">
        <v>5</v>
      </c>
      <c r="H18" s="1">
        <v>0</v>
      </c>
      <c r="I18" s="1">
        <v>0</v>
      </c>
      <c r="J18" s="1">
        <v>-0.1</v>
      </c>
      <c r="K18" s="1">
        <v>1E-3</v>
      </c>
      <c r="L18" s="1" t="s">
        <v>113</v>
      </c>
      <c r="M18" s="1" t="s">
        <v>120</v>
      </c>
      <c r="N18" s="1">
        <v>1985</v>
      </c>
      <c r="O18" s="1">
        <v>1</v>
      </c>
      <c r="P18" s="1">
        <v>1</v>
      </c>
      <c r="Q18" s="1">
        <v>1</v>
      </c>
      <c r="R18" s="1">
        <v>0</v>
      </c>
      <c r="AG18" s="1"/>
      <c r="AH18" s="1"/>
      <c r="AI18" s="1"/>
      <c r="AJ18" s="1"/>
      <c r="AK18" s="1"/>
      <c r="AL18" s="1"/>
    </row>
    <row r="19" spans="1:38" x14ac:dyDescent="0.25">
      <c r="A19" s="1">
        <v>2</v>
      </c>
      <c r="B19" s="1" t="s">
        <v>111</v>
      </c>
      <c r="C19" s="1" t="s">
        <v>112</v>
      </c>
      <c r="D19" s="1">
        <v>50</v>
      </c>
      <c r="E19" s="1">
        <v>80</v>
      </c>
      <c r="F19" s="1">
        <v>78</v>
      </c>
      <c r="G19" s="1">
        <v>5</v>
      </c>
      <c r="H19" s="1">
        <v>0</v>
      </c>
      <c r="I19" s="1">
        <v>0</v>
      </c>
      <c r="J19" s="1">
        <v>65</v>
      </c>
      <c r="K19" s="1">
        <f t="shared" ref="K19:K21" si="4">J19*0.05</f>
        <v>3.25</v>
      </c>
      <c r="L19" s="1" t="s">
        <v>113</v>
      </c>
      <c r="M19" s="1" t="s">
        <v>121</v>
      </c>
      <c r="N19" s="1">
        <v>1986</v>
      </c>
      <c r="O19" s="1">
        <v>1</v>
      </c>
      <c r="P19" s="1">
        <v>1</v>
      </c>
      <c r="Q19" s="1">
        <v>1</v>
      </c>
      <c r="R19" s="1">
        <v>0</v>
      </c>
      <c r="AG19" s="1"/>
      <c r="AH19" s="1"/>
      <c r="AI19" s="1"/>
      <c r="AJ19" s="1"/>
      <c r="AK19" s="1"/>
      <c r="AL19" s="1"/>
    </row>
    <row r="20" spans="1:38" x14ac:dyDescent="0.25">
      <c r="A20" s="1">
        <v>2</v>
      </c>
      <c r="B20" s="1" t="s">
        <v>111</v>
      </c>
      <c r="C20" s="1" t="s">
        <v>115</v>
      </c>
      <c r="D20" s="1">
        <v>0.01</v>
      </c>
      <c r="E20" s="1">
        <v>2</v>
      </c>
      <c r="F20" s="1">
        <v>1.5</v>
      </c>
      <c r="G20" s="1">
        <v>5</v>
      </c>
      <c r="H20" s="1">
        <v>0</v>
      </c>
      <c r="I20" s="1">
        <v>0</v>
      </c>
      <c r="J20" s="1">
        <v>1.5</v>
      </c>
      <c r="K20" s="1">
        <f t="shared" si="4"/>
        <v>7.5000000000000011E-2</v>
      </c>
      <c r="L20" s="1" t="s">
        <v>113</v>
      </c>
      <c r="M20" s="1" t="s">
        <v>121</v>
      </c>
      <c r="N20" s="1">
        <v>1987</v>
      </c>
      <c r="O20" s="1">
        <v>1</v>
      </c>
      <c r="P20" s="1">
        <v>1</v>
      </c>
      <c r="Q20" s="1">
        <v>1</v>
      </c>
      <c r="R20" s="1">
        <v>0</v>
      </c>
      <c r="AG20" s="1"/>
      <c r="AH20" s="1"/>
      <c r="AI20" s="1"/>
      <c r="AJ20" s="1"/>
      <c r="AK20" s="1"/>
      <c r="AL20" s="1"/>
    </row>
    <row r="21" spans="1:38" ht="15.75" customHeight="1" x14ac:dyDescent="0.25">
      <c r="A21" s="1">
        <v>2</v>
      </c>
      <c r="B21" s="1" t="s">
        <v>111</v>
      </c>
      <c r="C21" s="1" t="s">
        <v>116</v>
      </c>
      <c r="D21" s="1">
        <v>75</v>
      </c>
      <c r="E21" s="1">
        <v>150</v>
      </c>
      <c r="F21" s="1">
        <v>149</v>
      </c>
      <c r="G21" s="1">
        <v>5</v>
      </c>
      <c r="H21" s="1">
        <v>0</v>
      </c>
      <c r="I21" s="1">
        <v>0</v>
      </c>
      <c r="J21" s="1">
        <v>120</v>
      </c>
      <c r="K21" s="1">
        <f t="shared" si="4"/>
        <v>6</v>
      </c>
      <c r="L21" s="1" t="s">
        <v>113</v>
      </c>
      <c r="M21" s="1" t="s">
        <v>121</v>
      </c>
      <c r="N21" s="1">
        <v>1988</v>
      </c>
      <c r="O21" s="1">
        <v>1</v>
      </c>
      <c r="P21" s="1">
        <v>1</v>
      </c>
      <c r="Q21" s="1">
        <v>1</v>
      </c>
      <c r="R21" s="1">
        <v>0</v>
      </c>
      <c r="AG21" s="1"/>
      <c r="AH21" s="1"/>
      <c r="AI21" s="1"/>
      <c r="AJ21" s="1"/>
      <c r="AK21" s="1"/>
      <c r="AL21" s="1"/>
    </row>
    <row r="22" spans="1:38" ht="15.75" customHeight="1" x14ac:dyDescent="0.25">
      <c r="A22" s="1">
        <v>2</v>
      </c>
      <c r="B22" s="1" t="s">
        <v>111</v>
      </c>
      <c r="C22" s="1" t="s">
        <v>117</v>
      </c>
      <c r="D22" s="1">
        <v>-10</v>
      </c>
      <c r="E22" s="1">
        <v>0</v>
      </c>
      <c r="F22" s="1">
        <v>-5</v>
      </c>
      <c r="G22" s="1">
        <v>5</v>
      </c>
      <c r="H22" s="1">
        <v>0</v>
      </c>
      <c r="I22" s="1">
        <v>0</v>
      </c>
      <c r="J22" s="1">
        <v>-0.1</v>
      </c>
      <c r="K22" s="1">
        <v>1E-3</v>
      </c>
      <c r="L22" s="1" t="s">
        <v>113</v>
      </c>
      <c r="M22" s="1" t="s">
        <v>121</v>
      </c>
      <c r="N22" s="1">
        <v>1989</v>
      </c>
      <c r="O22" s="1">
        <v>1</v>
      </c>
      <c r="P22" s="1">
        <v>1</v>
      </c>
      <c r="Q22" s="1">
        <v>1</v>
      </c>
      <c r="R22" s="1">
        <v>0</v>
      </c>
      <c r="AG22" s="1"/>
      <c r="AH22" s="1"/>
      <c r="AI22" s="1"/>
      <c r="AJ22" s="1"/>
      <c r="AK22" s="1"/>
      <c r="AL22" s="1"/>
    </row>
    <row r="23" spans="1:38" ht="15.75" customHeight="1" x14ac:dyDescent="0.25">
      <c r="A23" s="1">
        <v>2</v>
      </c>
      <c r="B23" s="1" t="s">
        <v>87</v>
      </c>
      <c r="C23" s="1" t="s">
        <v>112</v>
      </c>
      <c r="D23" s="1">
        <v>50</v>
      </c>
      <c r="E23" s="1">
        <v>80</v>
      </c>
      <c r="F23" s="1">
        <v>78</v>
      </c>
      <c r="G23" s="1">
        <v>5</v>
      </c>
      <c r="H23" s="1">
        <v>0</v>
      </c>
      <c r="I23" s="1">
        <v>0</v>
      </c>
      <c r="J23" s="1">
        <v>65</v>
      </c>
      <c r="K23" s="1">
        <f t="shared" ref="K23:K25" si="5">J23*0.05</f>
        <v>3.25</v>
      </c>
      <c r="L23" s="1" t="s">
        <v>113</v>
      </c>
      <c r="M23" s="1" t="s">
        <v>122</v>
      </c>
      <c r="N23" s="1">
        <v>1990</v>
      </c>
      <c r="O23" s="1">
        <v>2</v>
      </c>
      <c r="P23" s="1">
        <v>2</v>
      </c>
      <c r="Q23" s="1">
        <v>2</v>
      </c>
      <c r="R23" s="1">
        <v>0</v>
      </c>
      <c r="AG23" s="1"/>
      <c r="AH23" s="1"/>
      <c r="AI23" s="1"/>
      <c r="AJ23" s="1"/>
      <c r="AK23" s="1"/>
      <c r="AL23" s="1"/>
    </row>
    <row r="24" spans="1:38" ht="15.75" customHeight="1" x14ac:dyDescent="0.25">
      <c r="A24" s="1">
        <v>2</v>
      </c>
      <c r="B24" s="1" t="s">
        <v>87</v>
      </c>
      <c r="C24" s="1" t="s">
        <v>115</v>
      </c>
      <c r="D24" s="1">
        <v>0.01</v>
      </c>
      <c r="E24" s="1">
        <v>2</v>
      </c>
      <c r="F24" s="1">
        <v>1.5</v>
      </c>
      <c r="G24" s="1">
        <v>5</v>
      </c>
      <c r="H24" s="1">
        <v>0</v>
      </c>
      <c r="I24" s="1">
        <v>0</v>
      </c>
      <c r="J24" s="1">
        <v>1.5</v>
      </c>
      <c r="K24" s="1">
        <f t="shared" si="5"/>
        <v>7.5000000000000011E-2</v>
      </c>
      <c r="L24" s="1" t="s">
        <v>113</v>
      </c>
      <c r="M24" s="1" t="s">
        <v>122</v>
      </c>
      <c r="N24" s="1">
        <v>1991</v>
      </c>
      <c r="O24" s="1">
        <v>2</v>
      </c>
      <c r="P24" s="1">
        <v>2</v>
      </c>
      <c r="Q24" s="1">
        <v>2</v>
      </c>
      <c r="R24" s="1">
        <v>0</v>
      </c>
      <c r="AG24" s="1"/>
      <c r="AH24" s="1"/>
      <c r="AI24" s="1"/>
      <c r="AJ24" s="1"/>
      <c r="AK24" s="1"/>
      <c r="AL24" s="1"/>
    </row>
    <row r="25" spans="1:38" ht="15.75" customHeight="1" x14ac:dyDescent="0.25">
      <c r="A25" s="1">
        <v>2</v>
      </c>
      <c r="B25" s="1" t="s">
        <v>87</v>
      </c>
      <c r="C25" s="1" t="s">
        <v>116</v>
      </c>
      <c r="D25" s="1">
        <v>75</v>
      </c>
      <c r="E25" s="1">
        <v>150</v>
      </c>
      <c r="F25" s="1">
        <v>120</v>
      </c>
      <c r="G25" s="1">
        <v>5</v>
      </c>
      <c r="H25" s="1">
        <v>0</v>
      </c>
      <c r="I25" s="1">
        <v>0</v>
      </c>
      <c r="J25" s="1">
        <v>120</v>
      </c>
      <c r="K25" s="1">
        <f t="shared" si="5"/>
        <v>6</v>
      </c>
      <c r="L25" s="1" t="s">
        <v>113</v>
      </c>
      <c r="M25" s="1" t="s">
        <v>122</v>
      </c>
      <c r="N25" s="1">
        <v>1992</v>
      </c>
      <c r="O25" s="1">
        <v>2</v>
      </c>
      <c r="P25" s="1">
        <v>2</v>
      </c>
      <c r="Q25" s="1">
        <v>2</v>
      </c>
      <c r="R25" s="1">
        <v>0</v>
      </c>
      <c r="AG25" s="1"/>
      <c r="AH25" s="1"/>
      <c r="AI25" s="1"/>
      <c r="AJ25" s="1"/>
      <c r="AK25" s="1"/>
      <c r="AL25" s="1"/>
    </row>
    <row r="26" spans="1:38" ht="15.75" customHeight="1" x14ac:dyDescent="0.25">
      <c r="A26" s="1">
        <v>2</v>
      </c>
      <c r="B26" s="1" t="s">
        <v>87</v>
      </c>
      <c r="C26" s="1" t="s">
        <v>117</v>
      </c>
      <c r="D26" s="1">
        <v>-10</v>
      </c>
      <c r="E26" s="1">
        <v>0</v>
      </c>
      <c r="F26" s="1">
        <v>-5</v>
      </c>
      <c r="G26" s="1">
        <v>5</v>
      </c>
      <c r="H26" s="1">
        <v>0</v>
      </c>
      <c r="I26" s="1">
        <v>0</v>
      </c>
      <c r="J26" s="1">
        <v>-0.1</v>
      </c>
      <c r="K26" s="1">
        <v>1E-3</v>
      </c>
      <c r="L26" s="1" t="s">
        <v>113</v>
      </c>
      <c r="M26" s="1" t="s">
        <v>122</v>
      </c>
      <c r="N26" s="1">
        <v>1993</v>
      </c>
      <c r="O26" s="1">
        <v>2</v>
      </c>
      <c r="P26" s="1">
        <v>2</v>
      </c>
      <c r="Q26" s="1">
        <v>2</v>
      </c>
      <c r="R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1994</v>
      </c>
      <c r="O27" s="1">
        <v>2</v>
      </c>
      <c r="P27" s="1">
        <v>2</v>
      </c>
      <c r="Q27" s="1">
        <v>2</v>
      </c>
      <c r="R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1995</v>
      </c>
      <c r="O28" s="1">
        <v>2</v>
      </c>
      <c r="P28" s="1">
        <v>2</v>
      </c>
      <c r="Q28" s="1">
        <v>2</v>
      </c>
      <c r="R28" s="1">
        <v>0</v>
      </c>
      <c r="AG28" s="1"/>
      <c r="AH28" s="1"/>
      <c r="AI28" s="1"/>
      <c r="AJ28" s="1"/>
      <c r="AK28" s="1"/>
      <c r="AL28" s="1"/>
    </row>
    <row r="29" spans="1:38" ht="15.75" customHeight="1" x14ac:dyDescent="0.25">
      <c r="A29" s="1"/>
      <c r="B29" s="1"/>
      <c r="C29" s="1"/>
      <c r="D29" s="1"/>
      <c r="E29" s="1"/>
      <c r="H29" s="1"/>
      <c r="I29" s="1"/>
      <c r="J29" s="1"/>
      <c r="K29" s="1"/>
      <c r="L29" s="1"/>
      <c r="M29" s="1"/>
      <c r="N29" s="1">
        <v>1996</v>
      </c>
      <c r="O29" s="1">
        <v>2</v>
      </c>
      <c r="P29" s="1">
        <v>2</v>
      </c>
      <c r="Q29" s="1">
        <v>2</v>
      </c>
      <c r="R29" s="1">
        <v>0</v>
      </c>
      <c r="AG29" s="1"/>
      <c r="AH29" s="1"/>
      <c r="AI29" s="1"/>
      <c r="AJ29" s="1"/>
      <c r="AK29" s="1"/>
      <c r="AL29" s="1"/>
    </row>
    <row r="30" spans="1:38" ht="15.75" customHeight="1" x14ac:dyDescent="0.25">
      <c r="A30" s="1"/>
      <c r="B30" s="1"/>
      <c r="C30" s="1"/>
      <c r="D30" s="1"/>
      <c r="E30" s="1"/>
      <c r="H30" s="1"/>
      <c r="I30" s="1"/>
      <c r="J30" s="1"/>
      <c r="K30" s="1"/>
      <c r="L30" s="1"/>
      <c r="M30" s="1"/>
      <c r="N30" s="1">
        <v>1997</v>
      </c>
      <c r="O30" s="1">
        <v>2</v>
      </c>
      <c r="P30" s="1">
        <v>2</v>
      </c>
      <c r="Q30" s="1">
        <v>2</v>
      </c>
      <c r="R30" s="1">
        <v>0</v>
      </c>
      <c r="AG30" s="1"/>
      <c r="AH30" s="1"/>
      <c r="AI30" s="1"/>
      <c r="AJ30" s="1"/>
      <c r="AK30" s="1"/>
      <c r="AL30" s="1"/>
    </row>
    <row r="31" spans="1:38" ht="15.75" customHeight="1" x14ac:dyDescent="0.25">
      <c r="A31" s="1"/>
      <c r="B31" s="1"/>
      <c r="C31" s="1"/>
      <c r="D31" s="1"/>
      <c r="E31" s="1"/>
      <c r="F31" s="1"/>
      <c r="G31" s="1"/>
      <c r="H31" s="1"/>
      <c r="I31" s="1"/>
      <c r="J31" s="1"/>
      <c r="K31" s="1"/>
      <c r="L31" s="1"/>
      <c r="M31" s="1"/>
      <c r="N31" s="1">
        <v>1998</v>
      </c>
      <c r="O31" s="1">
        <v>2</v>
      </c>
      <c r="P31" s="1">
        <v>2</v>
      </c>
      <c r="Q31" s="1">
        <v>2</v>
      </c>
      <c r="R31" s="1">
        <v>0</v>
      </c>
      <c r="AG31" s="1"/>
      <c r="AH31" s="1"/>
      <c r="AI31" s="1"/>
      <c r="AJ31" s="1"/>
      <c r="AK31" s="1"/>
      <c r="AL31" s="1"/>
    </row>
    <row r="32" spans="1:38" ht="15.75" customHeight="1" x14ac:dyDescent="0.25">
      <c r="A32" s="1"/>
      <c r="B32" s="1"/>
      <c r="C32" s="1"/>
      <c r="D32" s="1"/>
      <c r="E32" s="1"/>
      <c r="F32" s="1"/>
      <c r="G32" s="1"/>
      <c r="H32" s="1"/>
      <c r="I32" s="1"/>
      <c r="J32" s="1"/>
      <c r="K32" s="1"/>
      <c r="L32" s="1"/>
      <c r="M32" s="1"/>
      <c r="N32" s="1">
        <v>1999</v>
      </c>
      <c r="O32" s="1">
        <v>2</v>
      </c>
      <c r="P32" s="1">
        <v>2</v>
      </c>
      <c r="Q32" s="1">
        <v>2</v>
      </c>
      <c r="R32" s="1">
        <v>0</v>
      </c>
      <c r="AG32" s="1"/>
      <c r="AH32" s="1"/>
      <c r="AI32" s="1"/>
      <c r="AJ32" s="1"/>
      <c r="AK32" s="1"/>
      <c r="AL32" s="1"/>
    </row>
    <row r="33" spans="1:38" ht="15.75" customHeight="1" x14ac:dyDescent="0.25">
      <c r="A33" s="1"/>
      <c r="B33" s="1"/>
      <c r="C33" s="1"/>
      <c r="D33" s="1"/>
      <c r="E33" s="1"/>
      <c r="F33" s="1"/>
      <c r="G33" s="1"/>
      <c r="H33" s="1"/>
      <c r="I33" s="1"/>
      <c r="J33" s="1"/>
      <c r="K33" s="1"/>
      <c r="L33" s="1"/>
      <c r="M33" s="1"/>
      <c r="N33" s="1">
        <v>2000</v>
      </c>
      <c r="O33" s="1">
        <v>2</v>
      </c>
      <c r="P33" s="1">
        <v>2</v>
      </c>
      <c r="Q33" s="1">
        <v>2</v>
      </c>
      <c r="R33" s="1">
        <v>0</v>
      </c>
      <c r="AG33" s="1"/>
      <c r="AH33" s="1"/>
      <c r="AI33" s="1"/>
      <c r="AJ33" s="1"/>
      <c r="AK33" s="1"/>
      <c r="AL33" s="1"/>
    </row>
    <row r="34" spans="1:38" ht="15.75" customHeight="1" x14ac:dyDescent="0.25">
      <c r="A34" s="1"/>
      <c r="B34" s="1"/>
      <c r="C34" s="1"/>
      <c r="D34" s="1"/>
      <c r="E34" s="1"/>
      <c r="F34" s="1"/>
      <c r="G34" s="1"/>
      <c r="H34" s="1"/>
      <c r="I34" s="1"/>
      <c r="J34" s="1"/>
      <c r="K34" s="1"/>
      <c r="L34" s="1"/>
      <c r="M34" s="1"/>
      <c r="N34" s="1">
        <v>2001</v>
      </c>
      <c r="O34" s="1">
        <v>2</v>
      </c>
      <c r="P34" s="1">
        <v>2</v>
      </c>
      <c r="Q34" s="1">
        <v>2</v>
      </c>
      <c r="R34" s="1">
        <v>0</v>
      </c>
      <c r="AG34" s="1"/>
      <c r="AH34" s="1"/>
      <c r="AI34" s="1"/>
      <c r="AJ34" s="1"/>
      <c r="AK34" s="1"/>
      <c r="AL34" s="1"/>
    </row>
    <row r="35" spans="1:38" ht="15.75" customHeight="1" x14ac:dyDescent="0.25">
      <c r="N35" s="1">
        <v>2002</v>
      </c>
      <c r="O35" s="1">
        <v>2</v>
      </c>
      <c r="P35" s="1">
        <v>2</v>
      </c>
      <c r="Q35" s="1">
        <v>2</v>
      </c>
      <c r="R35" s="1">
        <v>0</v>
      </c>
      <c r="AG35" s="1"/>
      <c r="AH35" s="1"/>
      <c r="AI35" s="1"/>
      <c r="AJ35" s="1"/>
      <c r="AK35" s="1"/>
      <c r="AL35" s="1"/>
    </row>
    <row r="36" spans="1:38" ht="15.75" customHeight="1" x14ac:dyDescent="0.25">
      <c r="N36" s="1">
        <v>2003</v>
      </c>
      <c r="O36" s="1">
        <v>2</v>
      </c>
      <c r="P36" s="1">
        <v>2</v>
      </c>
      <c r="Q36" s="1">
        <v>2</v>
      </c>
      <c r="R36" s="1">
        <v>0</v>
      </c>
      <c r="AG36" s="1"/>
      <c r="AH36" s="1"/>
      <c r="AI36" s="1"/>
      <c r="AJ36" s="1"/>
      <c r="AK36" s="1"/>
      <c r="AL36" s="1"/>
    </row>
    <row r="37" spans="1:38" ht="15.75" customHeight="1" x14ac:dyDescent="0.25">
      <c r="N37" s="1">
        <v>2004</v>
      </c>
      <c r="O37" s="1">
        <v>2</v>
      </c>
      <c r="P37" s="1">
        <v>2</v>
      </c>
      <c r="Q37" s="1">
        <v>2</v>
      </c>
      <c r="R37" s="1">
        <v>0</v>
      </c>
      <c r="AG37" s="1"/>
      <c r="AH37" s="1"/>
      <c r="AI37" s="1"/>
      <c r="AJ37" s="1"/>
      <c r="AK37" s="1"/>
      <c r="AL37" s="1"/>
    </row>
    <row r="38" spans="1:38" ht="15.75" customHeight="1" x14ac:dyDescent="0.25">
      <c r="N38" s="1">
        <v>2005</v>
      </c>
      <c r="O38" s="1">
        <v>2</v>
      </c>
      <c r="P38" s="1">
        <v>2</v>
      </c>
      <c r="Q38" s="1">
        <v>2</v>
      </c>
      <c r="R38" s="1">
        <v>0</v>
      </c>
      <c r="AG38" s="1"/>
      <c r="AH38" s="1"/>
      <c r="AI38" s="1"/>
      <c r="AJ38" s="1"/>
      <c r="AK38" s="1"/>
      <c r="AL38" s="1"/>
    </row>
    <row r="39" spans="1:38" ht="15.75" customHeight="1" x14ac:dyDescent="0.25">
      <c r="N39" s="1">
        <v>2006</v>
      </c>
      <c r="O39" s="1">
        <v>2</v>
      </c>
      <c r="P39" s="1">
        <v>2</v>
      </c>
      <c r="Q39" s="1">
        <v>2</v>
      </c>
      <c r="R39" s="1">
        <v>0</v>
      </c>
      <c r="AG39" s="1"/>
      <c r="AH39" s="1"/>
      <c r="AI39" s="1"/>
      <c r="AJ39" s="1"/>
      <c r="AK39" s="1"/>
      <c r="AL39" s="1"/>
    </row>
    <row r="40" spans="1:38" ht="15.75" customHeight="1" x14ac:dyDescent="0.25">
      <c r="N40" s="1">
        <v>2007</v>
      </c>
      <c r="O40" s="1">
        <v>2</v>
      </c>
      <c r="P40" s="1">
        <v>2</v>
      </c>
      <c r="Q40" s="1">
        <v>2</v>
      </c>
      <c r="R40" s="1">
        <v>0</v>
      </c>
      <c r="AG40" s="1"/>
      <c r="AH40" s="1"/>
      <c r="AI40" s="1"/>
      <c r="AJ40" s="1"/>
      <c r="AK40" s="1"/>
      <c r="AL40" s="1"/>
    </row>
    <row r="41" spans="1:38" ht="15.75" customHeight="1" x14ac:dyDescent="0.25">
      <c r="N41" s="1">
        <v>2008</v>
      </c>
      <c r="O41" s="1">
        <v>2</v>
      </c>
      <c r="P41" s="1">
        <v>2</v>
      </c>
      <c r="Q41" s="1">
        <v>2</v>
      </c>
      <c r="R41" s="1">
        <v>0</v>
      </c>
      <c r="AG41" s="1"/>
      <c r="AH41" s="1"/>
      <c r="AI41" s="1"/>
      <c r="AJ41" s="1"/>
      <c r="AK41" s="1"/>
      <c r="AL41" s="1"/>
    </row>
    <row r="42" spans="1:38" ht="15.75" customHeight="1" x14ac:dyDescent="0.25">
      <c r="N42" s="1">
        <v>2009</v>
      </c>
      <c r="O42" s="1">
        <v>2</v>
      </c>
      <c r="P42" s="1">
        <v>2</v>
      </c>
      <c r="Q42" s="1">
        <v>2</v>
      </c>
      <c r="R42" s="1">
        <v>0</v>
      </c>
      <c r="AG42" s="1"/>
      <c r="AH42" s="1"/>
      <c r="AI42" s="1"/>
      <c r="AJ42" s="1"/>
      <c r="AK42" s="1"/>
      <c r="AL42" s="1"/>
    </row>
    <row r="43" spans="1:38" ht="15.75" customHeight="1" x14ac:dyDescent="0.25">
      <c r="N43" s="1">
        <v>2010</v>
      </c>
      <c r="O43" s="1">
        <v>2</v>
      </c>
      <c r="P43" s="1">
        <v>2</v>
      </c>
      <c r="Q43" s="1">
        <v>2</v>
      </c>
      <c r="R43" s="1">
        <v>0</v>
      </c>
      <c r="AG43" s="1"/>
      <c r="AH43" s="1"/>
      <c r="AI43" s="1"/>
      <c r="AJ43" s="1"/>
      <c r="AK43" s="1"/>
      <c r="AL43" s="1"/>
    </row>
    <row r="44" spans="1:38" ht="15.75" customHeight="1" x14ac:dyDescent="0.25">
      <c r="N44" s="1">
        <v>2011</v>
      </c>
      <c r="O44" s="1">
        <v>2</v>
      </c>
      <c r="P44" s="1">
        <v>2</v>
      </c>
      <c r="Q44" s="1">
        <v>2</v>
      </c>
      <c r="R44" s="1">
        <v>0</v>
      </c>
      <c r="AG44" s="1"/>
      <c r="AH44" s="1"/>
      <c r="AI44" s="1"/>
      <c r="AJ44" s="1"/>
      <c r="AK44" s="1"/>
      <c r="AL44" s="1"/>
    </row>
    <row r="45" spans="1:38" ht="15.75" customHeight="1" x14ac:dyDescent="0.25">
      <c r="N45" s="1">
        <v>2012</v>
      </c>
      <c r="O45" s="1">
        <v>2</v>
      </c>
      <c r="P45" s="1">
        <v>2</v>
      </c>
      <c r="Q45" s="1">
        <v>2</v>
      </c>
      <c r="R45" s="1">
        <v>0</v>
      </c>
      <c r="AG45" s="1"/>
      <c r="AH45" s="1"/>
      <c r="AI45" s="1"/>
      <c r="AJ45" s="1"/>
      <c r="AK45" s="1"/>
      <c r="AL45" s="1"/>
    </row>
    <row r="46" spans="1:38" ht="15.75" customHeight="1" x14ac:dyDescent="0.25">
      <c r="N46" s="1">
        <v>2013</v>
      </c>
      <c r="O46" s="1">
        <v>2</v>
      </c>
      <c r="P46" s="1">
        <v>2</v>
      </c>
      <c r="Q46" s="1">
        <v>2</v>
      </c>
      <c r="R46" s="1">
        <v>0</v>
      </c>
      <c r="AG46" s="1"/>
      <c r="AH46" s="1"/>
      <c r="AI46" s="1"/>
      <c r="AJ46" s="1"/>
      <c r="AK46" s="1"/>
      <c r="AL46" s="1"/>
    </row>
    <row r="47" spans="1:38" ht="15.75" customHeight="1" x14ac:dyDescent="0.25">
      <c r="N47" s="1">
        <v>2014</v>
      </c>
      <c r="O47" s="1">
        <v>2</v>
      </c>
      <c r="P47" s="1">
        <v>2</v>
      </c>
      <c r="Q47" s="1">
        <v>2</v>
      </c>
      <c r="R47" s="1">
        <v>0</v>
      </c>
      <c r="AG47" s="1"/>
      <c r="AH47" s="1"/>
      <c r="AI47" s="1"/>
      <c r="AJ47" s="1"/>
      <c r="AK47" s="1"/>
      <c r="AL47" s="1"/>
    </row>
    <row r="48" spans="1:38" ht="15.75" customHeight="1" x14ac:dyDescent="0.25">
      <c r="N48" s="1">
        <v>2015</v>
      </c>
      <c r="O48" s="1">
        <v>2</v>
      </c>
      <c r="P48" s="1">
        <v>2</v>
      </c>
      <c r="Q48" s="1">
        <v>2</v>
      </c>
      <c r="R48" s="1">
        <v>0</v>
      </c>
      <c r="AG48" s="1"/>
      <c r="AH48" s="1"/>
      <c r="AI48" s="1"/>
      <c r="AJ48" s="1"/>
      <c r="AK48" s="1"/>
      <c r="AL48" s="1"/>
    </row>
    <row r="49" spans="14:38" ht="15.75" customHeight="1" x14ac:dyDescent="0.25">
      <c r="N49" s="1">
        <v>2016</v>
      </c>
      <c r="O49" s="1">
        <v>2</v>
      </c>
      <c r="P49" s="1">
        <v>2</v>
      </c>
      <c r="Q49" s="1">
        <v>2</v>
      </c>
      <c r="R49" s="1">
        <v>0</v>
      </c>
      <c r="AG49" s="1"/>
      <c r="AH49" s="1"/>
      <c r="AI49" s="1"/>
      <c r="AJ49" s="1"/>
      <c r="AK49" s="1"/>
      <c r="AL49" s="1"/>
    </row>
    <row r="50" spans="14:38" ht="15.75" customHeight="1" x14ac:dyDescent="0.25">
      <c r="N50" s="1">
        <v>2017</v>
      </c>
      <c r="O50" s="1">
        <v>2</v>
      </c>
      <c r="P50" s="1">
        <v>2</v>
      </c>
      <c r="Q50" s="1">
        <v>2</v>
      </c>
      <c r="R50" s="1">
        <v>0</v>
      </c>
      <c r="AG50" s="1"/>
      <c r="AH50" s="1"/>
      <c r="AI50" s="1"/>
      <c r="AJ50" s="1"/>
      <c r="AK50" s="1"/>
      <c r="AL50" s="1"/>
    </row>
    <row r="51" spans="14:38" ht="15.75" customHeight="1" x14ac:dyDescent="0.25">
      <c r="N51" s="1">
        <v>2018</v>
      </c>
      <c r="O51" s="1">
        <v>2</v>
      </c>
      <c r="P51" s="1">
        <v>2</v>
      </c>
      <c r="Q51" s="1">
        <v>2</v>
      </c>
      <c r="R51" s="1">
        <v>0</v>
      </c>
      <c r="AG51" s="1"/>
      <c r="AH51" s="1"/>
      <c r="AI51" s="1"/>
      <c r="AJ51" s="1"/>
      <c r="AK51" s="1"/>
      <c r="AL51" s="1"/>
    </row>
    <row r="52" spans="14:38" ht="15.75" customHeight="1" x14ac:dyDescent="0.25">
      <c r="N52" s="1">
        <v>2019</v>
      </c>
      <c r="O52" s="1">
        <v>2</v>
      </c>
      <c r="P52" s="1">
        <v>2</v>
      </c>
      <c r="Q52" s="1">
        <v>2</v>
      </c>
      <c r="R52" s="1">
        <v>0</v>
      </c>
      <c r="AG52" s="1"/>
      <c r="AH52" s="1"/>
      <c r="AI52" s="1"/>
      <c r="AJ52" s="1"/>
      <c r="AK52" s="1"/>
      <c r="AL52" s="1"/>
    </row>
    <row r="53" spans="14:38" ht="15.75" customHeight="1" x14ac:dyDescent="0.25">
      <c r="N53" s="1">
        <v>2020</v>
      </c>
      <c r="O53" s="1">
        <v>2</v>
      </c>
      <c r="P53" s="1">
        <v>2</v>
      </c>
      <c r="Q53" s="1">
        <v>2</v>
      </c>
      <c r="R53" s="1">
        <v>0</v>
      </c>
      <c r="AG53" s="1"/>
      <c r="AH53" s="1"/>
      <c r="AI53" s="1"/>
      <c r="AJ53" s="1"/>
      <c r="AK53" s="1"/>
      <c r="AL53" s="1"/>
    </row>
    <row r="54" spans="14:38" ht="15.75" customHeight="1" x14ac:dyDescent="0.25">
      <c r="N54" s="1">
        <v>2021</v>
      </c>
      <c r="O54" s="1">
        <v>2</v>
      </c>
      <c r="P54" s="1">
        <v>2</v>
      </c>
      <c r="Q54" s="1">
        <v>2</v>
      </c>
      <c r="R54" s="1">
        <v>0</v>
      </c>
      <c r="AG54" s="1"/>
      <c r="AH54" s="1"/>
      <c r="AI54" s="1"/>
      <c r="AJ54" s="1"/>
      <c r="AK54" s="1"/>
      <c r="AL54" s="1"/>
    </row>
    <row r="55" spans="14:38" ht="15.75" customHeight="1" x14ac:dyDescent="0.25">
      <c r="N55" s="1">
        <v>2022</v>
      </c>
      <c r="O55" s="1">
        <v>2</v>
      </c>
      <c r="P55" s="1">
        <v>2</v>
      </c>
      <c r="Q55" s="1">
        <v>2</v>
      </c>
      <c r="R55" s="1">
        <v>0</v>
      </c>
      <c r="AG55" s="1"/>
      <c r="AH55" s="1"/>
      <c r="AI55" s="1"/>
      <c r="AJ55" s="1"/>
      <c r="AK55" s="1"/>
      <c r="AL55" s="1"/>
    </row>
    <row r="56" spans="14:38" ht="15.75" customHeight="1" x14ac:dyDescent="0.25">
      <c r="N56" s="1">
        <v>2023</v>
      </c>
      <c r="O56" s="1">
        <v>2</v>
      </c>
      <c r="P56" s="1">
        <v>2</v>
      </c>
      <c r="Q56" s="1">
        <v>2</v>
      </c>
      <c r="R56" s="1">
        <v>0</v>
      </c>
      <c r="AG56" s="1"/>
      <c r="AH56" s="1"/>
      <c r="AI56" s="1"/>
      <c r="AJ56" s="1"/>
      <c r="AK56" s="1"/>
      <c r="AL56" s="1"/>
    </row>
    <row r="57" spans="14:38" ht="15.75" customHeight="1" x14ac:dyDescent="0.25">
      <c r="N57" s="1">
        <v>2024</v>
      </c>
      <c r="O57" s="1">
        <v>2</v>
      </c>
      <c r="P57" s="1">
        <v>2</v>
      </c>
      <c r="Q57" s="1">
        <v>2</v>
      </c>
      <c r="R57" s="1">
        <v>0</v>
      </c>
      <c r="AG57" s="1"/>
      <c r="AH57" s="1"/>
      <c r="AI57" s="1"/>
      <c r="AJ57" s="1"/>
      <c r="AK57" s="1"/>
      <c r="AL57" s="1"/>
    </row>
    <row r="58" spans="14:38" ht="15.75" customHeight="1" x14ac:dyDescent="0.25">
      <c r="N58" s="1">
        <v>2025</v>
      </c>
      <c r="O58" s="1">
        <v>2</v>
      </c>
      <c r="P58" s="1">
        <v>2</v>
      </c>
      <c r="Q58" s="1">
        <v>2</v>
      </c>
      <c r="R58" s="1">
        <v>0</v>
      </c>
      <c r="AG58" s="1"/>
      <c r="AH58" s="1"/>
      <c r="AI58" s="1"/>
      <c r="AJ58" s="1"/>
      <c r="AK58" s="1"/>
      <c r="AL58" s="1"/>
    </row>
    <row r="59" spans="14:38" ht="15.75" customHeight="1" x14ac:dyDescent="0.25">
      <c r="N59" s="1">
        <v>2026</v>
      </c>
      <c r="O59" s="1">
        <v>2</v>
      </c>
      <c r="P59" s="1">
        <v>2</v>
      </c>
      <c r="Q59" s="1">
        <v>2</v>
      </c>
      <c r="R59" s="1">
        <v>0</v>
      </c>
      <c r="AG59" s="1"/>
      <c r="AH59" s="1"/>
      <c r="AI59" s="1"/>
      <c r="AJ59" s="1"/>
      <c r="AK59" s="1"/>
      <c r="AL59" s="1"/>
    </row>
    <row r="60" spans="14:38" ht="15.75" customHeight="1" x14ac:dyDescent="0.25">
      <c r="N60" s="1">
        <v>2027</v>
      </c>
      <c r="O60" s="1">
        <v>2</v>
      </c>
      <c r="P60" s="1">
        <v>2</v>
      </c>
      <c r="Q60" s="1">
        <v>2</v>
      </c>
      <c r="R60" s="1">
        <v>0</v>
      </c>
      <c r="AG60" s="1"/>
      <c r="AH60" s="1"/>
      <c r="AI60" s="1"/>
      <c r="AJ60" s="1"/>
      <c r="AK60" s="1"/>
      <c r="AL60" s="1"/>
    </row>
    <row r="61" spans="14:38" ht="15.75" customHeight="1" x14ac:dyDescent="0.25">
      <c r="N61" s="1">
        <v>2028</v>
      </c>
      <c r="O61" s="1">
        <v>2</v>
      </c>
      <c r="P61" s="1">
        <v>2</v>
      </c>
      <c r="Q61" s="1">
        <v>2</v>
      </c>
      <c r="R61" s="1">
        <v>0</v>
      </c>
      <c r="AG61" s="1"/>
      <c r="AH61" s="1"/>
      <c r="AI61" s="1"/>
      <c r="AJ61" s="1"/>
      <c r="AK61" s="1"/>
      <c r="AL61" s="1"/>
    </row>
    <row r="62" spans="14:38" ht="15.75" customHeight="1" x14ac:dyDescent="0.25">
      <c r="N62" s="1">
        <v>2029</v>
      </c>
      <c r="O62" s="1">
        <v>2</v>
      </c>
      <c r="P62" s="1">
        <v>2</v>
      </c>
      <c r="Q62" s="1">
        <v>2</v>
      </c>
      <c r="R62" s="1">
        <v>0</v>
      </c>
      <c r="AG62" s="1"/>
      <c r="AH62" s="1"/>
      <c r="AI62" s="1"/>
      <c r="AJ62" s="1"/>
      <c r="AK62" s="1"/>
      <c r="AL62" s="1"/>
    </row>
    <row r="63" spans="14:38" ht="15.75" customHeight="1" x14ac:dyDescent="0.25">
      <c r="N63" s="1">
        <v>2030</v>
      </c>
      <c r="O63" s="1">
        <v>2</v>
      </c>
      <c r="P63" s="1">
        <v>2</v>
      </c>
      <c r="Q63" s="1">
        <v>2</v>
      </c>
      <c r="R63" s="1">
        <v>0</v>
      </c>
      <c r="AG63" s="1"/>
      <c r="AH63" s="1"/>
      <c r="AI63" s="1"/>
      <c r="AJ63" s="1"/>
      <c r="AK63" s="1"/>
      <c r="AL63" s="1"/>
    </row>
    <row r="64" spans="14:38" ht="15.75" customHeight="1" x14ac:dyDescent="0.25">
      <c r="N64" s="1">
        <v>2031</v>
      </c>
      <c r="O64" s="1">
        <v>2</v>
      </c>
      <c r="P64" s="1">
        <v>2</v>
      </c>
      <c r="Q64" s="1">
        <v>2</v>
      </c>
      <c r="R64" s="1">
        <v>0</v>
      </c>
      <c r="AG64" s="1"/>
      <c r="AH64" s="1"/>
      <c r="AI64" s="1"/>
      <c r="AJ64" s="1"/>
      <c r="AK64" s="1"/>
      <c r="AL64" s="1"/>
    </row>
    <row r="65" spans="14:38" ht="15.75" customHeight="1" x14ac:dyDescent="0.25">
      <c r="N65" s="1">
        <v>2032</v>
      </c>
      <c r="O65" s="1">
        <v>2</v>
      </c>
      <c r="P65" s="1">
        <v>2</v>
      </c>
      <c r="Q65" s="1">
        <v>2</v>
      </c>
      <c r="R65" s="1">
        <v>0</v>
      </c>
      <c r="AG65" s="1"/>
      <c r="AH65" s="1"/>
      <c r="AI65" s="1"/>
      <c r="AJ65" s="1"/>
      <c r="AK65" s="1"/>
      <c r="AL65" s="1"/>
    </row>
    <row r="66" spans="14:38" ht="15.75" customHeight="1" x14ac:dyDescent="0.25">
      <c r="N66" s="1">
        <v>2033</v>
      </c>
      <c r="O66" s="1">
        <v>2</v>
      </c>
      <c r="P66" s="1">
        <v>2</v>
      </c>
      <c r="Q66" s="1">
        <v>2</v>
      </c>
      <c r="R66" s="1">
        <v>0</v>
      </c>
      <c r="AG66" s="1"/>
      <c r="AH66" s="1"/>
      <c r="AI66" s="1"/>
      <c r="AJ66" s="1"/>
      <c r="AK66" s="1"/>
      <c r="AL66" s="1"/>
    </row>
    <row r="67" spans="14:38" ht="15.75" customHeight="1" x14ac:dyDescent="0.25">
      <c r="N67" s="1">
        <v>2034</v>
      </c>
      <c r="O67" s="1">
        <v>2</v>
      </c>
      <c r="P67" s="1">
        <v>2</v>
      </c>
      <c r="Q67" s="1">
        <v>2</v>
      </c>
      <c r="R67" s="1">
        <v>0</v>
      </c>
      <c r="AG67" s="1"/>
      <c r="AH67" s="1"/>
      <c r="AI67" s="1"/>
      <c r="AJ67" s="1"/>
      <c r="AK67" s="1"/>
      <c r="AL67" s="1"/>
    </row>
    <row r="68" spans="14:38" ht="15.75" customHeight="1" x14ac:dyDescent="0.25">
      <c r="N68" s="1">
        <v>2035</v>
      </c>
      <c r="O68" s="1">
        <v>2</v>
      </c>
      <c r="P68" s="1">
        <v>2</v>
      </c>
      <c r="Q68" s="1">
        <v>2</v>
      </c>
      <c r="R68" s="1">
        <v>0</v>
      </c>
      <c r="AG68" s="1"/>
      <c r="AH68" s="1"/>
      <c r="AI68" s="1"/>
      <c r="AJ68" s="1"/>
      <c r="AK68" s="1"/>
      <c r="AL68" s="1"/>
    </row>
    <row r="69" spans="14:38" ht="15.75" customHeight="1" x14ac:dyDescent="0.25">
      <c r="N69" s="1">
        <v>2036</v>
      </c>
      <c r="O69" s="1">
        <v>2</v>
      </c>
      <c r="P69" s="1">
        <v>2</v>
      </c>
      <c r="Q69" s="1">
        <v>2</v>
      </c>
      <c r="R69" s="1">
        <v>0</v>
      </c>
      <c r="AG69" s="1"/>
      <c r="AH69" s="1"/>
      <c r="AI69" s="1"/>
      <c r="AJ69" s="1"/>
      <c r="AK69" s="1"/>
      <c r="AL69" s="1"/>
    </row>
    <row r="70" spans="14:38" ht="15.75" customHeight="1" x14ac:dyDescent="0.25">
      <c r="N70" s="1">
        <v>2037</v>
      </c>
      <c r="O70" s="1">
        <v>2</v>
      </c>
      <c r="P70" s="1">
        <v>2</v>
      </c>
      <c r="Q70" s="1">
        <v>2</v>
      </c>
      <c r="R70" s="1">
        <v>0</v>
      </c>
      <c r="AG70" s="1"/>
      <c r="AH70" s="1"/>
      <c r="AI70" s="1"/>
      <c r="AJ70" s="1"/>
      <c r="AK70" s="1"/>
      <c r="AL70" s="1"/>
    </row>
    <row r="71" spans="14:38" ht="15.75" customHeight="1" x14ac:dyDescent="0.25">
      <c r="N71" s="1">
        <v>2038</v>
      </c>
      <c r="O71" s="1">
        <v>2</v>
      </c>
      <c r="P71" s="1">
        <v>2</v>
      </c>
      <c r="Q71" s="1">
        <v>2</v>
      </c>
      <c r="R71" s="1">
        <v>0</v>
      </c>
      <c r="AG71" s="1"/>
      <c r="AH71" s="1"/>
      <c r="AI71" s="1"/>
      <c r="AJ71" s="1"/>
      <c r="AK71" s="1"/>
      <c r="AL71" s="1"/>
    </row>
    <row r="72" spans="14:38" ht="15.75" customHeight="1" x14ac:dyDescent="0.25">
      <c r="N72" s="1">
        <v>2039</v>
      </c>
      <c r="O72" s="1">
        <v>2</v>
      </c>
      <c r="P72" s="1">
        <v>2</v>
      </c>
      <c r="Q72" s="1">
        <v>2</v>
      </c>
      <c r="R72" s="1">
        <v>0</v>
      </c>
      <c r="AG72" s="1"/>
      <c r="AH72" s="1"/>
      <c r="AI72" s="1"/>
      <c r="AJ72" s="1"/>
      <c r="AK72" s="1"/>
      <c r="AL72" s="1"/>
    </row>
    <row r="73" spans="14:38" ht="15.75" customHeight="1" x14ac:dyDescent="0.25">
      <c r="N73" s="1">
        <v>2040</v>
      </c>
      <c r="O73" s="1">
        <v>2</v>
      </c>
      <c r="P73" s="1">
        <v>2</v>
      </c>
      <c r="Q73" s="1">
        <v>2</v>
      </c>
      <c r="R73" s="1">
        <v>0</v>
      </c>
      <c r="AG73" s="1"/>
      <c r="AH73" s="1"/>
      <c r="AI73" s="1"/>
      <c r="AJ73" s="1"/>
      <c r="AK73" s="1"/>
      <c r="AL73" s="1"/>
    </row>
    <row r="74" spans="14:38" ht="15.75" customHeight="1" x14ac:dyDescent="0.25">
      <c r="N74" s="1">
        <v>2041</v>
      </c>
      <c r="O74" s="1">
        <v>2</v>
      </c>
      <c r="P74" s="1">
        <v>2</v>
      </c>
      <c r="Q74" s="1">
        <v>2</v>
      </c>
      <c r="R74" s="1">
        <v>0</v>
      </c>
      <c r="AG74" s="1"/>
      <c r="AH74" s="1"/>
      <c r="AI74" s="1"/>
      <c r="AJ74" s="1"/>
      <c r="AK74" s="1"/>
      <c r="AL74" s="1"/>
    </row>
    <row r="75" spans="14:38" ht="15.75" customHeight="1" x14ac:dyDescent="0.25">
      <c r="N75" s="1">
        <v>2042</v>
      </c>
      <c r="O75" s="1">
        <v>2</v>
      </c>
      <c r="P75" s="1">
        <v>2</v>
      </c>
      <c r="Q75" s="1">
        <v>2</v>
      </c>
      <c r="R75" s="1">
        <v>0</v>
      </c>
      <c r="AG75" s="1"/>
      <c r="AH75" s="1"/>
      <c r="AI75" s="1"/>
      <c r="AJ75" s="1"/>
      <c r="AK75" s="1"/>
      <c r="AL75" s="1"/>
    </row>
    <row r="76" spans="14:38" ht="15.75" customHeight="1" x14ac:dyDescent="0.25">
      <c r="N76" s="1">
        <v>2043</v>
      </c>
      <c r="O76" s="1">
        <v>2</v>
      </c>
      <c r="P76" s="1">
        <v>2</v>
      </c>
      <c r="Q76" s="1">
        <v>2</v>
      </c>
      <c r="R76" s="1">
        <v>0</v>
      </c>
      <c r="AG76" s="1"/>
      <c r="AH76" s="1"/>
      <c r="AI76" s="1"/>
      <c r="AJ76" s="1"/>
      <c r="AK76" s="1"/>
      <c r="AL76" s="1"/>
    </row>
    <row r="77" spans="14:38" ht="15.75" customHeight="1" x14ac:dyDescent="0.25">
      <c r="N77" s="1">
        <v>2044</v>
      </c>
      <c r="O77" s="1">
        <v>2</v>
      </c>
      <c r="P77" s="1">
        <v>2</v>
      </c>
      <c r="Q77" s="1">
        <v>2</v>
      </c>
      <c r="R77" s="1">
        <v>0</v>
      </c>
      <c r="AG77" s="1"/>
      <c r="AH77" s="1"/>
      <c r="AI77" s="1"/>
      <c r="AJ77" s="1"/>
      <c r="AK77" s="1"/>
      <c r="AL77" s="1"/>
    </row>
    <row r="78" spans="14:38" ht="15.75" customHeight="1" x14ac:dyDescent="0.25">
      <c r="N78" s="1">
        <v>2045</v>
      </c>
      <c r="O78" s="1">
        <v>2</v>
      </c>
      <c r="P78" s="1">
        <v>2</v>
      </c>
      <c r="Q78" s="1">
        <v>2</v>
      </c>
      <c r="R78" s="1">
        <v>0</v>
      </c>
      <c r="AG78" s="1"/>
      <c r="AH78" s="1"/>
      <c r="AI78" s="1"/>
      <c r="AJ78" s="1"/>
      <c r="AK78" s="1"/>
      <c r="AL78" s="1"/>
    </row>
    <row r="79" spans="14:38" ht="15.75" customHeight="1" x14ac:dyDescent="0.25">
      <c r="N79" s="1">
        <v>2046</v>
      </c>
      <c r="O79" s="1">
        <v>2</v>
      </c>
      <c r="P79" s="1">
        <v>2</v>
      </c>
      <c r="Q79" s="1">
        <v>2</v>
      </c>
      <c r="R79" s="1">
        <v>0</v>
      </c>
      <c r="AG79" s="1"/>
      <c r="AH79" s="1"/>
      <c r="AI79" s="1"/>
      <c r="AJ79" s="1"/>
      <c r="AK79" s="1"/>
      <c r="AL79" s="1"/>
    </row>
    <row r="80" spans="14:38" ht="15.75" customHeight="1" x14ac:dyDescent="0.25">
      <c r="N80" s="1">
        <v>2047</v>
      </c>
      <c r="O80" s="1">
        <v>2</v>
      </c>
      <c r="P80" s="1">
        <v>2</v>
      </c>
      <c r="Q80" s="1">
        <v>2</v>
      </c>
      <c r="R80" s="1">
        <v>0</v>
      </c>
      <c r="AG80" s="1"/>
      <c r="AH80" s="1"/>
      <c r="AI80" s="1"/>
      <c r="AJ80" s="1"/>
      <c r="AK80" s="1"/>
      <c r="AL80" s="1"/>
    </row>
    <row r="81" spans="14:38" ht="15.75" customHeight="1" x14ac:dyDescent="0.25">
      <c r="N81" s="1">
        <v>2048</v>
      </c>
      <c r="O81" s="1">
        <v>2</v>
      </c>
      <c r="P81" s="1">
        <v>2</v>
      </c>
      <c r="Q81" s="1">
        <v>2</v>
      </c>
      <c r="R81" s="1">
        <v>0</v>
      </c>
      <c r="AG81" s="1"/>
      <c r="AH81" s="1"/>
      <c r="AI81" s="1"/>
      <c r="AJ81" s="1"/>
      <c r="AK81" s="1"/>
      <c r="AL81" s="1"/>
    </row>
    <row r="82" spans="14:38" ht="15.75" customHeight="1" x14ac:dyDescent="0.25">
      <c r="N82" s="1">
        <v>2049</v>
      </c>
      <c r="O82" s="1">
        <v>2</v>
      </c>
      <c r="P82" s="1">
        <v>2</v>
      </c>
      <c r="Q82" s="1">
        <v>2</v>
      </c>
      <c r="R82" s="1">
        <v>0</v>
      </c>
      <c r="AG82" s="1"/>
      <c r="AH82" s="1"/>
      <c r="AI82" s="1"/>
      <c r="AJ82" s="1"/>
      <c r="AK82" s="1"/>
      <c r="AL82" s="1"/>
    </row>
    <row r="83" spans="14:38" ht="15.75" customHeight="1" x14ac:dyDescent="0.25">
      <c r="N83" s="1">
        <v>2050</v>
      </c>
      <c r="O83" s="1">
        <v>2</v>
      </c>
      <c r="P83" s="1">
        <v>2</v>
      </c>
      <c r="Q83" s="1">
        <v>2</v>
      </c>
      <c r="R83" s="1">
        <v>0</v>
      </c>
      <c r="AG83" s="1"/>
      <c r="AH83" s="1"/>
      <c r="AI83" s="1"/>
      <c r="AJ83" s="1"/>
      <c r="AK83" s="1"/>
      <c r="AL83" s="1"/>
    </row>
    <row r="84" spans="14:38" ht="15.75" customHeight="1" x14ac:dyDescent="0.25">
      <c r="N84" s="1">
        <v>2051</v>
      </c>
      <c r="O84" s="1">
        <v>2</v>
      </c>
      <c r="P84" s="1">
        <v>2</v>
      </c>
      <c r="Q84" s="1">
        <v>2</v>
      </c>
      <c r="R84" s="1">
        <v>0</v>
      </c>
      <c r="AG84" s="1"/>
      <c r="AH84" s="1"/>
      <c r="AI84" s="1"/>
      <c r="AJ84" s="1"/>
      <c r="AK84" s="1"/>
      <c r="AL84" s="1"/>
    </row>
    <row r="85" spans="14:38" ht="15.75" customHeight="1" x14ac:dyDescent="0.25">
      <c r="N85" s="1">
        <v>2052</v>
      </c>
      <c r="O85" s="1">
        <v>2</v>
      </c>
      <c r="P85" s="1">
        <v>2</v>
      </c>
      <c r="Q85" s="1">
        <v>2</v>
      </c>
      <c r="R85" s="1">
        <v>0</v>
      </c>
      <c r="AG85" s="1"/>
      <c r="AH85" s="1"/>
      <c r="AI85" s="1"/>
      <c r="AJ85" s="1"/>
      <c r="AK85" s="1"/>
      <c r="AL85" s="1"/>
    </row>
    <row r="86" spans="14:38" ht="15.75" customHeight="1" x14ac:dyDescent="0.25">
      <c r="N86" s="1">
        <v>2053</v>
      </c>
      <c r="O86" s="1">
        <v>2</v>
      </c>
      <c r="P86" s="1">
        <v>2</v>
      </c>
      <c r="Q86" s="1">
        <v>2</v>
      </c>
      <c r="R86" s="1">
        <v>0</v>
      </c>
      <c r="AG86" s="1"/>
      <c r="AH86" s="1"/>
      <c r="AI86" s="1"/>
      <c r="AJ86" s="1"/>
      <c r="AK86" s="1"/>
      <c r="AL86" s="1"/>
    </row>
    <row r="87" spans="14:38" ht="15.75" customHeight="1" x14ac:dyDescent="0.25">
      <c r="N87" s="1">
        <v>2054</v>
      </c>
      <c r="O87" s="1">
        <v>2</v>
      </c>
      <c r="P87" s="1">
        <v>2</v>
      </c>
      <c r="Q87" s="1">
        <v>2</v>
      </c>
      <c r="R87" s="1">
        <v>0</v>
      </c>
      <c r="AG87" s="1"/>
      <c r="AH87" s="1"/>
      <c r="AI87" s="1"/>
      <c r="AJ87" s="1"/>
      <c r="AK87" s="1"/>
      <c r="AL87" s="1"/>
    </row>
    <row r="88" spans="14:38" ht="15.75" customHeight="1" x14ac:dyDescent="0.25">
      <c r="N88" s="1">
        <v>2055</v>
      </c>
      <c r="O88" s="1">
        <v>2</v>
      </c>
      <c r="P88" s="1">
        <v>2</v>
      </c>
      <c r="Q88" s="1">
        <v>2</v>
      </c>
      <c r="R88" s="1">
        <v>0</v>
      </c>
      <c r="AG88" s="1"/>
      <c r="AH88" s="1"/>
      <c r="AI88" s="1"/>
      <c r="AJ88" s="1"/>
      <c r="AK88" s="1"/>
      <c r="AL88" s="1"/>
    </row>
    <row r="89" spans="14:38" ht="15.75" customHeight="1" x14ac:dyDescent="0.25">
      <c r="N89" s="1">
        <v>2056</v>
      </c>
      <c r="O89" s="1">
        <v>2</v>
      </c>
      <c r="P89" s="1">
        <v>2</v>
      </c>
      <c r="Q89" s="1">
        <v>2</v>
      </c>
      <c r="R89" s="1">
        <v>0</v>
      </c>
      <c r="AG89" s="1"/>
      <c r="AH89" s="1"/>
      <c r="AI89" s="1"/>
      <c r="AJ89" s="1"/>
      <c r="AK89" s="1"/>
      <c r="AL89" s="1"/>
    </row>
    <row r="90" spans="14:38" ht="15.75" customHeight="1" x14ac:dyDescent="0.25">
      <c r="N90" s="1">
        <v>2057</v>
      </c>
      <c r="O90" s="1">
        <v>2</v>
      </c>
      <c r="P90" s="1">
        <v>2</v>
      </c>
      <c r="Q90" s="1">
        <v>2</v>
      </c>
      <c r="R90" s="1">
        <v>0</v>
      </c>
      <c r="AG90" s="1"/>
      <c r="AH90" s="1"/>
      <c r="AI90" s="1"/>
      <c r="AJ90" s="1"/>
      <c r="AK90" s="1"/>
      <c r="AL90" s="1"/>
    </row>
    <row r="91" spans="14:38" ht="15.75" customHeight="1" x14ac:dyDescent="0.25">
      <c r="N91" s="1">
        <v>2058</v>
      </c>
      <c r="O91" s="1">
        <v>2</v>
      </c>
      <c r="P91" s="1">
        <v>2</v>
      </c>
      <c r="Q91" s="1">
        <v>2</v>
      </c>
      <c r="R91" s="1">
        <v>0</v>
      </c>
      <c r="AG91" s="1"/>
      <c r="AH91" s="1"/>
      <c r="AI91" s="1"/>
      <c r="AJ91" s="1"/>
      <c r="AK91" s="1"/>
      <c r="AL91" s="1"/>
    </row>
    <row r="92" spans="14:38" ht="15.75" customHeight="1" x14ac:dyDescent="0.25">
      <c r="N92" s="1">
        <v>2059</v>
      </c>
      <c r="O92" s="1">
        <v>2</v>
      </c>
      <c r="P92" s="1">
        <v>2</v>
      </c>
      <c r="Q92" s="1">
        <v>2</v>
      </c>
      <c r="R92" s="1">
        <v>0</v>
      </c>
      <c r="AG92" s="1"/>
      <c r="AH92" s="1"/>
      <c r="AI92" s="1"/>
      <c r="AJ92" s="1"/>
      <c r="AK92" s="1"/>
      <c r="AL92" s="1"/>
    </row>
    <row r="93" spans="14:38" ht="15.75" customHeight="1" x14ac:dyDescent="0.25">
      <c r="N93" s="1">
        <v>2060</v>
      </c>
      <c r="O93" s="1">
        <v>2</v>
      </c>
      <c r="P93" s="1">
        <v>2</v>
      </c>
      <c r="Q93" s="1">
        <v>2</v>
      </c>
      <c r="R93" s="1">
        <v>0</v>
      </c>
      <c r="AG93" s="1"/>
      <c r="AH93" s="1"/>
      <c r="AI93" s="1"/>
      <c r="AJ93" s="1"/>
      <c r="AK93" s="1"/>
      <c r="AL93" s="1"/>
    </row>
    <row r="94" spans="14:38" ht="15.75" customHeight="1" x14ac:dyDescent="0.25">
      <c r="N94" s="1">
        <v>2061</v>
      </c>
      <c r="O94" s="1">
        <v>2</v>
      </c>
      <c r="P94" s="1">
        <v>2</v>
      </c>
      <c r="Q94" s="1">
        <v>2</v>
      </c>
      <c r="R94" s="1">
        <v>0</v>
      </c>
      <c r="AG94" s="1"/>
      <c r="AH94" s="1"/>
      <c r="AI94" s="1"/>
      <c r="AJ94" s="1"/>
      <c r="AK94" s="1"/>
      <c r="AL94" s="1"/>
    </row>
    <row r="95" spans="14:38" ht="15.75" customHeight="1" x14ac:dyDescent="0.25">
      <c r="N95" s="1">
        <v>2062</v>
      </c>
      <c r="O95" s="1">
        <v>2</v>
      </c>
      <c r="P95" s="1">
        <v>2</v>
      </c>
      <c r="Q95" s="1">
        <v>2</v>
      </c>
      <c r="R95" s="1">
        <v>0</v>
      </c>
      <c r="AG95" s="1"/>
      <c r="AH95" s="1"/>
      <c r="AI95" s="1"/>
      <c r="AJ95" s="1"/>
      <c r="AK95" s="1"/>
      <c r="AL95" s="1"/>
    </row>
    <row r="96" spans="14:38" ht="15.75" customHeight="1" x14ac:dyDescent="0.25">
      <c r="N96" s="1">
        <v>2063</v>
      </c>
      <c r="O96" s="1">
        <v>2</v>
      </c>
      <c r="P96" s="1">
        <v>2</v>
      </c>
      <c r="Q96" s="1">
        <v>2</v>
      </c>
      <c r="R96" s="1">
        <v>0</v>
      </c>
      <c r="AG96" s="1"/>
      <c r="AH96" s="1"/>
      <c r="AI96" s="1"/>
      <c r="AJ96" s="1"/>
      <c r="AK96" s="1"/>
      <c r="AL96" s="1"/>
    </row>
    <row r="97" spans="14:38" ht="15.75" customHeight="1" x14ac:dyDescent="0.25">
      <c r="N97" s="1">
        <v>2064</v>
      </c>
      <c r="O97" s="1">
        <v>2</v>
      </c>
      <c r="P97" s="1">
        <v>2</v>
      </c>
      <c r="Q97" s="1">
        <v>2</v>
      </c>
      <c r="R97" s="1">
        <v>0</v>
      </c>
      <c r="AG97" s="1"/>
      <c r="AH97" s="1"/>
      <c r="AI97" s="1"/>
      <c r="AJ97" s="1"/>
      <c r="AK97" s="1"/>
      <c r="AL97" s="1"/>
    </row>
    <row r="98" spans="14:38" ht="15.75" customHeight="1" x14ac:dyDescent="0.25">
      <c r="N98" s="1">
        <v>2065</v>
      </c>
      <c r="O98" s="1">
        <v>2</v>
      </c>
      <c r="P98" s="1">
        <v>2</v>
      </c>
      <c r="Q98" s="1">
        <v>2</v>
      </c>
      <c r="R98" s="1">
        <v>0</v>
      </c>
      <c r="AG98" s="1"/>
      <c r="AH98" s="1"/>
      <c r="AI98" s="1"/>
      <c r="AJ98" s="1"/>
      <c r="AK98" s="1"/>
      <c r="AL98" s="1"/>
    </row>
    <row r="99" spans="14:38" ht="15.75" customHeight="1" x14ac:dyDescent="0.25">
      <c r="N99" s="1">
        <v>2066</v>
      </c>
      <c r="O99" s="1">
        <v>2</v>
      </c>
      <c r="P99" s="1">
        <v>2</v>
      </c>
      <c r="Q99" s="1">
        <v>2</v>
      </c>
      <c r="R99" s="1">
        <v>0</v>
      </c>
      <c r="AG99" s="1"/>
      <c r="AH99" s="1"/>
      <c r="AI99" s="1"/>
      <c r="AJ99" s="1"/>
      <c r="AK99" s="1"/>
      <c r="AL99" s="1"/>
    </row>
    <row r="100" spans="14:38" ht="15.75" customHeight="1" x14ac:dyDescent="0.25">
      <c r="N100" s="1">
        <v>2067</v>
      </c>
      <c r="O100" s="1">
        <v>2</v>
      </c>
      <c r="P100" s="1">
        <v>2</v>
      </c>
      <c r="Q100" s="1">
        <v>2</v>
      </c>
      <c r="R100" s="1">
        <v>0</v>
      </c>
      <c r="AG100" s="1"/>
      <c r="AH100" s="1"/>
      <c r="AI100" s="1"/>
      <c r="AJ100" s="1"/>
      <c r="AK100" s="1"/>
      <c r="AL100" s="1"/>
    </row>
    <row r="101" spans="14:38" ht="15.75" customHeight="1" x14ac:dyDescent="0.25">
      <c r="N101" s="1">
        <v>2068</v>
      </c>
      <c r="O101" s="1">
        <v>2</v>
      </c>
      <c r="P101" s="1">
        <v>2</v>
      </c>
      <c r="Q101" s="1">
        <v>2</v>
      </c>
      <c r="R101" s="1">
        <v>0</v>
      </c>
      <c r="AG101" s="1"/>
      <c r="AH101" s="1"/>
      <c r="AI101" s="1"/>
      <c r="AJ101" s="1"/>
      <c r="AK101" s="1"/>
      <c r="AL101" s="1"/>
    </row>
    <row r="102" spans="14:38" ht="15.75" customHeight="1" x14ac:dyDescent="0.25">
      <c r="N102" s="1">
        <v>2069</v>
      </c>
      <c r="O102" s="1">
        <v>2</v>
      </c>
      <c r="P102" s="1">
        <v>2</v>
      </c>
      <c r="Q102" s="1">
        <v>2</v>
      </c>
      <c r="R102" s="1">
        <v>0</v>
      </c>
      <c r="AG102" s="1"/>
      <c r="AH102" s="1"/>
      <c r="AI102" s="1"/>
      <c r="AJ102" s="1"/>
      <c r="AK102" s="1"/>
      <c r="AL102" s="1"/>
    </row>
    <row r="103" spans="14:38" ht="15.75" customHeight="1" x14ac:dyDescent="0.25">
      <c r="N103" s="1">
        <v>2070</v>
      </c>
      <c r="O103" s="1">
        <v>2</v>
      </c>
      <c r="P103" s="1">
        <v>2</v>
      </c>
      <c r="Q103" s="1">
        <v>2</v>
      </c>
      <c r="R103" s="1">
        <v>0</v>
      </c>
      <c r="AG103" s="1"/>
      <c r="AH103" s="1"/>
      <c r="AI103" s="1"/>
      <c r="AJ103" s="1"/>
      <c r="AK103" s="1"/>
      <c r="AL103" s="1"/>
    </row>
    <row r="104" spans="14:38" ht="15.75" customHeight="1" x14ac:dyDescent="0.25">
      <c r="N104" s="1">
        <v>2071</v>
      </c>
      <c r="O104" s="1">
        <v>2</v>
      </c>
      <c r="P104" s="1">
        <v>2</v>
      </c>
      <c r="Q104" s="1">
        <v>2</v>
      </c>
      <c r="R104" s="1">
        <v>0</v>
      </c>
      <c r="AG104" s="1"/>
      <c r="AH104" s="1"/>
      <c r="AI104" s="1"/>
      <c r="AJ104" s="1"/>
      <c r="AK104" s="1"/>
      <c r="AL104" s="1"/>
    </row>
    <row r="105" spans="14:38" ht="15.75" customHeight="1" x14ac:dyDescent="0.25">
      <c r="N105" s="1">
        <v>2072</v>
      </c>
      <c r="O105" s="1">
        <v>2</v>
      </c>
      <c r="P105" s="1">
        <v>2</v>
      </c>
      <c r="Q105" s="1">
        <v>2</v>
      </c>
      <c r="R105" s="1">
        <v>0</v>
      </c>
      <c r="AG105" s="1"/>
      <c r="AH105" s="1"/>
      <c r="AI105" s="1"/>
      <c r="AJ105" s="1"/>
      <c r="AK105" s="1"/>
      <c r="AL105" s="1"/>
    </row>
    <row r="106" spans="14:38" ht="15.75" customHeight="1" x14ac:dyDescent="0.25">
      <c r="N106" s="1">
        <v>2073</v>
      </c>
      <c r="O106" s="1">
        <v>2</v>
      </c>
      <c r="P106" s="1">
        <v>2</v>
      </c>
      <c r="Q106" s="1">
        <v>2</v>
      </c>
      <c r="R106" s="1">
        <v>0</v>
      </c>
      <c r="AG106" s="1"/>
      <c r="AH106" s="1"/>
      <c r="AI106" s="1"/>
      <c r="AJ106" s="1"/>
      <c r="AK106" s="1"/>
      <c r="AL106" s="1"/>
    </row>
    <row r="107" spans="14:38" ht="15.75" customHeight="1" x14ac:dyDescent="0.25">
      <c r="N107" s="1">
        <v>2074</v>
      </c>
      <c r="O107" s="1">
        <v>2</v>
      </c>
      <c r="P107" s="1">
        <v>2</v>
      </c>
      <c r="Q107" s="1">
        <v>2</v>
      </c>
      <c r="R107" s="1">
        <v>0</v>
      </c>
      <c r="AG107" s="1"/>
      <c r="AH107" s="1"/>
      <c r="AI107" s="1"/>
      <c r="AJ107" s="1"/>
      <c r="AK107" s="1"/>
      <c r="AL107" s="1"/>
    </row>
    <row r="108" spans="14:38" ht="15.75" customHeight="1" x14ac:dyDescent="0.25">
      <c r="N108" s="1">
        <v>2075</v>
      </c>
      <c r="O108" s="1">
        <v>2</v>
      </c>
      <c r="P108" s="1">
        <v>2</v>
      </c>
      <c r="Q108" s="1">
        <v>2</v>
      </c>
      <c r="R108" s="1">
        <v>0</v>
      </c>
      <c r="AG108" s="1"/>
      <c r="AH108" s="1"/>
      <c r="AI108" s="1"/>
      <c r="AJ108" s="1"/>
      <c r="AK108" s="1"/>
      <c r="AL108" s="1"/>
    </row>
    <row r="109" spans="14:38" ht="15.75" customHeight="1" x14ac:dyDescent="0.25">
      <c r="N109" s="1">
        <v>2076</v>
      </c>
      <c r="O109" s="1">
        <v>2</v>
      </c>
      <c r="P109" s="1">
        <v>2</v>
      </c>
      <c r="Q109" s="1">
        <v>2</v>
      </c>
      <c r="R109" s="1">
        <v>0</v>
      </c>
      <c r="AG109" s="1"/>
      <c r="AH109" s="1"/>
      <c r="AI109" s="1"/>
      <c r="AJ109" s="1"/>
      <c r="AK109" s="1"/>
      <c r="AL109" s="1"/>
    </row>
    <row r="110" spans="14:38" ht="15.75" customHeight="1" x14ac:dyDescent="0.25">
      <c r="N110" s="1">
        <v>2077</v>
      </c>
      <c r="O110" s="1">
        <v>2</v>
      </c>
      <c r="P110" s="1">
        <v>2</v>
      </c>
      <c r="Q110" s="1">
        <v>2</v>
      </c>
      <c r="R110" s="1">
        <v>0</v>
      </c>
      <c r="AG110" s="1"/>
      <c r="AH110" s="1"/>
      <c r="AI110" s="1"/>
      <c r="AJ110" s="1"/>
      <c r="AK110" s="1"/>
      <c r="AL110" s="1"/>
    </row>
    <row r="111" spans="14:38" ht="15.75" customHeight="1" x14ac:dyDescent="0.25">
      <c r="N111" s="1">
        <v>2078</v>
      </c>
      <c r="O111" s="1">
        <v>2</v>
      </c>
      <c r="P111" s="1">
        <v>2</v>
      </c>
      <c r="Q111" s="1">
        <v>2</v>
      </c>
      <c r="R111" s="1">
        <v>0</v>
      </c>
      <c r="AG111" s="1"/>
      <c r="AH111" s="1"/>
      <c r="AI111" s="1"/>
      <c r="AJ111" s="1"/>
      <c r="AK111" s="1"/>
      <c r="AL111" s="1"/>
    </row>
    <row r="112" spans="14:38" ht="15.75" customHeight="1" x14ac:dyDescent="0.25">
      <c r="N112" s="1">
        <v>2079</v>
      </c>
      <c r="O112" s="1">
        <v>2</v>
      </c>
      <c r="P112" s="1">
        <v>2</v>
      </c>
      <c r="Q112" s="1">
        <v>2</v>
      </c>
      <c r="R112" s="1">
        <v>0</v>
      </c>
      <c r="AG112" s="1"/>
      <c r="AH112" s="1"/>
      <c r="AI112" s="1"/>
      <c r="AJ112" s="1"/>
      <c r="AK112" s="1"/>
      <c r="AL112" s="1"/>
    </row>
    <row r="113" spans="14:38" ht="15.75" customHeight="1" x14ac:dyDescent="0.25">
      <c r="N113" s="1">
        <v>2080</v>
      </c>
      <c r="O113" s="1">
        <v>2</v>
      </c>
      <c r="P113" s="1">
        <v>2</v>
      </c>
      <c r="Q113" s="1">
        <v>2</v>
      </c>
      <c r="R113" s="1">
        <v>0</v>
      </c>
      <c r="AG113" s="1"/>
      <c r="AH113" s="1"/>
      <c r="AI113" s="1"/>
      <c r="AJ113" s="1"/>
      <c r="AK113" s="1"/>
      <c r="AL113" s="1"/>
    </row>
    <row r="114" spans="14:38" ht="15.75" customHeight="1" x14ac:dyDescent="0.25">
      <c r="N114" s="1">
        <v>2081</v>
      </c>
      <c r="O114" s="1">
        <v>2</v>
      </c>
      <c r="P114" s="1">
        <v>2</v>
      </c>
      <c r="Q114" s="1">
        <v>2</v>
      </c>
      <c r="R114" s="1">
        <v>0</v>
      </c>
      <c r="AG114" s="1"/>
      <c r="AH114" s="1"/>
      <c r="AI114" s="1"/>
      <c r="AJ114" s="1"/>
      <c r="AK114" s="1"/>
      <c r="AL114" s="1"/>
    </row>
    <row r="115" spans="14:38" ht="15.75" customHeight="1" x14ac:dyDescent="0.25">
      <c r="N115" s="1">
        <v>2082</v>
      </c>
      <c r="O115" s="1">
        <v>2</v>
      </c>
      <c r="P115" s="1">
        <v>2</v>
      </c>
      <c r="Q115" s="1">
        <v>2</v>
      </c>
      <c r="R115" s="1">
        <v>0</v>
      </c>
      <c r="AG115" s="1"/>
      <c r="AH115" s="1"/>
      <c r="AI115" s="1"/>
      <c r="AJ115" s="1"/>
      <c r="AK115" s="1"/>
      <c r="AL115" s="1"/>
    </row>
    <row r="116" spans="14:38" ht="15.75" customHeight="1" x14ac:dyDescent="0.25">
      <c r="N116" s="1">
        <v>2083</v>
      </c>
      <c r="O116" s="1">
        <v>2</v>
      </c>
      <c r="P116" s="1">
        <v>2</v>
      </c>
      <c r="Q116" s="1">
        <v>2</v>
      </c>
      <c r="R116" s="1">
        <v>0</v>
      </c>
      <c r="AG116" s="1"/>
      <c r="AH116" s="1"/>
      <c r="AI116" s="1"/>
      <c r="AJ116" s="1"/>
      <c r="AK116" s="1"/>
      <c r="AL116" s="1"/>
    </row>
    <row r="117" spans="14:38" ht="15.75" customHeight="1" x14ac:dyDescent="0.25">
      <c r="N117" s="1">
        <v>2084</v>
      </c>
      <c r="O117" s="1">
        <v>2</v>
      </c>
      <c r="P117" s="1">
        <v>2</v>
      </c>
      <c r="Q117" s="1">
        <v>2</v>
      </c>
      <c r="R117" s="1">
        <v>0</v>
      </c>
      <c r="AG117" s="1"/>
      <c r="AH117" s="1"/>
      <c r="AI117" s="1"/>
      <c r="AJ117" s="1"/>
      <c r="AK117" s="1"/>
      <c r="AL117" s="1"/>
    </row>
    <row r="118" spans="14:38" ht="15.75" customHeight="1" x14ac:dyDescent="0.25">
      <c r="N118" s="1">
        <v>2085</v>
      </c>
      <c r="O118" s="1">
        <v>2</v>
      </c>
      <c r="P118" s="1">
        <v>2</v>
      </c>
      <c r="Q118" s="1">
        <v>2</v>
      </c>
      <c r="R118" s="1">
        <v>0</v>
      </c>
      <c r="AG118" s="1"/>
      <c r="AH118" s="1"/>
      <c r="AI118" s="1"/>
      <c r="AJ118" s="1"/>
      <c r="AK118" s="1"/>
      <c r="AL118" s="1"/>
    </row>
    <row r="119" spans="14:38" ht="15.75" customHeight="1" x14ac:dyDescent="0.25">
      <c r="N119" s="1">
        <v>2086</v>
      </c>
      <c r="O119" s="1">
        <v>2</v>
      </c>
      <c r="P119" s="1">
        <v>2</v>
      </c>
      <c r="Q119" s="1">
        <v>2</v>
      </c>
      <c r="R119" s="1">
        <v>0</v>
      </c>
      <c r="AG119" s="1"/>
      <c r="AH119" s="1"/>
      <c r="AI119" s="1"/>
      <c r="AJ119" s="1"/>
      <c r="AK119" s="1"/>
      <c r="AL119" s="1"/>
    </row>
    <row r="120" spans="14:38" ht="15.75" customHeight="1" x14ac:dyDescent="0.25">
      <c r="N120" s="1">
        <v>2087</v>
      </c>
      <c r="O120" s="1">
        <v>2</v>
      </c>
      <c r="P120" s="1">
        <v>2</v>
      </c>
      <c r="Q120" s="1">
        <v>2</v>
      </c>
      <c r="R120" s="1">
        <v>0</v>
      </c>
      <c r="AG120" s="1"/>
      <c r="AH120" s="1"/>
      <c r="AI120" s="1"/>
      <c r="AJ120" s="1"/>
      <c r="AK120" s="1"/>
      <c r="AL120" s="1"/>
    </row>
    <row r="121" spans="14:38" ht="15.75" customHeight="1" x14ac:dyDescent="0.25">
      <c r="N121" s="1">
        <v>2088</v>
      </c>
      <c r="O121" s="1">
        <v>2</v>
      </c>
      <c r="P121" s="1">
        <v>2</v>
      </c>
      <c r="Q121" s="1">
        <v>2</v>
      </c>
      <c r="R121" s="1">
        <v>0</v>
      </c>
      <c r="AG121" s="1"/>
      <c r="AH121" s="1"/>
      <c r="AI121" s="1"/>
      <c r="AJ121" s="1"/>
      <c r="AK121" s="1"/>
      <c r="AL121" s="1"/>
    </row>
    <row r="122" spans="14:38" ht="15.75" customHeight="1" x14ac:dyDescent="0.25">
      <c r="N122" s="1">
        <v>2089</v>
      </c>
      <c r="O122" s="1">
        <v>2</v>
      </c>
      <c r="P122" s="1">
        <v>2</v>
      </c>
      <c r="Q122" s="1">
        <v>2</v>
      </c>
      <c r="R122" s="1">
        <v>0</v>
      </c>
      <c r="AG122" s="1"/>
      <c r="AH122" s="1"/>
      <c r="AI122" s="1"/>
      <c r="AJ122" s="1"/>
      <c r="AK122" s="1"/>
      <c r="AL122" s="1"/>
    </row>
    <row r="123" spans="14:38" ht="15.75" customHeight="1" x14ac:dyDescent="0.25">
      <c r="N123" s="1">
        <v>2090</v>
      </c>
      <c r="O123" s="1">
        <v>2</v>
      </c>
      <c r="P123" s="1">
        <v>2</v>
      </c>
      <c r="Q123" s="1">
        <v>2</v>
      </c>
      <c r="R123" s="1">
        <v>0</v>
      </c>
      <c r="AG123" s="1"/>
      <c r="AH123" s="1"/>
      <c r="AI123" s="1"/>
      <c r="AJ123" s="1"/>
      <c r="AK123" s="1"/>
      <c r="AL123" s="1"/>
    </row>
    <row r="124" spans="14:38" ht="15.75" customHeight="1" x14ac:dyDescent="0.25">
      <c r="N124" s="1">
        <v>2091</v>
      </c>
      <c r="O124" s="1">
        <v>2</v>
      </c>
      <c r="P124" s="1">
        <v>2</v>
      </c>
      <c r="Q124" s="1">
        <v>2</v>
      </c>
      <c r="R124" s="1">
        <v>0</v>
      </c>
      <c r="AG124" s="1"/>
      <c r="AH124" s="1"/>
      <c r="AI124" s="1"/>
      <c r="AJ124" s="1"/>
      <c r="AK124" s="1"/>
      <c r="AL124" s="1"/>
    </row>
    <row r="125" spans="14:38" ht="15.75" customHeight="1" x14ac:dyDescent="0.25">
      <c r="N125" s="1">
        <v>2092</v>
      </c>
      <c r="O125" s="1">
        <v>2</v>
      </c>
      <c r="P125" s="1">
        <v>2</v>
      </c>
      <c r="Q125" s="1">
        <v>2</v>
      </c>
      <c r="R125" s="1">
        <v>0</v>
      </c>
      <c r="AG125" s="1"/>
      <c r="AH125" s="1"/>
      <c r="AI125" s="1"/>
      <c r="AJ125" s="1"/>
      <c r="AK125" s="1"/>
      <c r="AL125" s="1"/>
    </row>
    <row r="126" spans="14:38" ht="15.75" customHeight="1" x14ac:dyDescent="0.25">
      <c r="N126" s="1">
        <v>2093</v>
      </c>
      <c r="O126" s="1">
        <v>2</v>
      </c>
      <c r="P126" s="1">
        <v>2</v>
      </c>
      <c r="Q126" s="1">
        <v>2</v>
      </c>
      <c r="R126" s="1">
        <v>0</v>
      </c>
      <c r="AG126" s="1"/>
      <c r="AH126" s="1"/>
      <c r="AI126" s="1"/>
      <c r="AJ126" s="1"/>
      <c r="AK126" s="1"/>
      <c r="AL126" s="1"/>
    </row>
    <row r="127" spans="14:38" ht="15.75" customHeight="1" x14ac:dyDescent="0.25">
      <c r="N127" s="1">
        <v>2094</v>
      </c>
      <c r="O127" s="1">
        <v>2</v>
      </c>
      <c r="P127" s="1">
        <v>2</v>
      </c>
      <c r="Q127" s="1">
        <v>2</v>
      </c>
      <c r="R127" s="1">
        <v>0</v>
      </c>
      <c r="AG127" s="1"/>
      <c r="AH127" s="1"/>
      <c r="AI127" s="1"/>
      <c r="AJ127" s="1"/>
      <c r="AK127" s="1"/>
      <c r="AL127" s="1"/>
    </row>
    <row r="128" spans="14:38" ht="15.75" customHeight="1" x14ac:dyDescent="0.25">
      <c r="N128" s="1">
        <v>2095</v>
      </c>
      <c r="O128" s="1">
        <v>2</v>
      </c>
      <c r="P128" s="1">
        <v>2</v>
      </c>
      <c r="Q128" s="1">
        <v>2</v>
      </c>
      <c r="R128" s="1">
        <v>0</v>
      </c>
      <c r="AG128" s="1"/>
      <c r="AH128" s="1"/>
      <c r="AI128" s="1"/>
      <c r="AJ128" s="1"/>
      <c r="AK128" s="1"/>
      <c r="AL128" s="1"/>
    </row>
    <row r="129" spans="14:38" ht="15.75" customHeight="1" x14ac:dyDescent="0.25">
      <c r="N129" s="1">
        <v>2096</v>
      </c>
      <c r="O129" s="1">
        <v>2</v>
      </c>
      <c r="P129" s="1">
        <v>2</v>
      </c>
      <c r="Q129" s="1">
        <v>2</v>
      </c>
      <c r="R129" s="1">
        <v>0</v>
      </c>
      <c r="AG129" s="1"/>
      <c r="AH129" s="1"/>
      <c r="AI129" s="1"/>
      <c r="AJ129" s="1"/>
      <c r="AK129" s="1"/>
      <c r="AL129" s="1"/>
    </row>
    <row r="130" spans="14:38" ht="15.75" customHeight="1" x14ac:dyDescent="0.25">
      <c r="N130" s="1">
        <v>2097</v>
      </c>
      <c r="O130" s="1">
        <v>2</v>
      </c>
      <c r="P130" s="1">
        <v>2</v>
      </c>
      <c r="Q130" s="1">
        <v>2</v>
      </c>
      <c r="R130" s="1">
        <v>0</v>
      </c>
      <c r="AG130" s="1"/>
      <c r="AH130" s="1"/>
      <c r="AI130" s="1"/>
      <c r="AJ130" s="1"/>
      <c r="AK130" s="1"/>
      <c r="AL130" s="1"/>
    </row>
    <row r="131" spans="14:38" ht="15.75" customHeight="1" x14ac:dyDescent="0.25">
      <c r="N131" s="1">
        <v>2098</v>
      </c>
      <c r="O131" s="1">
        <v>2</v>
      </c>
      <c r="P131" s="1">
        <v>2</v>
      </c>
      <c r="Q131" s="1">
        <v>2</v>
      </c>
      <c r="R131" s="1">
        <v>0</v>
      </c>
      <c r="AG131" s="1"/>
      <c r="AH131" s="1"/>
      <c r="AI131" s="1"/>
      <c r="AJ131" s="1"/>
      <c r="AK131" s="1"/>
      <c r="AL131" s="1"/>
    </row>
    <row r="132" spans="14:38" ht="15.75" customHeight="1" x14ac:dyDescent="0.25">
      <c r="N132" s="1">
        <v>2099</v>
      </c>
      <c r="O132" s="1">
        <v>2</v>
      </c>
      <c r="P132" s="1">
        <v>2</v>
      </c>
      <c r="Q132" s="1">
        <v>2</v>
      </c>
      <c r="R132" s="1">
        <v>0</v>
      </c>
      <c r="AG132" s="1"/>
      <c r="AH132" s="1"/>
      <c r="AI132" s="1"/>
      <c r="AJ132" s="1"/>
      <c r="AK132" s="1"/>
      <c r="AL132" s="1"/>
    </row>
    <row r="133" spans="14:38" ht="15.75" customHeight="1" x14ac:dyDescent="0.25">
      <c r="N133" s="1">
        <v>2100</v>
      </c>
      <c r="O133" s="1">
        <v>2</v>
      </c>
      <c r="P133" s="1">
        <v>2</v>
      </c>
      <c r="Q133" s="1">
        <v>2</v>
      </c>
      <c r="R133" s="1">
        <v>0</v>
      </c>
      <c r="AG133" s="1"/>
      <c r="AH133" s="1"/>
      <c r="AI133" s="1"/>
      <c r="AJ133" s="1"/>
      <c r="AK133" s="1"/>
      <c r="AL133" s="1"/>
    </row>
    <row r="134" spans="14:38" ht="15.75" customHeight="1" x14ac:dyDescent="0.25">
      <c r="N134" s="1">
        <v>2101</v>
      </c>
      <c r="O134" s="1">
        <v>2</v>
      </c>
      <c r="P134" s="1">
        <v>2</v>
      </c>
      <c r="Q134" s="1">
        <v>2</v>
      </c>
      <c r="R134" s="1">
        <v>0</v>
      </c>
      <c r="AG134" s="1"/>
      <c r="AH134" s="1"/>
      <c r="AI134" s="1"/>
      <c r="AJ134" s="1"/>
      <c r="AK134" s="1"/>
      <c r="AL134" s="1"/>
    </row>
    <row r="135" spans="14:38" ht="15.75" customHeight="1" x14ac:dyDescent="0.25">
      <c r="N135" s="1">
        <v>2102</v>
      </c>
      <c r="O135" s="1">
        <v>2</v>
      </c>
      <c r="P135" s="1">
        <v>2</v>
      </c>
      <c r="Q135" s="1">
        <v>2</v>
      </c>
      <c r="R135" s="1">
        <v>0</v>
      </c>
      <c r="AG135" s="1"/>
      <c r="AH135" s="1"/>
      <c r="AI135" s="1"/>
      <c r="AJ135" s="1"/>
      <c r="AK135" s="1"/>
      <c r="AL135" s="1"/>
    </row>
    <row r="136" spans="14:38" ht="15.75" customHeight="1" x14ac:dyDescent="0.25">
      <c r="N136" s="1">
        <v>2103</v>
      </c>
      <c r="O136" s="1">
        <v>2</v>
      </c>
      <c r="P136" s="1">
        <v>2</v>
      </c>
      <c r="Q136" s="1">
        <v>2</v>
      </c>
      <c r="R136" s="1">
        <v>0</v>
      </c>
      <c r="AG136" s="1"/>
      <c r="AH136" s="1"/>
      <c r="AI136" s="1"/>
      <c r="AJ136" s="1"/>
      <c r="AK136" s="1"/>
      <c r="AL136" s="1"/>
    </row>
    <row r="137" spans="14:38" ht="15.75" customHeight="1" x14ac:dyDescent="0.25">
      <c r="N137" s="1">
        <v>2104</v>
      </c>
      <c r="O137" s="1">
        <v>2</v>
      </c>
      <c r="P137" s="1">
        <v>2</v>
      </c>
      <c r="Q137" s="1">
        <v>2</v>
      </c>
      <c r="R137" s="1">
        <v>0</v>
      </c>
      <c r="AG137" s="1"/>
      <c r="AH137" s="1"/>
      <c r="AI137" s="1"/>
      <c r="AJ137" s="1"/>
      <c r="AK137" s="1"/>
      <c r="AL137" s="1"/>
    </row>
    <row r="138" spans="14:38" ht="15.75" customHeight="1" x14ac:dyDescent="0.25">
      <c r="N138" s="1">
        <v>2105</v>
      </c>
      <c r="O138" s="1">
        <v>2</v>
      </c>
      <c r="P138" s="1">
        <v>2</v>
      </c>
      <c r="Q138" s="1">
        <v>2</v>
      </c>
      <c r="R138" s="1">
        <v>0</v>
      </c>
      <c r="AG138" s="1"/>
      <c r="AH138" s="1"/>
      <c r="AI138" s="1"/>
      <c r="AJ138" s="1"/>
      <c r="AK138" s="1"/>
      <c r="AL138" s="1"/>
    </row>
    <row r="139" spans="14:38" ht="15.75" customHeight="1" x14ac:dyDescent="0.25">
      <c r="N139" s="1">
        <v>2106</v>
      </c>
      <c r="O139" s="1">
        <v>2</v>
      </c>
      <c r="P139" s="1">
        <v>2</v>
      </c>
      <c r="Q139" s="1">
        <v>2</v>
      </c>
      <c r="R139" s="1">
        <v>0</v>
      </c>
      <c r="AG139" s="1"/>
      <c r="AH139" s="1"/>
      <c r="AI139" s="1"/>
      <c r="AJ139" s="1"/>
      <c r="AK139" s="1"/>
      <c r="AL139" s="1"/>
    </row>
    <row r="140" spans="14:38" ht="15.75" customHeight="1" x14ac:dyDescent="0.25">
      <c r="N140" s="1">
        <v>2107</v>
      </c>
      <c r="O140" s="1">
        <v>2</v>
      </c>
      <c r="P140" s="1">
        <v>2</v>
      </c>
      <c r="Q140" s="1">
        <v>2</v>
      </c>
      <c r="R140" s="1">
        <v>0</v>
      </c>
      <c r="AG140" s="1"/>
      <c r="AH140" s="1"/>
      <c r="AI140" s="1"/>
      <c r="AJ140" s="1"/>
      <c r="AK140" s="1"/>
      <c r="AL140" s="1"/>
    </row>
    <row r="141" spans="14:38" ht="15.75" customHeight="1" x14ac:dyDescent="0.25">
      <c r="N141" s="1">
        <v>2108</v>
      </c>
      <c r="O141" s="1">
        <v>2</v>
      </c>
      <c r="P141" s="1">
        <v>2</v>
      </c>
      <c r="Q141" s="1">
        <v>2</v>
      </c>
      <c r="R141" s="1">
        <v>0</v>
      </c>
      <c r="AG141" s="1"/>
      <c r="AH141" s="1"/>
      <c r="AI141" s="1"/>
      <c r="AJ141" s="1"/>
      <c r="AK141" s="1"/>
      <c r="AL141" s="1"/>
    </row>
    <row r="142" spans="14:38" ht="15.75" customHeight="1" x14ac:dyDescent="0.25">
      <c r="N142" s="1">
        <v>2109</v>
      </c>
      <c r="O142" s="1">
        <v>2</v>
      </c>
      <c r="P142" s="1">
        <v>2</v>
      </c>
      <c r="Q142" s="1">
        <v>2</v>
      </c>
      <c r="R142" s="1">
        <v>0</v>
      </c>
      <c r="AG142" s="1"/>
      <c r="AH142" s="1"/>
      <c r="AI142" s="1"/>
      <c r="AJ142" s="1"/>
      <c r="AK142" s="1"/>
      <c r="AL142" s="1"/>
    </row>
    <row r="143" spans="14:38" ht="15.75" customHeight="1" x14ac:dyDescent="0.25">
      <c r="N143" s="1">
        <v>2110</v>
      </c>
      <c r="O143" s="1">
        <v>2</v>
      </c>
      <c r="P143" s="1">
        <v>2</v>
      </c>
      <c r="Q143" s="1">
        <v>2</v>
      </c>
      <c r="R143" s="1">
        <v>0</v>
      </c>
      <c r="AG143" s="1"/>
      <c r="AH143" s="1"/>
      <c r="AI143" s="1"/>
      <c r="AJ143" s="1"/>
      <c r="AK143" s="1"/>
      <c r="AL143" s="1"/>
    </row>
    <row r="144" spans="14:38" ht="15.75" customHeight="1" x14ac:dyDescent="0.25">
      <c r="N144" s="1">
        <v>2111</v>
      </c>
      <c r="O144" s="1">
        <v>2</v>
      </c>
      <c r="P144" s="1">
        <v>2</v>
      </c>
      <c r="Q144" s="1">
        <v>2</v>
      </c>
      <c r="R144" s="1">
        <v>0</v>
      </c>
      <c r="AG144" s="1"/>
      <c r="AH144" s="1"/>
      <c r="AI144" s="1"/>
      <c r="AJ144" s="1"/>
      <c r="AK144" s="1"/>
      <c r="AL144" s="1"/>
    </row>
    <row r="145" spans="14:38" ht="15.75" customHeight="1" x14ac:dyDescent="0.25">
      <c r="N145" s="1">
        <v>2112</v>
      </c>
      <c r="O145" s="1">
        <v>2</v>
      </c>
      <c r="P145" s="1">
        <v>2</v>
      </c>
      <c r="Q145" s="1">
        <v>2</v>
      </c>
      <c r="R145" s="1">
        <v>0</v>
      </c>
      <c r="AG145" s="1"/>
      <c r="AH145" s="1"/>
      <c r="AI145" s="1"/>
      <c r="AJ145" s="1"/>
      <c r="AK145" s="1"/>
      <c r="AL145" s="1"/>
    </row>
    <row r="146" spans="14:38" ht="15.75" customHeight="1" x14ac:dyDescent="0.25">
      <c r="N146" s="1">
        <v>2113</v>
      </c>
      <c r="O146" s="1">
        <v>2</v>
      </c>
      <c r="P146" s="1">
        <v>2</v>
      </c>
      <c r="Q146" s="1">
        <v>2</v>
      </c>
      <c r="R146" s="1">
        <v>0</v>
      </c>
      <c r="AG146" s="1"/>
      <c r="AH146" s="1"/>
      <c r="AI146" s="1"/>
      <c r="AJ146" s="1"/>
      <c r="AK146" s="1"/>
      <c r="AL146" s="1"/>
    </row>
    <row r="147" spans="14:38" ht="15.75" customHeight="1" x14ac:dyDescent="0.25">
      <c r="N147" s="1">
        <v>2114</v>
      </c>
      <c r="O147" s="1">
        <v>2</v>
      </c>
      <c r="P147" s="1">
        <v>2</v>
      </c>
      <c r="Q147" s="1">
        <v>2</v>
      </c>
      <c r="R147" s="1">
        <v>0</v>
      </c>
      <c r="AG147" s="1"/>
      <c r="AH147" s="1"/>
      <c r="AI147" s="1"/>
      <c r="AJ147" s="1"/>
      <c r="AK147" s="1"/>
      <c r="AL147" s="1"/>
    </row>
    <row r="148" spans="14:38" ht="15.75" customHeight="1" x14ac:dyDescent="0.25">
      <c r="N148" s="1">
        <v>2115</v>
      </c>
      <c r="O148" s="1">
        <v>2</v>
      </c>
      <c r="P148" s="1">
        <v>2</v>
      </c>
      <c r="Q148" s="1">
        <v>2</v>
      </c>
      <c r="R148" s="1">
        <v>0</v>
      </c>
      <c r="AG148" s="1"/>
      <c r="AH148" s="1"/>
      <c r="AI148" s="1"/>
      <c r="AJ148" s="1"/>
      <c r="AK148" s="1"/>
      <c r="AL148" s="1"/>
    </row>
    <row r="149" spans="14:38" ht="15.75" customHeight="1" x14ac:dyDescent="0.25">
      <c r="N149" s="1">
        <v>2116</v>
      </c>
      <c r="O149" s="1">
        <v>2</v>
      </c>
      <c r="P149" s="1">
        <v>2</v>
      </c>
      <c r="Q149" s="1">
        <v>2</v>
      </c>
      <c r="R149" s="1">
        <v>0</v>
      </c>
      <c r="AG149" s="1"/>
      <c r="AH149" s="1"/>
      <c r="AI149" s="1"/>
      <c r="AJ149" s="1"/>
      <c r="AK149" s="1"/>
      <c r="AL149" s="1"/>
    </row>
    <row r="150" spans="14:38" ht="15.75" customHeight="1" x14ac:dyDescent="0.25">
      <c r="N150" s="1">
        <v>2117</v>
      </c>
      <c r="O150" s="1">
        <v>2</v>
      </c>
      <c r="P150" s="1">
        <v>2</v>
      </c>
      <c r="Q150" s="1">
        <v>2</v>
      </c>
      <c r="R150" s="1">
        <v>0</v>
      </c>
      <c r="AG150" s="1"/>
      <c r="AH150" s="1"/>
      <c r="AI150" s="1"/>
      <c r="AJ150" s="1"/>
      <c r="AK150" s="1"/>
      <c r="AL150" s="1"/>
    </row>
    <row r="151" spans="14:38" ht="15.75" customHeight="1" x14ac:dyDescent="0.25">
      <c r="N151" s="1">
        <v>2118</v>
      </c>
      <c r="O151" s="1">
        <v>2</v>
      </c>
      <c r="P151" s="1">
        <v>2</v>
      </c>
      <c r="Q151" s="1">
        <v>2</v>
      </c>
      <c r="R151" s="1">
        <v>0</v>
      </c>
      <c r="AG151" s="1"/>
      <c r="AH151" s="1"/>
      <c r="AI151" s="1"/>
      <c r="AJ151" s="1"/>
      <c r="AK151" s="1"/>
      <c r="AL151" s="1"/>
    </row>
    <row r="152" spans="14:38" ht="15.75" customHeight="1" x14ac:dyDescent="0.25">
      <c r="N152" s="1">
        <v>2119</v>
      </c>
      <c r="O152" s="1">
        <v>2</v>
      </c>
      <c r="P152" s="1">
        <v>2</v>
      </c>
      <c r="Q152" s="1">
        <v>2</v>
      </c>
      <c r="R152" s="1">
        <v>0</v>
      </c>
      <c r="AG152" s="1"/>
      <c r="AH152" s="1"/>
      <c r="AI152" s="1"/>
      <c r="AJ152" s="1"/>
      <c r="AK152" s="1"/>
      <c r="AL152" s="1"/>
    </row>
    <row r="153" spans="14:38" ht="15.75" customHeight="1" x14ac:dyDescent="0.25">
      <c r="N153" s="1">
        <v>2120</v>
      </c>
      <c r="O153" s="1">
        <v>2</v>
      </c>
      <c r="P153" s="1">
        <v>2</v>
      </c>
      <c r="Q153" s="1">
        <v>2</v>
      </c>
      <c r="R153" s="1">
        <v>0</v>
      </c>
      <c r="AG153" s="1"/>
      <c r="AH153" s="1"/>
      <c r="AI153" s="1"/>
      <c r="AJ153" s="1"/>
      <c r="AK153" s="1"/>
      <c r="AL153" s="1"/>
    </row>
    <row r="154" spans="14:38" ht="15.75" customHeight="1" x14ac:dyDescent="0.25">
      <c r="N154" s="1">
        <v>2121</v>
      </c>
      <c r="O154" s="1">
        <v>2</v>
      </c>
      <c r="P154" s="1">
        <v>2</v>
      </c>
      <c r="Q154" s="1">
        <v>2</v>
      </c>
      <c r="R154" s="1">
        <v>0</v>
      </c>
      <c r="AG154" s="1"/>
      <c r="AH154" s="1"/>
      <c r="AI154" s="1"/>
      <c r="AJ154" s="1"/>
      <c r="AK154" s="1"/>
      <c r="AL154" s="1"/>
    </row>
    <row r="155" spans="14:38" ht="15.75" customHeight="1" x14ac:dyDescent="0.25">
      <c r="N155" s="1">
        <v>2122</v>
      </c>
      <c r="O155" s="1">
        <v>2</v>
      </c>
      <c r="P155" s="1">
        <v>2</v>
      </c>
      <c r="Q155" s="1">
        <v>2</v>
      </c>
      <c r="R155" s="1">
        <v>0</v>
      </c>
      <c r="AG155" s="1"/>
      <c r="AH155" s="1"/>
      <c r="AI155" s="1"/>
      <c r="AJ155" s="1"/>
      <c r="AK155" s="1"/>
      <c r="AL155" s="1"/>
    </row>
    <row r="156" spans="14:38" ht="15.75" customHeight="1" x14ac:dyDescent="0.25">
      <c r="N156" s="1">
        <v>2123</v>
      </c>
      <c r="O156" s="1">
        <v>2</v>
      </c>
      <c r="P156" s="1">
        <v>2</v>
      </c>
      <c r="Q156" s="1">
        <v>2</v>
      </c>
      <c r="R156" s="1">
        <v>0</v>
      </c>
      <c r="AG156" s="1"/>
      <c r="AH156" s="1"/>
      <c r="AI156" s="1"/>
      <c r="AJ156" s="1"/>
      <c r="AK156" s="1"/>
      <c r="AL156" s="1"/>
    </row>
    <row r="157" spans="14:38" ht="15.75" customHeight="1" x14ac:dyDescent="0.25">
      <c r="N157" s="1">
        <v>2124</v>
      </c>
      <c r="O157" s="1">
        <v>2</v>
      </c>
      <c r="P157" s="1">
        <v>2</v>
      </c>
      <c r="Q157" s="1">
        <v>2</v>
      </c>
      <c r="R157" s="1">
        <v>0</v>
      </c>
      <c r="AG157" s="1"/>
      <c r="AH157" s="1"/>
      <c r="AI157" s="1"/>
      <c r="AJ157" s="1"/>
      <c r="AK157" s="1"/>
      <c r="AL157" s="1"/>
    </row>
    <row r="158" spans="14:38" ht="15.75" customHeight="1" x14ac:dyDescent="0.25">
      <c r="N158" s="1">
        <v>2125</v>
      </c>
      <c r="O158" s="1">
        <v>2</v>
      </c>
      <c r="P158" s="1">
        <v>2</v>
      </c>
      <c r="Q158" s="1">
        <v>2</v>
      </c>
      <c r="R158" s="1">
        <v>0</v>
      </c>
      <c r="AG158" s="1"/>
      <c r="AH158" s="1"/>
      <c r="AI158" s="1"/>
      <c r="AJ158" s="1"/>
      <c r="AK158" s="1"/>
      <c r="AL158" s="1"/>
    </row>
    <row r="159" spans="14:38" ht="15.75" customHeight="1" x14ac:dyDescent="0.25">
      <c r="N159" s="1">
        <v>2126</v>
      </c>
      <c r="O159" s="1">
        <v>2</v>
      </c>
      <c r="P159" s="1">
        <v>2</v>
      </c>
      <c r="Q159" s="1">
        <v>2</v>
      </c>
      <c r="R159" s="1">
        <v>0</v>
      </c>
      <c r="AG159" s="1"/>
      <c r="AH159" s="1"/>
      <c r="AI159" s="1"/>
      <c r="AJ159" s="1"/>
      <c r="AK159" s="1"/>
      <c r="AL159" s="1"/>
    </row>
    <row r="160" spans="14:38" ht="15.75" customHeight="1" x14ac:dyDescent="0.25">
      <c r="N160" s="1">
        <v>2127</v>
      </c>
      <c r="O160" s="1">
        <v>2</v>
      </c>
      <c r="P160" s="1">
        <v>2</v>
      </c>
      <c r="Q160" s="1">
        <v>2</v>
      </c>
      <c r="R160" s="1">
        <v>0</v>
      </c>
      <c r="AG160" s="1"/>
      <c r="AH160" s="1"/>
      <c r="AI160" s="1"/>
      <c r="AJ160" s="1"/>
      <c r="AK160" s="1"/>
      <c r="AL160" s="1"/>
    </row>
    <row r="161" spans="14:38" ht="15.75" customHeight="1" x14ac:dyDescent="0.25">
      <c r="N161" s="1">
        <v>2128</v>
      </c>
      <c r="O161" s="1">
        <v>2</v>
      </c>
      <c r="P161" s="1">
        <v>2</v>
      </c>
      <c r="Q161" s="1">
        <v>2</v>
      </c>
      <c r="R161" s="1">
        <v>0</v>
      </c>
      <c r="AG161" s="1"/>
      <c r="AH161" s="1"/>
      <c r="AI161" s="1"/>
      <c r="AJ161" s="1"/>
      <c r="AK161" s="1"/>
      <c r="AL161" s="1"/>
    </row>
    <row r="162" spans="14:38" ht="15.75" customHeight="1" x14ac:dyDescent="0.25">
      <c r="N162" s="1">
        <v>2129</v>
      </c>
      <c r="O162" s="1">
        <v>2</v>
      </c>
      <c r="P162" s="1">
        <v>2</v>
      </c>
      <c r="Q162" s="1">
        <v>2</v>
      </c>
      <c r="R162" s="1">
        <v>0</v>
      </c>
      <c r="AG162" s="1"/>
      <c r="AH162" s="1"/>
      <c r="AI162" s="1"/>
      <c r="AJ162" s="1"/>
      <c r="AK162" s="1"/>
      <c r="AL162" s="1"/>
    </row>
    <row r="163" spans="14:38" ht="15.75" customHeight="1" x14ac:dyDescent="0.25">
      <c r="N163" s="1">
        <v>2130</v>
      </c>
      <c r="O163" s="1">
        <v>2</v>
      </c>
      <c r="P163" s="1">
        <v>2</v>
      </c>
      <c r="Q163" s="1">
        <v>2</v>
      </c>
      <c r="R163" s="1">
        <v>0</v>
      </c>
      <c r="AG163" s="1"/>
      <c r="AH163" s="1"/>
      <c r="AI163" s="1"/>
      <c r="AJ163" s="1"/>
      <c r="AK163" s="1"/>
      <c r="AL163" s="1"/>
    </row>
    <row r="164" spans="14:38" ht="15.75" customHeight="1" x14ac:dyDescent="0.25">
      <c r="N164" s="1">
        <v>2131</v>
      </c>
      <c r="O164" s="1">
        <v>2</v>
      </c>
      <c r="P164" s="1">
        <v>2</v>
      </c>
      <c r="Q164" s="1">
        <v>2</v>
      </c>
      <c r="R164" s="1">
        <v>0</v>
      </c>
      <c r="AG164" s="1"/>
      <c r="AH164" s="1"/>
      <c r="AI164" s="1"/>
      <c r="AJ164" s="1"/>
      <c r="AK164" s="1"/>
      <c r="AL164" s="1"/>
    </row>
    <row r="165" spans="14:38" ht="15.75" customHeight="1" x14ac:dyDescent="0.25">
      <c r="N165" s="1">
        <v>2132</v>
      </c>
      <c r="O165" s="1">
        <v>2</v>
      </c>
      <c r="P165" s="1">
        <v>2</v>
      </c>
      <c r="Q165" s="1">
        <v>2</v>
      </c>
      <c r="R165" s="1">
        <v>0</v>
      </c>
      <c r="AG165" s="1"/>
      <c r="AH165" s="1"/>
      <c r="AI165" s="1"/>
      <c r="AJ165" s="1"/>
      <c r="AK165" s="1"/>
      <c r="AL165" s="1"/>
    </row>
    <row r="166" spans="14:38" ht="15.75" customHeight="1" x14ac:dyDescent="0.25">
      <c r="N166" s="1">
        <v>2133</v>
      </c>
      <c r="O166" s="1">
        <v>2</v>
      </c>
      <c r="P166" s="1">
        <v>2</v>
      </c>
      <c r="Q166" s="1">
        <v>2</v>
      </c>
      <c r="R166" s="1">
        <v>0</v>
      </c>
      <c r="AG166" s="1"/>
      <c r="AH166" s="1"/>
      <c r="AI166" s="1"/>
      <c r="AJ166" s="1"/>
      <c r="AK166" s="1"/>
      <c r="AL166" s="1"/>
    </row>
    <row r="167" spans="14:38" ht="15.75" customHeight="1" x14ac:dyDescent="0.25">
      <c r="N167" s="1">
        <v>2134</v>
      </c>
      <c r="O167" s="1">
        <v>2</v>
      </c>
      <c r="P167" s="1">
        <v>2</v>
      </c>
      <c r="Q167" s="1">
        <v>2</v>
      </c>
      <c r="R167" s="1">
        <v>0</v>
      </c>
      <c r="AG167" s="1"/>
      <c r="AH167" s="1"/>
      <c r="AI167" s="1"/>
      <c r="AJ167" s="1"/>
      <c r="AK167" s="1"/>
      <c r="AL167" s="1"/>
    </row>
    <row r="168" spans="14:38" ht="15.75" customHeight="1" x14ac:dyDescent="0.25">
      <c r="N168" s="1">
        <v>2135</v>
      </c>
      <c r="O168" s="1">
        <v>2</v>
      </c>
      <c r="P168" s="1">
        <v>2</v>
      </c>
      <c r="Q168" s="1">
        <v>2</v>
      </c>
      <c r="R168" s="1">
        <v>0</v>
      </c>
      <c r="AG168" s="1"/>
      <c r="AH168" s="1"/>
      <c r="AI168" s="1"/>
      <c r="AJ168" s="1"/>
      <c r="AK168" s="1"/>
      <c r="AL168" s="1"/>
    </row>
    <row r="169" spans="14:38" ht="15.75" customHeight="1" x14ac:dyDescent="0.25">
      <c r="N169" s="1">
        <v>2136</v>
      </c>
      <c r="O169" s="1">
        <v>2</v>
      </c>
      <c r="P169" s="1">
        <v>2</v>
      </c>
      <c r="Q169" s="1">
        <v>2</v>
      </c>
      <c r="R169" s="1">
        <v>0</v>
      </c>
      <c r="AG169" s="1"/>
      <c r="AH169" s="1"/>
      <c r="AI169" s="1"/>
      <c r="AJ169" s="1"/>
      <c r="AK169" s="1"/>
      <c r="AL169" s="1"/>
    </row>
    <row r="170" spans="14:38" ht="15.75" customHeight="1" x14ac:dyDescent="0.25">
      <c r="N170" s="1">
        <v>2137</v>
      </c>
      <c r="O170" s="1">
        <v>2</v>
      </c>
      <c r="P170" s="1">
        <v>2</v>
      </c>
      <c r="Q170" s="1">
        <v>2</v>
      </c>
      <c r="R170" s="1">
        <v>0</v>
      </c>
      <c r="AG170" s="1"/>
      <c r="AH170" s="1"/>
      <c r="AI170" s="1"/>
      <c r="AJ170" s="1"/>
      <c r="AK170" s="1"/>
      <c r="AL170" s="1"/>
    </row>
    <row r="171" spans="14:38" ht="15.75" customHeight="1" x14ac:dyDescent="0.25">
      <c r="N171" s="1">
        <v>2138</v>
      </c>
      <c r="O171" s="1">
        <v>2</v>
      </c>
      <c r="P171" s="1">
        <v>2</v>
      </c>
      <c r="Q171" s="1">
        <v>2</v>
      </c>
      <c r="R171" s="1">
        <v>0</v>
      </c>
      <c r="AG171" s="1"/>
      <c r="AH171" s="1"/>
      <c r="AI171" s="1"/>
      <c r="AJ171" s="1"/>
      <c r="AK171" s="1"/>
      <c r="AL171" s="1"/>
    </row>
    <row r="172" spans="14:38" ht="15.75" customHeight="1" x14ac:dyDescent="0.25">
      <c r="N172" s="1">
        <v>2139</v>
      </c>
      <c r="O172" s="1">
        <v>2</v>
      </c>
      <c r="P172" s="1">
        <v>2</v>
      </c>
      <c r="Q172" s="1">
        <v>2</v>
      </c>
      <c r="R172" s="1">
        <v>0</v>
      </c>
      <c r="AG172" s="1"/>
      <c r="AH172" s="1"/>
      <c r="AI172" s="1"/>
      <c r="AJ172" s="1"/>
      <c r="AK172" s="1"/>
      <c r="AL172" s="1"/>
    </row>
    <row r="173" spans="14:38" ht="15.75" customHeight="1" x14ac:dyDescent="0.25">
      <c r="N173" s="1">
        <v>2140</v>
      </c>
      <c r="O173" s="1">
        <v>2</v>
      </c>
      <c r="P173" s="1">
        <v>2</v>
      </c>
      <c r="Q173" s="1">
        <v>2</v>
      </c>
      <c r="R173" s="1">
        <v>0</v>
      </c>
      <c r="AG173" s="1"/>
      <c r="AH173" s="1"/>
      <c r="AI173" s="1"/>
      <c r="AJ173" s="1"/>
      <c r="AK173" s="1"/>
      <c r="AL173" s="1"/>
    </row>
    <row r="174" spans="14:38" ht="15.75" customHeight="1" x14ac:dyDescent="0.25">
      <c r="N174" s="1">
        <v>2141</v>
      </c>
      <c r="O174" s="1">
        <v>2</v>
      </c>
      <c r="P174" s="1">
        <v>2</v>
      </c>
      <c r="Q174" s="1">
        <v>2</v>
      </c>
      <c r="R174" s="1">
        <v>0</v>
      </c>
      <c r="AG174" s="1"/>
      <c r="AH174" s="1"/>
      <c r="AI174" s="1"/>
      <c r="AJ174" s="1"/>
      <c r="AK174" s="1"/>
      <c r="AL174" s="1"/>
    </row>
    <row r="175" spans="14:38" ht="15.75" customHeight="1" x14ac:dyDescent="0.25">
      <c r="N175" s="1">
        <v>2142</v>
      </c>
      <c r="O175" s="1">
        <v>2</v>
      </c>
      <c r="P175" s="1">
        <v>2</v>
      </c>
      <c r="Q175" s="1">
        <v>2</v>
      </c>
      <c r="R175" s="1">
        <v>0</v>
      </c>
      <c r="AG175" s="1"/>
      <c r="AH175" s="1"/>
      <c r="AI175" s="1"/>
      <c r="AJ175" s="1"/>
      <c r="AK175" s="1"/>
      <c r="AL175" s="1"/>
    </row>
    <row r="176" spans="14:38" ht="15.75" customHeight="1" x14ac:dyDescent="0.25">
      <c r="N176" s="1">
        <v>2143</v>
      </c>
      <c r="O176" s="1">
        <v>2</v>
      </c>
      <c r="P176" s="1">
        <v>2</v>
      </c>
      <c r="Q176" s="1">
        <v>2</v>
      </c>
      <c r="R176" s="1">
        <v>0</v>
      </c>
      <c r="AG176" s="1"/>
      <c r="AH176" s="1"/>
      <c r="AI176" s="1"/>
      <c r="AJ176" s="1"/>
      <c r="AK176" s="1"/>
      <c r="AL176" s="1"/>
    </row>
    <row r="177" spans="14:38" ht="15.75" customHeight="1" x14ac:dyDescent="0.25">
      <c r="N177" s="1">
        <v>2144</v>
      </c>
      <c r="O177" s="1">
        <v>2</v>
      </c>
      <c r="P177" s="1">
        <v>2</v>
      </c>
      <c r="Q177" s="1">
        <v>2</v>
      </c>
      <c r="R177" s="1">
        <v>0</v>
      </c>
      <c r="AG177" s="1"/>
      <c r="AH177" s="1"/>
      <c r="AI177" s="1"/>
      <c r="AJ177" s="1"/>
      <c r="AK177" s="1"/>
      <c r="AL177" s="1"/>
    </row>
    <row r="178" spans="14:38" ht="15.75" customHeight="1" x14ac:dyDescent="0.25">
      <c r="N178" s="1">
        <v>2145</v>
      </c>
      <c r="O178" s="1">
        <v>2</v>
      </c>
      <c r="P178" s="1">
        <v>2</v>
      </c>
      <c r="Q178" s="1">
        <v>2</v>
      </c>
      <c r="R178" s="1">
        <v>0</v>
      </c>
      <c r="AG178" s="1"/>
      <c r="AH178" s="1"/>
      <c r="AI178" s="1"/>
      <c r="AJ178" s="1"/>
      <c r="AK178" s="1"/>
      <c r="AL178" s="1"/>
    </row>
    <row r="179" spans="14:38" ht="15.75" customHeight="1" x14ac:dyDescent="0.25">
      <c r="N179" s="1">
        <v>2146</v>
      </c>
      <c r="O179" s="1">
        <v>2</v>
      </c>
      <c r="P179" s="1">
        <v>2</v>
      </c>
      <c r="Q179" s="1">
        <v>2</v>
      </c>
      <c r="R179" s="1">
        <v>0</v>
      </c>
      <c r="AG179" s="1"/>
      <c r="AH179" s="1"/>
      <c r="AI179" s="1"/>
      <c r="AJ179" s="1"/>
      <c r="AK179" s="1"/>
      <c r="AL179" s="1"/>
    </row>
    <row r="180" spans="14:38" ht="15.75" customHeight="1" x14ac:dyDescent="0.25">
      <c r="N180" s="1">
        <v>2147</v>
      </c>
      <c r="O180" s="1">
        <v>2</v>
      </c>
      <c r="P180" s="1">
        <v>2</v>
      </c>
      <c r="Q180" s="1">
        <v>2</v>
      </c>
      <c r="R180" s="1">
        <v>0</v>
      </c>
      <c r="AG180" s="1"/>
      <c r="AH180" s="1"/>
      <c r="AI180" s="1"/>
      <c r="AJ180" s="1"/>
      <c r="AK180" s="1"/>
      <c r="AL180" s="1"/>
    </row>
    <row r="181" spans="14:38" ht="15.75" customHeight="1" x14ac:dyDescent="0.25">
      <c r="N181" s="1">
        <v>2148</v>
      </c>
      <c r="O181" s="1">
        <v>2</v>
      </c>
      <c r="P181" s="1">
        <v>2</v>
      </c>
      <c r="Q181" s="1">
        <v>2</v>
      </c>
      <c r="R181" s="1">
        <v>0</v>
      </c>
      <c r="AG181" s="1"/>
      <c r="AH181" s="1"/>
      <c r="AI181" s="1"/>
      <c r="AJ181" s="1"/>
      <c r="AK181" s="1"/>
      <c r="AL181" s="1"/>
    </row>
    <row r="182" spans="14:38" ht="15.75" customHeight="1" x14ac:dyDescent="0.25">
      <c r="N182" s="1">
        <v>2149</v>
      </c>
      <c r="O182" s="1">
        <v>2</v>
      </c>
      <c r="P182" s="1">
        <v>2</v>
      </c>
      <c r="Q182" s="1">
        <v>2</v>
      </c>
      <c r="R182" s="1">
        <v>0</v>
      </c>
      <c r="AG182" s="1"/>
      <c r="AH182" s="1"/>
      <c r="AI182" s="1"/>
      <c r="AJ182" s="1"/>
      <c r="AK182" s="1"/>
      <c r="AL182" s="1"/>
    </row>
    <row r="183" spans="14:38" ht="15.75" customHeight="1" x14ac:dyDescent="0.25">
      <c r="N183" s="1">
        <v>2150</v>
      </c>
      <c r="O183" s="1">
        <v>2</v>
      </c>
      <c r="P183" s="1">
        <v>2</v>
      </c>
      <c r="Q183" s="1">
        <v>2</v>
      </c>
      <c r="R183" s="1">
        <v>0</v>
      </c>
      <c r="AG183" s="1"/>
      <c r="AH183" s="1"/>
      <c r="AI183" s="1"/>
      <c r="AJ183" s="1"/>
      <c r="AK183" s="1"/>
      <c r="AL183" s="1"/>
    </row>
    <row r="184" spans="14:38" ht="15.75" customHeight="1" x14ac:dyDescent="0.25">
      <c r="N184" s="1">
        <v>2151</v>
      </c>
      <c r="O184" s="1">
        <v>2</v>
      </c>
      <c r="P184" s="1">
        <v>2</v>
      </c>
      <c r="Q184" s="1">
        <v>2</v>
      </c>
      <c r="R184" s="1">
        <v>0</v>
      </c>
      <c r="AG184" s="1"/>
      <c r="AH184" s="1"/>
      <c r="AI184" s="1"/>
      <c r="AJ184" s="1"/>
      <c r="AK184" s="1"/>
      <c r="AL184" s="1"/>
    </row>
    <row r="185" spans="14:38" ht="15.75" customHeight="1" x14ac:dyDescent="0.25">
      <c r="N185" s="1">
        <v>2152</v>
      </c>
      <c r="O185" s="1">
        <v>2</v>
      </c>
      <c r="P185" s="1">
        <v>2</v>
      </c>
      <c r="Q185" s="1">
        <v>2</v>
      </c>
      <c r="R185" s="1">
        <v>0</v>
      </c>
      <c r="AG185" s="1"/>
      <c r="AH185" s="1"/>
      <c r="AI185" s="1"/>
      <c r="AJ185" s="1"/>
      <c r="AK185" s="1"/>
      <c r="AL185" s="1"/>
    </row>
    <row r="186" spans="14:38" ht="15.75" customHeight="1" x14ac:dyDescent="0.25">
      <c r="N186" s="1">
        <v>2153</v>
      </c>
      <c r="O186" s="1">
        <v>2</v>
      </c>
      <c r="P186" s="1">
        <v>2</v>
      </c>
      <c r="Q186" s="1">
        <v>2</v>
      </c>
      <c r="R186" s="1">
        <v>0</v>
      </c>
      <c r="AG186" s="1"/>
      <c r="AH186" s="1"/>
      <c r="AI186" s="1"/>
      <c r="AJ186" s="1"/>
      <c r="AK186" s="1"/>
      <c r="AL186" s="1"/>
    </row>
    <row r="187" spans="14:38" ht="15.75" customHeight="1" x14ac:dyDescent="0.25">
      <c r="N187" s="1">
        <v>2154</v>
      </c>
      <c r="O187" s="1">
        <v>2</v>
      </c>
      <c r="P187" s="1">
        <v>2</v>
      </c>
      <c r="Q187" s="1">
        <v>2</v>
      </c>
      <c r="R187" s="1">
        <v>0</v>
      </c>
      <c r="AG187" s="1"/>
      <c r="AH187" s="1"/>
      <c r="AI187" s="1"/>
      <c r="AJ187" s="1"/>
      <c r="AK187" s="1"/>
      <c r="AL187" s="1"/>
    </row>
    <row r="188" spans="14:38" ht="15.75" customHeight="1" x14ac:dyDescent="0.25">
      <c r="N188" s="1">
        <v>2155</v>
      </c>
      <c r="O188" s="1">
        <v>2</v>
      </c>
      <c r="P188" s="1">
        <v>2</v>
      </c>
      <c r="Q188" s="1">
        <v>2</v>
      </c>
      <c r="R188" s="1">
        <v>0</v>
      </c>
      <c r="AG188" s="1"/>
      <c r="AH188" s="1"/>
      <c r="AI188" s="1"/>
      <c r="AJ188" s="1"/>
      <c r="AK188" s="1"/>
      <c r="AL188" s="1"/>
    </row>
    <row r="189" spans="14:38" ht="15.75" customHeight="1" x14ac:dyDescent="0.25">
      <c r="N189" s="1">
        <v>2156</v>
      </c>
      <c r="O189" s="1">
        <v>2</v>
      </c>
      <c r="P189" s="1">
        <v>2</v>
      </c>
      <c r="Q189" s="1">
        <v>2</v>
      </c>
      <c r="R189" s="1">
        <v>0</v>
      </c>
      <c r="AG189" s="1"/>
      <c r="AH189" s="1"/>
      <c r="AI189" s="1"/>
      <c r="AJ189" s="1"/>
      <c r="AK189" s="1"/>
      <c r="AL189" s="1"/>
    </row>
    <row r="190" spans="14:38" ht="15.75" customHeight="1" x14ac:dyDescent="0.25">
      <c r="N190" s="1">
        <v>2157</v>
      </c>
      <c r="O190" s="1">
        <v>2</v>
      </c>
      <c r="P190" s="1">
        <v>2</v>
      </c>
      <c r="Q190" s="1">
        <v>2</v>
      </c>
      <c r="R190" s="1">
        <v>0</v>
      </c>
      <c r="AG190" s="1"/>
      <c r="AH190" s="1"/>
      <c r="AI190" s="1"/>
      <c r="AJ190" s="1"/>
      <c r="AK190" s="1"/>
      <c r="AL190" s="1"/>
    </row>
    <row r="191" spans="14:38" ht="15.75" customHeight="1" x14ac:dyDescent="0.25">
      <c r="N191" s="1">
        <v>2158</v>
      </c>
      <c r="O191" s="1">
        <v>2</v>
      </c>
      <c r="P191" s="1">
        <v>2</v>
      </c>
      <c r="Q191" s="1">
        <v>2</v>
      </c>
      <c r="R191" s="1">
        <v>0</v>
      </c>
      <c r="AG191" s="1"/>
      <c r="AH191" s="1"/>
      <c r="AI191" s="1"/>
      <c r="AJ191" s="1"/>
      <c r="AK191" s="1"/>
      <c r="AL191" s="1"/>
    </row>
    <row r="192" spans="14:38" ht="15.75" customHeight="1" x14ac:dyDescent="0.25">
      <c r="N192" s="1">
        <v>2159</v>
      </c>
      <c r="O192" s="1">
        <v>2</v>
      </c>
      <c r="P192" s="1">
        <v>2</v>
      </c>
      <c r="Q192" s="1">
        <v>2</v>
      </c>
      <c r="R192" s="1">
        <v>0</v>
      </c>
      <c r="AG192" s="1"/>
      <c r="AH192" s="1"/>
      <c r="AI192" s="1"/>
      <c r="AJ192" s="1"/>
      <c r="AK192" s="1"/>
      <c r="AL192" s="1"/>
    </row>
    <row r="193" spans="14:38" ht="15.75" customHeight="1" x14ac:dyDescent="0.25">
      <c r="N193" s="1">
        <v>2160</v>
      </c>
      <c r="O193" s="1">
        <v>2</v>
      </c>
      <c r="P193" s="1">
        <v>2</v>
      </c>
      <c r="Q193" s="1">
        <v>2</v>
      </c>
      <c r="R193" s="1">
        <v>0</v>
      </c>
      <c r="AG193" s="1"/>
      <c r="AH193" s="1"/>
      <c r="AI193" s="1"/>
      <c r="AJ193" s="1"/>
      <c r="AK193" s="1"/>
      <c r="AL193" s="1"/>
    </row>
    <row r="194" spans="14:38" ht="15.75" customHeight="1" x14ac:dyDescent="0.25">
      <c r="N194" s="1">
        <v>2161</v>
      </c>
      <c r="O194" s="1">
        <v>2</v>
      </c>
      <c r="P194" s="1">
        <v>2</v>
      </c>
      <c r="Q194" s="1">
        <v>2</v>
      </c>
      <c r="R194" s="1">
        <v>0</v>
      </c>
      <c r="AG194" s="1"/>
      <c r="AH194" s="1"/>
      <c r="AI194" s="1"/>
      <c r="AJ194" s="1"/>
      <c r="AK194" s="1"/>
      <c r="AL194" s="1"/>
    </row>
    <row r="195" spans="14:38" ht="15.75" customHeight="1" x14ac:dyDescent="0.25">
      <c r="N195" s="1">
        <v>2162</v>
      </c>
      <c r="O195" s="1">
        <v>2</v>
      </c>
      <c r="P195" s="1">
        <v>2</v>
      </c>
      <c r="Q195" s="1">
        <v>2</v>
      </c>
      <c r="R195" s="1">
        <v>0</v>
      </c>
      <c r="AG195" s="1"/>
      <c r="AH195" s="1"/>
      <c r="AI195" s="1"/>
      <c r="AJ195" s="1"/>
      <c r="AK195" s="1"/>
      <c r="AL195" s="1"/>
    </row>
    <row r="196" spans="14:38" ht="15.75" customHeight="1" x14ac:dyDescent="0.25">
      <c r="N196" s="1">
        <v>2163</v>
      </c>
      <c r="O196" s="1">
        <v>2</v>
      </c>
      <c r="P196" s="1">
        <v>2</v>
      </c>
      <c r="Q196" s="1">
        <v>2</v>
      </c>
      <c r="R196" s="1">
        <v>0</v>
      </c>
      <c r="AG196" s="1"/>
      <c r="AH196" s="1"/>
      <c r="AI196" s="1"/>
      <c r="AJ196" s="1"/>
      <c r="AK196" s="1"/>
      <c r="AL196" s="1"/>
    </row>
    <row r="197" spans="14:38" ht="15.75" customHeight="1" x14ac:dyDescent="0.25">
      <c r="N197" s="1">
        <v>2164</v>
      </c>
      <c r="O197" s="1">
        <v>2</v>
      </c>
      <c r="P197" s="1">
        <v>2</v>
      </c>
      <c r="Q197" s="1">
        <v>2</v>
      </c>
      <c r="R197" s="1">
        <v>0</v>
      </c>
      <c r="AG197" s="1"/>
      <c r="AH197" s="1"/>
      <c r="AI197" s="1"/>
      <c r="AJ197" s="1"/>
      <c r="AK197" s="1"/>
      <c r="AL197" s="1"/>
    </row>
    <row r="198" spans="14:38" ht="15.75" customHeight="1" x14ac:dyDescent="0.25">
      <c r="N198" s="1">
        <v>2165</v>
      </c>
      <c r="O198" s="1">
        <v>2</v>
      </c>
      <c r="P198" s="1">
        <v>2</v>
      </c>
      <c r="Q198" s="1">
        <v>2</v>
      </c>
      <c r="R198" s="1">
        <v>0</v>
      </c>
      <c r="AG198" s="1"/>
      <c r="AH198" s="1"/>
      <c r="AI198" s="1"/>
      <c r="AJ198" s="1"/>
      <c r="AK198" s="1"/>
      <c r="AL198" s="1"/>
    </row>
    <row r="199" spans="14:38" ht="15.75" customHeight="1" x14ac:dyDescent="0.25">
      <c r="N199" s="1">
        <v>2166</v>
      </c>
      <c r="O199" s="1">
        <v>2</v>
      </c>
      <c r="P199" s="1">
        <v>2</v>
      </c>
      <c r="Q199" s="1">
        <v>2</v>
      </c>
      <c r="R199" s="1">
        <v>0</v>
      </c>
      <c r="AG199" s="1"/>
      <c r="AH199" s="1"/>
      <c r="AI199" s="1"/>
      <c r="AJ199" s="1"/>
      <c r="AK199" s="1"/>
      <c r="AL199" s="1"/>
    </row>
    <row r="200" spans="14:38" ht="15.75" customHeight="1" x14ac:dyDescent="0.25">
      <c r="N200" s="1">
        <v>2167</v>
      </c>
      <c r="O200" s="1">
        <v>2</v>
      </c>
      <c r="P200" s="1">
        <v>2</v>
      </c>
      <c r="Q200" s="1">
        <v>2</v>
      </c>
      <c r="R200" s="1">
        <v>0</v>
      </c>
      <c r="AG200" s="1"/>
      <c r="AH200" s="1"/>
      <c r="AI200" s="1"/>
      <c r="AJ200" s="1"/>
      <c r="AK200" s="1"/>
      <c r="AL200" s="1"/>
    </row>
    <row r="201" spans="14:38" ht="15.75" customHeight="1" x14ac:dyDescent="0.25">
      <c r="N201" s="1">
        <v>2168</v>
      </c>
      <c r="O201" s="1">
        <v>2</v>
      </c>
      <c r="P201" s="1">
        <v>2</v>
      </c>
      <c r="Q201" s="1">
        <v>2</v>
      </c>
      <c r="R201" s="1">
        <v>0</v>
      </c>
      <c r="AG201" s="1"/>
      <c r="AH201" s="1"/>
      <c r="AI201" s="1"/>
      <c r="AJ201" s="1"/>
      <c r="AK201" s="1"/>
      <c r="AL201" s="1"/>
    </row>
    <row r="202" spans="14:38" ht="15.75" customHeight="1" x14ac:dyDescent="0.25">
      <c r="N202" s="1">
        <v>2169</v>
      </c>
      <c r="O202" s="1">
        <v>2</v>
      </c>
      <c r="P202" s="1">
        <v>2</v>
      </c>
      <c r="Q202" s="1">
        <v>2</v>
      </c>
      <c r="R202" s="1">
        <v>0</v>
      </c>
      <c r="AG202" s="1"/>
      <c r="AH202" s="1"/>
      <c r="AI202" s="1"/>
      <c r="AJ202" s="1"/>
      <c r="AK202" s="1"/>
      <c r="AL202" s="1"/>
    </row>
    <row r="203" spans="14:38" ht="15.75" customHeight="1" x14ac:dyDescent="0.25">
      <c r="N203" s="1">
        <v>2170</v>
      </c>
      <c r="O203" s="1">
        <v>2</v>
      </c>
      <c r="P203" s="1">
        <v>2</v>
      </c>
      <c r="Q203" s="1">
        <v>2</v>
      </c>
      <c r="R203" s="1">
        <v>0</v>
      </c>
      <c r="AG203" s="1"/>
      <c r="AH203" s="1"/>
      <c r="AI203" s="1"/>
      <c r="AJ203" s="1"/>
      <c r="AK203" s="1"/>
      <c r="AL203" s="1"/>
    </row>
    <row r="204" spans="14:38" ht="15.75" customHeight="1" x14ac:dyDescent="0.25">
      <c r="N204" s="1">
        <v>2171</v>
      </c>
      <c r="O204" s="1">
        <v>2</v>
      </c>
      <c r="P204" s="1">
        <v>2</v>
      </c>
      <c r="Q204" s="1">
        <v>2</v>
      </c>
      <c r="R204" s="1">
        <v>0</v>
      </c>
      <c r="AG204" s="1"/>
      <c r="AH204" s="1"/>
      <c r="AI204" s="1"/>
      <c r="AJ204" s="1"/>
      <c r="AK204" s="1"/>
      <c r="AL204" s="1"/>
    </row>
    <row r="205" spans="14:38" ht="15.75" customHeight="1" x14ac:dyDescent="0.25">
      <c r="N205" s="1">
        <v>2172</v>
      </c>
      <c r="O205" s="1">
        <v>2</v>
      </c>
      <c r="P205" s="1">
        <v>2</v>
      </c>
      <c r="Q205" s="1">
        <v>2</v>
      </c>
      <c r="R205" s="1">
        <v>0</v>
      </c>
      <c r="AG205" s="1"/>
      <c r="AH205" s="1"/>
      <c r="AI205" s="1"/>
      <c r="AJ205" s="1"/>
      <c r="AK205" s="1"/>
      <c r="AL205" s="1"/>
    </row>
    <row r="206" spans="14:38" ht="15.75" customHeight="1" x14ac:dyDescent="0.25">
      <c r="N206" s="1">
        <v>2173</v>
      </c>
      <c r="O206" s="1">
        <v>2</v>
      </c>
      <c r="P206" s="1">
        <v>2</v>
      </c>
      <c r="Q206" s="1">
        <v>2</v>
      </c>
      <c r="R206" s="1">
        <v>0</v>
      </c>
      <c r="AG206" s="1"/>
      <c r="AH206" s="1"/>
      <c r="AI206" s="1"/>
      <c r="AJ206" s="1"/>
      <c r="AK206" s="1"/>
      <c r="AL206" s="1"/>
    </row>
    <row r="207" spans="14:38" ht="15.75" customHeight="1" x14ac:dyDescent="0.25">
      <c r="N207" s="1">
        <v>2174</v>
      </c>
      <c r="O207" s="1">
        <v>2</v>
      </c>
      <c r="P207" s="1">
        <v>2</v>
      </c>
      <c r="Q207" s="1">
        <v>2</v>
      </c>
      <c r="R207" s="1">
        <v>0</v>
      </c>
      <c r="AG207" s="1"/>
      <c r="AH207" s="1"/>
      <c r="AI207" s="1"/>
      <c r="AJ207" s="1"/>
      <c r="AK207" s="1"/>
      <c r="AL207" s="1"/>
    </row>
    <row r="208" spans="14:38" ht="15.75" customHeight="1" x14ac:dyDescent="0.25">
      <c r="N208" s="1">
        <v>2175</v>
      </c>
      <c r="O208" s="1">
        <v>2</v>
      </c>
      <c r="P208" s="1">
        <v>2</v>
      </c>
      <c r="Q208" s="1">
        <v>2</v>
      </c>
      <c r="R208" s="1">
        <v>0</v>
      </c>
      <c r="AG208" s="1"/>
      <c r="AH208" s="1"/>
      <c r="AI208" s="1"/>
      <c r="AJ208" s="1"/>
      <c r="AK208" s="1"/>
      <c r="AL208" s="1"/>
    </row>
    <row r="209" spans="14:38" ht="15.75" customHeight="1" x14ac:dyDescent="0.25">
      <c r="N209" s="1">
        <v>2176</v>
      </c>
      <c r="O209" s="1">
        <v>2</v>
      </c>
      <c r="P209" s="1">
        <v>2</v>
      </c>
      <c r="Q209" s="1">
        <v>2</v>
      </c>
      <c r="R209" s="1">
        <v>0</v>
      </c>
      <c r="AG209" s="1"/>
      <c r="AH209" s="1"/>
      <c r="AI209" s="1"/>
      <c r="AJ209" s="1"/>
      <c r="AK209" s="1"/>
      <c r="AL209" s="1"/>
    </row>
    <row r="210" spans="14:38" ht="15.75" customHeight="1" x14ac:dyDescent="0.25">
      <c r="N210" s="1">
        <v>2177</v>
      </c>
      <c r="O210" s="1">
        <v>2</v>
      </c>
      <c r="P210" s="1">
        <v>2</v>
      </c>
      <c r="Q210" s="1">
        <v>2</v>
      </c>
      <c r="R210" s="1">
        <v>0</v>
      </c>
      <c r="AG210" s="1"/>
      <c r="AH210" s="1"/>
      <c r="AI210" s="1"/>
      <c r="AJ210" s="1"/>
      <c r="AK210" s="1"/>
      <c r="AL210" s="1"/>
    </row>
    <row r="211" spans="14:38" ht="15.75" customHeight="1" x14ac:dyDescent="0.25">
      <c r="N211" s="1">
        <v>2178</v>
      </c>
      <c r="O211" s="1">
        <v>2</v>
      </c>
      <c r="P211" s="1">
        <v>2</v>
      </c>
      <c r="Q211" s="1">
        <v>2</v>
      </c>
      <c r="R211" s="1">
        <v>0</v>
      </c>
      <c r="AG211" s="1"/>
      <c r="AH211" s="1"/>
      <c r="AI211" s="1"/>
      <c r="AJ211" s="1"/>
      <c r="AK211" s="1"/>
      <c r="AL211" s="1"/>
    </row>
    <row r="212" spans="14:38" ht="15.75" customHeight="1" x14ac:dyDescent="0.25">
      <c r="N212" s="1">
        <v>2179</v>
      </c>
      <c r="O212" s="1">
        <v>2</v>
      </c>
      <c r="P212" s="1">
        <v>2</v>
      </c>
      <c r="Q212" s="1">
        <v>2</v>
      </c>
      <c r="R212" s="1">
        <v>0</v>
      </c>
      <c r="AG212" s="1"/>
      <c r="AH212" s="1"/>
      <c r="AI212" s="1"/>
      <c r="AJ212" s="1"/>
      <c r="AK212" s="1"/>
      <c r="AL212" s="1"/>
    </row>
    <row r="213" spans="14:38" ht="15.75" customHeight="1" x14ac:dyDescent="0.25">
      <c r="N213" s="1">
        <v>2180</v>
      </c>
      <c r="O213" s="1">
        <v>2</v>
      </c>
      <c r="P213" s="1">
        <v>2</v>
      </c>
      <c r="Q213" s="1">
        <v>2</v>
      </c>
      <c r="R213" s="1">
        <v>0</v>
      </c>
      <c r="AG213" s="1"/>
      <c r="AH213" s="1"/>
      <c r="AI213" s="1"/>
      <c r="AJ213" s="1"/>
      <c r="AK213" s="1"/>
      <c r="AL213" s="1"/>
    </row>
    <row r="214" spans="14:38" ht="15.75" customHeight="1" x14ac:dyDescent="0.25">
      <c r="N214" s="1">
        <v>2181</v>
      </c>
      <c r="O214" s="1">
        <v>2</v>
      </c>
      <c r="P214" s="1">
        <v>2</v>
      </c>
      <c r="Q214" s="1">
        <v>2</v>
      </c>
      <c r="R214" s="1">
        <v>0</v>
      </c>
      <c r="AG214" s="1"/>
      <c r="AH214" s="1"/>
      <c r="AI214" s="1"/>
      <c r="AJ214" s="1"/>
      <c r="AK214" s="1"/>
      <c r="AL214" s="1"/>
    </row>
    <row r="215" spans="14:38" ht="15.75" customHeight="1" x14ac:dyDescent="0.25">
      <c r="N215" s="1">
        <v>2182</v>
      </c>
      <c r="O215" s="1">
        <v>2</v>
      </c>
      <c r="P215" s="1">
        <v>2</v>
      </c>
      <c r="Q215" s="1">
        <v>2</v>
      </c>
      <c r="R215" s="1">
        <v>0</v>
      </c>
      <c r="AG215" s="1"/>
      <c r="AH215" s="1"/>
      <c r="AI215" s="1"/>
      <c r="AJ215" s="1"/>
      <c r="AK215" s="1"/>
      <c r="AL215" s="1"/>
    </row>
    <row r="216" spans="14:38" ht="15.75" customHeight="1" x14ac:dyDescent="0.25">
      <c r="N216" s="1">
        <v>2183</v>
      </c>
      <c r="O216" s="1">
        <v>2</v>
      </c>
      <c r="P216" s="1">
        <v>2</v>
      </c>
      <c r="Q216" s="1">
        <v>2</v>
      </c>
      <c r="R216" s="1">
        <v>0</v>
      </c>
      <c r="AG216" s="1"/>
      <c r="AH216" s="1"/>
      <c r="AI216" s="1"/>
      <c r="AJ216" s="1"/>
      <c r="AK216" s="1"/>
      <c r="AL216" s="1"/>
    </row>
    <row r="217" spans="14:38" ht="15.75" customHeight="1" x14ac:dyDescent="0.25">
      <c r="N217" s="1">
        <v>2184</v>
      </c>
      <c r="O217" s="1">
        <v>2</v>
      </c>
      <c r="P217" s="1">
        <v>2</v>
      </c>
      <c r="Q217" s="1">
        <v>2</v>
      </c>
      <c r="R217" s="1">
        <v>0</v>
      </c>
      <c r="AG217" s="1"/>
      <c r="AH217" s="1"/>
      <c r="AI217" s="1"/>
      <c r="AJ217" s="1"/>
      <c r="AK217" s="1"/>
      <c r="AL217" s="1"/>
    </row>
    <row r="218" spans="14:38" ht="15.75" customHeight="1" x14ac:dyDescent="0.25">
      <c r="N218" s="1">
        <v>2185</v>
      </c>
      <c r="O218" s="1">
        <v>2</v>
      </c>
      <c r="P218" s="1">
        <v>2</v>
      </c>
      <c r="Q218" s="1">
        <v>2</v>
      </c>
      <c r="R218" s="1">
        <v>0</v>
      </c>
      <c r="AG218" s="1"/>
      <c r="AH218" s="1"/>
      <c r="AI218" s="1"/>
      <c r="AJ218" s="1"/>
      <c r="AK218" s="1"/>
      <c r="AL218" s="1"/>
    </row>
    <row r="219" spans="14:38" ht="15.75" customHeight="1" x14ac:dyDescent="0.25">
      <c r="N219" s="1">
        <v>2186</v>
      </c>
      <c r="O219" s="1">
        <v>2</v>
      </c>
      <c r="P219" s="1">
        <v>2</v>
      </c>
      <c r="Q219" s="1">
        <v>2</v>
      </c>
      <c r="R219" s="1">
        <v>0</v>
      </c>
      <c r="AG219" s="1"/>
      <c r="AH219" s="1"/>
      <c r="AI219" s="1"/>
      <c r="AJ219" s="1"/>
      <c r="AK219" s="1"/>
      <c r="AL219" s="1"/>
    </row>
    <row r="220" spans="14:38" ht="15.75" customHeight="1" x14ac:dyDescent="0.25">
      <c r="N220" s="1">
        <v>2187</v>
      </c>
      <c r="O220" s="1">
        <v>2</v>
      </c>
      <c r="P220" s="1">
        <v>2</v>
      </c>
      <c r="Q220" s="1">
        <v>2</v>
      </c>
      <c r="R220" s="1">
        <v>0</v>
      </c>
      <c r="AG220" s="1"/>
      <c r="AH220" s="1"/>
      <c r="AI220" s="1"/>
      <c r="AJ220" s="1"/>
      <c r="AK220" s="1"/>
      <c r="AL220" s="1"/>
    </row>
    <row r="221" spans="14:38" ht="15.75" customHeight="1" x14ac:dyDescent="0.25">
      <c r="N221" s="1">
        <v>2188</v>
      </c>
      <c r="O221" s="1">
        <v>2</v>
      </c>
      <c r="P221" s="1">
        <v>2</v>
      </c>
      <c r="Q221" s="1">
        <v>2</v>
      </c>
      <c r="R221" s="1">
        <v>0</v>
      </c>
      <c r="AG221" s="1"/>
      <c r="AH221" s="1"/>
      <c r="AI221" s="1"/>
      <c r="AJ221" s="1"/>
      <c r="AK221" s="1"/>
      <c r="AL221" s="1"/>
    </row>
    <row r="222" spans="14:38" ht="15.75" customHeight="1" x14ac:dyDescent="0.25">
      <c r="N222" s="1">
        <v>2189</v>
      </c>
      <c r="O222" s="1">
        <v>2</v>
      </c>
      <c r="P222" s="1">
        <v>2</v>
      </c>
      <c r="Q222" s="1">
        <v>2</v>
      </c>
      <c r="R222" s="1">
        <v>0</v>
      </c>
      <c r="AG222" s="1"/>
      <c r="AH222" s="1"/>
      <c r="AI222" s="1"/>
      <c r="AJ222" s="1"/>
      <c r="AK222" s="1"/>
      <c r="AL222" s="1"/>
    </row>
    <row r="223" spans="14:38" ht="15.75" customHeight="1" x14ac:dyDescent="0.25">
      <c r="N223" s="1">
        <v>2190</v>
      </c>
      <c r="O223" s="1">
        <v>2</v>
      </c>
      <c r="P223" s="1">
        <v>2</v>
      </c>
      <c r="Q223" s="1">
        <v>2</v>
      </c>
      <c r="R223" s="1">
        <v>0</v>
      </c>
      <c r="AG223" s="1"/>
      <c r="AH223" s="1"/>
      <c r="AI223" s="1"/>
      <c r="AJ223" s="1"/>
      <c r="AK223" s="1"/>
      <c r="AL223" s="1"/>
    </row>
    <row r="224" spans="14:38" ht="15.75" customHeight="1" x14ac:dyDescent="0.25">
      <c r="N224" s="1">
        <v>2191</v>
      </c>
      <c r="O224" s="1">
        <v>2</v>
      </c>
      <c r="P224" s="1">
        <v>2</v>
      </c>
      <c r="Q224" s="1">
        <v>2</v>
      </c>
      <c r="R224" s="1">
        <v>0</v>
      </c>
      <c r="AG224" s="1"/>
      <c r="AH224" s="1"/>
      <c r="AI224" s="1"/>
      <c r="AJ224" s="1"/>
      <c r="AK224" s="1"/>
      <c r="AL224" s="1"/>
    </row>
    <row r="225" spans="14:38" ht="15.75" customHeight="1" x14ac:dyDescent="0.25">
      <c r="N225" s="1">
        <v>2192</v>
      </c>
      <c r="O225" s="1">
        <v>2</v>
      </c>
      <c r="P225" s="1">
        <v>2</v>
      </c>
      <c r="Q225" s="1">
        <v>2</v>
      </c>
      <c r="R225" s="1">
        <v>0</v>
      </c>
      <c r="AG225" s="1"/>
      <c r="AH225" s="1"/>
      <c r="AI225" s="1"/>
      <c r="AJ225" s="1"/>
      <c r="AK225" s="1"/>
      <c r="AL225" s="1"/>
    </row>
    <row r="226" spans="14:38" ht="15.75" customHeight="1" x14ac:dyDescent="0.25">
      <c r="N226" s="1">
        <v>2193</v>
      </c>
      <c r="O226" s="1">
        <v>2</v>
      </c>
      <c r="P226" s="1">
        <v>2</v>
      </c>
      <c r="Q226" s="1">
        <v>2</v>
      </c>
      <c r="R226" s="1">
        <v>0</v>
      </c>
      <c r="AG226" s="1"/>
      <c r="AH226" s="1"/>
      <c r="AI226" s="1"/>
      <c r="AJ226" s="1"/>
      <c r="AK226" s="1"/>
      <c r="AL226" s="1"/>
    </row>
    <row r="227" spans="14:38" ht="15.75" customHeight="1" x14ac:dyDescent="0.25">
      <c r="N227" s="1">
        <v>2194</v>
      </c>
      <c r="O227" s="1">
        <v>2</v>
      </c>
      <c r="P227" s="1">
        <v>2</v>
      </c>
      <c r="Q227" s="1">
        <v>2</v>
      </c>
      <c r="R227" s="1">
        <v>0</v>
      </c>
      <c r="AG227" s="1"/>
      <c r="AH227" s="1"/>
      <c r="AI227" s="1"/>
      <c r="AJ227" s="1"/>
      <c r="AK227" s="1"/>
      <c r="AL227" s="1"/>
    </row>
    <row r="228" spans="14:38" ht="15.75" customHeight="1" x14ac:dyDescent="0.25">
      <c r="N228" s="1">
        <v>2195</v>
      </c>
      <c r="O228" s="1">
        <v>2</v>
      </c>
      <c r="P228" s="1">
        <v>2</v>
      </c>
      <c r="Q228" s="1">
        <v>2</v>
      </c>
      <c r="R228" s="1">
        <v>0</v>
      </c>
      <c r="AG228" s="1"/>
      <c r="AH228" s="1"/>
      <c r="AI228" s="1"/>
      <c r="AJ228" s="1"/>
      <c r="AK228" s="1"/>
      <c r="AL228" s="1"/>
    </row>
    <row r="229" spans="14:38" ht="15.75" customHeight="1" x14ac:dyDescent="0.25">
      <c r="N229" s="1">
        <v>2196</v>
      </c>
      <c r="O229" s="1">
        <v>2</v>
      </c>
      <c r="P229" s="1">
        <v>2</v>
      </c>
      <c r="Q229" s="1">
        <v>2</v>
      </c>
      <c r="R229" s="1">
        <v>0</v>
      </c>
      <c r="AG229" s="1"/>
      <c r="AH229" s="1"/>
      <c r="AI229" s="1"/>
      <c r="AJ229" s="1"/>
      <c r="AK229" s="1"/>
      <c r="AL229" s="1"/>
    </row>
    <row r="230" spans="14:38" ht="15.75" customHeight="1" x14ac:dyDescent="0.25">
      <c r="N230" s="1">
        <v>2197</v>
      </c>
      <c r="O230" s="1">
        <v>2</v>
      </c>
      <c r="P230" s="1">
        <v>2</v>
      </c>
      <c r="Q230" s="1">
        <v>2</v>
      </c>
      <c r="R230" s="1">
        <v>0</v>
      </c>
      <c r="AG230" s="1"/>
      <c r="AH230" s="1"/>
      <c r="AI230" s="1"/>
      <c r="AJ230" s="1"/>
      <c r="AK230" s="1"/>
      <c r="AL230" s="1"/>
    </row>
    <row r="231" spans="14:38" ht="15.75" customHeight="1" x14ac:dyDescent="0.25">
      <c r="N231" s="1">
        <v>2198</v>
      </c>
      <c r="O231" s="1">
        <v>2</v>
      </c>
      <c r="P231" s="1">
        <v>2</v>
      </c>
      <c r="Q231" s="1">
        <v>2</v>
      </c>
      <c r="R231" s="1">
        <v>0</v>
      </c>
      <c r="AG231" s="1"/>
      <c r="AH231" s="1"/>
      <c r="AI231" s="1"/>
      <c r="AJ231" s="1"/>
      <c r="AK231" s="1"/>
      <c r="AL231" s="1"/>
    </row>
    <row r="232" spans="14:38" ht="15.75" customHeight="1" x14ac:dyDescent="0.25">
      <c r="N232" s="1">
        <v>2199</v>
      </c>
      <c r="O232" s="1">
        <v>2</v>
      </c>
      <c r="P232" s="1">
        <v>2</v>
      </c>
      <c r="Q232" s="1">
        <v>2</v>
      </c>
      <c r="R232" s="1">
        <v>0</v>
      </c>
      <c r="AG232" s="1"/>
      <c r="AH232" s="1"/>
      <c r="AI232" s="1"/>
      <c r="AJ232" s="1"/>
      <c r="AK232" s="1"/>
      <c r="AL232" s="1"/>
    </row>
    <row r="233" spans="14:38" ht="15.75" customHeight="1" x14ac:dyDescent="0.25">
      <c r="N233" s="1">
        <v>2200</v>
      </c>
      <c r="O233" s="1">
        <v>2</v>
      </c>
      <c r="P233" s="1">
        <v>2</v>
      </c>
      <c r="Q233" s="1">
        <v>2</v>
      </c>
      <c r="R233" s="1">
        <v>0</v>
      </c>
      <c r="AG233" s="1"/>
      <c r="AH233" s="1"/>
      <c r="AI233" s="1"/>
      <c r="AJ233" s="1"/>
      <c r="AK233" s="1"/>
      <c r="AL233" s="1"/>
    </row>
    <row r="234" spans="14:38" ht="15.75" customHeight="1" x14ac:dyDescent="0.25">
      <c r="N234" s="1">
        <v>2201</v>
      </c>
      <c r="O234" s="1">
        <v>2</v>
      </c>
      <c r="P234" s="1">
        <v>2</v>
      </c>
      <c r="Q234" s="1">
        <v>2</v>
      </c>
      <c r="R234" s="1">
        <v>0</v>
      </c>
      <c r="AG234" s="1"/>
      <c r="AH234" s="1"/>
      <c r="AI234" s="1"/>
      <c r="AJ234" s="1"/>
      <c r="AK234" s="1"/>
      <c r="AL234" s="1"/>
    </row>
    <row r="235" spans="14:38" ht="15.75" customHeight="1" x14ac:dyDescent="0.25">
      <c r="N235" s="1">
        <v>2202</v>
      </c>
      <c r="O235" s="1">
        <v>2</v>
      </c>
      <c r="P235" s="1">
        <v>2</v>
      </c>
      <c r="Q235" s="1">
        <v>2</v>
      </c>
      <c r="R235" s="1">
        <v>0</v>
      </c>
      <c r="AG235" s="1"/>
      <c r="AH235" s="1"/>
      <c r="AI235" s="1"/>
      <c r="AJ235" s="1"/>
      <c r="AK235" s="1"/>
      <c r="AL235" s="1"/>
    </row>
    <row r="236" spans="14:38" ht="15.75" customHeight="1" x14ac:dyDescent="0.25">
      <c r="N236" s="1">
        <v>2203</v>
      </c>
      <c r="O236" s="1">
        <v>2</v>
      </c>
      <c r="P236" s="1">
        <v>2</v>
      </c>
      <c r="Q236" s="1">
        <v>2</v>
      </c>
      <c r="R236" s="1">
        <v>0</v>
      </c>
      <c r="AG236" s="1"/>
      <c r="AH236" s="1"/>
      <c r="AI236" s="1"/>
      <c r="AJ236" s="1"/>
      <c r="AK236" s="1"/>
      <c r="AL236" s="1"/>
    </row>
    <row r="237" spans="14:38" ht="15.75" customHeight="1" x14ac:dyDescent="0.25">
      <c r="N237" s="1">
        <v>2204</v>
      </c>
      <c r="O237" s="1">
        <v>2</v>
      </c>
      <c r="P237" s="1">
        <v>2</v>
      </c>
      <c r="Q237" s="1">
        <v>2</v>
      </c>
      <c r="R237" s="1">
        <v>0</v>
      </c>
      <c r="AG237" s="1"/>
      <c r="AH237" s="1"/>
      <c r="AI237" s="1"/>
      <c r="AJ237" s="1"/>
      <c r="AK237" s="1"/>
      <c r="AL237" s="1"/>
    </row>
    <row r="238" spans="14:38" ht="15.75" customHeight="1" x14ac:dyDescent="0.25">
      <c r="N238" s="1">
        <v>2205</v>
      </c>
      <c r="O238" s="1">
        <v>2</v>
      </c>
      <c r="P238" s="1">
        <v>2</v>
      </c>
      <c r="Q238" s="1">
        <v>2</v>
      </c>
      <c r="R238" s="1">
        <v>0</v>
      </c>
      <c r="AG238" s="1"/>
      <c r="AH238" s="1"/>
      <c r="AI238" s="1"/>
      <c r="AJ238" s="1"/>
      <c r="AK238" s="1"/>
      <c r="AL238" s="1"/>
    </row>
    <row r="239" spans="14:38" ht="15.75" customHeight="1" x14ac:dyDescent="0.25">
      <c r="N239" s="1">
        <v>2206</v>
      </c>
      <c r="O239" s="1">
        <v>2</v>
      </c>
      <c r="P239" s="1">
        <v>2</v>
      </c>
      <c r="Q239" s="1">
        <v>2</v>
      </c>
      <c r="R239" s="1">
        <v>0</v>
      </c>
      <c r="AG239" s="1"/>
      <c r="AH239" s="1"/>
      <c r="AI239" s="1"/>
      <c r="AJ239" s="1"/>
      <c r="AK239" s="1"/>
      <c r="AL239" s="1"/>
    </row>
    <row r="240" spans="14:38" ht="15.75" customHeight="1" x14ac:dyDescent="0.25">
      <c r="N240" s="1">
        <v>2207</v>
      </c>
      <c r="O240" s="1">
        <v>2</v>
      </c>
      <c r="P240" s="1">
        <v>2</v>
      </c>
      <c r="Q240" s="1">
        <v>2</v>
      </c>
      <c r="R240" s="1">
        <v>0</v>
      </c>
      <c r="AG240" s="1"/>
      <c r="AH240" s="1"/>
      <c r="AI240" s="1"/>
      <c r="AJ240" s="1"/>
      <c r="AK240" s="1"/>
      <c r="AL240" s="1"/>
    </row>
    <row r="241" spans="14:38" ht="15.75" customHeight="1" x14ac:dyDescent="0.25">
      <c r="N241" s="1">
        <v>2208</v>
      </c>
      <c r="O241" s="1">
        <v>2</v>
      </c>
      <c r="P241" s="1">
        <v>2</v>
      </c>
      <c r="Q241" s="1">
        <v>2</v>
      </c>
      <c r="R241" s="1">
        <v>0</v>
      </c>
      <c r="AG241" s="1"/>
      <c r="AH241" s="1"/>
      <c r="AI241" s="1"/>
      <c r="AJ241" s="1"/>
      <c r="AK241" s="1"/>
      <c r="AL241" s="1"/>
    </row>
    <row r="242" spans="14:38" ht="15.75" customHeight="1" x14ac:dyDescent="0.25">
      <c r="N242" s="1">
        <v>2209</v>
      </c>
      <c r="O242" s="1">
        <v>2</v>
      </c>
      <c r="P242" s="1">
        <v>2</v>
      </c>
      <c r="Q242" s="1">
        <v>2</v>
      </c>
      <c r="R242" s="1">
        <v>0</v>
      </c>
      <c r="AG242" s="1"/>
      <c r="AH242" s="1"/>
      <c r="AI242" s="1"/>
      <c r="AJ242" s="1"/>
      <c r="AK242" s="1"/>
      <c r="AL242" s="1"/>
    </row>
    <row r="243" spans="14:38" ht="15.75" customHeight="1" x14ac:dyDescent="0.25">
      <c r="N243" s="1">
        <v>2210</v>
      </c>
      <c r="O243" s="1">
        <v>2</v>
      </c>
      <c r="P243" s="1">
        <v>2</v>
      </c>
      <c r="Q243" s="1">
        <v>2</v>
      </c>
      <c r="R243" s="1">
        <v>0</v>
      </c>
      <c r="AG243" s="1"/>
      <c r="AH243" s="1"/>
      <c r="AI243" s="1"/>
      <c r="AJ243" s="1"/>
      <c r="AK243" s="1"/>
      <c r="AL243" s="1"/>
    </row>
    <row r="244" spans="14:38" ht="15.75" customHeight="1" x14ac:dyDescent="0.25">
      <c r="N244" s="1">
        <v>2211</v>
      </c>
      <c r="O244" s="1">
        <v>2</v>
      </c>
      <c r="P244" s="1">
        <v>2</v>
      </c>
      <c r="Q244" s="1">
        <v>2</v>
      </c>
      <c r="R244" s="1">
        <v>0</v>
      </c>
      <c r="AG244" s="1"/>
      <c r="AH244" s="1"/>
      <c r="AI244" s="1"/>
      <c r="AJ244" s="1"/>
      <c r="AK244" s="1"/>
      <c r="AL244" s="1"/>
    </row>
    <row r="245" spans="14:38" ht="15.75" customHeight="1" x14ac:dyDescent="0.25">
      <c r="N245" s="1">
        <v>2212</v>
      </c>
      <c r="O245" s="1">
        <v>2</v>
      </c>
      <c r="P245" s="1">
        <v>2</v>
      </c>
      <c r="Q245" s="1">
        <v>2</v>
      </c>
      <c r="R245" s="1">
        <v>0</v>
      </c>
      <c r="AG245" s="1"/>
      <c r="AH245" s="1"/>
      <c r="AI245" s="1"/>
      <c r="AJ245" s="1"/>
      <c r="AK245" s="1"/>
      <c r="AL245" s="1"/>
    </row>
    <row r="246" spans="14:38" ht="15.75" customHeight="1" x14ac:dyDescent="0.25">
      <c r="N246" s="1">
        <v>2213</v>
      </c>
      <c r="O246" s="1">
        <v>2</v>
      </c>
      <c r="P246" s="1">
        <v>2</v>
      </c>
      <c r="Q246" s="1">
        <v>2</v>
      </c>
      <c r="R246" s="1">
        <v>0</v>
      </c>
      <c r="AG246" s="1"/>
      <c r="AH246" s="1"/>
      <c r="AI246" s="1"/>
      <c r="AJ246" s="1"/>
      <c r="AK246" s="1"/>
      <c r="AL246" s="1"/>
    </row>
    <row r="247" spans="14:38" ht="15.75" customHeight="1" x14ac:dyDescent="0.25">
      <c r="N247" s="1">
        <v>2214</v>
      </c>
      <c r="O247" s="1">
        <v>2</v>
      </c>
      <c r="P247" s="1">
        <v>2</v>
      </c>
      <c r="Q247" s="1">
        <v>2</v>
      </c>
      <c r="R247" s="1">
        <v>0</v>
      </c>
      <c r="AG247" s="1"/>
      <c r="AH247" s="1"/>
      <c r="AI247" s="1"/>
      <c r="AJ247" s="1"/>
      <c r="AK247" s="1"/>
      <c r="AL247" s="1"/>
    </row>
    <row r="248" spans="14:38" ht="15.75" customHeight="1" x14ac:dyDescent="0.25">
      <c r="N248" s="1">
        <v>2215</v>
      </c>
      <c r="O248" s="1">
        <v>2</v>
      </c>
      <c r="P248" s="1">
        <v>2</v>
      </c>
      <c r="Q248" s="1">
        <v>2</v>
      </c>
      <c r="R248" s="1">
        <v>0</v>
      </c>
      <c r="AG248" s="1"/>
      <c r="AH248" s="1"/>
      <c r="AI248" s="1"/>
      <c r="AJ248" s="1"/>
      <c r="AK248" s="1"/>
      <c r="AL248" s="1"/>
    </row>
    <row r="249" spans="14:38" ht="15.75" customHeight="1" x14ac:dyDescent="0.25">
      <c r="N249" s="1">
        <v>2216</v>
      </c>
      <c r="O249" s="1">
        <v>2</v>
      </c>
      <c r="P249" s="1">
        <v>2</v>
      </c>
      <c r="Q249" s="1">
        <v>2</v>
      </c>
      <c r="R249" s="1">
        <v>0</v>
      </c>
      <c r="AG249" s="1"/>
      <c r="AH249" s="1"/>
      <c r="AI249" s="1"/>
      <c r="AJ249" s="1"/>
      <c r="AK249" s="1"/>
      <c r="AL249" s="1"/>
    </row>
    <row r="250" spans="14:38" ht="15.75" customHeight="1" x14ac:dyDescent="0.25">
      <c r="N250" s="1">
        <v>2217</v>
      </c>
      <c r="O250" s="1">
        <v>2</v>
      </c>
      <c r="P250" s="1">
        <v>2</v>
      </c>
      <c r="Q250" s="1">
        <v>2</v>
      </c>
      <c r="R250" s="1">
        <v>0</v>
      </c>
      <c r="AG250" s="1"/>
      <c r="AH250" s="1"/>
      <c r="AI250" s="1"/>
      <c r="AJ250" s="1"/>
      <c r="AK250" s="1"/>
      <c r="AL250" s="1"/>
    </row>
    <row r="251" spans="14:38" ht="15.75" customHeight="1" x14ac:dyDescent="0.25">
      <c r="N251" s="1">
        <v>2218</v>
      </c>
      <c r="O251" s="1">
        <v>2</v>
      </c>
      <c r="P251" s="1">
        <v>2</v>
      </c>
      <c r="Q251" s="1">
        <v>2</v>
      </c>
      <c r="R251" s="1">
        <v>0</v>
      </c>
      <c r="AG251" s="1"/>
      <c r="AH251" s="1"/>
      <c r="AI251" s="1"/>
      <c r="AJ251" s="1"/>
      <c r="AK251" s="1"/>
      <c r="AL251" s="1"/>
    </row>
    <row r="252" spans="14:38" ht="15.75" customHeight="1" x14ac:dyDescent="0.25">
      <c r="N252" s="1">
        <v>2219</v>
      </c>
      <c r="O252" s="1">
        <v>2</v>
      </c>
      <c r="P252" s="1">
        <v>2</v>
      </c>
      <c r="Q252" s="1">
        <v>2</v>
      </c>
      <c r="R252" s="1">
        <v>0</v>
      </c>
      <c r="AG252" s="1"/>
      <c r="AH252" s="1"/>
      <c r="AI252" s="1"/>
      <c r="AJ252" s="1"/>
      <c r="AK252" s="1"/>
      <c r="AL252" s="1"/>
    </row>
    <row r="253" spans="14:38" ht="15.75" customHeight="1" x14ac:dyDescent="0.25">
      <c r="N253" s="1">
        <v>2220</v>
      </c>
      <c r="O253" s="1">
        <v>2</v>
      </c>
      <c r="P253" s="1">
        <v>2</v>
      </c>
      <c r="Q253" s="1">
        <v>2</v>
      </c>
      <c r="R253" s="1">
        <v>0</v>
      </c>
      <c r="AG253" s="1"/>
      <c r="AH253" s="1"/>
      <c r="AI253" s="1"/>
      <c r="AJ253" s="1"/>
      <c r="AK253" s="1"/>
      <c r="AL253" s="1"/>
    </row>
    <row r="254" spans="14:38" ht="15.75" customHeight="1" x14ac:dyDescent="0.25">
      <c r="N254" s="1">
        <v>2221</v>
      </c>
      <c r="O254" s="1">
        <v>2</v>
      </c>
      <c r="P254" s="1">
        <v>2</v>
      </c>
      <c r="Q254" s="1">
        <v>2</v>
      </c>
      <c r="R254" s="1">
        <v>0</v>
      </c>
      <c r="AG254" s="1"/>
      <c r="AH254" s="1"/>
      <c r="AI254" s="1"/>
      <c r="AJ254" s="1"/>
      <c r="AK254" s="1"/>
      <c r="AL254" s="1"/>
    </row>
    <row r="255" spans="14:38" ht="15.75" customHeight="1" x14ac:dyDescent="0.25">
      <c r="N255" s="1">
        <v>2222</v>
      </c>
      <c r="O255" s="1">
        <v>2</v>
      </c>
      <c r="P255" s="1">
        <v>2</v>
      </c>
      <c r="Q255" s="1">
        <v>2</v>
      </c>
      <c r="R255" s="1">
        <v>0</v>
      </c>
      <c r="AG255" s="1"/>
      <c r="AH255" s="1"/>
      <c r="AI255" s="1"/>
      <c r="AJ255" s="1"/>
      <c r="AK255" s="1"/>
      <c r="AL255" s="1"/>
    </row>
    <row r="256" spans="14:38" ht="15.75" customHeight="1" x14ac:dyDescent="0.25">
      <c r="N256" s="1">
        <v>2223</v>
      </c>
      <c r="O256" s="1">
        <v>2</v>
      </c>
      <c r="P256" s="1">
        <v>2</v>
      </c>
      <c r="Q256" s="1">
        <v>2</v>
      </c>
      <c r="R256" s="1">
        <v>0</v>
      </c>
      <c r="AG256" s="1"/>
      <c r="AH256" s="1"/>
      <c r="AI256" s="1"/>
      <c r="AJ256" s="1"/>
      <c r="AK256" s="1"/>
      <c r="AL256" s="1"/>
    </row>
    <row r="257" spans="14:38" ht="15.75" customHeight="1" x14ac:dyDescent="0.25">
      <c r="N257" s="1">
        <v>2224</v>
      </c>
      <c r="O257" s="1">
        <v>2</v>
      </c>
      <c r="P257" s="1">
        <v>2</v>
      </c>
      <c r="Q257" s="1">
        <v>2</v>
      </c>
      <c r="R257" s="1">
        <v>0</v>
      </c>
      <c r="AG257" s="1"/>
      <c r="AH257" s="1"/>
      <c r="AI257" s="1"/>
      <c r="AJ257" s="1"/>
      <c r="AK257" s="1"/>
      <c r="AL257" s="1"/>
    </row>
    <row r="258" spans="14:38" ht="15.75" customHeight="1" x14ac:dyDescent="0.25">
      <c r="N258" s="1">
        <v>2225</v>
      </c>
      <c r="O258" s="1">
        <v>2</v>
      </c>
      <c r="P258" s="1">
        <v>2</v>
      </c>
      <c r="Q258" s="1">
        <v>2</v>
      </c>
      <c r="R258" s="1">
        <v>0</v>
      </c>
      <c r="AG258" s="1"/>
      <c r="AH258" s="1"/>
      <c r="AI258" s="1"/>
      <c r="AJ258" s="1"/>
      <c r="AK258" s="1"/>
      <c r="AL258" s="1"/>
    </row>
    <row r="259" spans="14:38" ht="15.75" customHeight="1" x14ac:dyDescent="0.25">
      <c r="N259" s="1">
        <v>2226</v>
      </c>
      <c r="O259" s="1">
        <v>2</v>
      </c>
      <c r="P259" s="1">
        <v>2</v>
      </c>
      <c r="Q259" s="1">
        <v>2</v>
      </c>
      <c r="R259" s="1">
        <v>0</v>
      </c>
      <c r="AG259" s="1"/>
      <c r="AH259" s="1"/>
      <c r="AI259" s="1"/>
      <c r="AJ259" s="1"/>
      <c r="AK259" s="1"/>
      <c r="AL259" s="1"/>
    </row>
    <row r="260" spans="14:38" ht="15.75" customHeight="1" x14ac:dyDescent="0.25">
      <c r="N260" s="1">
        <v>2227</v>
      </c>
      <c r="O260" s="1">
        <v>2</v>
      </c>
      <c r="P260" s="1">
        <v>2</v>
      </c>
      <c r="Q260" s="1">
        <v>2</v>
      </c>
      <c r="R260" s="1">
        <v>0</v>
      </c>
      <c r="AG260" s="1"/>
      <c r="AH260" s="1"/>
      <c r="AI260" s="1"/>
      <c r="AJ260" s="1"/>
      <c r="AK260" s="1"/>
      <c r="AL260" s="1"/>
    </row>
    <row r="261" spans="14:38" ht="15.75" customHeight="1" x14ac:dyDescent="0.25">
      <c r="N261" s="1">
        <v>2228</v>
      </c>
      <c r="O261" s="1">
        <v>2</v>
      </c>
      <c r="P261" s="1">
        <v>2</v>
      </c>
      <c r="Q261" s="1">
        <v>2</v>
      </c>
      <c r="R261" s="1">
        <v>0</v>
      </c>
      <c r="AG261" s="1"/>
      <c r="AH261" s="1"/>
      <c r="AI261" s="1"/>
      <c r="AJ261" s="1"/>
      <c r="AK261" s="1"/>
      <c r="AL261" s="1"/>
    </row>
    <row r="262" spans="14:38" ht="15.75" customHeight="1" x14ac:dyDescent="0.25">
      <c r="N262" s="1">
        <v>2229</v>
      </c>
      <c r="O262" s="1">
        <v>2</v>
      </c>
      <c r="P262" s="1">
        <v>2</v>
      </c>
      <c r="Q262" s="1">
        <v>2</v>
      </c>
      <c r="R262" s="1">
        <v>0</v>
      </c>
      <c r="AG262" s="1"/>
      <c r="AH262" s="1"/>
      <c r="AI262" s="1"/>
      <c r="AJ262" s="1"/>
      <c r="AK262" s="1"/>
      <c r="AL262" s="1"/>
    </row>
    <row r="263" spans="14:38" ht="15.75" customHeight="1" x14ac:dyDescent="0.25">
      <c r="N263" s="1">
        <v>2230</v>
      </c>
      <c r="O263" s="1">
        <v>2</v>
      </c>
      <c r="P263" s="1">
        <v>2</v>
      </c>
      <c r="Q263" s="1">
        <v>2</v>
      </c>
      <c r="R263" s="1">
        <v>0</v>
      </c>
      <c r="AG263" s="1"/>
      <c r="AH263" s="1"/>
      <c r="AI263" s="1"/>
      <c r="AJ263" s="1"/>
      <c r="AK263" s="1"/>
      <c r="AL263" s="1"/>
    </row>
    <row r="264" spans="14:38" ht="15.75" customHeight="1" x14ac:dyDescent="0.25">
      <c r="N264" s="1">
        <v>2231</v>
      </c>
      <c r="O264" s="1">
        <v>2</v>
      </c>
      <c r="P264" s="1">
        <v>2</v>
      </c>
      <c r="Q264" s="1">
        <v>2</v>
      </c>
      <c r="R264" s="1">
        <v>0</v>
      </c>
      <c r="AG264" s="1"/>
      <c r="AH264" s="1"/>
      <c r="AI264" s="1"/>
      <c r="AJ264" s="1"/>
      <c r="AK264" s="1"/>
      <c r="AL264" s="1"/>
    </row>
    <row r="265" spans="14:38" ht="15.75" customHeight="1" x14ac:dyDescent="0.25">
      <c r="N265" s="1">
        <v>2232</v>
      </c>
      <c r="O265" s="1">
        <v>2</v>
      </c>
      <c r="P265" s="1">
        <v>2</v>
      </c>
      <c r="Q265" s="1">
        <v>2</v>
      </c>
      <c r="R265" s="1">
        <v>0</v>
      </c>
      <c r="AG265" s="1"/>
      <c r="AH265" s="1"/>
      <c r="AI265" s="1"/>
      <c r="AJ265" s="1"/>
      <c r="AK265" s="1"/>
      <c r="AL265" s="1"/>
    </row>
    <row r="266" spans="14:38" ht="15.75" customHeight="1" x14ac:dyDescent="0.25">
      <c r="N266" s="1">
        <v>2233</v>
      </c>
      <c r="O266" s="1">
        <v>2</v>
      </c>
      <c r="P266" s="1">
        <v>2</v>
      </c>
      <c r="Q266" s="1">
        <v>2</v>
      </c>
      <c r="R266" s="1">
        <v>0</v>
      </c>
      <c r="AG266" s="1"/>
      <c r="AH266" s="1"/>
      <c r="AI266" s="1"/>
      <c r="AJ266" s="1"/>
      <c r="AK266" s="1"/>
      <c r="AL266" s="1"/>
    </row>
    <row r="267" spans="14:38" ht="15.75" customHeight="1" x14ac:dyDescent="0.25">
      <c r="N267" s="1">
        <v>2234</v>
      </c>
      <c r="O267" s="1">
        <v>2</v>
      </c>
      <c r="P267" s="1">
        <v>2</v>
      </c>
      <c r="Q267" s="1">
        <v>2</v>
      </c>
      <c r="R267" s="1">
        <v>0</v>
      </c>
      <c r="AG267" s="1"/>
      <c r="AH267" s="1"/>
      <c r="AI267" s="1"/>
      <c r="AJ267" s="1"/>
      <c r="AK267" s="1"/>
      <c r="AL267" s="1"/>
    </row>
    <row r="268" spans="14:38" ht="15.75" customHeight="1" x14ac:dyDescent="0.25">
      <c r="N268" s="1">
        <v>2235</v>
      </c>
      <c r="O268" s="1">
        <v>2</v>
      </c>
      <c r="P268" s="1">
        <v>2</v>
      </c>
      <c r="Q268" s="1">
        <v>2</v>
      </c>
      <c r="R268" s="1">
        <v>0</v>
      </c>
      <c r="AG268" s="1"/>
      <c r="AH268" s="1"/>
      <c r="AI268" s="1"/>
      <c r="AJ268" s="1"/>
      <c r="AK268" s="1"/>
      <c r="AL268" s="1"/>
    </row>
    <row r="269" spans="14:38" ht="15.75" customHeight="1" x14ac:dyDescent="0.25">
      <c r="N269" s="1">
        <v>2236</v>
      </c>
      <c r="O269" s="1">
        <v>2</v>
      </c>
      <c r="P269" s="1">
        <v>2</v>
      </c>
      <c r="Q269" s="1">
        <v>2</v>
      </c>
      <c r="R269" s="1">
        <v>0</v>
      </c>
      <c r="AG269" s="1"/>
      <c r="AH269" s="1"/>
      <c r="AI269" s="1"/>
      <c r="AJ269" s="1"/>
      <c r="AK269" s="1"/>
      <c r="AL269" s="1"/>
    </row>
    <row r="270" spans="14:38" ht="15.75" customHeight="1" x14ac:dyDescent="0.25">
      <c r="N270" s="1">
        <v>2237</v>
      </c>
      <c r="O270" s="1">
        <v>2</v>
      </c>
      <c r="P270" s="1">
        <v>2</v>
      </c>
      <c r="Q270" s="1">
        <v>2</v>
      </c>
      <c r="R270" s="1">
        <v>0</v>
      </c>
      <c r="AG270" s="1"/>
      <c r="AH270" s="1"/>
      <c r="AI270" s="1"/>
      <c r="AJ270" s="1"/>
      <c r="AK270" s="1"/>
      <c r="AL270" s="1"/>
    </row>
    <row r="271" spans="14:38" ht="15.75" customHeight="1" x14ac:dyDescent="0.25">
      <c r="N271" s="1">
        <v>2238</v>
      </c>
      <c r="O271" s="1">
        <v>2</v>
      </c>
      <c r="P271" s="1">
        <v>2</v>
      </c>
      <c r="Q271" s="1">
        <v>2</v>
      </c>
      <c r="R271" s="1">
        <v>0</v>
      </c>
      <c r="AG271" s="1"/>
      <c r="AH271" s="1"/>
      <c r="AI271" s="1"/>
      <c r="AJ271" s="1"/>
      <c r="AK271" s="1"/>
      <c r="AL271" s="1"/>
    </row>
    <row r="272" spans="14:38" ht="15.75" customHeight="1" x14ac:dyDescent="0.25">
      <c r="N272" s="1">
        <v>2239</v>
      </c>
      <c r="O272" s="1">
        <v>2</v>
      </c>
      <c r="P272" s="1">
        <v>2</v>
      </c>
      <c r="Q272" s="1">
        <v>2</v>
      </c>
      <c r="R272" s="1">
        <v>0</v>
      </c>
      <c r="AG272" s="1"/>
      <c r="AH272" s="1"/>
      <c r="AI272" s="1"/>
      <c r="AJ272" s="1"/>
      <c r="AK272" s="1"/>
      <c r="AL272" s="1"/>
    </row>
    <row r="273" spans="14:38" ht="15.75" customHeight="1" x14ac:dyDescent="0.25">
      <c r="N273" s="1">
        <v>2240</v>
      </c>
      <c r="O273" s="1">
        <v>2</v>
      </c>
      <c r="P273" s="1">
        <v>2</v>
      </c>
      <c r="Q273" s="1">
        <v>2</v>
      </c>
      <c r="R273" s="1">
        <v>0</v>
      </c>
      <c r="AG273" s="1"/>
      <c r="AH273" s="1"/>
      <c r="AI273" s="1"/>
      <c r="AJ273" s="1"/>
      <c r="AK273" s="1"/>
      <c r="AL273" s="1"/>
    </row>
    <row r="274" spans="14:38" ht="15.75" customHeight="1" x14ac:dyDescent="0.25">
      <c r="N274" s="1">
        <v>2241</v>
      </c>
      <c r="O274" s="1">
        <v>2</v>
      </c>
      <c r="P274" s="1">
        <v>2</v>
      </c>
      <c r="Q274" s="1">
        <v>2</v>
      </c>
      <c r="R274" s="1">
        <v>0</v>
      </c>
      <c r="AG274" s="1"/>
      <c r="AH274" s="1"/>
      <c r="AI274" s="1"/>
      <c r="AJ274" s="1"/>
      <c r="AK274" s="1"/>
      <c r="AL274" s="1"/>
    </row>
    <row r="275" spans="14:38" ht="15.75" customHeight="1" x14ac:dyDescent="0.25">
      <c r="N275" s="1">
        <v>2242</v>
      </c>
      <c r="O275" s="1">
        <v>2</v>
      </c>
      <c r="P275" s="1">
        <v>2</v>
      </c>
      <c r="Q275" s="1">
        <v>2</v>
      </c>
      <c r="R275" s="1">
        <v>0</v>
      </c>
      <c r="AG275" s="1"/>
      <c r="AH275" s="1"/>
      <c r="AI275" s="1"/>
      <c r="AJ275" s="1"/>
      <c r="AK275" s="1"/>
      <c r="AL275" s="1"/>
    </row>
    <row r="276" spans="14:38" ht="15.75" customHeight="1" x14ac:dyDescent="0.25">
      <c r="N276" s="1">
        <v>2243</v>
      </c>
      <c r="O276" s="1">
        <v>2</v>
      </c>
      <c r="P276" s="1">
        <v>2</v>
      </c>
      <c r="Q276" s="1">
        <v>2</v>
      </c>
      <c r="R276" s="1">
        <v>0</v>
      </c>
      <c r="AG276" s="1"/>
      <c r="AH276" s="1"/>
      <c r="AI276" s="1"/>
      <c r="AJ276" s="1"/>
      <c r="AK276" s="1"/>
      <c r="AL276" s="1"/>
    </row>
    <row r="277" spans="14:38" ht="15.75" customHeight="1" x14ac:dyDescent="0.25">
      <c r="N277" s="1">
        <v>2244</v>
      </c>
      <c r="O277" s="1">
        <v>2</v>
      </c>
      <c r="P277" s="1">
        <v>2</v>
      </c>
      <c r="Q277" s="1">
        <v>2</v>
      </c>
      <c r="R277" s="1">
        <v>0</v>
      </c>
      <c r="AG277" s="1"/>
      <c r="AH277" s="1"/>
      <c r="AI277" s="1"/>
      <c r="AJ277" s="1"/>
      <c r="AK277" s="1"/>
      <c r="AL277" s="1"/>
    </row>
    <row r="278" spans="14:38" ht="15.75" customHeight="1" x14ac:dyDescent="0.25">
      <c r="N278" s="1">
        <v>2245</v>
      </c>
      <c r="O278" s="1">
        <v>2</v>
      </c>
      <c r="P278" s="1">
        <v>2</v>
      </c>
      <c r="Q278" s="1">
        <v>2</v>
      </c>
      <c r="R278" s="1">
        <v>0</v>
      </c>
      <c r="AG278" s="1"/>
      <c r="AH278" s="1"/>
      <c r="AI278" s="1"/>
      <c r="AJ278" s="1"/>
      <c r="AK278" s="1"/>
      <c r="AL278" s="1"/>
    </row>
    <row r="279" spans="14:38" ht="15.75" customHeight="1" x14ac:dyDescent="0.25">
      <c r="N279" s="1">
        <v>2246</v>
      </c>
      <c r="O279" s="1">
        <v>2</v>
      </c>
      <c r="P279" s="1">
        <v>2</v>
      </c>
      <c r="Q279" s="1">
        <v>2</v>
      </c>
      <c r="R279" s="1">
        <v>0</v>
      </c>
      <c r="AG279" s="1"/>
      <c r="AH279" s="1"/>
      <c r="AI279" s="1"/>
      <c r="AJ279" s="1"/>
      <c r="AK279" s="1"/>
      <c r="AL279" s="1"/>
    </row>
    <row r="280" spans="14:38" ht="15.75" customHeight="1" x14ac:dyDescent="0.25">
      <c r="N280" s="1">
        <v>2247</v>
      </c>
      <c r="O280" s="1">
        <v>2</v>
      </c>
      <c r="P280" s="1">
        <v>2</v>
      </c>
      <c r="Q280" s="1">
        <v>2</v>
      </c>
      <c r="R280" s="1">
        <v>0</v>
      </c>
      <c r="AG280" s="1"/>
      <c r="AH280" s="1"/>
      <c r="AI280" s="1"/>
      <c r="AJ280" s="1"/>
      <c r="AK280" s="1"/>
      <c r="AL280" s="1"/>
    </row>
    <row r="281" spans="14:38" ht="15.75" customHeight="1" x14ac:dyDescent="0.25">
      <c r="N281" s="1">
        <v>2248</v>
      </c>
      <c r="O281" s="1">
        <v>2</v>
      </c>
      <c r="P281" s="1">
        <v>2</v>
      </c>
      <c r="Q281" s="1">
        <v>2</v>
      </c>
      <c r="R281" s="1">
        <v>0</v>
      </c>
      <c r="AG281" s="1"/>
      <c r="AH281" s="1"/>
      <c r="AI281" s="1"/>
      <c r="AJ281" s="1"/>
      <c r="AK281" s="1"/>
      <c r="AL281" s="1"/>
    </row>
    <row r="282" spans="14:38" ht="15.75" customHeight="1" x14ac:dyDescent="0.25">
      <c r="N282" s="1">
        <v>2249</v>
      </c>
      <c r="O282" s="1">
        <v>2</v>
      </c>
      <c r="P282" s="1">
        <v>2</v>
      </c>
      <c r="Q282" s="1">
        <v>2</v>
      </c>
      <c r="R282" s="1">
        <v>0</v>
      </c>
      <c r="AG282" s="1"/>
      <c r="AH282" s="1"/>
      <c r="AI282" s="1"/>
      <c r="AJ282" s="1"/>
      <c r="AK282" s="1"/>
      <c r="AL282" s="1"/>
    </row>
    <row r="283" spans="14:38" ht="15.75" customHeight="1" x14ac:dyDescent="0.25">
      <c r="N283" s="1">
        <v>2250</v>
      </c>
      <c r="O283" s="1">
        <v>2</v>
      </c>
      <c r="P283" s="1">
        <v>2</v>
      </c>
      <c r="Q283" s="1">
        <v>2</v>
      </c>
      <c r="R283" s="1">
        <v>0</v>
      </c>
      <c r="AG283" s="1"/>
      <c r="AH283" s="1"/>
      <c r="AI283" s="1"/>
      <c r="AJ283" s="1"/>
      <c r="AK283" s="1"/>
      <c r="AL283" s="1"/>
    </row>
    <row r="284" spans="14:38" ht="15.75" customHeight="1" x14ac:dyDescent="0.25">
      <c r="N284" s="1">
        <v>2251</v>
      </c>
      <c r="O284" s="1">
        <v>2</v>
      </c>
      <c r="P284" s="1">
        <v>2</v>
      </c>
      <c r="Q284" s="1">
        <v>2</v>
      </c>
      <c r="R284" s="1">
        <v>0</v>
      </c>
      <c r="AG284" s="1"/>
      <c r="AH284" s="1"/>
      <c r="AI284" s="1"/>
      <c r="AJ284" s="1"/>
      <c r="AK284" s="1"/>
      <c r="AL284" s="1"/>
    </row>
    <row r="285" spans="14:38" ht="15.75" customHeight="1" x14ac:dyDescent="0.25">
      <c r="N285" s="1">
        <v>2252</v>
      </c>
      <c r="O285" s="1">
        <v>2</v>
      </c>
      <c r="P285" s="1">
        <v>2</v>
      </c>
      <c r="Q285" s="1">
        <v>2</v>
      </c>
      <c r="R285" s="1">
        <v>0</v>
      </c>
      <c r="AG285" s="1"/>
      <c r="AH285" s="1"/>
      <c r="AI285" s="1"/>
      <c r="AJ285" s="1"/>
      <c r="AK285" s="1"/>
      <c r="AL285" s="1"/>
    </row>
    <row r="286" spans="14:38" ht="15.75" customHeight="1" x14ac:dyDescent="0.25">
      <c r="N286" s="1">
        <v>2253</v>
      </c>
      <c r="O286" s="1">
        <v>2</v>
      </c>
      <c r="P286" s="1">
        <v>2</v>
      </c>
      <c r="Q286" s="1">
        <v>2</v>
      </c>
      <c r="R286" s="1">
        <v>0</v>
      </c>
      <c r="AG286" s="1"/>
      <c r="AH286" s="1"/>
      <c r="AI286" s="1"/>
      <c r="AJ286" s="1"/>
      <c r="AK286" s="1"/>
      <c r="AL286" s="1"/>
    </row>
    <row r="287" spans="14:38" ht="15.75" customHeight="1" x14ac:dyDescent="0.25">
      <c r="N287" s="1">
        <v>2254</v>
      </c>
      <c r="O287" s="1">
        <v>2</v>
      </c>
      <c r="P287" s="1">
        <v>2</v>
      </c>
      <c r="Q287" s="1">
        <v>2</v>
      </c>
      <c r="R287" s="1">
        <v>0</v>
      </c>
      <c r="AG287" s="1"/>
      <c r="AH287" s="1"/>
      <c r="AI287" s="1"/>
      <c r="AJ287" s="1"/>
      <c r="AK287" s="1"/>
      <c r="AL287" s="1"/>
    </row>
    <row r="288" spans="14:38" ht="15.75" customHeight="1" x14ac:dyDescent="0.25">
      <c r="N288" s="1">
        <v>2255</v>
      </c>
      <c r="O288" s="1">
        <v>2</v>
      </c>
      <c r="P288" s="1">
        <v>2</v>
      </c>
      <c r="Q288" s="1">
        <v>2</v>
      </c>
      <c r="R288" s="1">
        <v>0</v>
      </c>
      <c r="AG288" s="1"/>
      <c r="AH288" s="1"/>
      <c r="AI288" s="1"/>
      <c r="AJ288" s="1"/>
      <c r="AK288" s="1"/>
      <c r="AL288" s="1"/>
    </row>
    <row r="289" spans="14:38" ht="15.75" customHeight="1" x14ac:dyDescent="0.25">
      <c r="N289" s="1">
        <v>2256</v>
      </c>
      <c r="O289" s="1">
        <v>2</v>
      </c>
      <c r="P289" s="1">
        <v>2</v>
      </c>
      <c r="Q289" s="1">
        <v>2</v>
      </c>
      <c r="R289" s="1">
        <v>0</v>
      </c>
      <c r="AG289" s="1"/>
      <c r="AH289" s="1"/>
      <c r="AI289" s="1"/>
      <c r="AJ289" s="1"/>
      <c r="AK289" s="1"/>
      <c r="AL289" s="1"/>
    </row>
    <row r="290" spans="14:38" ht="15.75" customHeight="1" x14ac:dyDescent="0.25">
      <c r="N290" s="1">
        <v>2257</v>
      </c>
      <c r="O290" s="1">
        <v>2</v>
      </c>
      <c r="P290" s="1">
        <v>2</v>
      </c>
      <c r="Q290" s="1">
        <v>2</v>
      </c>
      <c r="R290" s="1">
        <v>0</v>
      </c>
      <c r="AG290" s="1"/>
      <c r="AH290" s="1"/>
      <c r="AI290" s="1"/>
      <c r="AJ290" s="1"/>
      <c r="AK290" s="1"/>
      <c r="AL290" s="1"/>
    </row>
    <row r="291" spans="14:38" ht="15.75" customHeight="1" x14ac:dyDescent="0.25">
      <c r="N291" s="1">
        <v>2258</v>
      </c>
      <c r="O291" s="1">
        <v>2</v>
      </c>
      <c r="P291" s="1">
        <v>2</v>
      </c>
      <c r="Q291" s="1">
        <v>2</v>
      </c>
      <c r="R291" s="1">
        <v>0</v>
      </c>
      <c r="AG291" s="1"/>
      <c r="AH291" s="1"/>
      <c r="AI291" s="1"/>
      <c r="AJ291" s="1"/>
      <c r="AK291" s="1"/>
      <c r="AL291" s="1"/>
    </row>
    <row r="292" spans="14:38" ht="15.75" customHeight="1" x14ac:dyDescent="0.25">
      <c r="N292" s="1">
        <v>2259</v>
      </c>
      <c r="O292" s="1">
        <v>2</v>
      </c>
      <c r="P292" s="1">
        <v>2</v>
      </c>
      <c r="Q292" s="1">
        <v>2</v>
      </c>
      <c r="R292" s="1">
        <v>0</v>
      </c>
      <c r="AG292" s="1"/>
      <c r="AH292" s="1"/>
      <c r="AI292" s="1"/>
      <c r="AJ292" s="1"/>
      <c r="AK292" s="1"/>
      <c r="AL292" s="1"/>
    </row>
    <row r="293" spans="14:38" ht="15.75" customHeight="1" x14ac:dyDescent="0.25">
      <c r="N293" s="1">
        <v>2260</v>
      </c>
      <c r="O293" s="1">
        <v>2</v>
      </c>
      <c r="P293" s="1">
        <v>2</v>
      </c>
      <c r="Q293" s="1">
        <v>2</v>
      </c>
      <c r="R293" s="1">
        <v>0</v>
      </c>
      <c r="AG293" s="1"/>
      <c r="AH293" s="1"/>
      <c r="AI293" s="1"/>
      <c r="AJ293" s="1"/>
      <c r="AK293" s="1"/>
      <c r="AL293" s="1"/>
    </row>
    <row r="294" spans="14:38" ht="15.75" customHeight="1" x14ac:dyDescent="0.25">
      <c r="N294" s="1">
        <v>2261</v>
      </c>
      <c r="O294" s="1">
        <v>2</v>
      </c>
      <c r="P294" s="1">
        <v>2</v>
      </c>
      <c r="Q294" s="1">
        <v>2</v>
      </c>
      <c r="R294" s="1">
        <v>0</v>
      </c>
      <c r="AG294" s="1"/>
      <c r="AH294" s="1"/>
      <c r="AI294" s="1"/>
      <c r="AJ294" s="1"/>
      <c r="AK294" s="1"/>
      <c r="AL294" s="1"/>
    </row>
    <row r="295" spans="14:38" ht="15.75" customHeight="1" x14ac:dyDescent="0.25">
      <c r="N295" s="1">
        <v>2262</v>
      </c>
      <c r="O295" s="1">
        <v>2</v>
      </c>
      <c r="P295" s="1">
        <v>2</v>
      </c>
      <c r="Q295" s="1">
        <v>2</v>
      </c>
      <c r="R295" s="1">
        <v>0</v>
      </c>
      <c r="AG295" s="1"/>
      <c r="AH295" s="1"/>
      <c r="AI295" s="1"/>
      <c r="AJ295" s="1"/>
      <c r="AK295" s="1"/>
      <c r="AL295" s="1"/>
    </row>
    <row r="296" spans="14:38" ht="15.75" customHeight="1" x14ac:dyDescent="0.25">
      <c r="N296" s="1">
        <v>2263</v>
      </c>
      <c r="O296" s="1">
        <v>2</v>
      </c>
      <c r="P296" s="1">
        <v>2</v>
      </c>
      <c r="Q296" s="1">
        <v>2</v>
      </c>
      <c r="R296" s="1">
        <v>0</v>
      </c>
      <c r="AG296" s="1"/>
      <c r="AH296" s="1"/>
      <c r="AI296" s="1"/>
      <c r="AJ296" s="1"/>
      <c r="AK296" s="1"/>
      <c r="AL296" s="1"/>
    </row>
    <row r="297" spans="14:38" ht="15.75" customHeight="1" x14ac:dyDescent="0.25">
      <c r="N297" s="1">
        <v>2264</v>
      </c>
      <c r="O297" s="1">
        <v>2</v>
      </c>
      <c r="P297" s="1">
        <v>2</v>
      </c>
      <c r="Q297" s="1">
        <v>2</v>
      </c>
      <c r="R297" s="1">
        <v>0</v>
      </c>
      <c r="AG297" s="1"/>
      <c r="AH297" s="1"/>
      <c r="AI297" s="1"/>
      <c r="AJ297" s="1"/>
      <c r="AK297" s="1"/>
      <c r="AL297" s="1"/>
    </row>
    <row r="298" spans="14:38" ht="15.75" customHeight="1" x14ac:dyDescent="0.25">
      <c r="N298" s="1">
        <v>2265</v>
      </c>
      <c r="O298" s="1">
        <v>2</v>
      </c>
      <c r="P298" s="1">
        <v>2</v>
      </c>
      <c r="Q298" s="1">
        <v>2</v>
      </c>
      <c r="R298" s="1">
        <v>0</v>
      </c>
      <c r="AG298" s="1"/>
      <c r="AH298" s="1"/>
      <c r="AI298" s="1"/>
      <c r="AJ298" s="1"/>
      <c r="AK298" s="1"/>
      <c r="AL298" s="1"/>
    </row>
    <row r="299" spans="14:38" ht="15.75" customHeight="1" x14ac:dyDescent="0.25">
      <c r="N299" s="1">
        <v>2266</v>
      </c>
      <c r="O299" s="1">
        <v>2</v>
      </c>
      <c r="P299" s="1">
        <v>2</v>
      </c>
      <c r="Q299" s="1">
        <v>2</v>
      </c>
      <c r="R299" s="1">
        <v>0</v>
      </c>
      <c r="AG299" s="1"/>
      <c r="AH299" s="1"/>
      <c r="AI299" s="1"/>
      <c r="AJ299" s="1"/>
      <c r="AK299" s="1"/>
      <c r="AL299" s="1"/>
    </row>
    <row r="300" spans="14:38" ht="15.75" customHeight="1" x14ac:dyDescent="0.25">
      <c r="N300" s="1">
        <v>2267</v>
      </c>
      <c r="O300" s="1">
        <v>2</v>
      </c>
      <c r="P300" s="1">
        <v>2</v>
      </c>
      <c r="Q300" s="1">
        <v>2</v>
      </c>
      <c r="R300" s="1">
        <v>0</v>
      </c>
      <c r="AG300" s="1"/>
      <c r="AH300" s="1"/>
      <c r="AI300" s="1"/>
      <c r="AJ300" s="1"/>
      <c r="AK300" s="1"/>
      <c r="AL300" s="1"/>
    </row>
    <row r="301" spans="14:38" ht="15.75" customHeight="1" x14ac:dyDescent="0.25">
      <c r="N301" s="1">
        <v>2268</v>
      </c>
      <c r="O301" s="1">
        <v>2</v>
      </c>
      <c r="P301" s="1">
        <v>2</v>
      </c>
      <c r="Q301" s="1">
        <v>2</v>
      </c>
      <c r="R301" s="1">
        <v>0</v>
      </c>
      <c r="AG301" s="1"/>
      <c r="AH301" s="1"/>
      <c r="AI301" s="1"/>
      <c r="AJ301" s="1"/>
      <c r="AK301" s="1"/>
      <c r="AL301" s="1"/>
    </row>
    <row r="302" spans="14:38" ht="15.75" customHeight="1" x14ac:dyDescent="0.25">
      <c r="N302" s="1">
        <v>2269</v>
      </c>
      <c r="O302" s="1">
        <v>2</v>
      </c>
      <c r="P302" s="1">
        <v>2</v>
      </c>
      <c r="Q302" s="1">
        <v>2</v>
      </c>
      <c r="R302" s="1">
        <v>0</v>
      </c>
      <c r="AG302" s="1"/>
      <c r="AH302" s="1"/>
      <c r="AI302" s="1"/>
      <c r="AJ302" s="1"/>
      <c r="AK302" s="1"/>
      <c r="AL302" s="1"/>
    </row>
    <row r="303" spans="14:38" ht="15.75" customHeight="1" x14ac:dyDescent="0.25">
      <c r="N303" s="1">
        <v>2270</v>
      </c>
      <c r="O303" s="1">
        <v>2</v>
      </c>
      <c r="P303" s="1">
        <v>2</v>
      </c>
      <c r="Q303" s="1">
        <v>2</v>
      </c>
      <c r="R303" s="1">
        <v>0</v>
      </c>
      <c r="AG303" s="1"/>
      <c r="AH303" s="1"/>
      <c r="AI303" s="1"/>
      <c r="AJ303" s="1"/>
      <c r="AK303" s="1"/>
      <c r="AL303" s="1"/>
    </row>
    <row r="304" spans="14:38" ht="15.75" customHeight="1" x14ac:dyDescent="0.25">
      <c r="N304" s="1">
        <v>2271</v>
      </c>
      <c r="O304" s="1">
        <v>2</v>
      </c>
      <c r="P304" s="1">
        <v>2</v>
      </c>
      <c r="Q304" s="1">
        <v>2</v>
      </c>
      <c r="R304" s="1">
        <v>0</v>
      </c>
      <c r="AG304" s="1"/>
      <c r="AH304" s="1"/>
      <c r="AI304" s="1"/>
      <c r="AJ304" s="1"/>
      <c r="AK304" s="1"/>
      <c r="AL304" s="1"/>
    </row>
    <row r="305" spans="14:38" ht="15.75" customHeight="1" x14ac:dyDescent="0.25">
      <c r="N305" s="1">
        <v>2272</v>
      </c>
      <c r="O305" s="1">
        <v>2</v>
      </c>
      <c r="P305" s="1">
        <v>2</v>
      </c>
      <c r="Q305" s="1">
        <v>2</v>
      </c>
      <c r="R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E1000"/>
  <sheetViews>
    <sheetView workbookViewId="0">
      <selection activeCell="B14" sqref="B13:B14"/>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26" width="11.42578125" customWidth="1"/>
  </cols>
  <sheetData>
    <row r="1" spans="1:83" ht="50.25" customHeight="1" x14ac:dyDescent="0.25">
      <c r="A1" s="12" t="s">
        <v>311</v>
      </c>
      <c r="B1" s="13"/>
      <c r="C1" s="13"/>
      <c r="D1" s="13"/>
      <c r="E1" s="13"/>
      <c r="F1" s="13"/>
      <c r="G1" s="13"/>
      <c r="H1" s="13"/>
      <c r="I1" s="13"/>
      <c r="J1" s="13"/>
      <c r="K1" s="13"/>
      <c r="L1" s="13"/>
      <c r="M1" s="13"/>
      <c r="N1" s="13"/>
      <c r="O1" s="13"/>
      <c r="P1" s="13"/>
      <c r="Q1" s="13"/>
      <c r="R1" s="13"/>
      <c r="S1" s="13"/>
      <c r="T1" s="13"/>
      <c r="U1" s="13"/>
      <c r="V1" s="13"/>
      <c r="W1" s="13"/>
    </row>
    <row r="2" spans="1:83" ht="15" customHeight="1" x14ac:dyDescent="0.25">
      <c r="A2" t="s">
        <v>312</v>
      </c>
      <c r="B2" t="s">
        <v>313</v>
      </c>
      <c r="C2" t="s">
        <v>216</v>
      </c>
      <c r="D2" t="s">
        <v>196</v>
      </c>
      <c r="E2" t="s">
        <v>314</v>
      </c>
      <c r="F2" t="s">
        <v>192</v>
      </c>
      <c r="G2" t="s">
        <v>48</v>
      </c>
      <c r="H2" s="8" t="s">
        <v>267</v>
      </c>
      <c r="I2" s="8" t="s">
        <v>315</v>
      </c>
      <c r="J2" s="8" t="s">
        <v>316</v>
      </c>
      <c r="K2" s="1" t="s">
        <v>269</v>
      </c>
      <c r="L2" s="1" t="s">
        <v>270</v>
      </c>
      <c r="M2" s="1" t="s">
        <v>271</v>
      </c>
      <c r="N2" s="1" t="s">
        <v>272</v>
      </c>
      <c r="O2" s="1" t="s">
        <v>273</v>
      </c>
      <c r="P2" s="1" t="s">
        <v>274</v>
      </c>
      <c r="Q2" s="1" t="s">
        <v>275</v>
      </c>
      <c r="R2" s="1" t="s">
        <v>276</v>
      </c>
      <c r="S2" s="1" t="s">
        <v>277</v>
      </c>
      <c r="T2" s="1" t="s">
        <v>278</v>
      </c>
      <c r="U2" s="1" t="s">
        <v>279</v>
      </c>
      <c r="V2" s="1" t="s">
        <v>280</v>
      </c>
      <c r="W2" s="1" t="s">
        <v>281</v>
      </c>
      <c r="X2" s="1" t="s">
        <v>282</v>
      </c>
      <c r="Y2" s="1" t="s">
        <v>283</v>
      </c>
      <c r="Z2" s="1" t="s">
        <v>284</v>
      </c>
      <c r="AA2" s="1" t="s">
        <v>285</v>
      </c>
      <c r="AB2" s="1" t="s">
        <v>286</v>
      </c>
      <c r="AC2" s="1" t="s">
        <v>287</v>
      </c>
      <c r="AD2" s="1" t="s">
        <v>288</v>
      </c>
      <c r="AE2" s="1" t="s">
        <v>289</v>
      </c>
      <c r="AF2" s="1" t="s">
        <v>290</v>
      </c>
      <c r="AG2" s="1" t="s">
        <v>291</v>
      </c>
      <c r="AH2" s="1" t="s">
        <v>292</v>
      </c>
      <c r="AI2" s="1" t="s">
        <v>293</v>
      </c>
      <c r="AJ2" s="1" t="s">
        <v>294</v>
      </c>
      <c r="AK2" s="1" t="s">
        <v>295</v>
      </c>
      <c r="AL2" s="1" t="s">
        <v>296</v>
      </c>
      <c r="AM2" s="1" t="s">
        <v>297</v>
      </c>
      <c r="AN2" s="1" t="s">
        <v>298</v>
      </c>
      <c r="AO2" s="1" t="s">
        <v>299</v>
      </c>
      <c r="AP2" s="1" t="s">
        <v>300</v>
      </c>
      <c r="AQ2" s="1" t="s">
        <v>301</v>
      </c>
      <c r="AR2" s="1" t="s">
        <v>302</v>
      </c>
      <c r="AS2" s="1" t="s">
        <v>303</v>
      </c>
      <c r="AT2" s="1" t="s">
        <v>304</v>
      </c>
      <c r="AU2" s="1" t="s">
        <v>305</v>
      </c>
      <c r="AV2" s="1" t="s">
        <v>306</v>
      </c>
      <c r="AW2" s="1" t="s">
        <v>307</v>
      </c>
      <c r="AX2" s="1" t="s">
        <v>308</v>
      </c>
      <c r="AY2" s="1" t="s">
        <v>309</v>
      </c>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row>
    <row r="3" spans="1:83" ht="15" customHeight="1" x14ac:dyDescent="0.25">
      <c r="A3" t="s">
        <v>310</v>
      </c>
      <c r="B3" t="s">
        <v>310</v>
      </c>
      <c r="C3">
        <v>1</v>
      </c>
      <c r="D3" t="s">
        <v>310</v>
      </c>
      <c r="E3" t="s">
        <v>310</v>
      </c>
      <c r="F3" t="s">
        <v>310</v>
      </c>
      <c r="G3" t="s">
        <v>317</v>
      </c>
      <c r="H3" s="8">
        <v>1</v>
      </c>
      <c r="I3" s="8">
        <v>1</v>
      </c>
      <c r="J3" s="8">
        <v>1</v>
      </c>
      <c r="K3" s="1">
        <v>0</v>
      </c>
      <c r="L3" s="1">
        <v>0</v>
      </c>
      <c r="M3" s="1">
        <v>0</v>
      </c>
      <c r="N3" s="1">
        <v>0</v>
      </c>
      <c r="O3" s="1">
        <v>0</v>
      </c>
      <c r="P3" s="1">
        <v>0</v>
      </c>
      <c r="Q3" s="1">
        <v>0</v>
      </c>
      <c r="R3" s="1">
        <v>0</v>
      </c>
      <c r="S3" s="1">
        <v>0</v>
      </c>
      <c r="T3" s="1">
        <v>0</v>
      </c>
      <c r="U3" s="1">
        <v>0</v>
      </c>
      <c r="V3" s="1">
        <v>0</v>
      </c>
      <c r="W3" s="1">
        <v>0.5</v>
      </c>
      <c r="X3" s="1">
        <v>1</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row>
    <row r="4" spans="1:83" ht="15" customHeight="1" x14ac:dyDescent="0.25">
      <c r="A4" t="s">
        <v>310</v>
      </c>
      <c r="B4" t="s">
        <v>310</v>
      </c>
      <c r="C4">
        <v>3</v>
      </c>
      <c r="D4" t="s">
        <v>310</v>
      </c>
      <c r="E4" t="s">
        <v>310</v>
      </c>
      <c r="F4" t="s">
        <v>310</v>
      </c>
      <c r="G4" t="s">
        <v>318</v>
      </c>
      <c r="H4" s="8">
        <v>2</v>
      </c>
      <c r="I4" s="8">
        <v>0</v>
      </c>
      <c r="J4" s="8">
        <v>0</v>
      </c>
      <c r="K4" s="1">
        <v>0</v>
      </c>
      <c r="L4" s="1">
        <v>0</v>
      </c>
      <c r="M4" s="1">
        <v>0</v>
      </c>
      <c r="N4" s="1">
        <v>0</v>
      </c>
      <c r="O4" s="1">
        <v>0</v>
      </c>
      <c r="P4" s="1">
        <v>0</v>
      </c>
      <c r="Q4" s="1">
        <v>0</v>
      </c>
      <c r="R4" s="1">
        <v>0</v>
      </c>
      <c r="S4" s="1">
        <v>0</v>
      </c>
      <c r="T4" s="1">
        <v>0</v>
      </c>
      <c r="U4" s="1">
        <v>0</v>
      </c>
      <c r="V4" s="1">
        <v>0</v>
      </c>
      <c r="W4" s="1">
        <v>0.5</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row>
    <row r="5" spans="1:83" ht="15" customHeight="1" x14ac:dyDescent="0.25">
      <c r="A5" t="s">
        <v>310</v>
      </c>
      <c r="B5" t="s">
        <v>310</v>
      </c>
      <c r="C5" t="s">
        <v>310</v>
      </c>
      <c r="D5" t="s">
        <v>310</v>
      </c>
      <c r="E5" t="s">
        <v>310</v>
      </c>
      <c r="F5" t="s">
        <v>310</v>
      </c>
      <c r="G5" t="s">
        <v>268</v>
      </c>
      <c r="H5" s="8">
        <v>3</v>
      </c>
      <c r="I5" s="8">
        <v>0</v>
      </c>
      <c r="J5" s="8">
        <v>0</v>
      </c>
      <c r="K5" s="1">
        <v>1</v>
      </c>
      <c r="L5" s="1">
        <v>1</v>
      </c>
      <c r="M5" s="1">
        <v>1</v>
      </c>
      <c r="N5" s="1">
        <v>1</v>
      </c>
      <c r="O5" s="1">
        <v>1</v>
      </c>
      <c r="P5" s="1">
        <v>1</v>
      </c>
      <c r="Q5" s="1">
        <v>1</v>
      </c>
      <c r="R5" s="1">
        <v>1</v>
      </c>
      <c r="S5" s="1">
        <v>1</v>
      </c>
      <c r="T5" s="1">
        <v>1</v>
      </c>
      <c r="U5" s="1">
        <v>1</v>
      </c>
      <c r="V5" s="1">
        <v>1</v>
      </c>
      <c r="W5" s="1">
        <v>1</v>
      </c>
      <c r="X5" s="1">
        <v>1</v>
      </c>
      <c r="Y5" s="1">
        <v>1</v>
      </c>
      <c r="Z5" s="1">
        <v>1</v>
      </c>
      <c r="AA5" s="1">
        <v>1</v>
      </c>
      <c r="AB5" s="1">
        <v>1</v>
      </c>
      <c r="AC5" s="1">
        <v>1</v>
      </c>
      <c r="AD5" s="1">
        <v>1</v>
      </c>
      <c r="AE5" s="1">
        <v>1</v>
      </c>
      <c r="AF5" s="1">
        <v>1</v>
      </c>
      <c r="AG5" s="1">
        <v>1</v>
      </c>
      <c r="AH5" s="1">
        <v>1</v>
      </c>
      <c r="AI5" s="1">
        <v>1</v>
      </c>
      <c r="AJ5" s="1">
        <v>1</v>
      </c>
      <c r="AK5" s="1">
        <v>1</v>
      </c>
      <c r="AL5" s="1">
        <v>1</v>
      </c>
      <c r="AM5" s="1">
        <v>1</v>
      </c>
      <c r="AN5" s="1">
        <v>1</v>
      </c>
      <c r="AO5" s="1">
        <v>1</v>
      </c>
      <c r="AP5" s="1">
        <v>1</v>
      </c>
      <c r="AQ5" s="1">
        <v>1</v>
      </c>
      <c r="AR5" s="1">
        <v>1</v>
      </c>
      <c r="AS5" s="1">
        <v>1</v>
      </c>
      <c r="AT5" s="1">
        <v>1</v>
      </c>
      <c r="AU5" s="1">
        <v>1</v>
      </c>
      <c r="AV5" s="1">
        <v>1</v>
      </c>
      <c r="AW5" s="1">
        <v>1</v>
      </c>
      <c r="AX5" s="1">
        <v>1</v>
      </c>
      <c r="AY5" s="1">
        <v>1</v>
      </c>
    </row>
    <row r="6" spans="1:83" ht="15" customHeight="1" x14ac:dyDescent="0.25">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row>
    <row r="7" spans="1:83" ht="15" customHeight="1" x14ac:dyDescent="0.25">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row>
    <row r="13" spans="1:83" ht="15" customHeight="1" x14ac:dyDescent="0.25">
      <c r="G13" s="1"/>
    </row>
    <row r="14" spans="1:83" ht="15" customHeight="1" x14ac:dyDescent="0.25">
      <c r="G14" s="1"/>
    </row>
    <row r="15" spans="1:83" ht="15" customHeight="1" x14ac:dyDescent="0.25">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IsWhite</vt:lpstr>
      <vt:lpstr>maturity</vt:lpstr>
      <vt:lpstr>lengthweight</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2026-02-02T01:16:15Z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