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2D51A4F2-8C47-4208-BDD8-0C9A5EC49BBB}" xr6:coauthVersionLast="47" xr6:coauthVersionMax="47" xr10:uidLastSave="{00000000-0000-0000-0000-000000000000}"/>
  <bookViews>
    <workbookView xWindow="-120" yWindow="-120" windowWidth="29040" windowHeight="15720" tabRatio="884" firstSheet="8" activeTab="2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18" i="7"/>
  <c r="K16" i="7"/>
  <c r="K12" i="7"/>
  <c r="K10" i="7"/>
  <c r="K6" i="7"/>
  <c r="K4" i="7"/>
  <c r="K3" i="7"/>
</calcChain>
</file>

<file path=xl/sharedStrings.xml><?xml version="1.0" encoding="utf-8"?>
<sst xmlns="http://schemas.openxmlformats.org/spreadsheetml/2006/main" count="884" uniqueCount="423">
  <si>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</si>
  <si>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</si>
  <si>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</si>
  <si>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</si>
  <si>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</si>
  <si>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</si>
  <si>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</si>
  <si>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</si>
  <si>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</si>
  <si>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</si>
  <si>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</si>
  <si>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</si>
  <si>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</si>
  <si>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</si>
  <si>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</si>
  <si>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</si>
  <si>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</si>
  <si>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</si>
  <si>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</si>
  <si>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</si>
  <si>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</si>
  <si>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</si>
  <si>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</si>
  <si>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</si>
  <si>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</si>
  <si>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</si>
  <si>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</si>
  <si>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</si>
  <si>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</si>
  <si>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</si>
  <si>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</si>
  <si>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</si>
  <si>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</si>
  <si>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</si>
  <si>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</si>
  <si>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</si>
  <si>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</si>
  <si>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</si>
  <si>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</si>
  <si>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</si>
  <si>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</si>
  <si>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</si>
  <si>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</si>
  <si>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</si>
  <si>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</si>
  <si>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</si>
  <si>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</si>
  <si>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</si>
  <si>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</si>
  <si>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</si>
  <si>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</si>
  <si>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</si>
  <si>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</si>
  <si>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</si>
  <si>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</si>
  <si>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</si>
  <si>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</si>
  <si>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</si>
  <si>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</si>
  <si>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</si>
  <si>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</si>
  <si>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</si>
  <si>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</si>
  <si>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</si>
  <si>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</si>
  <si>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</si>
  <si>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</si>
  <si>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</si>
  <si>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</si>
  <si>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</si>
  <si>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</si>
  <si>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</si>
  <si>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</si>
  <si>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</si>
  <si>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</si>
  <si>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</si>
  <si>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</si>
  <si>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</si>
  <si>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</si>
  <si>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</si>
  <si>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</si>
  <si>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</si>
  <si>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</si>
  <si>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</si>
  <si>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</si>
  <si>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</si>
  <si>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</si>
  <si>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</si>
  <si>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</si>
  <si>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</si>
  <si>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</si>
  <si>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</si>
  <si>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</si>
  <si>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</si>
  <si>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</si>
  <si>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</si>
  <si>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</si>
  <si>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</si>
  <si>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</si>
  <si>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</si>
  <si>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</si>
  <si>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</si>
  <si>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</si>
  <si>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</si>
  <si>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</si>
  <si>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</si>
  <si>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</si>
  <si>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</si>
  <si>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</si>
  <si>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</si>
  <si>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</si>
  <si>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</si>
  <si>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</si>
  <si>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</si>
  <si>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</si>
  <si>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</si>
  <si>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</si>
  <si>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</si>
  <si>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</si>
  <si>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</si>
  <si>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</si>
  <si>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</si>
  <si>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</si>
  <si>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</si>
  <si>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</si>
  <si>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</si>
  <si>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</si>
  <si>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</si>
  <si>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</si>
  <si>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</si>
  <si>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</si>
  <si>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</si>
  <si>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</si>
  <si>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</si>
  <si>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</si>
  <si>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</si>
  <si>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</si>
  <si>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</si>
  <si>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</si>
  <si>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</si>
  <si>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</si>
  <si>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</si>
  <si>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</si>
  <si>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</si>
  <si>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</si>
  <si>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</si>
  <si>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</si>
  <si>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</si>
  <si>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</si>
  <si>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</si>
  <si>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</si>
  <si>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</si>
  <si>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</si>
  <si>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</si>
  <si>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</si>
  <si>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</si>
  <si>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</si>
  <si>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</si>
  <si>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</si>
  <si>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</si>
  <si>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</si>
  <si>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</si>
  <si>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</si>
  <si>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</si>
  <si>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</si>
  <si>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</si>
  <si>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</si>
  <si>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</si>
  <si>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</si>
  <si>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</si>
  <si>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</si>
  <si>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</si>
  <si>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</si>
  <si>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</si>
  <si>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</si>
  <si>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</si>
  <si>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</si>
  <si>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</si>
  <si>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</si>
  <si>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</si>
  <si>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</si>
  <si>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</si>
  <si>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</si>
  <si>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</si>
  <si>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</si>
  <si>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</si>
  <si>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</si>
  <si>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</si>
  <si>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</si>
  <si>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</si>
  <si>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</si>
  <si>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</si>
  <si>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</si>
  <si>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</si>
  <si>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</si>
  <si>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</si>
  <si>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</si>
  <si>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</si>
  <si>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</si>
  <si>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</si>
  <si>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</si>
  <si>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</si>
  <si>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</si>
  <si>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</si>
  <si>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</si>
  <si>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</si>
  <si>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</si>
  <si>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</si>
  <si>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</si>
  <si>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</si>
  <si>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</si>
  <si>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</si>
  <si>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</si>
  <si>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</si>
  <si>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</si>
  <si>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</si>
  <si>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</si>
  <si>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</si>
  <si>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</si>
  <si>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</si>
  <si>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</si>
  <si>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</si>
  <si>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</si>
  <si>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</si>
  <si>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</si>
  <si>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</si>
  <si>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</si>
  <si>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</si>
  <si>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</si>
  <si>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</si>
  <si>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</si>
  <si>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</si>
  <si>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</si>
  <si>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</si>
  <si>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</si>
  <si>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</si>
  <si>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</si>
  <si>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</si>
  <si>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</si>
  <si>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</si>
  <si>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</si>
  <si>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</si>
  <si>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</si>
  <si>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</si>
  <si>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</si>
  <si>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</si>
  <si>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</si>
  <si>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</si>
  <si>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</si>
  <si>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</si>
  <si>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</si>
  <si>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</si>
  <si>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</si>
  <si>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</si>
  <si>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</si>
  <si>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</si>
  <si>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</si>
  <si>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</si>
  <si>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</si>
  <si>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</si>
  <si>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</si>
  <si>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</si>
  <si>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</si>
  <si>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</si>
  <si>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</si>
  <si>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</si>
  <si>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</si>
  <si>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</si>
  <si>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</si>
  <si>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</si>
  <si>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</si>
  <si>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</si>
  <si>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</si>
  <si>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</si>
  <si>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</si>
  <si>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</si>
  <si>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</si>
  <si>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</si>
  <si>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</si>
  <si>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</si>
  <si>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</si>
  <si>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</si>
  <si>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</si>
  <si>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</si>
  <si>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</si>
  <si>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</si>
  <si>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</si>
  <si>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</si>
  <si>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</si>
  <si>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</si>
  <si>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</si>
  <si>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</si>
  <si>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</si>
  <si>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</si>
  <si>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</si>
  <si>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</si>
  <si>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</si>
  <si>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</si>
  <si>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</si>
  <si>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</si>
  <si>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</si>
  <si>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</si>
  <si>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</si>
  <si>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</si>
  <si>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</si>
  <si>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</si>
  <si>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</si>
  <si>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</si>
  <si>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</si>
  <si>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</si>
  <si>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</si>
  <si>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</si>
  <si>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</si>
  <si>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</si>
  <si>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</si>
  <si>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</si>
  <si>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</si>
  <si>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</si>
  <si>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</si>
  <si>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</si>
  <si>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</si>
  <si>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</si>
  <si>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</si>
  <si>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</si>
  <si>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</si>
  <si>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</si>
  <si>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</si>
  <si>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</si>
  <si>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</si>
  <si>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</si>
  <si>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</si>
  <si>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</si>
  <si>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</si>
  <si>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</si>
  <si>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</si>
  <si>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</si>
  <si>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</si>
  <si>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</si>
  <si>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</si>
  <si>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</si>
  <si>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</si>
  <si>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</si>
  <si>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</si>
  <si>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</si>
  <si>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</si>
  <si>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</si>
  <si>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</si>
  <si>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</si>
  <si>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</si>
  <si>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</si>
  <si>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</si>
  <si>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</si>
  <si>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</si>
  <si>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</si>
  <si>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</si>
  <si>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</si>
  <si>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</si>
  <si>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</si>
  <si>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</si>
  <si>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</si>
  <si>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</si>
  <si>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</si>
  <si>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</si>
  <si>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</si>
  <si>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</si>
  <si>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</si>
  <si>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</si>
  <si>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</si>
  <si>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</si>
  <si>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</si>
  <si>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</si>
  <si>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</si>
  <si>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</si>
  <si>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</si>
  <si>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</si>
  <si>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</si>
  <si>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</si>
  <si>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</si>
  <si>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</si>
  <si>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</si>
  <si>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</si>
  <si>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</si>
  <si>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</si>
  <si>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</si>
  <si>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</si>
  <si>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</si>
  <si>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</si>
  <si>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</si>
  <si>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</si>
  <si>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</si>
  <si>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</si>
  <si>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</si>
  <si>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</si>
  <si>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</si>
  <si>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</si>
  <si>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</si>
  <si>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</si>
  <si>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</si>
  <si>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</si>
  <si>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</si>
  <si>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</si>
  <si>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</si>
  <si>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</si>
  <si>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</si>
  <si>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</si>
  <si>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</si>
  <si>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</si>
  <si>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</si>
  <si>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</si>
  <si>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</si>
  <si>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</si>
  <si>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</si>
  <si>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</si>
  <si>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</si>
  <si>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</si>
  <si>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</si>
  <si>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not loaded: 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</si>
  <si>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 not loaded: Samp refers to how many samples the data was derived from.  Fleet must match fleetcopde tab. Sex (C, F or M). Timestep starts at 1. Data should idealy be standardised for the same factors as the corresponding cpue data so they remain on the same "scale".</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</si>
  <si>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Priors, 0 = none, 1 = normal, 2 = gamma, 3 = lognormal. </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</si>
  <si>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</si>
  <si>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not loaded: oldarea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</si>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</sst>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D16" sqref="D16"/>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412</v>
      </c>
      <c r="B1" s="12"/>
      <c r="C1" s="12"/>
      <c r="D1" s="12"/>
      <c r="E1" s="12"/>
      <c r="F1" s="12"/>
      <c r="G1" s="12"/>
      <c r="H1" s="12"/>
      <c r="I1" s="12"/>
      <c r="J1" s="12"/>
      <c r="K1" s="12"/>
      <c r="L1" s="12"/>
      <c r="M1" s="12"/>
      <c r="N1" s="12"/>
      <c r="O1" s="12"/>
      <c r="P1" s="12"/>
      <c r="Q1" s="12"/>
      <c r="R1" s="12"/>
      <c r="S1" s="12"/>
      <c r="T1" s="12"/>
      <c r="U1" s="13"/>
    </row>
    <row r="2" spans="1:21" x14ac:dyDescent="0.25">
      <c r="A2" s="1" t="s">
        <v>0</v>
      </c>
      <c r="B2" s="1" t="s">
        <v>1</v>
      </c>
      <c r="C2" s="1" t="s">
        <v>2</v>
      </c>
    </row>
    <row r="3" spans="1:21" x14ac:dyDescent="0.25">
      <c r="A3" s="1" t="s">
        <v>3</v>
      </c>
      <c r="B3" s="1">
        <v>1970</v>
      </c>
      <c r="C3" s="9" t="s">
        <v>4</v>
      </c>
    </row>
    <row r="4" spans="1:21" x14ac:dyDescent="0.25">
      <c r="A4" s="1" t="s">
        <v>5</v>
      </c>
      <c r="B4" s="1">
        <v>2024</v>
      </c>
      <c r="C4" s="9" t="s">
        <v>409</v>
      </c>
    </row>
    <row r="5" spans="1:21" x14ac:dyDescent="0.25">
      <c r="A5" s="1" t="s">
        <v>6</v>
      </c>
      <c r="B5" s="1">
        <v>10</v>
      </c>
      <c r="C5" s="9" t="s">
        <v>410</v>
      </c>
    </row>
    <row r="6" spans="1:21" x14ac:dyDescent="0.25">
      <c r="A6" s="1" t="s">
        <v>7</v>
      </c>
      <c r="B6" s="1">
        <v>7000</v>
      </c>
      <c r="C6" s="9" t="s">
        <v>411</v>
      </c>
    </row>
    <row r="7" spans="1:21" x14ac:dyDescent="0.25">
      <c r="A7" s="1" t="s">
        <v>8</v>
      </c>
      <c r="B7" s="1">
        <v>1</v>
      </c>
      <c r="C7" s="9" t="s">
        <v>413</v>
      </c>
    </row>
    <row r="8" spans="1:21" x14ac:dyDescent="0.25">
      <c r="A8" s="1" t="s">
        <v>9</v>
      </c>
      <c r="B8" s="1">
        <v>1</v>
      </c>
      <c r="C8" s="9" t="s">
        <v>396</v>
      </c>
    </row>
    <row r="9" spans="1:21" x14ac:dyDescent="0.25">
      <c r="A9" s="1" t="s">
        <v>10</v>
      </c>
      <c r="B9" s="2">
        <v>2</v>
      </c>
      <c r="C9" s="9" t="s">
        <v>11</v>
      </c>
    </row>
    <row r="10" spans="1:21" x14ac:dyDescent="0.25">
      <c r="A10" s="1" t="s">
        <v>12</v>
      </c>
      <c r="B10" s="1">
        <v>51</v>
      </c>
      <c r="C10" s="9" t="s">
        <v>13</v>
      </c>
    </row>
    <row r="11" spans="1:21" x14ac:dyDescent="0.25">
      <c r="A11" s="1" t="s">
        <v>14</v>
      </c>
      <c r="B11" s="1">
        <v>131</v>
      </c>
      <c r="C11" s="9" t="s">
        <v>15</v>
      </c>
    </row>
    <row r="12" spans="1:21" x14ac:dyDescent="0.25">
      <c r="A12" s="1" t="s">
        <v>16</v>
      </c>
      <c r="B12" s="1">
        <v>2</v>
      </c>
      <c r="C12" s="9" t="s">
        <v>17</v>
      </c>
    </row>
    <row r="13" spans="1:21" x14ac:dyDescent="0.25">
      <c r="A13" s="1" t="s">
        <v>18</v>
      </c>
      <c r="B13" s="1">
        <v>2</v>
      </c>
      <c r="C13" s="9" t="s">
        <v>414</v>
      </c>
    </row>
    <row r="14" spans="1:21" x14ac:dyDescent="0.25">
      <c r="A14" s="1" t="s">
        <v>19</v>
      </c>
      <c r="B14" s="1">
        <v>1</v>
      </c>
      <c r="C14" s="9" t="s">
        <v>20</v>
      </c>
    </row>
    <row r="15" spans="1:21" x14ac:dyDescent="0.25">
      <c r="A15" s="1" t="s">
        <v>21</v>
      </c>
      <c r="B15" s="1">
        <v>10</v>
      </c>
      <c r="C15" s="9" t="s">
        <v>415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9" sqref="C1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397</v>
      </c>
      <c r="B1" s="15"/>
      <c r="C1" s="15"/>
      <c r="D1" s="15"/>
      <c r="E1" s="15"/>
      <c r="F1" s="15"/>
      <c r="G1" s="15"/>
      <c r="H1" s="15"/>
      <c r="I1" s="15"/>
      <c r="J1" s="15"/>
      <c r="K1" s="15"/>
      <c r="L1" s="15"/>
      <c r="M1" s="15"/>
      <c r="N1" s="15"/>
    </row>
    <row r="2" spans="1:14" x14ac:dyDescent="0.25">
      <c r="A2" s="1" t="s">
        <v>22</v>
      </c>
      <c r="B2" s="1" t="s">
        <v>23</v>
      </c>
      <c r="C2" s="1" t="s">
        <v>24</v>
      </c>
      <c r="D2" s="1" t="s">
        <v>25</v>
      </c>
      <c r="E2" s="1" t="s">
        <v>26</v>
      </c>
      <c r="F2" s="1" t="s">
        <v>18</v>
      </c>
      <c r="G2" s="1" t="s">
        <v>27</v>
      </c>
      <c r="H2" s="1" t="s">
        <v>28</v>
      </c>
      <c r="I2" s="1" t="s">
        <v>29</v>
      </c>
    </row>
    <row r="3" spans="1:14" x14ac:dyDescent="0.25">
      <c r="A3" s="1" t="s">
        <v>30</v>
      </c>
      <c r="B3" s="1" t="s">
        <v>31</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32</v>
      </c>
      <c r="B1" s="12"/>
      <c r="C1" s="12"/>
      <c r="D1" s="12"/>
      <c r="E1" s="12"/>
      <c r="F1" s="12"/>
      <c r="G1" s="12"/>
      <c r="H1" s="12"/>
      <c r="I1" s="12"/>
      <c r="J1" s="12"/>
      <c r="K1" s="12"/>
      <c r="L1" s="12"/>
      <c r="M1" s="12"/>
      <c r="N1" s="12"/>
      <c r="O1" s="12"/>
      <c r="P1" s="12"/>
      <c r="Q1" s="12"/>
      <c r="R1" s="12"/>
      <c r="S1" s="12"/>
      <c r="T1" s="12"/>
      <c r="U1" s="13"/>
    </row>
    <row r="2" spans="1:21" x14ac:dyDescent="0.25">
      <c r="A2" s="1" t="s">
        <v>33</v>
      </c>
      <c r="B2" s="1" t="s">
        <v>34</v>
      </c>
      <c r="C2" s="1" t="s">
        <v>35</v>
      </c>
      <c r="D2" s="1" t="s">
        <v>36</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282</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1</v>
      </c>
      <c r="D2" s="1" t="s">
        <v>39</v>
      </c>
      <c r="E2" s="1" t="s">
        <v>35</v>
      </c>
      <c r="F2" s="1" t="s">
        <v>40</v>
      </c>
      <c r="G2" s="1" t="s">
        <v>41</v>
      </c>
    </row>
    <row r="3" spans="1:21" x14ac:dyDescent="0.25">
      <c r="A3" s="1" t="s">
        <v>42</v>
      </c>
      <c r="B3" s="1" t="s">
        <v>43</v>
      </c>
      <c r="C3" s="1">
        <v>1</v>
      </c>
    </row>
    <row r="4" spans="1:21" x14ac:dyDescent="0.25">
      <c r="A4" s="1" t="s">
        <v>42</v>
      </c>
      <c r="B4" s="1" t="s">
        <v>44</v>
      </c>
      <c r="C4" s="1">
        <v>1</v>
      </c>
    </row>
    <row r="5" spans="1:21" x14ac:dyDescent="0.25">
      <c r="A5" s="1" t="s">
        <v>42</v>
      </c>
      <c r="B5" s="1" t="s">
        <v>45</v>
      </c>
      <c r="C5" s="1">
        <v>0.25</v>
      </c>
    </row>
    <row r="6" spans="1:21" x14ac:dyDescent="0.25">
      <c r="A6" s="1" t="s">
        <v>42</v>
      </c>
      <c r="B6" s="1" t="s">
        <v>46</v>
      </c>
      <c r="C6" s="1">
        <v>1</v>
      </c>
    </row>
    <row r="7" spans="1:21" x14ac:dyDescent="0.25">
      <c r="A7" s="1" t="s">
        <v>42</v>
      </c>
      <c r="B7" s="1" t="s">
        <v>47</v>
      </c>
      <c r="C7" s="1">
        <v>0</v>
      </c>
      <c r="D7" s="1"/>
      <c r="E7" s="1"/>
      <c r="F7" s="1"/>
      <c r="G7" s="1"/>
      <c r="H7" s="1"/>
      <c r="I7" s="1"/>
    </row>
    <row r="8" spans="1:21" x14ac:dyDescent="0.25">
      <c r="A8" s="1" t="s">
        <v>42</v>
      </c>
      <c r="B8" s="1" t="s">
        <v>48</v>
      </c>
      <c r="C8" s="1">
        <v>0</v>
      </c>
      <c r="D8" s="1"/>
      <c r="E8" s="1"/>
      <c r="F8" s="1"/>
      <c r="G8" s="1"/>
      <c r="H8" s="1"/>
      <c r="I8" s="1"/>
    </row>
    <row r="9" spans="1:21" x14ac:dyDescent="0.25">
      <c r="A9" s="1" t="s">
        <v>42</v>
      </c>
      <c r="B9" s="1" t="s">
        <v>49</v>
      </c>
      <c r="C9" s="1">
        <v>0</v>
      </c>
      <c r="D9" s="1"/>
      <c r="E9" s="1"/>
      <c r="F9" s="1"/>
      <c r="G9" s="1"/>
      <c r="H9" s="1"/>
      <c r="I9" s="1"/>
    </row>
    <row r="10" spans="1:21" x14ac:dyDescent="0.25">
      <c r="A10" s="1" t="s">
        <v>42</v>
      </c>
      <c r="B10" s="1" t="s">
        <v>50</v>
      </c>
      <c r="C10" s="1">
        <v>0</v>
      </c>
      <c r="D10" s="1"/>
      <c r="E10" s="1"/>
      <c r="F10" s="1"/>
      <c r="G10" s="1"/>
      <c r="H10" s="1"/>
      <c r="I10" s="1"/>
    </row>
    <row r="11" spans="1:21" x14ac:dyDescent="0.25">
      <c r="A11" s="1" t="s">
        <v>51</v>
      </c>
      <c r="B11" s="1" t="s">
        <v>43</v>
      </c>
      <c r="C11" s="1">
        <v>5</v>
      </c>
      <c r="D11" s="1">
        <v>4</v>
      </c>
      <c r="E11" s="1">
        <v>-1</v>
      </c>
      <c r="F11" s="1" t="s">
        <v>187</v>
      </c>
      <c r="G11" s="1" t="s">
        <v>52</v>
      </c>
    </row>
    <row r="12" spans="1:21" x14ac:dyDescent="0.25">
      <c r="A12" s="1" t="s">
        <v>51</v>
      </c>
      <c r="B12" s="1" t="s">
        <v>45</v>
      </c>
      <c r="C12" s="1">
        <v>1</v>
      </c>
      <c r="D12" s="1">
        <v>2</v>
      </c>
      <c r="E12" s="1">
        <v>-1</v>
      </c>
      <c r="F12" s="1" t="s">
        <v>95</v>
      </c>
      <c r="G12" s="1" t="s">
        <v>53</v>
      </c>
    </row>
    <row r="13" spans="1:21" x14ac:dyDescent="0.25">
      <c r="A13" s="1" t="s">
        <v>51</v>
      </c>
      <c r="B13" s="1" t="s">
        <v>45</v>
      </c>
      <c r="C13" s="1">
        <v>1</v>
      </c>
      <c r="D13" s="1">
        <v>2</v>
      </c>
      <c r="E13" s="1">
        <v>-1</v>
      </c>
      <c r="F13" s="1" t="s">
        <v>79</v>
      </c>
      <c r="G13" s="1" t="s">
        <v>53</v>
      </c>
    </row>
    <row r="14" spans="1:21" x14ac:dyDescent="0.25">
      <c r="A14" s="1" t="s">
        <v>51</v>
      </c>
      <c r="B14" s="1" t="s">
        <v>45</v>
      </c>
      <c r="C14" s="1">
        <v>1</v>
      </c>
      <c r="D14" s="1">
        <v>4</v>
      </c>
      <c r="E14" s="1">
        <v>-1</v>
      </c>
      <c r="F14" s="1" t="s">
        <v>95</v>
      </c>
      <c r="G14" s="1" t="s">
        <v>52</v>
      </c>
    </row>
    <row r="15" spans="1:21" x14ac:dyDescent="0.25">
      <c r="A15" s="1" t="s">
        <v>51</v>
      </c>
      <c r="B15" s="1" t="s">
        <v>45</v>
      </c>
      <c r="C15" s="1">
        <v>1</v>
      </c>
      <c r="D15" s="1">
        <v>4</v>
      </c>
      <c r="E15" s="1">
        <v>-1</v>
      </c>
      <c r="F15" s="1" t="s">
        <v>79</v>
      </c>
      <c r="G15"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54</v>
      </c>
      <c r="B1" s="12"/>
      <c r="C1" s="12"/>
      <c r="D1" s="12"/>
      <c r="E1" s="12"/>
      <c r="F1" s="12"/>
      <c r="G1" s="12"/>
      <c r="H1" s="12"/>
      <c r="I1" s="12"/>
      <c r="J1" s="12"/>
      <c r="K1" s="12"/>
      <c r="L1" s="12"/>
      <c r="M1" s="12"/>
      <c r="N1" s="12"/>
      <c r="O1" s="12"/>
      <c r="P1" s="12"/>
      <c r="Q1" s="12"/>
      <c r="R1" s="12"/>
      <c r="S1" s="12"/>
      <c r="T1" s="12"/>
      <c r="U1" s="13"/>
    </row>
    <row r="2" spans="1:21" x14ac:dyDescent="0.25">
      <c r="A2" s="1" t="s">
        <v>55</v>
      </c>
      <c r="B2" s="1" t="s">
        <v>39</v>
      </c>
      <c r="C2" s="1" t="s">
        <v>56</v>
      </c>
      <c r="D2" s="1" t="s">
        <v>57</v>
      </c>
      <c r="E2" s="1" t="s">
        <v>58</v>
      </c>
      <c r="F2" s="1" t="s">
        <v>59</v>
      </c>
      <c r="G2" s="1" t="s">
        <v>60</v>
      </c>
    </row>
    <row r="3" spans="1:21" x14ac:dyDescent="0.25">
      <c r="A3" s="1">
        <v>1</v>
      </c>
      <c r="B3" s="1">
        <v>1</v>
      </c>
      <c r="C3" s="1" t="s">
        <v>61</v>
      </c>
      <c r="D3" s="1">
        <v>0</v>
      </c>
      <c r="E3" s="1">
        <v>1</v>
      </c>
      <c r="F3" s="1">
        <v>1</v>
      </c>
      <c r="G3" s="1" t="s">
        <v>62</v>
      </c>
    </row>
    <row r="4" spans="1:21" x14ac:dyDescent="0.25">
      <c r="A4" s="1">
        <v>1</v>
      </c>
      <c r="B4" s="1">
        <v>2</v>
      </c>
      <c r="C4" s="1" t="s">
        <v>53</v>
      </c>
      <c r="D4" s="1">
        <v>1</v>
      </c>
      <c r="E4" s="1">
        <v>1</v>
      </c>
      <c r="F4" s="1">
        <v>1</v>
      </c>
      <c r="G4" s="1" t="s">
        <v>63</v>
      </c>
    </row>
    <row r="5" spans="1:21" x14ac:dyDescent="0.25">
      <c r="A5" s="1">
        <v>1</v>
      </c>
      <c r="B5" s="1">
        <v>3</v>
      </c>
      <c r="C5" s="1" t="s">
        <v>64</v>
      </c>
      <c r="D5" s="1">
        <v>0</v>
      </c>
      <c r="E5" s="1">
        <v>2</v>
      </c>
      <c r="F5" s="1">
        <v>1</v>
      </c>
      <c r="G5" s="1" t="s">
        <v>64</v>
      </c>
    </row>
    <row r="6" spans="1:21" x14ac:dyDescent="0.25">
      <c r="A6" s="1">
        <v>1</v>
      </c>
      <c r="B6" s="1">
        <v>4</v>
      </c>
      <c r="C6" s="1" t="s">
        <v>52</v>
      </c>
      <c r="D6" s="1">
        <v>1</v>
      </c>
      <c r="E6" s="1">
        <v>3</v>
      </c>
      <c r="F6" s="1">
        <v>0</v>
      </c>
      <c r="G6" s="1" t="s">
        <v>52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3" sqref="D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405</v>
      </c>
      <c r="B1" s="12"/>
      <c r="C1" s="12"/>
      <c r="D1" s="12"/>
      <c r="E1" s="12"/>
      <c r="F1" s="12"/>
      <c r="G1" s="12"/>
      <c r="H1" s="12"/>
      <c r="I1" s="12"/>
      <c r="J1" s="12"/>
      <c r="K1" s="12"/>
      <c r="L1" s="12"/>
      <c r="M1" s="12"/>
      <c r="N1" s="12"/>
      <c r="O1" s="12"/>
      <c r="P1" s="12"/>
      <c r="Q1" s="12"/>
      <c r="R1" s="12"/>
      <c r="S1" s="12"/>
      <c r="T1" s="12"/>
      <c r="U1" s="13"/>
    </row>
    <row r="2" spans="1:21" x14ac:dyDescent="0.25">
      <c r="A2" s="1" t="s">
        <v>65</v>
      </c>
      <c r="B2" s="1" t="s">
        <v>66</v>
      </c>
      <c r="C2" s="1" t="s">
        <v>67</v>
      </c>
      <c r="D2" s="1" t="s">
        <v>68</v>
      </c>
      <c r="E2" s="1" t="s">
        <v>69</v>
      </c>
      <c r="F2" s="1" t="s">
        <v>70</v>
      </c>
      <c r="G2" s="1" t="s">
        <v>71</v>
      </c>
      <c r="H2" s="1" t="s">
        <v>72</v>
      </c>
      <c r="I2" s="1" t="s">
        <v>73</v>
      </c>
      <c r="J2" s="1" t="s">
        <v>74</v>
      </c>
      <c r="K2" s="1" t="s">
        <v>75</v>
      </c>
    </row>
    <row r="3" spans="1:21" x14ac:dyDescent="0.25">
      <c r="A3" s="1" t="s">
        <v>76</v>
      </c>
      <c r="B3" s="1">
        <v>1</v>
      </c>
      <c r="C3" s="1">
        <v>25</v>
      </c>
      <c r="D3" s="1">
        <v>18</v>
      </c>
      <c r="E3" s="1">
        <v>1</v>
      </c>
      <c r="F3" s="1">
        <v>0</v>
      </c>
      <c r="G3" s="1">
        <v>0</v>
      </c>
      <c r="H3" s="1">
        <v>7.5</v>
      </c>
      <c r="I3" s="1">
        <v>0.1</v>
      </c>
      <c r="J3" s="1" t="s">
        <v>77</v>
      </c>
      <c r="K3" s="1" t="s">
        <v>78</v>
      </c>
    </row>
    <row r="4" spans="1:21" x14ac:dyDescent="0.25">
      <c r="A4" s="1" t="s">
        <v>79</v>
      </c>
      <c r="B4" s="1">
        <v>0.05</v>
      </c>
      <c r="C4" s="1">
        <v>0.2</v>
      </c>
      <c r="D4" s="1">
        <v>0.08</v>
      </c>
      <c r="E4" s="1">
        <v>-1</v>
      </c>
      <c r="F4" s="1">
        <v>0</v>
      </c>
      <c r="G4" s="1">
        <v>0</v>
      </c>
      <c r="H4" s="1">
        <v>0.13</v>
      </c>
      <c r="I4" s="1">
        <v>0.01</v>
      </c>
      <c r="J4" s="1" t="s">
        <v>77</v>
      </c>
      <c r="K4" s="1" t="s">
        <v>80</v>
      </c>
    </row>
    <row r="5" spans="1:21" x14ac:dyDescent="0.25">
      <c r="A5" s="1" t="s">
        <v>79</v>
      </c>
      <c r="B5" s="1">
        <v>0</v>
      </c>
      <c r="C5" s="1">
        <v>10</v>
      </c>
      <c r="D5" s="1">
        <v>1</v>
      </c>
      <c r="E5" s="1">
        <v>-1</v>
      </c>
      <c r="F5" s="1">
        <v>0</v>
      </c>
      <c r="G5" s="1">
        <v>0</v>
      </c>
      <c r="H5" s="1">
        <v>0.1</v>
      </c>
      <c r="I5" s="1">
        <v>0.01</v>
      </c>
      <c r="J5" s="1" t="s">
        <v>77</v>
      </c>
      <c r="K5" s="1" t="s">
        <v>81</v>
      </c>
    </row>
    <row r="6" spans="1:21" x14ac:dyDescent="0.25">
      <c r="A6" s="1" t="s">
        <v>404</v>
      </c>
      <c r="B6" s="1">
        <v>1</v>
      </c>
      <c r="C6" s="1">
        <v>5</v>
      </c>
      <c r="D6" s="1">
        <v>3</v>
      </c>
      <c r="E6" s="1">
        <v>-1</v>
      </c>
      <c r="F6" s="1">
        <v>0</v>
      </c>
      <c r="G6" s="1">
        <v>0</v>
      </c>
      <c r="H6" s="1">
        <v>0.1</v>
      </c>
      <c r="I6" s="1">
        <v>0.01</v>
      </c>
      <c r="J6" s="1" t="s">
        <v>77</v>
      </c>
      <c r="K6" s="1" t="s">
        <v>401</v>
      </c>
    </row>
    <row r="7" spans="1:21" x14ac:dyDescent="0.25">
      <c r="A7" s="1" t="s">
        <v>403</v>
      </c>
      <c r="B7" s="1">
        <v>0</v>
      </c>
      <c r="C7" s="1">
        <v>1</v>
      </c>
      <c r="D7" s="1">
        <v>1</v>
      </c>
      <c r="E7" s="1">
        <v>-2</v>
      </c>
      <c r="F7" s="1">
        <v>0</v>
      </c>
      <c r="G7" s="1">
        <v>0</v>
      </c>
      <c r="H7" s="1">
        <v>0.1</v>
      </c>
      <c r="I7" s="1">
        <v>0.01</v>
      </c>
      <c r="J7" s="1" t="s">
        <v>77</v>
      </c>
      <c r="K7" s="1" t="s">
        <v>402</v>
      </c>
    </row>
    <row r="8" spans="1:21" x14ac:dyDescent="0.25">
      <c r="A8" s="1" t="s">
        <v>82</v>
      </c>
      <c r="B8" s="1">
        <v>1E-3</v>
      </c>
      <c r="C8" s="1">
        <v>1</v>
      </c>
      <c r="D8" s="1">
        <v>0.5</v>
      </c>
      <c r="E8" s="1">
        <v>-1</v>
      </c>
      <c r="F8" s="1">
        <v>0</v>
      </c>
      <c r="G8" s="1">
        <v>0</v>
      </c>
      <c r="H8" s="1">
        <v>0.1</v>
      </c>
      <c r="I8" s="1">
        <v>0.01</v>
      </c>
      <c r="J8" s="1" t="s">
        <v>77</v>
      </c>
      <c r="K8" s="1" t="s">
        <v>83</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383</v>
      </c>
      <c r="B1" s="16"/>
      <c r="C1" s="16"/>
      <c r="D1" s="16"/>
      <c r="E1" s="16"/>
      <c r="F1" s="16"/>
      <c r="G1" s="16"/>
      <c r="H1" s="16"/>
      <c r="I1" s="16"/>
      <c r="J1" s="16"/>
      <c r="K1" s="16"/>
      <c r="L1" s="16"/>
      <c r="M1" s="16"/>
      <c r="N1" s="16"/>
      <c r="O1" s="16"/>
      <c r="P1" s="16"/>
      <c r="Q1" s="16"/>
      <c r="R1" s="16"/>
      <c r="S1" s="16"/>
      <c r="T1" s="16"/>
      <c r="U1" s="16"/>
    </row>
    <row r="2" spans="1:21" x14ac:dyDescent="0.25">
      <c r="A2" s="8" t="s">
        <v>3</v>
      </c>
      <c r="B2" s="8" t="s">
        <v>5</v>
      </c>
      <c r="C2" t="s">
        <v>40</v>
      </c>
      <c r="D2" t="s">
        <v>114</v>
      </c>
      <c r="E2" t="s">
        <v>35</v>
      </c>
      <c r="F2" t="s">
        <v>115</v>
      </c>
      <c r="G2" t="s">
        <v>116</v>
      </c>
    </row>
    <row r="3" spans="1:21" x14ac:dyDescent="0.25">
      <c r="A3" s="1">
        <v>1900</v>
      </c>
      <c r="B3">
        <v>2050</v>
      </c>
      <c r="C3" s="2" t="s">
        <v>95</v>
      </c>
      <c r="D3" s="2">
        <v>1</v>
      </c>
      <c r="E3" s="2">
        <v>1</v>
      </c>
      <c r="F3" s="2">
        <v>1</v>
      </c>
      <c r="G3" s="1" t="s">
        <v>384</v>
      </c>
      <c r="H3" s="1"/>
    </row>
    <row r="4" spans="1:21" x14ac:dyDescent="0.25">
      <c r="A4" s="1">
        <v>1900</v>
      </c>
      <c r="B4">
        <v>2050</v>
      </c>
      <c r="C4" s="2" t="s">
        <v>79</v>
      </c>
      <c r="D4" s="2">
        <v>1</v>
      </c>
      <c r="E4" s="2">
        <v>1</v>
      </c>
      <c r="F4" s="1">
        <v>1</v>
      </c>
      <c r="G4" s="1" t="s">
        <v>385</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386</v>
      </c>
      <c r="B1" s="12"/>
      <c r="C1" s="12"/>
      <c r="D1" s="12"/>
      <c r="E1" s="12"/>
      <c r="F1" s="12"/>
      <c r="G1" s="12"/>
      <c r="H1" s="12"/>
      <c r="I1" s="12"/>
      <c r="J1" s="12"/>
      <c r="K1" s="12"/>
      <c r="L1" s="12"/>
      <c r="M1" s="12"/>
      <c r="N1" s="12"/>
      <c r="O1" s="12"/>
      <c r="P1" s="12"/>
      <c r="Q1" s="12"/>
      <c r="R1" s="12"/>
      <c r="S1" s="12"/>
      <c r="T1" s="12"/>
      <c r="U1" s="13"/>
    </row>
    <row r="3" spans="1:41" x14ac:dyDescent="0.25">
      <c r="A3" s="1" t="s">
        <v>387</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388</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sqref="A1:U1"/>
    </sheetView>
  </sheetViews>
  <sheetFormatPr defaultColWidth="14.42578125" defaultRowHeight="15" customHeight="1" x14ac:dyDescent="0.25"/>
  <cols>
    <col min="1" max="1" width="15" customWidth="1"/>
    <col min="2" max="5" width="11.42578125" customWidth="1"/>
    <col min="6" max="6" width="17.710937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418</v>
      </c>
      <c r="B1" s="15"/>
      <c r="C1" s="15"/>
      <c r="D1" s="15"/>
      <c r="E1" s="15"/>
      <c r="F1" s="15"/>
      <c r="G1" s="15"/>
      <c r="H1" s="15"/>
      <c r="I1" s="15"/>
      <c r="J1" s="15"/>
      <c r="K1" s="15"/>
      <c r="L1" s="15"/>
      <c r="M1" s="15"/>
      <c r="N1" s="15"/>
      <c r="O1" s="15"/>
      <c r="P1" s="15"/>
      <c r="Q1" s="15"/>
      <c r="R1" s="15"/>
      <c r="S1" s="15"/>
      <c r="T1" s="15"/>
      <c r="U1" s="15"/>
    </row>
    <row r="2" spans="1:47" x14ac:dyDescent="0.25">
      <c r="A2" s="1" t="s">
        <v>122</v>
      </c>
      <c r="B2" s="1" t="s">
        <v>66</v>
      </c>
      <c r="C2" s="1" t="s">
        <v>108</v>
      </c>
      <c r="D2" s="1" t="s">
        <v>109</v>
      </c>
      <c r="E2" s="1" t="s">
        <v>110</v>
      </c>
      <c r="F2" s="9" t="s">
        <v>398</v>
      </c>
      <c r="G2" s="9" t="s">
        <v>71</v>
      </c>
      <c r="H2" s="9" t="s">
        <v>72</v>
      </c>
      <c r="I2" s="9" t="s">
        <v>73</v>
      </c>
      <c r="J2" s="1" t="s">
        <v>60</v>
      </c>
      <c r="L2" s="1" t="s">
        <v>123</v>
      </c>
      <c r="M2" s="1" t="s">
        <v>124</v>
      </c>
      <c r="N2" s="1" t="s">
        <v>125</v>
      </c>
      <c r="O2" s="1" t="s">
        <v>126</v>
      </c>
      <c r="P2" s="1" t="s">
        <v>127</v>
      </c>
      <c r="Q2" s="1" t="s">
        <v>128</v>
      </c>
      <c r="R2" s="1" t="s">
        <v>129</v>
      </c>
      <c r="S2" s="1" t="s">
        <v>130</v>
      </c>
      <c r="T2" s="1" t="s">
        <v>131</v>
      </c>
      <c r="U2" s="1" t="s">
        <v>132</v>
      </c>
      <c r="V2" s="1" t="s">
        <v>133</v>
      </c>
      <c r="W2" s="1" t="s">
        <v>134</v>
      </c>
      <c r="X2" s="1" t="s">
        <v>135</v>
      </c>
      <c r="Y2" s="1" t="s">
        <v>136</v>
      </c>
      <c r="Z2" s="1" t="s">
        <v>137</v>
      </c>
      <c r="AA2" s="1" t="s">
        <v>138</v>
      </c>
      <c r="AB2" s="1" t="s">
        <v>139</v>
      </c>
      <c r="AC2" s="1" t="s">
        <v>140</v>
      </c>
      <c r="AD2" s="1" t="s">
        <v>141</v>
      </c>
      <c r="AE2" s="1" t="s">
        <v>142</v>
      </c>
      <c r="AF2" s="1" t="s">
        <v>143</v>
      </c>
      <c r="AG2" s="1" t="s">
        <v>144</v>
      </c>
      <c r="AH2" s="1" t="s">
        <v>145</v>
      </c>
      <c r="AI2" s="1" t="s">
        <v>146</v>
      </c>
      <c r="AJ2" s="1" t="s">
        <v>147</v>
      </c>
      <c r="AK2" s="1" t="s">
        <v>148</v>
      </c>
      <c r="AL2" s="1" t="s">
        <v>149</v>
      </c>
      <c r="AM2" s="1" t="s">
        <v>150</v>
      </c>
      <c r="AN2" s="1" t="s">
        <v>151</v>
      </c>
      <c r="AO2" s="1" t="s">
        <v>152</v>
      </c>
      <c r="AP2" s="1" t="s">
        <v>153</v>
      </c>
      <c r="AQ2" s="1" t="s">
        <v>154</v>
      </c>
      <c r="AR2" s="1" t="s">
        <v>155</v>
      </c>
      <c r="AS2" s="1" t="s">
        <v>156</v>
      </c>
      <c r="AT2" s="1" t="s">
        <v>157</v>
      </c>
      <c r="AU2" s="1" t="s">
        <v>158</v>
      </c>
    </row>
    <row r="3" spans="1:47" x14ac:dyDescent="0.25">
      <c r="A3" s="1">
        <v>1</v>
      </c>
      <c r="B3" s="1">
        <v>-1</v>
      </c>
      <c r="C3" s="1">
        <v>1</v>
      </c>
      <c r="D3" s="1">
        <v>0</v>
      </c>
      <c r="E3" s="1">
        <v>-2</v>
      </c>
      <c r="F3" s="1">
        <v>0</v>
      </c>
      <c r="G3" s="1">
        <v>0</v>
      </c>
      <c r="H3" s="1">
        <v>0</v>
      </c>
      <c r="I3" s="1">
        <v>0.1</v>
      </c>
      <c r="J3" s="1" t="s">
        <v>159</v>
      </c>
    </row>
    <row r="4" spans="1:47" x14ac:dyDescent="0.25">
      <c r="A4" s="1">
        <v>1</v>
      </c>
      <c r="B4" s="1">
        <v>30</v>
      </c>
      <c r="C4" s="1">
        <v>70</v>
      </c>
      <c r="D4" s="1">
        <v>60</v>
      </c>
      <c r="E4" s="1">
        <v>3</v>
      </c>
      <c r="F4" s="1">
        <v>0</v>
      </c>
      <c r="G4" s="1">
        <v>0</v>
      </c>
      <c r="H4" s="1">
        <v>60</v>
      </c>
      <c r="I4" s="1">
        <v>0.1</v>
      </c>
      <c r="J4" s="1" t="s">
        <v>160</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5</v>
      </c>
      <c r="E5" s="1">
        <v>3</v>
      </c>
      <c r="F5" s="1">
        <v>0</v>
      </c>
      <c r="G5" s="1">
        <v>0</v>
      </c>
      <c r="H5" s="1">
        <v>5</v>
      </c>
      <c r="I5" s="1">
        <v>0.01</v>
      </c>
      <c r="J5" s="1" t="s">
        <v>161</v>
      </c>
    </row>
    <row r="6" spans="1:47" x14ac:dyDescent="0.25">
      <c r="A6" s="1">
        <v>1</v>
      </c>
      <c r="B6" s="1">
        <v>30</v>
      </c>
      <c r="C6" s="1">
        <v>70</v>
      </c>
      <c r="D6" s="1">
        <v>60</v>
      </c>
      <c r="E6" s="1">
        <v>-3</v>
      </c>
      <c r="F6" s="1">
        <v>2</v>
      </c>
      <c r="G6" s="1">
        <v>0</v>
      </c>
      <c r="H6" s="1">
        <v>60</v>
      </c>
      <c r="I6" s="1">
        <v>0.1</v>
      </c>
      <c r="J6" s="1" t="s">
        <v>162</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5</v>
      </c>
      <c r="E7" s="1">
        <v>-3</v>
      </c>
      <c r="F7" s="1">
        <v>3</v>
      </c>
      <c r="G7" s="1">
        <v>0</v>
      </c>
      <c r="H7" s="1">
        <v>5</v>
      </c>
      <c r="I7" s="1">
        <v>0.01</v>
      </c>
      <c r="J7" s="1" t="s">
        <v>163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117</v>
      </c>
      <c r="B1" s="12"/>
      <c r="C1" s="12"/>
      <c r="D1" s="12"/>
      <c r="E1" s="12"/>
      <c r="F1" s="12"/>
      <c r="G1" s="12"/>
      <c r="H1" s="12"/>
      <c r="I1" s="12"/>
      <c r="J1" s="12"/>
      <c r="K1" s="12"/>
      <c r="L1" s="12"/>
      <c r="M1" s="12"/>
      <c r="N1" s="12"/>
      <c r="O1" s="12"/>
      <c r="P1" s="12"/>
      <c r="Q1" s="12"/>
      <c r="R1" s="12"/>
      <c r="S1" s="12"/>
      <c r="T1" s="12"/>
      <c r="U1" s="13"/>
    </row>
    <row r="2" spans="1:21" x14ac:dyDescent="0.25">
      <c r="A2" s="1" t="s">
        <v>114</v>
      </c>
      <c r="B2" s="1" t="s">
        <v>90</v>
      </c>
      <c r="C2" s="1" t="s">
        <v>118</v>
      </c>
      <c r="D2" s="1" t="s">
        <v>119</v>
      </c>
      <c r="E2" s="1" t="s">
        <v>120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66</v>
      </c>
      <c r="B2" s="1" t="s">
        <v>108</v>
      </c>
      <c r="C2" s="1" t="s">
        <v>109</v>
      </c>
      <c r="D2" s="1" t="s">
        <v>110</v>
      </c>
      <c r="E2" s="1" t="s">
        <v>60</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8.75" customHeight="1" x14ac:dyDescent="0.25">
      <c r="A1" s="11" t="s">
        <v>164</v>
      </c>
      <c r="B1" s="12"/>
      <c r="C1" s="12"/>
      <c r="D1" s="12"/>
      <c r="E1" s="12"/>
      <c r="F1" s="12"/>
      <c r="G1" s="12"/>
      <c r="H1" s="12"/>
      <c r="I1" s="12"/>
      <c r="J1" s="12"/>
      <c r="K1" s="12"/>
      <c r="L1" s="12"/>
      <c r="M1" s="12"/>
      <c r="N1" s="12"/>
      <c r="O1" s="12"/>
      <c r="P1" s="12"/>
      <c r="Q1" s="12"/>
      <c r="R1" s="12"/>
      <c r="S1" s="13"/>
    </row>
    <row r="2" spans="1:19" x14ac:dyDescent="0.25">
      <c r="A2" s="1" t="s">
        <v>165</v>
      </c>
      <c r="B2" s="1" t="s">
        <v>166</v>
      </c>
      <c r="C2" s="1" t="s">
        <v>167</v>
      </c>
      <c r="D2" s="1" t="s">
        <v>168</v>
      </c>
      <c r="E2" s="1" t="s">
        <v>35</v>
      </c>
      <c r="F2" s="1" t="s">
        <v>107</v>
      </c>
      <c r="G2" s="1" t="s">
        <v>66</v>
      </c>
      <c r="H2" s="1" t="s">
        <v>108</v>
      </c>
      <c r="I2" s="1" t="s">
        <v>109</v>
      </c>
      <c r="J2" s="1" t="s">
        <v>110</v>
      </c>
      <c r="K2" s="1" t="s">
        <v>111</v>
      </c>
      <c r="L2" s="1" t="s">
        <v>112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283</v>
      </c>
      <c r="B1" s="16"/>
      <c r="C1" s="16"/>
      <c r="D1" s="16"/>
      <c r="E1" s="16"/>
      <c r="F1" s="16"/>
      <c r="G1" s="16"/>
      <c r="H1" s="16"/>
      <c r="I1" s="16"/>
      <c r="J1" s="16"/>
      <c r="K1" s="16"/>
      <c r="L1" s="16"/>
      <c r="M1" s="16"/>
      <c r="N1" s="16"/>
      <c r="O1" s="16"/>
      <c r="P1" s="16"/>
      <c r="Q1" s="16"/>
      <c r="R1" s="16"/>
      <c r="S1" s="16"/>
    </row>
    <row r="2" spans="1:46" ht="15" customHeight="1" x14ac:dyDescent="0.25">
      <c r="A2" t="s">
        <v>284</v>
      </c>
      <c r="B2">
        <v>0</v>
      </c>
    </row>
    <row r="3" spans="1:46" x14ac:dyDescent="0.25">
      <c r="A3" t="s">
        <v>285</v>
      </c>
      <c r="B3">
        <v>0.95</v>
      </c>
    </row>
    <row r="4" spans="1:46" ht="15" customHeight="1" x14ac:dyDescent="0.25">
      <c r="A4" t="s">
        <v>286</v>
      </c>
      <c r="B4">
        <v>0.05</v>
      </c>
    </row>
    <row r="5" spans="1:46" ht="15" customHeight="1" x14ac:dyDescent="0.25">
      <c r="A5" t="s">
        <v>287</v>
      </c>
      <c r="B5">
        <v>2</v>
      </c>
    </row>
    <row r="6" spans="1:46" ht="15" customHeight="1" x14ac:dyDescent="0.25">
      <c r="A6" t="s">
        <v>288</v>
      </c>
      <c r="B6">
        <v>0.7</v>
      </c>
      <c r="C6">
        <v>1</v>
      </c>
    </row>
    <row r="7" spans="1:46" ht="15" customHeight="1" x14ac:dyDescent="0.25">
      <c r="A7" t="s">
        <v>289</v>
      </c>
      <c r="B7">
        <v>1</v>
      </c>
      <c r="C7">
        <v>1</v>
      </c>
    </row>
    <row r="8" spans="1:46" ht="15" customHeight="1" x14ac:dyDescent="0.25">
      <c r="A8" t="s">
        <v>290</v>
      </c>
      <c r="B8">
        <v>2</v>
      </c>
    </row>
    <row r="9" spans="1:46" ht="15" customHeight="1" x14ac:dyDescent="0.25">
      <c r="A9" t="s">
        <v>291</v>
      </c>
      <c r="B9">
        <v>1</v>
      </c>
    </row>
    <row r="11" spans="1:46" ht="15" customHeight="1" x14ac:dyDescent="0.25">
      <c r="A11" t="s">
        <v>292</v>
      </c>
    </row>
    <row r="12" spans="1:46" ht="15" customHeight="1" x14ac:dyDescent="0.25">
      <c r="A12" t="s">
        <v>169</v>
      </c>
      <c r="B12" t="s">
        <v>293</v>
      </c>
      <c r="C12" t="s">
        <v>183</v>
      </c>
      <c r="D12" t="s">
        <v>171</v>
      </c>
      <c r="E12" t="s">
        <v>294</v>
      </c>
      <c r="F12" t="s">
        <v>295</v>
      </c>
      <c r="G12" t="s">
        <v>296</v>
      </c>
      <c r="H12" t="s">
        <v>297</v>
      </c>
      <c r="I12" t="s">
        <v>298</v>
      </c>
      <c r="J12" t="s">
        <v>299</v>
      </c>
      <c r="K12" t="s">
        <v>300</v>
      </c>
      <c r="L12" t="s">
        <v>301</v>
      </c>
      <c r="M12" t="s">
        <v>302</v>
      </c>
      <c r="N12" t="s">
        <v>303</v>
      </c>
      <c r="O12" t="s">
        <v>304</v>
      </c>
      <c r="P12" t="s">
        <v>305</v>
      </c>
      <c r="Q12" t="s">
        <v>306</v>
      </c>
      <c r="R12" t="s">
        <v>307</v>
      </c>
      <c r="S12" t="s">
        <v>308</v>
      </c>
      <c r="T12" t="s">
        <v>309</v>
      </c>
      <c r="U12" t="s">
        <v>310</v>
      </c>
      <c r="V12" t="s">
        <v>311</v>
      </c>
      <c r="W12" t="s">
        <v>312</v>
      </c>
      <c r="X12" t="s">
        <v>313</v>
      </c>
      <c r="Y12" t="s">
        <v>314</v>
      </c>
      <c r="Z12" t="s">
        <v>315</v>
      </c>
      <c r="AA12" t="s">
        <v>316</v>
      </c>
      <c r="AB12" t="s">
        <v>317</v>
      </c>
      <c r="AC12" t="s">
        <v>318</v>
      </c>
      <c r="AD12" t="s">
        <v>319</v>
      </c>
      <c r="AE12" t="s">
        <v>320</v>
      </c>
      <c r="AF12" t="s">
        <v>321</v>
      </c>
      <c r="AG12" t="s">
        <v>322</v>
      </c>
      <c r="AH12" t="s">
        <v>323</v>
      </c>
      <c r="AI12" t="s">
        <v>324</v>
      </c>
      <c r="AJ12" t="s">
        <v>325</v>
      </c>
      <c r="AK12" t="s">
        <v>326</v>
      </c>
      <c r="AL12" t="s">
        <v>327</v>
      </c>
      <c r="AM12" t="s">
        <v>328</v>
      </c>
      <c r="AN12" t="s">
        <v>329</v>
      </c>
      <c r="AO12" t="s">
        <v>330</v>
      </c>
      <c r="AP12" t="s">
        <v>331</v>
      </c>
      <c r="AQ12" t="s">
        <v>332</v>
      </c>
      <c r="AR12" t="s">
        <v>333</v>
      </c>
      <c r="AS12" t="s">
        <v>334</v>
      </c>
      <c r="AT12" t="s">
        <v>335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336</v>
      </c>
    </row>
    <row r="37" spans="1:48" ht="15.75" customHeight="1" x14ac:dyDescent="0.25">
      <c r="A37" t="s">
        <v>169</v>
      </c>
      <c r="B37" t="s">
        <v>293</v>
      </c>
      <c r="C37" t="s">
        <v>337</v>
      </c>
      <c r="D37" t="s">
        <v>338</v>
      </c>
      <c r="E37" t="s">
        <v>183</v>
      </c>
      <c r="F37" t="s">
        <v>171</v>
      </c>
      <c r="G37" t="s">
        <v>294</v>
      </c>
      <c r="H37" t="s">
        <v>339</v>
      </c>
      <c r="I37" t="s">
        <v>340</v>
      </c>
      <c r="J37" t="s">
        <v>341</v>
      </c>
      <c r="K37" t="s">
        <v>342</v>
      </c>
      <c r="L37" t="s">
        <v>343</v>
      </c>
      <c r="M37" t="s">
        <v>344</v>
      </c>
      <c r="N37" t="s">
        <v>345</v>
      </c>
      <c r="O37" t="s">
        <v>346</v>
      </c>
      <c r="P37" t="s">
        <v>347</v>
      </c>
      <c r="Q37" t="s">
        <v>348</v>
      </c>
      <c r="R37" t="s">
        <v>349</v>
      </c>
      <c r="S37" t="s">
        <v>350</v>
      </c>
      <c r="T37" t="s">
        <v>351</v>
      </c>
      <c r="U37" t="s">
        <v>352</v>
      </c>
      <c r="V37" t="s">
        <v>353</v>
      </c>
      <c r="W37" t="s">
        <v>354</v>
      </c>
      <c r="X37" t="s">
        <v>355</v>
      </c>
      <c r="Y37" t="s">
        <v>356</v>
      </c>
      <c r="Z37" t="s">
        <v>357</v>
      </c>
      <c r="AA37" t="s">
        <v>358</v>
      </c>
      <c r="AB37" t="s">
        <v>359</v>
      </c>
      <c r="AC37" t="s">
        <v>360</v>
      </c>
      <c r="AD37" t="s">
        <v>361</v>
      </c>
      <c r="AE37" t="s">
        <v>362</v>
      </c>
      <c r="AF37" t="s">
        <v>363</v>
      </c>
      <c r="AG37" t="s">
        <v>364</v>
      </c>
      <c r="AH37" t="s">
        <v>365</v>
      </c>
      <c r="AI37" t="s">
        <v>366</v>
      </c>
      <c r="AJ37" t="s">
        <v>367</v>
      </c>
      <c r="AK37" t="s">
        <v>368</v>
      </c>
      <c r="AL37" t="s">
        <v>369</v>
      </c>
      <c r="AM37" t="s">
        <v>370</v>
      </c>
      <c r="AN37" t="s">
        <v>371</v>
      </c>
      <c r="AO37" t="s">
        <v>372</v>
      </c>
      <c r="AP37" t="s">
        <v>373</v>
      </c>
      <c r="AQ37" t="s">
        <v>374</v>
      </c>
      <c r="AR37" t="s">
        <v>375</v>
      </c>
      <c r="AS37" t="s">
        <v>376</v>
      </c>
      <c r="AT37" t="s">
        <v>377</v>
      </c>
      <c r="AU37" t="s">
        <v>378</v>
      </c>
      <c r="AV37" t="s">
        <v>379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380</v>
      </c>
    </row>
    <row r="72" spans="1:48" ht="15.75" customHeight="1" x14ac:dyDescent="0.25">
      <c r="A72" t="s">
        <v>183</v>
      </c>
      <c r="B72" t="s">
        <v>35</v>
      </c>
      <c r="C72" t="s">
        <v>114</v>
      </c>
      <c r="D72" t="s">
        <v>381</v>
      </c>
      <c r="E72" t="s">
        <v>382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406</v>
      </c>
      <c r="B1" s="12"/>
      <c r="C1" s="12"/>
      <c r="D1" s="12"/>
      <c r="E1" s="12"/>
      <c r="F1" s="12"/>
      <c r="G1" s="12"/>
      <c r="H1" s="12"/>
      <c r="I1" s="12"/>
      <c r="J1" s="12"/>
      <c r="K1" s="12"/>
      <c r="L1" s="12"/>
      <c r="M1" s="12"/>
      <c r="N1" s="12"/>
      <c r="O1" s="12"/>
      <c r="P1" s="12"/>
      <c r="Q1" s="12"/>
      <c r="R1" s="12"/>
      <c r="S1" s="12"/>
      <c r="T1" s="12"/>
      <c r="U1" s="13"/>
    </row>
    <row r="2" spans="1:21" x14ac:dyDescent="0.25">
      <c r="A2" s="1" t="s">
        <v>169</v>
      </c>
      <c r="B2" s="1" t="s">
        <v>166</v>
      </c>
      <c r="C2" s="1" t="s">
        <v>170</v>
      </c>
      <c r="D2" s="1" t="s">
        <v>171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399</v>
      </c>
      <c r="B1" s="15"/>
      <c r="C1" s="15"/>
      <c r="D1" s="15"/>
      <c r="E1" s="15"/>
      <c r="F1" s="15"/>
      <c r="G1" s="15"/>
      <c r="H1" s="15"/>
      <c r="I1" s="15"/>
      <c r="J1" s="15"/>
      <c r="K1" s="15"/>
      <c r="L1" s="15"/>
      <c r="M1" s="15"/>
      <c r="N1" s="15"/>
      <c r="O1" s="15"/>
      <c r="P1" s="15"/>
      <c r="Q1" s="15"/>
      <c r="R1" s="15"/>
      <c r="S1" s="15"/>
      <c r="T1" s="15"/>
      <c r="U1" s="15"/>
    </row>
    <row r="2" spans="1:21" ht="15" customHeight="1" x14ac:dyDescent="0.25">
      <c r="A2" t="s">
        <v>389</v>
      </c>
      <c r="B2" t="s">
        <v>169</v>
      </c>
      <c r="C2" t="s">
        <v>390</v>
      </c>
      <c r="D2" t="s">
        <v>391</v>
      </c>
      <c r="E2" t="s">
        <v>392</v>
      </c>
      <c r="F2" t="s">
        <v>114</v>
      </c>
      <c r="G2" t="s">
        <v>393</v>
      </c>
      <c r="H2" t="s">
        <v>394</v>
      </c>
      <c r="I2" t="s">
        <v>395</v>
      </c>
    </row>
    <row r="3" spans="1:21" ht="15" customHeight="1" x14ac:dyDescent="0.25">
      <c r="A3">
        <v>1</v>
      </c>
      <c r="B3" t="s">
        <v>95</v>
      </c>
      <c r="C3">
        <v>1</v>
      </c>
      <c r="D3">
        <v>1970</v>
      </c>
      <c r="E3">
        <v>1980</v>
      </c>
      <c r="F3">
        <v>1</v>
      </c>
      <c r="G3">
        <v>74.12</v>
      </c>
      <c r="H3">
        <v>-4</v>
      </c>
    </row>
    <row r="4" spans="1:21" ht="15" customHeight="1" x14ac:dyDescent="0.25">
      <c r="A4">
        <v>1</v>
      </c>
      <c r="B4" t="s">
        <v>95</v>
      </c>
      <c r="C4">
        <v>1</v>
      </c>
      <c r="D4">
        <v>1981</v>
      </c>
      <c r="E4">
        <v>2050</v>
      </c>
      <c r="F4">
        <v>1</v>
      </c>
      <c r="G4">
        <v>70.12</v>
      </c>
      <c r="H4">
        <v>-4.5</v>
      </c>
    </row>
    <row r="5" spans="1:21" ht="15" customHeight="1" x14ac:dyDescent="0.25">
      <c r="A5">
        <v>2</v>
      </c>
      <c r="B5" t="s">
        <v>95</v>
      </c>
      <c r="C5">
        <v>1</v>
      </c>
      <c r="D5">
        <v>1970</v>
      </c>
      <c r="E5">
        <v>2050</v>
      </c>
      <c r="F5">
        <v>1</v>
      </c>
      <c r="G5">
        <v>1.92</v>
      </c>
      <c r="H5">
        <v>2.69</v>
      </c>
    </row>
    <row r="6" spans="1:21" ht="15.75" customHeight="1" x14ac:dyDescent="0.25">
      <c r="A6">
        <v>3</v>
      </c>
      <c r="B6" t="s">
        <v>95</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174</v>
      </c>
      <c r="B1" s="12"/>
      <c r="C1" s="12"/>
      <c r="D1" s="12"/>
      <c r="E1" s="12"/>
      <c r="F1" s="12"/>
      <c r="G1" s="12"/>
      <c r="H1" s="12"/>
      <c r="I1" s="12"/>
      <c r="J1" s="12"/>
      <c r="K1" s="12"/>
      <c r="L1" s="12"/>
      <c r="M1" s="12"/>
      <c r="N1" s="12"/>
      <c r="O1" s="12"/>
      <c r="P1" s="12"/>
      <c r="Q1" s="12"/>
      <c r="R1" s="12"/>
      <c r="S1" s="12"/>
      <c r="T1" s="12"/>
      <c r="U1" s="13"/>
    </row>
    <row r="2" spans="1:21" x14ac:dyDescent="0.25">
      <c r="A2" s="1" t="s">
        <v>40</v>
      </c>
      <c r="B2" s="1" t="s">
        <v>172</v>
      </c>
      <c r="C2" s="1" t="s">
        <v>173</v>
      </c>
    </row>
    <row r="3" spans="1:21" x14ac:dyDescent="0.25">
      <c r="A3" s="1" t="s">
        <v>175</v>
      </c>
      <c r="B3" s="4">
        <v>1.61E-6</v>
      </c>
      <c r="C3" s="1">
        <v>2.8681999999999999</v>
      </c>
    </row>
    <row r="4" spans="1:21" x14ac:dyDescent="0.25">
      <c r="A4" s="1" t="s">
        <v>176</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177</v>
      </c>
      <c r="B1" s="12"/>
      <c r="C1" s="12"/>
      <c r="D1" s="12"/>
      <c r="E1" s="12"/>
      <c r="F1" s="12"/>
      <c r="G1" s="12"/>
      <c r="H1" s="12"/>
      <c r="I1" s="12"/>
      <c r="J1" s="12"/>
      <c r="K1" s="12"/>
      <c r="L1" s="12"/>
      <c r="M1" s="12"/>
      <c r="N1" s="12"/>
      <c r="O1" s="12"/>
      <c r="P1" s="12"/>
      <c r="Q1" s="12"/>
      <c r="R1" s="12"/>
      <c r="S1" s="12"/>
      <c r="T1" s="12"/>
      <c r="U1" s="13"/>
    </row>
    <row r="2" spans="1:21" x14ac:dyDescent="0.25">
      <c r="A2" s="1" t="s">
        <v>178</v>
      </c>
      <c r="B2" s="1" t="s">
        <v>179</v>
      </c>
      <c r="C2" s="1" t="s">
        <v>39</v>
      </c>
      <c r="D2" s="1" t="s">
        <v>180</v>
      </c>
    </row>
    <row r="3" spans="1:21" x14ac:dyDescent="0.25">
      <c r="A3" s="1">
        <v>1960</v>
      </c>
      <c r="B3" s="1">
        <v>1</v>
      </c>
      <c r="C3" s="1">
        <v>1</v>
      </c>
      <c r="D3" s="1">
        <v>7000000</v>
      </c>
    </row>
    <row r="4" spans="1:21" x14ac:dyDescent="0.25">
      <c r="A4" s="1">
        <v>1961</v>
      </c>
      <c r="B4" s="1">
        <v>1</v>
      </c>
      <c r="C4" s="1">
        <v>1</v>
      </c>
      <c r="D4" s="1">
        <f t="shared" ref="D4:D6" ca="1" si="0">D3+RANDBETWEEN(-1000, 200000)</f>
        <v>7051570</v>
      </c>
    </row>
    <row r="5" spans="1:21" x14ac:dyDescent="0.25">
      <c r="A5" s="1">
        <v>1962</v>
      </c>
      <c r="B5" s="1">
        <v>1</v>
      </c>
      <c r="C5" s="1">
        <v>1</v>
      </c>
      <c r="D5" s="1">
        <f t="shared" ca="1" si="0"/>
        <v>7164641</v>
      </c>
    </row>
    <row r="6" spans="1:21" x14ac:dyDescent="0.25">
      <c r="A6" s="1">
        <v>1963</v>
      </c>
      <c r="B6" s="1">
        <v>1</v>
      </c>
      <c r="C6" s="1">
        <v>1</v>
      </c>
      <c r="D6" s="1">
        <f t="shared" ca="1" si="0"/>
        <v>7168530</v>
      </c>
    </row>
    <row r="7" spans="1:21" x14ac:dyDescent="0.25">
      <c r="A7" s="1">
        <v>1964</v>
      </c>
      <c r="B7" s="1">
        <v>1</v>
      </c>
      <c r="C7" s="1">
        <v>1</v>
      </c>
      <c r="D7" s="1">
        <f ca="1">D6+RANDBETWEEN(-1000, 200000)+50000</f>
        <v>7289522</v>
      </c>
    </row>
    <row r="8" spans="1:21" x14ac:dyDescent="0.25">
      <c r="A8" s="1">
        <v>1965</v>
      </c>
      <c r="B8" s="1">
        <v>1</v>
      </c>
      <c r="C8" s="1">
        <v>1</v>
      </c>
      <c r="D8" s="1">
        <f ca="1">D7+RANDBETWEEN(-1000, 200000)+500000</f>
        <v>7842350</v>
      </c>
    </row>
    <row r="9" spans="1:21" x14ac:dyDescent="0.25">
      <c r="A9" s="1">
        <v>1966</v>
      </c>
      <c r="B9" s="1">
        <v>1</v>
      </c>
      <c r="C9" s="1">
        <v>1</v>
      </c>
      <c r="D9" s="1">
        <f t="shared" ref="D9:D15" ca="1" si="1">D8+RANDBETWEEN(-1000, 200000)</f>
        <v>8024070</v>
      </c>
    </row>
    <row r="10" spans="1:21" x14ac:dyDescent="0.25">
      <c r="A10" s="1">
        <v>1967</v>
      </c>
      <c r="B10" s="1">
        <v>1</v>
      </c>
      <c r="C10" s="1">
        <v>1</v>
      </c>
      <c r="D10" s="1">
        <f t="shared" ca="1" si="1"/>
        <v>8080153</v>
      </c>
    </row>
    <row r="11" spans="1:21" x14ac:dyDescent="0.25">
      <c r="A11" s="1">
        <v>1968</v>
      </c>
      <c r="B11" s="1">
        <v>1</v>
      </c>
      <c r="C11" s="1">
        <v>1</v>
      </c>
      <c r="D11" s="1">
        <f t="shared" ca="1" si="1"/>
        <v>8095599</v>
      </c>
    </row>
    <row r="12" spans="1:21" x14ac:dyDescent="0.25">
      <c r="A12" s="1">
        <v>1969</v>
      </c>
      <c r="B12" s="1">
        <v>1</v>
      </c>
      <c r="C12" s="1">
        <v>1</v>
      </c>
      <c r="D12" s="1">
        <f t="shared" ca="1" si="1"/>
        <v>8180549</v>
      </c>
    </row>
    <row r="13" spans="1:21" x14ac:dyDescent="0.25">
      <c r="A13" s="1">
        <v>1970</v>
      </c>
      <c r="B13" s="1">
        <v>1</v>
      </c>
      <c r="C13" s="1">
        <v>1</v>
      </c>
      <c r="D13" s="1">
        <f t="shared" ca="1" si="1"/>
        <v>8254877</v>
      </c>
    </row>
    <row r="14" spans="1:21" x14ac:dyDescent="0.25">
      <c r="A14" s="1">
        <v>1971</v>
      </c>
      <c r="B14" s="1">
        <v>1</v>
      </c>
      <c r="C14" s="1">
        <v>1</v>
      </c>
      <c r="D14" s="1">
        <f t="shared" ca="1" si="1"/>
        <v>8299802</v>
      </c>
    </row>
    <row r="15" spans="1:21" x14ac:dyDescent="0.25">
      <c r="A15" s="1">
        <v>1972</v>
      </c>
      <c r="B15" s="1">
        <v>1</v>
      </c>
      <c r="C15" s="1">
        <v>1</v>
      </c>
      <c r="D15" s="1">
        <f t="shared" ca="1" si="1"/>
        <v>8328421</v>
      </c>
    </row>
    <row r="16" spans="1:21" x14ac:dyDescent="0.25">
      <c r="A16" s="1">
        <v>1973</v>
      </c>
      <c r="B16" s="1">
        <v>1</v>
      </c>
      <c r="C16" s="1">
        <v>1</v>
      </c>
      <c r="D16" s="1">
        <f ca="1">D15+RANDBETWEEN(-1000, 200000)+1000000</f>
        <v>9333289</v>
      </c>
    </row>
    <row r="17" spans="1:4" x14ac:dyDescent="0.25">
      <c r="A17" s="1">
        <v>1974</v>
      </c>
      <c r="B17" s="1">
        <v>1</v>
      </c>
      <c r="C17" s="1">
        <v>1</v>
      </c>
      <c r="D17" s="1">
        <f ca="1">D16+RANDBETWEEN(-1000, 200000)+250000</f>
        <v>9740899</v>
      </c>
    </row>
    <row r="18" spans="1:4" x14ac:dyDescent="0.25">
      <c r="A18" s="1">
        <v>1975</v>
      </c>
      <c r="B18" s="1">
        <v>1</v>
      </c>
      <c r="C18" s="1">
        <v>1</v>
      </c>
      <c r="D18" s="1">
        <f ca="1">D17+RANDBETWEEN(-1000, 200000)</f>
        <v>9877601</v>
      </c>
    </row>
    <row r="19" spans="1:4" x14ac:dyDescent="0.25">
      <c r="A19" s="1">
        <v>1976</v>
      </c>
      <c r="B19" s="1">
        <v>1</v>
      </c>
      <c r="C19" s="1">
        <v>1</v>
      </c>
      <c r="D19" s="1">
        <f t="shared" ref="D19:D21" ca="1" si="2">D18+RANDBETWEEN(-100000, 200000)</f>
        <v>9815826</v>
      </c>
    </row>
    <row r="20" spans="1:4" x14ac:dyDescent="0.25">
      <c r="A20" s="1">
        <v>1977</v>
      </c>
      <c r="B20" s="1">
        <v>1</v>
      </c>
      <c r="C20" s="1">
        <v>1</v>
      </c>
      <c r="D20" s="1">
        <f t="shared" ca="1" si="2"/>
        <v>9923363</v>
      </c>
    </row>
    <row r="21" spans="1:4" ht="15.75" customHeight="1" x14ac:dyDescent="0.25">
      <c r="A21" s="1">
        <v>1978</v>
      </c>
      <c r="B21" s="1">
        <v>1</v>
      </c>
      <c r="C21" s="1">
        <v>1</v>
      </c>
      <c r="D21" s="1">
        <f t="shared" ca="1" si="2"/>
        <v>10079907</v>
      </c>
    </row>
    <row r="22" spans="1:4" ht="15.75" customHeight="1" x14ac:dyDescent="0.25">
      <c r="A22" s="1">
        <v>1979</v>
      </c>
      <c r="B22" s="1">
        <v>1</v>
      </c>
      <c r="C22" s="1">
        <v>1</v>
      </c>
      <c r="D22" s="1">
        <f ca="1">D21+RANDBETWEEN(-100000, 200000)-1000000</f>
        <v>9063933</v>
      </c>
    </row>
    <row r="23" spans="1:4" ht="15.75" customHeight="1" x14ac:dyDescent="0.25">
      <c r="A23" s="1">
        <v>1980</v>
      </c>
      <c r="B23" s="1">
        <v>1</v>
      </c>
      <c r="C23" s="1">
        <v>1</v>
      </c>
      <c r="D23" s="1">
        <f t="shared" ref="D23:D28" ca="1" si="3">D22+RANDBETWEEN(-100000, 200000)</f>
        <v>9014988</v>
      </c>
    </row>
    <row r="24" spans="1:4" ht="15.75" customHeight="1" x14ac:dyDescent="0.25">
      <c r="A24" s="1">
        <v>1981</v>
      </c>
      <c r="B24" s="1">
        <v>1</v>
      </c>
      <c r="C24" s="1">
        <v>1</v>
      </c>
      <c r="D24" s="1">
        <f t="shared" ca="1" si="3"/>
        <v>9086297</v>
      </c>
    </row>
    <row r="25" spans="1:4" ht="15.75" customHeight="1" x14ac:dyDescent="0.25">
      <c r="A25" s="1">
        <v>1982</v>
      </c>
      <c r="B25" s="1">
        <v>1</v>
      </c>
      <c r="C25" s="1">
        <v>1</v>
      </c>
      <c r="D25" s="1">
        <f t="shared" ca="1" si="3"/>
        <v>9217965</v>
      </c>
    </row>
    <row r="26" spans="1:4" ht="15.75" customHeight="1" x14ac:dyDescent="0.25">
      <c r="A26" s="1">
        <v>1983</v>
      </c>
      <c r="B26" s="1">
        <v>1</v>
      </c>
      <c r="C26" s="1">
        <v>1</v>
      </c>
      <c r="D26" s="1">
        <f t="shared" ca="1" si="3"/>
        <v>9247699</v>
      </c>
    </row>
    <row r="27" spans="1:4" ht="15.75" customHeight="1" x14ac:dyDescent="0.25">
      <c r="A27" s="1">
        <v>1984</v>
      </c>
      <c r="B27" s="1">
        <v>1</v>
      </c>
      <c r="C27" s="1">
        <v>1</v>
      </c>
      <c r="D27" s="1">
        <f t="shared" ca="1" si="3"/>
        <v>9439111</v>
      </c>
    </row>
    <row r="28" spans="1:4" ht="15.75" customHeight="1" x14ac:dyDescent="0.25">
      <c r="A28" s="1">
        <v>1985</v>
      </c>
      <c r="B28" s="1">
        <v>1</v>
      </c>
      <c r="C28" s="1">
        <v>1</v>
      </c>
      <c r="D28" s="1">
        <f t="shared" ca="1" si="3"/>
        <v>9398741</v>
      </c>
    </row>
    <row r="29" spans="1:4" ht="15.75" customHeight="1" x14ac:dyDescent="0.25">
      <c r="A29" s="1">
        <v>1986</v>
      </c>
      <c r="B29" s="1">
        <v>1</v>
      </c>
      <c r="C29" s="1">
        <v>1</v>
      </c>
      <c r="D29" s="1">
        <f ca="1">D28+RANDBETWEEN(-100000, 200000)+3000000</f>
        <v>12481034</v>
      </c>
    </row>
    <row r="30" spans="1:4" ht="15.75" customHeight="1" x14ac:dyDescent="0.25">
      <c r="A30" s="1">
        <v>1987</v>
      </c>
      <c r="B30" s="1">
        <v>1</v>
      </c>
      <c r="C30" s="1">
        <v>1</v>
      </c>
      <c r="D30" s="1">
        <f t="shared" ref="D30:D41" ca="1" si="4">D29+RANDBETWEEN(-100000, 200000)</f>
        <v>12639322</v>
      </c>
    </row>
    <row r="31" spans="1:4" ht="15.75" customHeight="1" x14ac:dyDescent="0.25">
      <c r="A31" s="1">
        <v>1988</v>
      </c>
      <c r="B31" s="1">
        <v>1</v>
      </c>
      <c r="C31" s="1">
        <v>1</v>
      </c>
      <c r="D31" s="1">
        <f t="shared" ca="1" si="4"/>
        <v>12815840</v>
      </c>
    </row>
    <row r="32" spans="1:4" ht="15.75" customHeight="1" x14ac:dyDescent="0.25">
      <c r="A32" s="1">
        <v>1989</v>
      </c>
      <c r="B32" s="1">
        <v>1</v>
      </c>
      <c r="C32" s="1">
        <v>1</v>
      </c>
      <c r="D32" s="1">
        <f t="shared" ca="1" si="4"/>
        <v>12859680</v>
      </c>
    </row>
    <row r="33" spans="1:4" ht="15.75" customHeight="1" x14ac:dyDescent="0.25">
      <c r="A33" s="1">
        <v>1990</v>
      </c>
      <c r="B33" s="1">
        <v>1</v>
      </c>
      <c r="C33" s="1">
        <v>1</v>
      </c>
      <c r="D33" s="1">
        <f t="shared" ca="1" si="4"/>
        <v>12928974</v>
      </c>
    </row>
    <row r="34" spans="1:4" ht="15.75" customHeight="1" x14ac:dyDescent="0.25">
      <c r="A34" s="1">
        <v>1991</v>
      </c>
      <c r="B34" s="1">
        <v>1</v>
      </c>
      <c r="C34" s="1">
        <v>1</v>
      </c>
      <c r="D34" s="1">
        <f t="shared" ca="1" si="4"/>
        <v>12991795</v>
      </c>
    </row>
    <row r="35" spans="1:4" ht="15.75" customHeight="1" x14ac:dyDescent="0.25">
      <c r="A35" s="1">
        <v>1992</v>
      </c>
      <c r="B35" s="1">
        <v>1</v>
      </c>
      <c r="C35" s="1">
        <v>1</v>
      </c>
      <c r="D35" s="1">
        <f t="shared" ca="1" si="4"/>
        <v>13157899</v>
      </c>
    </row>
    <row r="36" spans="1:4" ht="15.75" customHeight="1" x14ac:dyDescent="0.25">
      <c r="A36" s="1">
        <v>1993</v>
      </c>
      <c r="B36" s="1">
        <v>1</v>
      </c>
      <c r="C36" s="1">
        <v>1</v>
      </c>
      <c r="D36" s="1">
        <f t="shared" ca="1" si="4"/>
        <v>13349181</v>
      </c>
    </row>
    <row r="37" spans="1:4" ht="15.75" customHeight="1" x14ac:dyDescent="0.25">
      <c r="A37" s="1">
        <v>1994</v>
      </c>
      <c r="B37" s="1">
        <v>1</v>
      </c>
      <c r="C37" s="1">
        <v>1</v>
      </c>
      <c r="D37" s="1">
        <f t="shared" ca="1" si="4"/>
        <v>13410219</v>
      </c>
    </row>
    <row r="38" spans="1:4" ht="15.75" customHeight="1" x14ac:dyDescent="0.25">
      <c r="A38" s="1">
        <v>1995</v>
      </c>
      <c r="B38" s="1">
        <v>1</v>
      </c>
      <c r="C38" s="1">
        <v>1</v>
      </c>
      <c r="D38" s="1">
        <f t="shared" ca="1" si="4"/>
        <v>13446480</v>
      </c>
    </row>
    <row r="39" spans="1:4" ht="15.75" customHeight="1" x14ac:dyDescent="0.25">
      <c r="A39" s="1">
        <v>1996</v>
      </c>
      <c r="B39" s="1">
        <v>1</v>
      </c>
      <c r="C39" s="1">
        <v>1</v>
      </c>
      <c r="D39" s="1">
        <f t="shared" ca="1" si="4"/>
        <v>13357865</v>
      </c>
    </row>
    <row r="40" spans="1:4" ht="15.75" customHeight="1" x14ac:dyDescent="0.25">
      <c r="A40" s="1">
        <v>1997</v>
      </c>
      <c r="B40" s="1">
        <v>1</v>
      </c>
      <c r="C40" s="1">
        <v>1</v>
      </c>
      <c r="D40" s="1">
        <f t="shared" ca="1" si="4"/>
        <v>13260893</v>
      </c>
    </row>
    <row r="41" spans="1:4" ht="15.75" customHeight="1" x14ac:dyDescent="0.25">
      <c r="A41" s="1">
        <v>1998</v>
      </c>
      <c r="B41" s="1">
        <v>1</v>
      </c>
      <c r="C41" s="1">
        <v>1</v>
      </c>
      <c r="D41" s="1">
        <f t="shared" ca="1" si="4"/>
        <v>13300918</v>
      </c>
    </row>
    <row r="42" spans="1:4" ht="15.75" customHeight="1" x14ac:dyDescent="0.25">
      <c r="A42" s="1">
        <v>1999</v>
      </c>
      <c r="B42" s="1">
        <v>1</v>
      </c>
      <c r="C42" s="1">
        <v>1</v>
      </c>
      <c r="D42" s="5">
        <f ca="1">D41+RANDBETWEEN(-100000, 5000)</f>
        <v>13269689</v>
      </c>
    </row>
    <row r="43" spans="1:4" ht="15.75" customHeight="1" x14ac:dyDescent="0.25">
      <c r="A43" s="1">
        <v>2000</v>
      </c>
      <c r="B43" s="1">
        <v>1</v>
      </c>
      <c r="C43" s="1">
        <v>1</v>
      </c>
      <c r="D43" s="5">
        <f ca="1">D42+RANDBETWEEN(-200000, 10000)</f>
        <v>13168686</v>
      </c>
    </row>
    <row r="44" spans="1:4" ht="15.75" customHeight="1" x14ac:dyDescent="0.25">
      <c r="A44" s="1">
        <v>2001</v>
      </c>
      <c r="B44" s="1">
        <v>1</v>
      </c>
      <c r="C44" s="1">
        <v>1</v>
      </c>
      <c r="D44" s="5">
        <f t="shared" ref="D44:D47" ca="1" si="5">D43+RANDBETWEEN(-500000, 1000)</f>
        <v>12885671</v>
      </c>
    </row>
    <row r="45" spans="1:4" ht="15.75" customHeight="1" x14ac:dyDescent="0.25">
      <c r="A45" s="1">
        <v>2002</v>
      </c>
      <c r="B45" s="1">
        <v>1</v>
      </c>
      <c r="C45" s="1">
        <v>1</v>
      </c>
      <c r="D45" s="5">
        <f t="shared" ca="1" si="5"/>
        <v>12391433</v>
      </c>
    </row>
    <row r="46" spans="1:4" ht="15.75" customHeight="1" x14ac:dyDescent="0.25">
      <c r="A46" s="1">
        <v>2003</v>
      </c>
      <c r="B46" s="1">
        <v>1</v>
      </c>
      <c r="C46" s="1">
        <v>1</v>
      </c>
      <c r="D46" s="5">
        <f t="shared" ca="1" si="5"/>
        <v>12090418</v>
      </c>
    </row>
    <row r="47" spans="1:4" ht="15.75" customHeight="1" x14ac:dyDescent="0.25">
      <c r="A47" s="1">
        <v>2004</v>
      </c>
      <c r="B47" s="1">
        <v>1</v>
      </c>
      <c r="C47" s="1">
        <v>1</v>
      </c>
      <c r="D47" s="5">
        <f t="shared" ca="1" si="5"/>
        <v>11935939</v>
      </c>
    </row>
    <row r="48" spans="1:4" ht="15.75" customHeight="1" x14ac:dyDescent="0.25">
      <c r="A48" s="1">
        <v>2005</v>
      </c>
      <c r="B48" s="1">
        <v>1</v>
      </c>
      <c r="C48" s="1">
        <v>1</v>
      </c>
      <c r="D48" s="1">
        <f ca="1">D47+RANDBETWEEN(-100000, 200000)-1500000</f>
        <v>10444236</v>
      </c>
    </row>
    <row r="49" spans="1:4" ht="15.75" customHeight="1" x14ac:dyDescent="0.25">
      <c r="A49" s="1">
        <v>2006</v>
      </c>
      <c r="B49" s="1">
        <v>1</v>
      </c>
      <c r="C49" s="1">
        <v>1</v>
      </c>
      <c r="D49" s="1">
        <f ca="1">D48+RANDBETWEEN(-100000, 200000)-3000000</f>
        <v>7547323</v>
      </c>
    </row>
    <row r="50" spans="1:4" ht="15.75" customHeight="1" x14ac:dyDescent="0.25">
      <c r="A50" s="1">
        <v>2007</v>
      </c>
      <c r="B50" s="1">
        <v>1</v>
      </c>
      <c r="C50" s="1">
        <v>1</v>
      </c>
      <c r="D50" s="1">
        <f ca="1">D49+RANDBETWEEN(-100000, 200000)-1000000</f>
        <v>6501850</v>
      </c>
    </row>
    <row r="51" spans="1:4" ht="15.75" customHeight="1" x14ac:dyDescent="0.25">
      <c r="A51" s="1">
        <v>2008</v>
      </c>
      <c r="B51" s="1">
        <v>1</v>
      </c>
      <c r="C51" s="1">
        <v>1</v>
      </c>
      <c r="D51" s="1">
        <f t="shared" ref="D51:D67" ca="1" si="6">D50+RANDBETWEEN(-100000, 10000)</f>
        <v>6441035</v>
      </c>
    </row>
    <row r="52" spans="1:4" ht="15.75" customHeight="1" x14ac:dyDescent="0.25">
      <c r="A52" s="1">
        <v>2009</v>
      </c>
      <c r="B52" s="1">
        <v>1</v>
      </c>
      <c r="C52" s="1">
        <v>1</v>
      </c>
      <c r="D52" s="1">
        <f t="shared" ca="1" si="6"/>
        <v>6350992</v>
      </c>
    </row>
    <row r="53" spans="1:4" ht="15.75" customHeight="1" x14ac:dyDescent="0.25">
      <c r="A53" s="1">
        <v>2010</v>
      </c>
      <c r="B53" s="1">
        <v>1</v>
      </c>
      <c r="C53" s="1">
        <v>1</v>
      </c>
      <c r="D53" s="1">
        <f t="shared" ca="1" si="6"/>
        <v>6320042</v>
      </c>
    </row>
    <row r="54" spans="1:4" ht="15.75" customHeight="1" x14ac:dyDescent="0.25">
      <c r="A54" s="1">
        <v>2011</v>
      </c>
      <c r="B54" s="1">
        <v>1</v>
      </c>
      <c r="C54" s="1">
        <v>1</v>
      </c>
      <c r="D54" s="1">
        <f t="shared" ca="1" si="6"/>
        <v>6235815</v>
      </c>
    </row>
    <row r="55" spans="1:4" ht="15.75" customHeight="1" x14ac:dyDescent="0.25">
      <c r="A55" s="1">
        <v>2012</v>
      </c>
      <c r="B55" s="1">
        <v>1</v>
      </c>
      <c r="C55" s="1">
        <v>1</v>
      </c>
      <c r="D55" s="1">
        <f t="shared" ca="1" si="6"/>
        <v>6180037</v>
      </c>
    </row>
    <row r="56" spans="1:4" ht="15.75" customHeight="1" x14ac:dyDescent="0.25">
      <c r="A56" s="1">
        <v>2013</v>
      </c>
      <c r="B56" s="1">
        <v>1</v>
      </c>
      <c r="C56" s="1">
        <v>1</v>
      </c>
      <c r="D56" s="1">
        <f t="shared" ca="1" si="6"/>
        <v>6176813</v>
      </c>
    </row>
    <row r="57" spans="1:4" ht="15.75" customHeight="1" x14ac:dyDescent="0.25">
      <c r="A57" s="1">
        <v>2014</v>
      </c>
      <c r="B57" s="1">
        <v>1</v>
      </c>
      <c r="C57" s="1">
        <v>1</v>
      </c>
      <c r="D57" s="1">
        <f t="shared" ca="1" si="6"/>
        <v>6162577</v>
      </c>
    </row>
    <row r="58" spans="1:4" ht="15.75" customHeight="1" x14ac:dyDescent="0.25">
      <c r="A58" s="1">
        <v>2015</v>
      </c>
      <c r="B58" s="1">
        <v>1</v>
      </c>
      <c r="C58" s="1">
        <v>1</v>
      </c>
      <c r="D58" s="1">
        <f t="shared" ca="1" si="6"/>
        <v>6076267</v>
      </c>
    </row>
    <row r="59" spans="1:4" ht="15.75" customHeight="1" x14ac:dyDescent="0.25">
      <c r="A59" s="1">
        <v>2016</v>
      </c>
      <c r="B59" s="1">
        <v>1</v>
      </c>
      <c r="C59" s="1">
        <v>1</v>
      </c>
      <c r="D59" s="1">
        <f t="shared" ca="1" si="6"/>
        <v>6018055</v>
      </c>
    </row>
    <row r="60" spans="1:4" ht="15.75" customHeight="1" x14ac:dyDescent="0.25">
      <c r="A60" s="1">
        <v>2017</v>
      </c>
      <c r="B60" s="1">
        <v>1</v>
      </c>
      <c r="C60" s="1">
        <v>1</v>
      </c>
      <c r="D60" s="1">
        <f t="shared" ca="1" si="6"/>
        <v>5983015</v>
      </c>
    </row>
    <row r="61" spans="1:4" ht="15.75" customHeight="1" x14ac:dyDescent="0.25">
      <c r="A61" s="1">
        <v>2018</v>
      </c>
      <c r="B61" s="1">
        <v>1</v>
      </c>
      <c r="C61" s="1">
        <v>1</v>
      </c>
      <c r="D61" s="1">
        <f t="shared" ca="1" si="6"/>
        <v>5940573</v>
      </c>
    </row>
    <row r="62" spans="1:4" ht="15.75" customHeight="1" x14ac:dyDescent="0.25">
      <c r="A62" s="1">
        <v>2019</v>
      </c>
      <c r="B62" s="1">
        <v>1</v>
      </c>
      <c r="C62" s="1">
        <v>1</v>
      </c>
      <c r="D62" s="1">
        <f t="shared" ca="1" si="6"/>
        <v>5935462</v>
      </c>
    </row>
    <row r="63" spans="1:4" ht="15.75" customHeight="1" x14ac:dyDescent="0.25">
      <c r="A63" s="1">
        <v>2020</v>
      </c>
      <c r="B63" s="1">
        <v>1</v>
      </c>
      <c r="C63" s="1">
        <v>1</v>
      </c>
      <c r="D63" s="1">
        <f t="shared" ca="1" si="6"/>
        <v>5870804</v>
      </c>
    </row>
    <row r="64" spans="1:4" ht="15.75" customHeight="1" x14ac:dyDescent="0.25">
      <c r="A64" s="1">
        <v>2021</v>
      </c>
      <c r="B64" s="1">
        <v>1</v>
      </c>
      <c r="C64" s="1">
        <v>1</v>
      </c>
      <c r="D64" s="1">
        <f t="shared" ca="1" si="6"/>
        <v>5801677</v>
      </c>
    </row>
    <row r="65" spans="1:4" ht="15.75" customHeight="1" x14ac:dyDescent="0.25">
      <c r="A65" s="1">
        <v>2022</v>
      </c>
      <c r="B65" s="1">
        <v>1</v>
      </c>
      <c r="C65" s="1">
        <v>1</v>
      </c>
      <c r="D65" s="1">
        <f t="shared" ca="1" si="6"/>
        <v>5795927</v>
      </c>
    </row>
    <row r="66" spans="1:4" ht="15.75" customHeight="1" x14ac:dyDescent="0.25">
      <c r="A66" s="1">
        <v>2023</v>
      </c>
      <c r="B66" s="1">
        <v>1</v>
      </c>
      <c r="C66" s="1">
        <v>1</v>
      </c>
      <c r="D66" s="1">
        <f t="shared" ca="1" si="6"/>
        <v>5785551</v>
      </c>
    </row>
    <row r="67" spans="1:4" ht="15.75" customHeight="1" x14ac:dyDescent="0.25">
      <c r="A67" s="1">
        <v>2024</v>
      </c>
      <c r="B67" s="1">
        <v>1</v>
      </c>
      <c r="C67" s="1">
        <v>1</v>
      </c>
      <c r="D67" s="1">
        <f t="shared" ca="1" si="6"/>
        <v>5766392</v>
      </c>
    </row>
    <row r="68" spans="1:4" ht="15.75" customHeight="1" x14ac:dyDescent="0.25">
      <c r="A68" s="1">
        <v>1980</v>
      </c>
      <c r="B68" s="1">
        <v>1</v>
      </c>
      <c r="C68" s="1">
        <v>3</v>
      </c>
      <c r="D68" s="1">
        <f ca="1">200000+RANDBETWEEN(-1000, 30000)</f>
        <v>212453</v>
      </c>
    </row>
    <row r="69" spans="1:4" ht="15.75" customHeight="1" x14ac:dyDescent="0.25">
      <c r="A69" s="1">
        <v>1981</v>
      </c>
      <c r="B69" s="1">
        <v>1</v>
      </c>
      <c r="C69" s="1">
        <v>3</v>
      </c>
      <c r="D69" s="5">
        <f t="shared" ref="D69:D80" ca="1" si="7">D68+RANDBETWEEN(-1000, 30000)</f>
        <v>219474</v>
      </c>
    </row>
    <row r="70" spans="1:4" ht="15.75" customHeight="1" x14ac:dyDescent="0.25">
      <c r="A70" s="1">
        <v>1982</v>
      </c>
      <c r="B70" s="1">
        <v>1</v>
      </c>
      <c r="C70" s="1">
        <v>3</v>
      </c>
      <c r="D70" s="5">
        <f t="shared" ca="1" si="7"/>
        <v>218896</v>
      </c>
    </row>
    <row r="71" spans="1:4" ht="15.75" customHeight="1" x14ac:dyDescent="0.25">
      <c r="A71" s="1">
        <v>1983</v>
      </c>
      <c r="B71" s="1">
        <v>1</v>
      </c>
      <c r="C71" s="1">
        <v>3</v>
      </c>
      <c r="D71" s="5">
        <f t="shared" ca="1" si="7"/>
        <v>221589</v>
      </c>
    </row>
    <row r="72" spans="1:4" ht="15.75" customHeight="1" x14ac:dyDescent="0.25">
      <c r="A72" s="1">
        <v>1984</v>
      </c>
      <c r="B72" s="1">
        <v>1</v>
      </c>
      <c r="C72" s="1">
        <v>3</v>
      </c>
      <c r="D72" s="5">
        <f t="shared" ca="1" si="7"/>
        <v>225904</v>
      </c>
    </row>
    <row r="73" spans="1:4" ht="15.75" customHeight="1" x14ac:dyDescent="0.25">
      <c r="A73" s="1">
        <v>1985</v>
      </c>
      <c r="B73" s="1">
        <v>1</v>
      </c>
      <c r="C73" s="1">
        <v>3</v>
      </c>
      <c r="D73" s="5">
        <f t="shared" ca="1" si="7"/>
        <v>253537</v>
      </c>
    </row>
    <row r="74" spans="1:4" ht="15.75" customHeight="1" x14ac:dyDescent="0.25">
      <c r="A74" s="1">
        <v>1986</v>
      </c>
      <c r="B74" s="1">
        <v>1</v>
      </c>
      <c r="C74" s="1">
        <v>3</v>
      </c>
      <c r="D74" s="5">
        <f t="shared" ca="1" si="7"/>
        <v>278287</v>
      </c>
    </row>
    <row r="75" spans="1:4" ht="15.75" customHeight="1" x14ac:dyDescent="0.25">
      <c r="A75" s="1">
        <v>1987</v>
      </c>
      <c r="B75" s="1">
        <v>1</v>
      </c>
      <c r="C75" s="1">
        <v>3</v>
      </c>
      <c r="D75" s="5">
        <f t="shared" ca="1" si="7"/>
        <v>277539</v>
      </c>
    </row>
    <row r="76" spans="1:4" ht="15.75" customHeight="1" x14ac:dyDescent="0.25">
      <c r="A76" s="1">
        <v>1988</v>
      </c>
      <c r="B76" s="1">
        <v>1</v>
      </c>
      <c r="C76" s="1">
        <v>3</v>
      </c>
      <c r="D76" s="5">
        <f t="shared" ca="1" si="7"/>
        <v>281269</v>
      </c>
    </row>
    <row r="77" spans="1:4" ht="15.75" customHeight="1" x14ac:dyDescent="0.25">
      <c r="A77" s="1">
        <v>1989</v>
      </c>
      <c r="B77" s="1">
        <v>1</v>
      </c>
      <c r="C77" s="1">
        <v>3</v>
      </c>
      <c r="D77" s="5">
        <f t="shared" ca="1" si="7"/>
        <v>292245</v>
      </c>
    </row>
    <row r="78" spans="1:4" ht="15.75" customHeight="1" x14ac:dyDescent="0.25">
      <c r="A78" s="1">
        <v>1990</v>
      </c>
      <c r="B78" s="1">
        <v>1</v>
      </c>
      <c r="C78" s="1">
        <v>3</v>
      </c>
      <c r="D78" s="5">
        <f t="shared" ca="1" si="7"/>
        <v>315319</v>
      </c>
    </row>
    <row r="79" spans="1:4" ht="15.75" customHeight="1" x14ac:dyDescent="0.25">
      <c r="A79" s="1">
        <v>1991</v>
      </c>
      <c r="B79" s="1">
        <v>1</v>
      </c>
      <c r="C79" s="1">
        <v>3</v>
      </c>
      <c r="D79" s="5">
        <f t="shared" ca="1" si="7"/>
        <v>332746</v>
      </c>
    </row>
    <row r="80" spans="1:4" ht="15.75" customHeight="1" x14ac:dyDescent="0.25">
      <c r="A80" s="1">
        <v>1992</v>
      </c>
      <c r="B80" s="1">
        <v>1</v>
      </c>
      <c r="C80" s="1">
        <v>3</v>
      </c>
      <c r="D80" s="5">
        <f t="shared" ca="1" si="7"/>
        <v>338383</v>
      </c>
    </row>
    <row r="81" spans="1:4" ht="15.75" customHeight="1" x14ac:dyDescent="0.25">
      <c r="A81" s="1">
        <v>1993</v>
      </c>
      <c r="B81" s="1">
        <v>1</v>
      </c>
      <c r="C81" s="1">
        <v>3</v>
      </c>
      <c r="D81" s="3">
        <f t="shared" ref="D81:D90" ca="1" si="8">D80+RANDBETWEEN(-1000, 10000)</f>
        <v>342074</v>
      </c>
    </row>
    <row r="82" spans="1:4" ht="15.75" customHeight="1" x14ac:dyDescent="0.25">
      <c r="A82" s="1">
        <v>1994</v>
      </c>
      <c r="B82" s="1">
        <v>1</v>
      </c>
      <c r="C82" s="1">
        <v>3</v>
      </c>
      <c r="D82" s="3">
        <f t="shared" ca="1" si="8"/>
        <v>344720</v>
      </c>
    </row>
    <row r="83" spans="1:4" ht="15.75" customHeight="1" x14ac:dyDescent="0.25">
      <c r="A83" s="1">
        <v>1995</v>
      </c>
      <c r="B83" s="1">
        <v>1</v>
      </c>
      <c r="C83" s="1">
        <v>3</v>
      </c>
      <c r="D83" s="3">
        <f t="shared" ca="1" si="8"/>
        <v>354425</v>
      </c>
    </row>
    <row r="84" spans="1:4" ht="15.75" customHeight="1" x14ac:dyDescent="0.25">
      <c r="A84" s="1">
        <v>1996</v>
      </c>
      <c r="B84" s="1">
        <v>1</v>
      </c>
      <c r="C84" s="1">
        <v>3</v>
      </c>
      <c r="D84" s="3">
        <f t="shared" ca="1" si="8"/>
        <v>362989</v>
      </c>
    </row>
    <row r="85" spans="1:4" ht="15.75" customHeight="1" x14ac:dyDescent="0.25">
      <c r="A85" s="1">
        <v>1997</v>
      </c>
      <c r="B85" s="1">
        <v>1</v>
      </c>
      <c r="C85" s="1">
        <v>3</v>
      </c>
      <c r="D85" s="3">
        <f t="shared" ca="1" si="8"/>
        <v>368854</v>
      </c>
    </row>
    <row r="86" spans="1:4" ht="15.75" customHeight="1" x14ac:dyDescent="0.25">
      <c r="A86" s="1">
        <v>1998</v>
      </c>
      <c r="B86" s="1">
        <v>1</v>
      </c>
      <c r="C86" s="1">
        <v>3</v>
      </c>
      <c r="D86" s="3">
        <f t="shared" ca="1" si="8"/>
        <v>368521</v>
      </c>
    </row>
    <row r="87" spans="1:4" ht="15.75" customHeight="1" x14ac:dyDescent="0.25">
      <c r="A87" s="1">
        <v>1999</v>
      </c>
      <c r="B87" s="1">
        <v>1</v>
      </c>
      <c r="C87" s="1">
        <v>3</v>
      </c>
      <c r="D87" s="3">
        <f t="shared" ca="1" si="8"/>
        <v>371187</v>
      </c>
    </row>
    <row r="88" spans="1:4" ht="15.75" customHeight="1" x14ac:dyDescent="0.25">
      <c r="A88" s="1">
        <v>2000</v>
      </c>
      <c r="B88" s="1">
        <v>1</v>
      </c>
      <c r="C88" s="1">
        <v>3</v>
      </c>
      <c r="D88" s="3">
        <f t="shared" ca="1" si="8"/>
        <v>378599</v>
      </c>
    </row>
    <row r="89" spans="1:4" ht="15.75" customHeight="1" x14ac:dyDescent="0.25">
      <c r="A89" s="1">
        <v>2001</v>
      </c>
      <c r="B89" s="1">
        <v>1</v>
      </c>
      <c r="C89" s="1">
        <v>3</v>
      </c>
      <c r="D89" s="3">
        <f t="shared" ca="1" si="8"/>
        <v>387049</v>
      </c>
    </row>
    <row r="90" spans="1:4" ht="15.75" customHeight="1" x14ac:dyDescent="0.25">
      <c r="A90" s="1">
        <v>2002</v>
      </c>
      <c r="B90" s="1">
        <v>1</v>
      </c>
      <c r="C90" s="1">
        <v>3</v>
      </c>
      <c r="D90" s="3">
        <f t="shared" ca="1" si="8"/>
        <v>393433</v>
      </c>
    </row>
    <row r="91" spans="1:4" ht="15.75" customHeight="1" x14ac:dyDescent="0.25">
      <c r="A91" s="1">
        <v>2003</v>
      </c>
      <c r="B91" s="1">
        <v>1</v>
      </c>
      <c r="C91" s="1">
        <v>3</v>
      </c>
      <c r="D91" s="5">
        <f t="shared" ref="D91:D112" ca="1" si="9">D90+RANDBETWEEN(-5000, 1000)</f>
        <v>391281</v>
      </c>
    </row>
    <row r="92" spans="1:4" ht="15.75" customHeight="1" x14ac:dyDescent="0.25">
      <c r="A92" s="1">
        <v>2004</v>
      </c>
      <c r="B92" s="1">
        <v>1</v>
      </c>
      <c r="C92" s="1">
        <v>3</v>
      </c>
      <c r="D92" s="5">
        <f t="shared" ca="1" si="9"/>
        <v>391804</v>
      </c>
    </row>
    <row r="93" spans="1:4" ht="15.75" customHeight="1" x14ac:dyDescent="0.25">
      <c r="A93" s="1">
        <v>2005</v>
      </c>
      <c r="B93" s="1">
        <v>1</v>
      </c>
      <c r="C93" s="1">
        <v>3</v>
      </c>
      <c r="D93" s="5">
        <f t="shared" ca="1" si="9"/>
        <v>392005</v>
      </c>
    </row>
    <row r="94" spans="1:4" ht="15.75" customHeight="1" x14ac:dyDescent="0.25">
      <c r="A94" s="1">
        <v>2006</v>
      </c>
      <c r="B94" s="1">
        <v>1</v>
      </c>
      <c r="C94" s="1">
        <v>3</v>
      </c>
      <c r="D94" s="5">
        <f t="shared" ca="1" si="9"/>
        <v>387479</v>
      </c>
    </row>
    <row r="95" spans="1:4" ht="15.75" customHeight="1" x14ac:dyDescent="0.25">
      <c r="A95" s="1">
        <v>2007</v>
      </c>
      <c r="B95" s="1">
        <v>1</v>
      </c>
      <c r="C95" s="1">
        <v>3</v>
      </c>
      <c r="D95" s="5">
        <f t="shared" ca="1" si="9"/>
        <v>386306</v>
      </c>
    </row>
    <row r="96" spans="1:4" ht="15.75" customHeight="1" x14ac:dyDescent="0.25">
      <c r="A96" s="1">
        <v>2008</v>
      </c>
      <c r="B96" s="1">
        <v>1</v>
      </c>
      <c r="C96" s="1">
        <v>3</v>
      </c>
      <c r="D96" s="5">
        <f t="shared" ca="1" si="9"/>
        <v>385101</v>
      </c>
    </row>
    <row r="97" spans="1:4" ht="15.75" customHeight="1" x14ac:dyDescent="0.25">
      <c r="A97" s="1">
        <v>2009</v>
      </c>
      <c r="B97" s="1">
        <v>1</v>
      </c>
      <c r="C97" s="1">
        <v>3</v>
      </c>
      <c r="D97" s="5">
        <f t="shared" ca="1" si="9"/>
        <v>384607</v>
      </c>
    </row>
    <row r="98" spans="1:4" ht="15.75" customHeight="1" x14ac:dyDescent="0.25">
      <c r="A98" s="1">
        <v>2010</v>
      </c>
      <c r="B98" s="1">
        <v>1</v>
      </c>
      <c r="C98" s="1">
        <v>3</v>
      </c>
      <c r="D98" s="5">
        <f t="shared" ca="1" si="9"/>
        <v>380364</v>
      </c>
    </row>
    <row r="99" spans="1:4" ht="15.75" customHeight="1" x14ac:dyDescent="0.25">
      <c r="A99" s="1">
        <v>2011</v>
      </c>
      <c r="B99" s="1">
        <v>1</v>
      </c>
      <c r="C99" s="1">
        <v>3</v>
      </c>
      <c r="D99" s="5">
        <f t="shared" ca="1" si="9"/>
        <v>381270</v>
      </c>
    </row>
    <row r="100" spans="1:4" ht="15.75" customHeight="1" x14ac:dyDescent="0.25">
      <c r="A100" s="1">
        <v>2012</v>
      </c>
      <c r="B100" s="1">
        <v>1</v>
      </c>
      <c r="C100" s="1">
        <v>3</v>
      </c>
      <c r="D100" s="5">
        <f t="shared" ca="1" si="9"/>
        <v>379918</v>
      </c>
    </row>
    <row r="101" spans="1:4" ht="15.75" customHeight="1" x14ac:dyDescent="0.25">
      <c r="A101" s="1">
        <v>2013</v>
      </c>
      <c r="B101" s="1">
        <v>1</v>
      </c>
      <c r="C101" s="1">
        <v>3</v>
      </c>
      <c r="D101" s="5">
        <f t="shared" ca="1" si="9"/>
        <v>380632</v>
      </c>
    </row>
    <row r="102" spans="1:4" ht="15.75" customHeight="1" x14ac:dyDescent="0.25">
      <c r="A102" s="1">
        <v>2014</v>
      </c>
      <c r="B102" s="1">
        <v>1</v>
      </c>
      <c r="C102" s="1">
        <v>3</v>
      </c>
      <c r="D102" s="5">
        <f t="shared" ca="1" si="9"/>
        <v>378426</v>
      </c>
    </row>
    <row r="103" spans="1:4" ht="15.75" customHeight="1" x14ac:dyDescent="0.25">
      <c r="A103" s="1">
        <v>2015</v>
      </c>
      <c r="B103" s="1">
        <v>1</v>
      </c>
      <c r="C103" s="1">
        <v>3</v>
      </c>
      <c r="D103" s="5">
        <f t="shared" ca="1" si="9"/>
        <v>378009</v>
      </c>
    </row>
    <row r="104" spans="1:4" ht="15.75" customHeight="1" x14ac:dyDescent="0.25">
      <c r="A104" s="1">
        <v>2016</v>
      </c>
      <c r="B104" s="1">
        <v>1</v>
      </c>
      <c r="C104" s="1">
        <v>3</v>
      </c>
      <c r="D104" s="5">
        <f t="shared" ca="1" si="9"/>
        <v>373474</v>
      </c>
    </row>
    <row r="105" spans="1:4" ht="15.75" customHeight="1" x14ac:dyDescent="0.25">
      <c r="A105" s="1">
        <v>2017</v>
      </c>
      <c r="B105" s="1">
        <v>1</v>
      </c>
      <c r="C105" s="1">
        <v>3</v>
      </c>
      <c r="D105" s="5">
        <f t="shared" ca="1" si="9"/>
        <v>373339</v>
      </c>
    </row>
    <row r="106" spans="1:4" ht="15.75" customHeight="1" x14ac:dyDescent="0.25">
      <c r="A106" s="1">
        <v>2018</v>
      </c>
      <c r="B106" s="1">
        <v>1</v>
      </c>
      <c r="C106" s="1">
        <v>3</v>
      </c>
      <c r="D106" s="5">
        <f t="shared" ca="1" si="9"/>
        <v>373525</v>
      </c>
    </row>
    <row r="107" spans="1:4" ht="15.75" customHeight="1" x14ac:dyDescent="0.25">
      <c r="A107" s="1">
        <v>2019</v>
      </c>
      <c r="B107" s="1">
        <v>1</v>
      </c>
      <c r="C107" s="1">
        <v>3</v>
      </c>
      <c r="D107" s="5">
        <f t="shared" ca="1" si="9"/>
        <v>373504</v>
      </c>
    </row>
    <row r="108" spans="1:4" ht="15.75" customHeight="1" x14ac:dyDescent="0.25">
      <c r="A108" s="1">
        <v>2020</v>
      </c>
      <c r="B108" s="1">
        <v>1</v>
      </c>
      <c r="C108" s="1">
        <v>3</v>
      </c>
      <c r="D108" s="5">
        <f t="shared" ca="1" si="9"/>
        <v>374360</v>
      </c>
    </row>
    <row r="109" spans="1:4" ht="15.75" customHeight="1" x14ac:dyDescent="0.25">
      <c r="A109" s="1">
        <v>2021</v>
      </c>
      <c r="B109" s="1">
        <v>1</v>
      </c>
      <c r="C109" s="1">
        <v>3</v>
      </c>
      <c r="D109" s="5">
        <f t="shared" ca="1" si="9"/>
        <v>373157</v>
      </c>
    </row>
    <row r="110" spans="1:4" ht="15.75" customHeight="1" x14ac:dyDescent="0.25">
      <c r="A110" s="1">
        <v>2022</v>
      </c>
      <c r="B110" s="1">
        <v>1</v>
      </c>
      <c r="C110" s="1">
        <v>3</v>
      </c>
      <c r="D110" s="5">
        <f t="shared" ca="1" si="9"/>
        <v>371187</v>
      </c>
    </row>
    <row r="111" spans="1:4" ht="15.75" customHeight="1" x14ac:dyDescent="0.25">
      <c r="A111" s="1">
        <v>2023</v>
      </c>
      <c r="B111" s="1">
        <v>1</v>
      </c>
      <c r="C111" s="1">
        <v>3</v>
      </c>
      <c r="D111" s="5">
        <f t="shared" ca="1" si="9"/>
        <v>371898</v>
      </c>
    </row>
    <row r="112" spans="1:4" ht="15.75" customHeight="1" x14ac:dyDescent="0.25">
      <c r="A112" s="1">
        <v>2024</v>
      </c>
      <c r="B112" s="1">
        <v>1</v>
      </c>
      <c r="C112" s="1">
        <v>3</v>
      </c>
      <c r="D112" s="5">
        <f t="shared" ca="1" si="9"/>
        <v>369860</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activeCell="C37" sqref="C37"/>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7" t="s">
        <v>416</v>
      </c>
      <c r="B1" s="16"/>
      <c r="C1" s="16"/>
      <c r="D1" s="16"/>
      <c r="E1" s="16"/>
      <c r="F1" s="16"/>
      <c r="G1" s="16"/>
      <c r="H1" s="16"/>
      <c r="I1" s="16"/>
      <c r="J1" s="16"/>
      <c r="K1" s="16"/>
      <c r="L1" s="16"/>
      <c r="M1" s="16"/>
      <c r="N1" s="16"/>
      <c r="O1" s="16"/>
      <c r="P1" s="16"/>
      <c r="Q1" s="16"/>
      <c r="R1" s="16"/>
      <c r="S1" s="16"/>
      <c r="T1" s="16"/>
      <c r="U1" s="16"/>
    </row>
    <row r="2" spans="1:21" x14ac:dyDescent="0.25">
      <c r="A2" s="1" t="s">
        <v>181</v>
      </c>
      <c r="B2" s="1" t="s">
        <v>182</v>
      </c>
      <c r="C2" s="1" t="s">
        <v>169</v>
      </c>
      <c r="D2" s="1" t="s">
        <v>183</v>
      </c>
      <c r="E2" s="1" t="s">
        <v>184</v>
      </c>
      <c r="F2" s="1" t="s">
        <v>185</v>
      </c>
      <c r="G2" s="1" t="s">
        <v>186</v>
      </c>
    </row>
    <row r="3" spans="1:21" x14ac:dyDescent="0.25">
      <c r="A3" s="1">
        <v>0</v>
      </c>
      <c r="B3" s="1">
        <v>1</v>
      </c>
      <c r="C3" s="1" t="s">
        <v>187</v>
      </c>
      <c r="D3" s="1">
        <v>1960</v>
      </c>
      <c r="E3" s="1">
        <v>1</v>
      </c>
      <c r="F3" s="1">
        <v>0.42715553489211999</v>
      </c>
      <c r="G3" s="1">
        <v>0.13781544979354199</v>
      </c>
    </row>
    <row r="4" spans="1:21" x14ac:dyDescent="0.25">
      <c r="A4" s="1">
        <v>0</v>
      </c>
      <c r="B4" s="1">
        <v>1</v>
      </c>
      <c r="C4" s="1" t="s">
        <v>187</v>
      </c>
      <c r="D4" s="1">
        <v>1961</v>
      </c>
      <c r="E4" s="1">
        <v>1</v>
      </c>
      <c r="F4" s="1">
        <v>0.60846668656264302</v>
      </c>
      <c r="G4" s="1">
        <v>0.13519110136513901</v>
      </c>
    </row>
    <row r="5" spans="1:21" x14ac:dyDescent="0.25">
      <c r="A5" s="1">
        <v>0</v>
      </c>
      <c r="B5" s="1">
        <v>1</v>
      </c>
      <c r="C5" s="1" t="s">
        <v>187</v>
      </c>
      <c r="D5" s="1">
        <v>1962</v>
      </c>
      <c r="E5" s="1">
        <v>1</v>
      </c>
      <c r="F5" s="1">
        <v>0.27151724249213599</v>
      </c>
      <c r="G5" s="1">
        <v>0.28829155393706701</v>
      </c>
    </row>
    <row r="6" spans="1:21" x14ac:dyDescent="0.25">
      <c r="A6" s="1">
        <v>0</v>
      </c>
      <c r="B6" s="1">
        <v>1</v>
      </c>
      <c r="C6" s="1" t="s">
        <v>187</v>
      </c>
      <c r="D6" s="1">
        <v>1963</v>
      </c>
      <c r="E6" s="1">
        <v>1</v>
      </c>
      <c r="F6" s="1">
        <v>0.30894434208472199</v>
      </c>
      <c r="G6" s="1">
        <v>0.19956389441769801</v>
      </c>
    </row>
    <row r="7" spans="1:21" x14ac:dyDescent="0.25">
      <c r="A7" s="1">
        <v>0</v>
      </c>
      <c r="B7" s="1">
        <v>1</v>
      </c>
      <c r="C7" s="1" t="s">
        <v>187</v>
      </c>
      <c r="D7" s="1">
        <v>1964</v>
      </c>
      <c r="E7" s="1">
        <v>1</v>
      </c>
      <c r="F7" s="1">
        <v>0.42208881111156599</v>
      </c>
      <c r="G7" s="1">
        <v>0.121277764357951</v>
      </c>
    </row>
    <row r="8" spans="1:21" x14ac:dyDescent="0.25">
      <c r="A8" s="1">
        <v>0</v>
      </c>
      <c r="B8" s="1">
        <v>1</v>
      </c>
      <c r="C8" s="1" t="s">
        <v>187</v>
      </c>
      <c r="D8" s="1">
        <v>1965</v>
      </c>
      <c r="E8" s="1">
        <v>1</v>
      </c>
      <c r="F8" s="1">
        <v>0.25209887455632402</v>
      </c>
      <c r="G8" s="1">
        <v>0.156202254295742</v>
      </c>
    </row>
    <row r="9" spans="1:21" x14ac:dyDescent="0.25">
      <c r="A9" s="1">
        <v>0</v>
      </c>
      <c r="B9" s="1">
        <v>1</v>
      </c>
      <c r="C9" s="1" t="s">
        <v>187</v>
      </c>
      <c r="D9" s="1">
        <v>1966</v>
      </c>
      <c r="E9" s="1">
        <v>1</v>
      </c>
      <c r="F9" s="1">
        <v>0.25893957861136402</v>
      </c>
      <c r="G9" s="1">
        <v>0.13966010035649301</v>
      </c>
    </row>
    <row r="10" spans="1:21" x14ac:dyDescent="0.25">
      <c r="A10" s="1">
        <v>0</v>
      </c>
      <c r="B10" s="1">
        <v>1</v>
      </c>
      <c r="C10" s="1" t="s">
        <v>187</v>
      </c>
      <c r="D10" s="1">
        <v>1967</v>
      </c>
      <c r="E10" s="1">
        <v>1</v>
      </c>
      <c r="F10" s="1">
        <v>0.190567660370771</v>
      </c>
      <c r="G10" s="1">
        <v>0.19916068930574601</v>
      </c>
    </row>
    <row r="11" spans="1:21" x14ac:dyDescent="0.25">
      <c r="A11" s="1">
        <v>0</v>
      </c>
      <c r="B11" s="1">
        <v>1</v>
      </c>
      <c r="C11" s="1" t="s">
        <v>187</v>
      </c>
      <c r="D11" s="1">
        <v>1968</v>
      </c>
      <c r="E11" s="1">
        <v>1</v>
      </c>
      <c r="F11" s="1">
        <v>3.4070374153251398E-2</v>
      </c>
      <c r="G11" s="1">
        <v>0.678265370202627</v>
      </c>
    </row>
    <row r="12" spans="1:21" x14ac:dyDescent="0.25">
      <c r="A12" s="1">
        <v>0</v>
      </c>
      <c r="B12" s="1">
        <v>1</v>
      </c>
      <c r="C12" s="1" t="s">
        <v>187</v>
      </c>
      <c r="D12" s="1">
        <v>1969</v>
      </c>
      <c r="E12" s="1">
        <v>1</v>
      </c>
      <c r="F12" s="1">
        <v>0.311513938315297</v>
      </c>
      <c r="G12" s="1">
        <v>0.105445402388682</v>
      </c>
    </row>
    <row r="13" spans="1:21" x14ac:dyDescent="0.25">
      <c r="A13" s="1">
        <v>0</v>
      </c>
      <c r="B13" s="1">
        <v>1</v>
      </c>
      <c r="C13" s="1" t="s">
        <v>187</v>
      </c>
      <c r="D13" s="1">
        <v>1970</v>
      </c>
      <c r="E13" s="1">
        <v>1</v>
      </c>
      <c r="F13" s="1">
        <v>1.6309238399999999</v>
      </c>
      <c r="G13" s="1">
        <v>0.105282913678278</v>
      </c>
    </row>
    <row r="14" spans="1:21" x14ac:dyDescent="0.25">
      <c r="A14" s="1">
        <v>0</v>
      </c>
      <c r="B14" s="1">
        <v>1</v>
      </c>
      <c r="C14" s="1" t="s">
        <v>187</v>
      </c>
      <c r="D14" s="1">
        <v>1971</v>
      </c>
      <c r="E14" s="1">
        <v>1</v>
      </c>
      <c r="F14" s="1">
        <v>1.4897862599999998</v>
      </c>
      <c r="G14" s="1">
        <v>0.13898731496998901</v>
      </c>
    </row>
    <row r="15" spans="1:21" x14ac:dyDescent="0.25">
      <c r="A15" s="1">
        <v>0</v>
      </c>
      <c r="B15" s="1">
        <v>1</v>
      </c>
      <c r="C15" s="1" t="s">
        <v>187</v>
      </c>
      <c r="D15" s="1">
        <v>1972</v>
      </c>
      <c r="E15" s="1">
        <v>1</v>
      </c>
      <c r="F15" s="1">
        <v>1.0394508599999996</v>
      </c>
      <c r="G15" s="1">
        <v>0.28145656391721702</v>
      </c>
    </row>
    <row r="16" spans="1:21" x14ac:dyDescent="0.25">
      <c r="A16" s="1">
        <v>0</v>
      </c>
      <c r="B16" s="1">
        <v>1</v>
      </c>
      <c r="C16" s="1" t="s">
        <v>187</v>
      </c>
      <c r="D16" s="1">
        <v>1973</v>
      </c>
      <c r="E16" s="1">
        <v>1</v>
      </c>
      <c r="F16" s="1">
        <v>1.3988766399999997</v>
      </c>
      <c r="G16" s="1">
        <v>0.34327038609194999</v>
      </c>
    </row>
    <row r="17" spans="1:7" x14ac:dyDescent="0.25">
      <c r="A17" s="1">
        <v>0</v>
      </c>
      <c r="B17" s="1">
        <v>1</v>
      </c>
      <c r="C17" s="1" t="s">
        <v>187</v>
      </c>
      <c r="D17" s="1">
        <v>1974</v>
      </c>
      <c r="E17" s="1">
        <v>1</v>
      </c>
      <c r="F17" s="1">
        <v>1.7895168899999998</v>
      </c>
      <c r="G17" s="1">
        <v>5.73714976830954E-2</v>
      </c>
    </row>
    <row r="18" spans="1:7" x14ac:dyDescent="0.25">
      <c r="A18" s="1">
        <v>0</v>
      </c>
      <c r="B18" s="1">
        <v>1</v>
      </c>
      <c r="C18" s="1" t="s">
        <v>187</v>
      </c>
      <c r="D18" s="1">
        <v>1975</v>
      </c>
      <c r="E18" s="1">
        <v>1</v>
      </c>
      <c r="F18" s="1">
        <v>1.9392752699999998</v>
      </c>
      <c r="G18" s="1">
        <v>6.3059031628240197E-2</v>
      </c>
    </row>
    <row r="19" spans="1:7" x14ac:dyDescent="0.25">
      <c r="A19" s="1">
        <v>0</v>
      </c>
      <c r="B19" s="1">
        <v>1</v>
      </c>
      <c r="C19" s="1" t="s">
        <v>187</v>
      </c>
      <c r="D19" s="1">
        <v>1976</v>
      </c>
      <c r="E19" s="1">
        <v>1</v>
      </c>
      <c r="F19" s="1">
        <v>1.7035243499999999</v>
      </c>
      <c r="G19" s="1">
        <v>4.98105833524463E-2</v>
      </c>
    </row>
    <row r="20" spans="1:7" x14ac:dyDescent="0.25">
      <c r="A20" s="1">
        <v>0</v>
      </c>
      <c r="B20" s="1">
        <v>1</v>
      </c>
      <c r="C20" s="1" t="s">
        <v>187</v>
      </c>
      <c r="D20" s="1">
        <v>1977</v>
      </c>
      <c r="E20" s="1">
        <v>1</v>
      </c>
      <c r="F20" s="1">
        <v>1.43163153</v>
      </c>
      <c r="G20" s="1">
        <v>3.9461338436437801E-2</v>
      </c>
    </row>
    <row r="21" spans="1:7" ht="15.75" customHeight="1" x14ac:dyDescent="0.25">
      <c r="A21" s="1">
        <v>0</v>
      </c>
      <c r="B21" s="1">
        <v>1</v>
      </c>
      <c r="C21" s="1" t="s">
        <v>187</v>
      </c>
      <c r="D21" s="1">
        <v>1978</v>
      </c>
      <c r="E21" s="1">
        <v>1</v>
      </c>
      <c r="F21" s="1">
        <v>1.1938930200000002</v>
      </c>
      <c r="G21" s="1">
        <v>3.9034571785991901E-2</v>
      </c>
    </row>
    <row r="22" spans="1:7" ht="15.75" customHeight="1" x14ac:dyDescent="0.25">
      <c r="A22" s="1">
        <v>0</v>
      </c>
      <c r="B22" s="1">
        <v>1</v>
      </c>
      <c r="C22" s="1" t="s">
        <v>187</v>
      </c>
      <c r="D22" s="1">
        <v>1979</v>
      </c>
      <c r="E22" s="1">
        <v>1</v>
      </c>
      <c r="F22" s="1">
        <v>1.20540728</v>
      </c>
      <c r="G22" s="1">
        <v>3.6976973168407298E-2</v>
      </c>
    </row>
    <row r="23" spans="1:7" ht="15.75" customHeight="1" x14ac:dyDescent="0.25">
      <c r="A23" s="1">
        <v>0</v>
      </c>
      <c r="B23" s="1">
        <v>1</v>
      </c>
      <c r="C23" s="1" t="s">
        <v>187</v>
      </c>
      <c r="D23" s="1">
        <v>1980</v>
      </c>
      <c r="E23" s="1">
        <v>1</v>
      </c>
      <c r="F23" s="1">
        <v>1.2575484000000001</v>
      </c>
      <c r="G23" s="1">
        <v>3.62608536937747E-2</v>
      </c>
    </row>
    <row r="24" spans="1:7" ht="15.75" customHeight="1" x14ac:dyDescent="0.25">
      <c r="A24" s="1">
        <v>0</v>
      </c>
      <c r="B24" s="1">
        <v>1</v>
      </c>
      <c r="C24" s="1" t="s">
        <v>187</v>
      </c>
      <c r="D24" s="1">
        <v>1981</v>
      </c>
      <c r="E24" s="1">
        <v>1</v>
      </c>
      <c r="F24" s="1">
        <v>0.99791734000000021</v>
      </c>
      <c r="G24" s="1">
        <v>3.6455751062585001E-2</v>
      </c>
    </row>
    <row r="25" spans="1:7" ht="15.75" customHeight="1" x14ac:dyDescent="0.25">
      <c r="A25" s="1">
        <v>0</v>
      </c>
      <c r="B25" s="1">
        <v>1</v>
      </c>
      <c r="C25" s="1" t="s">
        <v>187</v>
      </c>
      <c r="D25" s="1">
        <v>1982</v>
      </c>
      <c r="E25" s="1">
        <v>1</v>
      </c>
      <c r="F25" s="1">
        <v>0.65160909000000011</v>
      </c>
      <c r="G25" s="1">
        <v>3.8212015336421101E-2</v>
      </c>
    </row>
    <row r="26" spans="1:7" ht="15.75" customHeight="1" x14ac:dyDescent="0.25">
      <c r="A26" s="1">
        <v>0</v>
      </c>
      <c r="B26" s="1">
        <v>1</v>
      </c>
      <c r="C26" s="1" t="s">
        <v>187</v>
      </c>
      <c r="D26" s="1">
        <v>1983</v>
      </c>
      <c r="E26" s="1">
        <v>1</v>
      </c>
      <c r="F26" s="1">
        <v>0.76561920000000017</v>
      </c>
      <c r="G26" s="1">
        <v>3.6664491079729397E-2</v>
      </c>
    </row>
    <row r="27" spans="1:7" ht="15.75" customHeight="1" x14ac:dyDescent="0.25">
      <c r="A27" s="1">
        <v>0</v>
      </c>
      <c r="B27" s="1">
        <v>1</v>
      </c>
      <c r="C27" s="1" t="s">
        <v>187</v>
      </c>
      <c r="D27" s="1">
        <v>1984</v>
      </c>
      <c r="E27" s="1">
        <v>1</v>
      </c>
      <c r="F27" s="1">
        <v>0.89206080000000021</v>
      </c>
      <c r="G27" s="1">
        <v>3.52570136358141E-2</v>
      </c>
    </row>
    <row r="28" spans="1:7" ht="15.75" customHeight="1" x14ac:dyDescent="0.25">
      <c r="A28" s="1">
        <v>0</v>
      </c>
      <c r="B28" s="1">
        <v>1</v>
      </c>
      <c r="C28" s="1" t="s">
        <v>187</v>
      </c>
      <c r="D28" s="1">
        <v>1985</v>
      </c>
      <c r="E28" s="1">
        <v>1</v>
      </c>
      <c r="F28" s="1">
        <v>0.61523578000000012</v>
      </c>
      <c r="G28" s="1">
        <v>3.6754413042365097E-2</v>
      </c>
    </row>
    <row r="29" spans="1:7" ht="15.75" customHeight="1" x14ac:dyDescent="0.25">
      <c r="A29" s="1">
        <v>0</v>
      </c>
      <c r="B29" s="1">
        <v>1</v>
      </c>
      <c r="C29" s="1" t="s">
        <v>187</v>
      </c>
      <c r="D29" s="1">
        <v>1986</v>
      </c>
      <c r="E29" s="1">
        <v>1</v>
      </c>
      <c r="F29" s="1">
        <v>0.42026160000000012</v>
      </c>
      <c r="G29" s="1">
        <v>3.5867045574679499E-2</v>
      </c>
    </row>
    <row r="30" spans="1:7" ht="15.75" customHeight="1" x14ac:dyDescent="0.25">
      <c r="A30" s="1">
        <v>0</v>
      </c>
      <c r="B30" s="1">
        <v>1</v>
      </c>
      <c r="C30" s="1" t="s">
        <v>187</v>
      </c>
      <c r="D30" s="1">
        <v>1987</v>
      </c>
      <c r="E30" s="1">
        <v>1</v>
      </c>
      <c r="F30" s="1">
        <v>0.5028357</v>
      </c>
      <c r="G30" s="1">
        <v>3.68834621281032E-2</v>
      </c>
    </row>
    <row r="31" spans="1:7" ht="15.75" customHeight="1" x14ac:dyDescent="0.25">
      <c r="A31" s="1">
        <v>0</v>
      </c>
      <c r="B31" s="1">
        <v>1</v>
      </c>
      <c r="C31" s="1" t="s">
        <v>187</v>
      </c>
      <c r="D31" s="1">
        <v>1988</v>
      </c>
      <c r="E31" s="1">
        <v>1</v>
      </c>
      <c r="F31" s="1">
        <v>0.27189001000000007</v>
      </c>
      <c r="G31" s="1">
        <v>3.4814045365903899E-2</v>
      </c>
    </row>
    <row r="32" spans="1:7" ht="15.75" customHeight="1" x14ac:dyDescent="0.25">
      <c r="A32" s="1">
        <v>0</v>
      </c>
      <c r="B32" s="1">
        <v>1</v>
      </c>
      <c r="C32" s="1" t="s">
        <v>187</v>
      </c>
      <c r="D32" s="1">
        <v>1989</v>
      </c>
      <c r="E32" s="1">
        <v>1</v>
      </c>
      <c r="F32" s="1">
        <v>0.18319680000000005</v>
      </c>
      <c r="G32" s="1">
        <v>6.4158715969505301E-2</v>
      </c>
    </row>
    <row r="33" spans="1:7" ht="15.75" customHeight="1" x14ac:dyDescent="0.25">
      <c r="A33" s="1">
        <v>0</v>
      </c>
      <c r="B33" s="1">
        <v>1</v>
      </c>
      <c r="C33" s="1" t="s">
        <v>187</v>
      </c>
      <c r="D33" s="1">
        <v>1990</v>
      </c>
      <c r="E33" s="1">
        <v>1</v>
      </c>
      <c r="F33" s="1">
        <v>0.42192593000000006</v>
      </c>
      <c r="G33" s="1">
        <v>6.0715890152875797E-2</v>
      </c>
    </row>
    <row r="34" spans="1:7" ht="15.75" customHeight="1" x14ac:dyDescent="0.25">
      <c r="A34" s="1">
        <v>0</v>
      </c>
      <c r="B34" s="1">
        <v>1</v>
      </c>
      <c r="C34" s="1" t="s">
        <v>187</v>
      </c>
      <c r="D34" s="1">
        <v>1991</v>
      </c>
      <c r="E34" s="1">
        <v>1</v>
      </c>
      <c r="F34" s="1">
        <v>0.49748436000000007</v>
      </c>
      <c r="G34" s="1">
        <v>7.9180828054307401E-2</v>
      </c>
    </row>
    <row r="35" spans="1:7" ht="15.75" customHeight="1" x14ac:dyDescent="0.25">
      <c r="A35" s="1">
        <v>0</v>
      </c>
      <c r="B35" s="1">
        <v>1</v>
      </c>
      <c r="C35" s="1" t="s">
        <v>187</v>
      </c>
      <c r="D35" s="1">
        <v>1992</v>
      </c>
      <c r="E35" s="1">
        <v>1</v>
      </c>
      <c r="F35" s="1">
        <v>0.61414336000000003</v>
      </c>
      <c r="G35" s="1">
        <v>6.9196408335781306E-2</v>
      </c>
    </row>
    <row r="36" spans="1:7" ht="15.75" customHeight="1" x14ac:dyDescent="0.25">
      <c r="A36" s="1">
        <v>0</v>
      </c>
      <c r="B36" s="1">
        <v>1</v>
      </c>
      <c r="C36" s="1" t="s">
        <v>187</v>
      </c>
      <c r="D36" s="1">
        <v>1993</v>
      </c>
      <c r="E36" s="1">
        <v>1</v>
      </c>
      <c r="F36" s="1">
        <v>0.56436158000000003</v>
      </c>
      <c r="G36" s="1">
        <v>6.6871695365603306E-2</v>
      </c>
    </row>
    <row r="37" spans="1:7" ht="15.75" customHeight="1" x14ac:dyDescent="0.25">
      <c r="A37" s="1">
        <v>0</v>
      </c>
      <c r="B37" s="1">
        <v>1</v>
      </c>
      <c r="C37" s="1" t="s">
        <v>187</v>
      </c>
      <c r="D37" s="1">
        <v>1994</v>
      </c>
      <c r="E37" s="1">
        <v>1</v>
      </c>
      <c r="F37" s="1">
        <v>0.29769142000000004</v>
      </c>
      <c r="G37" s="1">
        <v>6.0484186873481303E-2</v>
      </c>
    </row>
    <row r="38" spans="1:7" ht="15.75" customHeight="1" x14ac:dyDescent="0.25">
      <c r="A38" s="1">
        <v>0</v>
      </c>
      <c r="B38" s="1">
        <v>1</v>
      </c>
      <c r="C38" s="1" t="s">
        <v>187</v>
      </c>
      <c r="D38" s="1">
        <v>1995</v>
      </c>
      <c r="E38" s="1">
        <v>1</v>
      </c>
      <c r="F38" s="1">
        <v>0.31855290000000003</v>
      </c>
      <c r="G38" s="1">
        <v>6.4066071664348898E-2</v>
      </c>
    </row>
    <row r="39" spans="1:7" ht="15.75" customHeight="1" x14ac:dyDescent="0.25">
      <c r="A39" s="1">
        <v>0</v>
      </c>
      <c r="B39" s="1">
        <v>1</v>
      </c>
      <c r="C39" s="1" t="s">
        <v>187</v>
      </c>
      <c r="D39" s="1">
        <v>1996</v>
      </c>
      <c r="E39" s="1">
        <v>1</v>
      </c>
      <c r="F39" s="1">
        <v>0.17624439</v>
      </c>
      <c r="G39" s="1">
        <v>5.5072101775418901E-2</v>
      </c>
    </row>
    <row r="40" spans="1:7" ht="15.75" customHeight="1" x14ac:dyDescent="0.25">
      <c r="A40" s="1">
        <v>0</v>
      </c>
      <c r="B40" s="1">
        <v>1</v>
      </c>
      <c r="C40" s="1" t="s">
        <v>187</v>
      </c>
      <c r="D40" s="1">
        <v>1997</v>
      </c>
      <c r="E40" s="1">
        <v>1</v>
      </c>
      <c r="F40" s="1">
        <v>0.26826761999999998</v>
      </c>
      <c r="G40" s="1">
        <v>7.5441305939775799E-2</v>
      </c>
    </row>
    <row r="41" spans="1:7" ht="15.75" customHeight="1" x14ac:dyDescent="0.25">
      <c r="A41" s="1">
        <v>0</v>
      </c>
      <c r="B41" s="1">
        <v>1</v>
      </c>
      <c r="C41" s="1" t="s">
        <v>187</v>
      </c>
      <c r="D41" s="1">
        <v>1998</v>
      </c>
      <c r="E41" s="1">
        <v>1</v>
      </c>
      <c r="F41" s="1">
        <v>0.26521261799999996</v>
      </c>
      <c r="G41" s="1">
        <v>8.4727445773459198E-2</v>
      </c>
    </row>
    <row r="42" spans="1:7" ht="15.75" customHeight="1" x14ac:dyDescent="0.25">
      <c r="A42" s="1">
        <v>0</v>
      </c>
      <c r="B42" s="1">
        <v>1</v>
      </c>
      <c r="C42" s="1" t="s">
        <v>187</v>
      </c>
      <c r="D42" s="1">
        <v>1999</v>
      </c>
      <c r="E42" s="1">
        <v>1</v>
      </c>
      <c r="F42" s="1">
        <v>0.36258623400000001</v>
      </c>
      <c r="G42" s="1">
        <v>5.1622558464541002E-2</v>
      </c>
    </row>
    <row r="43" spans="1:7" ht="15.75" customHeight="1" x14ac:dyDescent="0.25">
      <c r="A43" s="1">
        <v>0</v>
      </c>
      <c r="B43" s="1">
        <v>1</v>
      </c>
      <c r="C43" s="1" t="s">
        <v>187</v>
      </c>
      <c r="D43" s="1">
        <v>2000</v>
      </c>
      <c r="E43" s="1">
        <v>1</v>
      </c>
      <c r="F43" s="1">
        <v>0.36758817199999999</v>
      </c>
      <c r="G43" s="1">
        <v>6.0917450393643803E-2</v>
      </c>
    </row>
    <row r="44" spans="1:7" ht="15.75" customHeight="1" x14ac:dyDescent="0.25">
      <c r="A44" s="1">
        <v>0</v>
      </c>
      <c r="B44" s="1">
        <v>1</v>
      </c>
      <c r="C44" s="1" t="s">
        <v>187</v>
      </c>
      <c r="D44" s="1">
        <v>2001</v>
      </c>
      <c r="E44" s="1">
        <v>1</v>
      </c>
      <c r="F44" s="1">
        <v>0.34205024699999997</v>
      </c>
      <c r="G44" s="1">
        <v>4.9260698216010999E-2</v>
      </c>
    </row>
    <row r="45" spans="1:7" ht="15.75" customHeight="1" x14ac:dyDescent="0.25">
      <c r="A45" s="1">
        <v>0</v>
      </c>
      <c r="B45" s="1">
        <v>1</v>
      </c>
      <c r="C45" s="1" t="s">
        <v>187</v>
      </c>
      <c r="D45" s="1">
        <v>2002</v>
      </c>
      <c r="E45" s="1">
        <v>1</v>
      </c>
      <c r="F45" s="1">
        <v>0.32442571799999997</v>
      </c>
      <c r="G45" s="1">
        <v>4.6924571013520003E-2</v>
      </c>
    </row>
    <row r="46" spans="1:7" ht="15.75" customHeight="1" x14ac:dyDescent="0.25">
      <c r="A46" s="1">
        <v>0</v>
      </c>
      <c r="B46" s="1">
        <v>1</v>
      </c>
      <c r="C46" s="1" t="s">
        <v>187</v>
      </c>
      <c r="D46" s="1">
        <v>2003</v>
      </c>
      <c r="E46" s="1">
        <v>1</v>
      </c>
      <c r="F46" s="1">
        <v>0.31905019000000001</v>
      </c>
      <c r="G46" s="1">
        <v>4.8371763112814298E-2</v>
      </c>
    </row>
    <row r="47" spans="1:7" ht="15.75" customHeight="1" x14ac:dyDescent="0.25">
      <c r="A47" s="1">
        <v>0</v>
      </c>
      <c r="B47" s="1">
        <v>1</v>
      </c>
      <c r="C47" s="1" t="s">
        <v>187</v>
      </c>
      <c r="D47" s="1">
        <v>2004</v>
      </c>
      <c r="E47" s="1">
        <v>1</v>
      </c>
      <c r="F47" s="1">
        <v>0.338501889</v>
      </c>
      <c r="G47" s="1">
        <v>5.7052116920408097E-2</v>
      </c>
    </row>
    <row r="48" spans="1:7" ht="15.75" customHeight="1" x14ac:dyDescent="0.25">
      <c r="A48" s="1">
        <v>0</v>
      </c>
      <c r="B48" s="1">
        <v>1</v>
      </c>
      <c r="C48" s="1" t="s">
        <v>187</v>
      </c>
      <c r="D48" s="1">
        <v>2005</v>
      </c>
      <c r="E48" s="1">
        <v>1</v>
      </c>
      <c r="F48" s="1">
        <v>0.27548532999999997</v>
      </c>
      <c r="G48" s="1">
        <v>4.78655433057407E-2</v>
      </c>
    </row>
    <row r="49" spans="1:7" ht="15.75" customHeight="1" x14ac:dyDescent="0.25">
      <c r="A49" s="1">
        <v>0</v>
      </c>
      <c r="B49" s="1">
        <v>1</v>
      </c>
      <c r="C49" s="1" t="s">
        <v>187</v>
      </c>
      <c r="D49" s="1">
        <v>2006</v>
      </c>
      <c r="E49" s="1">
        <v>1</v>
      </c>
      <c r="F49" s="1">
        <v>0.32198900999999996</v>
      </c>
      <c r="G49" s="1">
        <v>4.2053375280584997E-2</v>
      </c>
    </row>
    <row r="50" spans="1:7" ht="15.75" customHeight="1" x14ac:dyDescent="0.25">
      <c r="A50" s="1">
        <v>0</v>
      </c>
      <c r="B50" s="1">
        <v>1</v>
      </c>
      <c r="C50" s="1" t="s">
        <v>187</v>
      </c>
      <c r="D50" s="1">
        <v>2007</v>
      </c>
      <c r="E50" s="1">
        <v>1</v>
      </c>
      <c r="F50" s="1">
        <v>0.30394582399999998</v>
      </c>
      <c r="G50" s="1">
        <v>4.2968231878700802E-2</v>
      </c>
    </row>
    <row r="51" spans="1:7" ht="15.75" customHeight="1" x14ac:dyDescent="0.25">
      <c r="A51" s="1">
        <v>0</v>
      </c>
      <c r="B51" s="1">
        <v>1</v>
      </c>
      <c r="C51" s="1" t="s">
        <v>187</v>
      </c>
      <c r="D51" s="1">
        <v>2008</v>
      </c>
      <c r="E51" s="1">
        <v>1</v>
      </c>
      <c r="F51" s="1">
        <v>0.36662111199999992</v>
      </c>
      <c r="G51" s="1">
        <v>5.3626373924765401E-2</v>
      </c>
    </row>
    <row r="52" spans="1:7" ht="15.75" customHeight="1" x14ac:dyDescent="0.25">
      <c r="A52" s="1">
        <v>0</v>
      </c>
      <c r="B52" s="1">
        <v>1</v>
      </c>
      <c r="C52" s="1" t="s">
        <v>187</v>
      </c>
      <c r="D52" s="1">
        <v>2009</v>
      </c>
      <c r="E52" s="1">
        <v>1</v>
      </c>
      <c r="F52" s="1">
        <v>0.40565912699999995</v>
      </c>
      <c r="G52" s="1">
        <v>6.6333048785106194E-2</v>
      </c>
    </row>
    <row r="53" spans="1:7" ht="15.75" customHeight="1" x14ac:dyDescent="0.25">
      <c r="A53" s="1">
        <v>0</v>
      </c>
      <c r="B53" s="1">
        <v>1</v>
      </c>
      <c r="C53" s="1" t="s">
        <v>187</v>
      </c>
      <c r="D53" s="1">
        <v>2010</v>
      </c>
      <c r="E53" s="1">
        <v>1</v>
      </c>
      <c r="F53" s="1">
        <v>0.46945982499999994</v>
      </c>
      <c r="G53" s="1">
        <v>6.5099337549702901E-2</v>
      </c>
    </row>
    <row r="54" spans="1:7" ht="15.75" customHeight="1" x14ac:dyDescent="0.25">
      <c r="A54" s="1">
        <v>0</v>
      </c>
      <c r="B54" s="1">
        <v>1</v>
      </c>
      <c r="C54" s="1" t="s">
        <v>187</v>
      </c>
      <c r="D54" s="1">
        <v>2011</v>
      </c>
      <c r="E54" s="1">
        <v>1</v>
      </c>
      <c r="F54" s="1">
        <v>0.54181425699999997</v>
      </c>
      <c r="G54" s="1">
        <v>5.02528798174968E-2</v>
      </c>
    </row>
    <row r="55" spans="1:7" ht="15.75" customHeight="1" x14ac:dyDescent="0.25">
      <c r="A55" s="1">
        <v>0</v>
      </c>
      <c r="B55" s="1">
        <v>1</v>
      </c>
      <c r="C55" s="1" t="s">
        <v>187</v>
      </c>
      <c r="D55" s="1">
        <v>2012</v>
      </c>
      <c r="E55" s="1">
        <v>1</v>
      </c>
      <c r="F55" s="1">
        <v>0.57318294899999989</v>
      </c>
      <c r="G55" s="1">
        <v>4.34837041416491E-2</v>
      </c>
    </row>
    <row r="56" spans="1:7" ht="15.75" customHeight="1" x14ac:dyDescent="0.25">
      <c r="A56" s="1">
        <v>0</v>
      </c>
      <c r="B56" s="1">
        <v>1</v>
      </c>
      <c r="C56" s="1" t="s">
        <v>187</v>
      </c>
      <c r="D56" s="1">
        <v>2013</v>
      </c>
      <c r="E56" s="1">
        <v>1</v>
      </c>
      <c r="F56" s="1">
        <v>0.56916885599999989</v>
      </c>
      <c r="G56" s="1">
        <v>5.3015148030903098E-2</v>
      </c>
    </row>
    <row r="57" spans="1:7" ht="15.75" customHeight="1" x14ac:dyDescent="0.25">
      <c r="A57" s="1">
        <v>0</v>
      </c>
      <c r="B57" s="1">
        <v>1</v>
      </c>
      <c r="C57" s="1" t="s">
        <v>187</v>
      </c>
      <c r="D57" s="1">
        <v>2014</v>
      </c>
      <c r="E57" s="1">
        <v>1</v>
      </c>
      <c r="F57" s="1">
        <v>0.56412328499999986</v>
      </c>
      <c r="G57" s="1">
        <v>4.9253294793636097E-2</v>
      </c>
    </row>
    <row r="58" spans="1:7" ht="15.75" customHeight="1" x14ac:dyDescent="0.25">
      <c r="A58" s="1">
        <v>0</v>
      </c>
      <c r="B58" s="1">
        <v>1</v>
      </c>
      <c r="C58" s="1" t="s">
        <v>187</v>
      </c>
      <c r="D58" s="1">
        <v>2015</v>
      </c>
      <c r="E58" s="1">
        <v>1</v>
      </c>
      <c r="F58" s="1">
        <v>0.75433072099999976</v>
      </c>
      <c r="G58" s="1">
        <v>5.7289868369422903E-2</v>
      </c>
    </row>
    <row r="59" spans="1:7" ht="15.75" customHeight="1" x14ac:dyDescent="0.25">
      <c r="A59" s="1">
        <v>0</v>
      </c>
      <c r="B59" s="1">
        <v>1</v>
      </c>
      <c r="C59" s="1" t="s">
        <v>187</v>
      </c>
      <c r="D59" s="1">
        <v>2016</v>
      </c>
      <c r="E59" s="1">
        <v>1</v>
      </c>
      <c r="F59" s="1">
        <v>0.84750463199999992</v>
      </c>
      <c r="G59" s="1">
        <v>4.8617566921277798E-2</v>
      </c>
    </row>
    <row r="60" spans="1:7" ht="15.75" customHeight="1" x14ac:dyDescent="0.25">
      <c r="A60" s="1">
        <v>0</v>
      </c>
      <c r="B60" s="1">
        <v>1</v>
      </c>
      <c r="C60" s="1" t="s">
        <v>187</v>
      </c>
      <c r="D60" s="1">
        <v>2017</v>
      </c>
      <c r="E60" s="1">
        <v>1</v>
      </c>
      <c r="F60" s="1">
        <v>0.88810639999999974</v>
      </c>
      <c r="G60" s="1">
        <v>4.9164111142390401E-2</v>
      </c>
    </row>
    <row r="61" spans="1:7" ht="15.75" customHeight="1" x14ac:dyDescent="0.25">
      <c r="A61" s="1">
        <v>0</v>
      </c>
      <c r="B61" s="1">
        <v>1</v>
      </c>
      <c r="C61" s="1" t="s">
        <v>187</v>
      </c>
      <c r="D61" s="1">
        <v>2018</v>
      </c>
      <c r="E61" s="1">
        <v>1</v>
      </c>
      <c r="F61" s="1">
        <v>0.96063149999999975</v>
      </c>
      <c r="G61" s="1">
        <v>4.9327279438456002E-2</v>
      </c>
    </row>
    <row r="62" spans="1:7" ht="15.75" customHeight="1" x14ac:dyDescent="0.25">
      <c r="A62" s="1">
        <v>0</v>
      </c>
      <c r="B62" s="1">
        <v>1</v>
      </c>
      <c r="C62" s="1" t="s">
        <v>187</v>
      </c>
      <c r="D62" s="1">
        <v>2019</v>
      </c>
      <c r="E62" s="1">
        <v>1</v>
      </c>
      <c r="F62" s="1">
        <v>1.0720371999999998</v>
      </c>
      <c r="G62" s="1">
        <v>4.8180261015612097E-2</v>
      </c>
    </row>
    <row r="63" spans="1:7" ht="15.75" customHeight="1" x14ac:dyDescent="0.25">
      <c r="A63" s="1">
        <v>0</v>
      </c>
      <c r="B63" s="1">
        <v>1</v>
      </c>
      <c r="C63" s="1" t="s">
        <v>187</v>
      </c>
      <c r="D63" s="1">
        <v>2020</v>
      </c>
      <c r="E63" s="1">
        <v>1</v>
      </c>
      <c r="F63" s="1">
        <v>1.1498861999999999</v>
      </c>
      <c r="G63" s="1">
        <v>4.3893600594459702E-2</v>
      </c>
    </row>
    <row r="64" spans="1:7" ht="15.75" customHeight="1" x14ac:dyDescent="0.25">
      <c r="A64" s="1">
        <v>0</v>
      </c>
      <c r="B64" s="1">
        <v>1</v>
      </c>
      <c r="C64" s="1" t="s">
        <v>187</v>
      </c>
      <c r="D64" s="1">
        <v>2021</v>
      </c>
      <c r="E64" s="1">
        <v>1</v>
      </c>
      <c r="F64" s="1">
        <v>1.2459490999999998</v>
      </c>
      <c r="G64" s="1">
        <v>4.5585716128643497E-2</v>
      </c>
    </row>
    <row r="65" spans="1:7" ht="15.75" customHeight="1" x14ac:dyDescent="0.25">
      <c r="A65" s="1">
        <v>0</v>
      </c>
      <c r="B65" s="1">
        <v>1</v>
      </c>
      <c r="C65" s="1" t="s">
        <v>187</v>
      </c>
      <c r="D65" s="1">
        <v>2022</v>
      </c>
      <c r="E65" s="1">
        <v>1</v>
      </c>
      <c r="F65" s="1">
        <v>1.2434739199999998</v>
      </c>
      <c r="G65" s="1">
        <v>4.9120455316691403E-2</v>
      </c>
    </row>
    <row r="66" spans="1:7" ht="15.75" customHeight="1" x14ac:dyDescent="0.25">
      <c r="A66" s="1">
        <v>0</v>
      </c>
      <c r="B66" s="1">
        <v>1</v>
      </c>
      <c r="C66" s="1" t="s">
        <v>187</v>
      </c>
      <c r="D66" s="1">
        <v>2023</v>
      </c>
      <c r="E66" s="1">
        <v>1</v>
      </c>
      <c r="F66" s="1">
        <v>1.5280919999999996</v>
      </c>
      <c r="G66" s="1">
        <v>4.1317511140728798E-2</v>
      </c>
    </row>
    <row r="67" spans="1:7" ht="15.75" customHeight="1" x14ac:dyDescent="0.25">
      <c r="A67" s="1">
        <v>0</v>
      </c>
      <c r="B67" s="1">
        <v>1</v>
      </c>
      <c r="C67" s="1" t="s">
        <v>187</v>
      </c>
      <c r="D67" s="1">
        <v>2024</v>
      </c>
      <c r="E67" s="1">
        <v>1</v>
      </c>
      <c r="F67" s="1">
        <v>1.5148764599999998</v>
      </c>
      <c r="G67" s="1">
        <v>6.9224520471187698E-2</v>
      </c>
    </row>
    <row r="68" spans="1:7" ht="15.75" customHeight="1" x14ac:dyDescent="0.25">
      <c r="A68" s="1">
        <v>1</v>
      </c>
      <c r="B68" s="1">
        <v>4</v>
      </c>
      <c r="C68" s="1" t="s">
        <v>95</v>
      </c>
      <c r="D68" s="1">
        <v>1990</v>
      </c>
      <c r="E68" s="1">
        <v>1</v>
      </c>
      <c r="F68" s="1">
        <v>2.5863526599999993</v>
      </c>
      <c r="G68" s="1">
        <v>5.0971638524937503E-2</v>
      </c>
    </row>
    <row r="69" spans="1:7" ht="15.75" customHeight="1" x14ac:dyDescent="0.25">
      <c r="A69" s="1">
        <v>1</v>
      </c>
      <c r="B69" s="1">
        <v>4</v>
      </c>
      <c r="C69" s="1" t="s">
        <v>95</v>
      </c>
      <c r="D69" s="1">
        <v>1991</v>
      </c>
      <c r="E69" s="1">
        <v>1</v>
      </c>
      <c r="F69" s="1">
        <v>2.3300990999999991</v>
      </c>
      <c r="G69" s="1">
        <v>4.6829142321856899E-2</v>
      </c>
    </row>
    <row r="70" spans="1:7" ht="15.75" customHeight="1" x14ac:dyDescent="0.25">
      <c r="A70" s="1">
        <v>1</v>
      </c>
      <c r="B70" s="1">
        <v>4</v>
      </c>
      <c r="C70" s="1" t="s">
        <v>95</v>
      </c>
      <c r="D70" s="1">
        <v>1992</v>
      </c>
      <c r="E70" s="1">
        <v>1</v>
      </c>
      <c r="F70" s="1">
        <v>2.6755684999999994</v>
      </c>
      <c r="G70" s="1">
        <v>4.4083765675703199E-2</v>
      </c>
    </row>
    <row r="71" spans="1:7" ht="15.75" customHeight="1" x14ac:dyDescent="0.25">
      <c r="A71" s="1">
        <v>1</v>
      </c>
      <c r="B71" s="1">
        <v>4</v>
      </c>
      <c r="C71" s="1" t="s">
        <v>95</v>
      </c>
      <c r="D71" s="1">
        <v>1993</v>
      </c>
      <c r="E71" s="1">
        <v>1</v>
      </c>
      <c r="F71" s="1">
        <v>2.6851065199999993</v>
      </c>
      <c r="G71" s="1">
        <v>6.3682003957994698E-2</v>
      </c>
    </row>
    <row r="72" spans="1:7" ht="15.75" customHeight="1" x14ac:dyDescent="0.25">
      <c r="A72" s="1">
        <v>1</v>
      </c>
      <c r="B72" s="1">
        <v>4</v>
      </c>
      <c r="C72" s="1" t="s">
        <v>95</v>
      </c>
      <c r="D72" s="1">
        <v>1994</v>
      </c>
      <c r="E72" s="1">
        <v>1</v>
      </c>
      <c r="F72" s="1">
        <v>2.7079841699999991</v>
      </c>
      <c r="G72" s="1">
        <v>5.31361912984748E-2</v>
      </c>
    </row>
    <row r="73" spans="1:7" ht="15.75" customHeight="1" x14ac:dyDescent="0.25">
      <c r="A73" s="1">
        <v>1</v>
      </c>
      <c r="B73" s="1">
        <v>4</v>
      </c>
      <c r="C73" s="1" t="s">
        <v>95</v>
      </c>
      <c r="D73" s="1">
        <v>1995</v>
      </c>
      <c r="E73" s="1">
        <v>1</v>
      </c>
      <c r="F73" s="1">
        <v>2.4858087499999995</v>
      </c>
      <c r="G73" s="1">
        <v>5.22677056527611E-2</v>
      </c>
    </row>
    <row r="74" spans="1:7" ht="15.75" customHeight="1" x14ac:dyDescent="0.25">
      <c r="A74" s="1">
        <v>1</v>
      </c>
      <c r="B74" s="1">
        <v>4</v>
      </c>
      <c r="C74" s="1" t="s">
        <v>95</v>
      </c>
      <c r="D74" s="1">
        <v>1996</v>
      </c>
      <c r="E74" s="1">
        <v>1</v>
      </c>
      <c r="F74" s="1">
        <v>2.0940124199999994</v>
      </c>
      <c r="G74" s="1">
        <v>5.6694334369782398E-2</v>
      </c>
    </row>
    <row r="75" spans="1:7" ht="15.75" customHeight="1" x14ac:dyDescent="0.25">
      <c r="A75" s="1">
        <v>1</v>
      </c>
      <c r="B75" s="1">
        <v>4</v>
      </c>
      <c r="C75" s="1" t="s">
        <v>95</v>
      </c>
      <c r="D75" s="1">
        <v>1997</v>
      </c>
      <c r="E75" s="1">
        <v>1</v>
      </c>
      <c r="F75" s="1">
        <v>2.1012087499999996</v>
      </c>
      <c r="G75" s="1">
        <v>5.4604729849884903E-2</v>
      </c>
    </row>
    <row r="76" spans="1:7" ht="15.75" customHeight="1" x14ac:dyDescent="0.25">
      <c r="A76" s="1">
        <v>1</v>
      </c>
      <c r="B76" s="1">
        <v>4</v>
      </c>
      <c r="C76" s="1" t="s">
        <v>95</v>
      </c>
      <c r="D76" s="1">
        <v>1998</v>
      </c>
      <c r="E76" s="1">
        <v>1</v>
      </c>
      <c r="F76" s="1">
        <v>1.6579371599999997</v>
      </c>
      <c r="G76" s="1">
        <v>4.0733603121883899E-2</v>
      </c>
    </row>
    <row r="77" spans="1:7" ht="15.75" customHeight="1" x14ac:dyDescent="0.25">
      <c r="A77" s="1">
        <v>1</v>
      </c>
      <c r="B77" s="1">
        <v>4</v>
      </c>
      <c r="C77" s="1" t="s">
        <v>95</v>
      </c>
      <c r="D77" s="1">
        <v>1999</v>
      </c>
      <c r="E77" s="1">
        <v>1</v>
      </c>
      <c r="F77" s="1">
        <v>1.4042379999999999</v>
      </c>
      <c r="G77" s="1">
        <v>4.9091855107932798E-2</v>
      </c>
    </row>
    <row r="78" spans="1:7" ht="15.75" customHeight="1" x14ac:dyDescent="0.25">
      <c r="A78" s="1">
        <v>1</v>
      </c>
      <c r="B78" s="1">
        <v>4</v>
      </c>
      <c r="C78" s="1" t="s">
        <v>95</v>
      </c>
      <c r="D78" s="1">
        <v>2000</v>
      </c>
      <c r="E78" s="1">
        <v>1</v>
      </c>
      <c r="F78" s="1">
        <v>1.3406130399999998</v>
      </c>
      <c r="G78" s="1">
        <v>5.5388206762239399E-2</v>
      </c>
    </row>
    <row r="79" spans="1:7" ht="15.75" customHeight="1" x14ac:dyDescent="0.25">
      <c r="A79" s="1">
        <v>1</v>
      </c>
      <c r="B79" s="1">
        <v>4</v>
      </c>
      <c r="C79" s="1" t="s">
        <v>95</v>
      </c>
      <c r="D79" s="1">
        <v>2001</v>
      </c>
      <c r="E79" s="1">
        <v>1</v>
      </c>
      <c r="F79" s="1">
        <v>1.1445126999999997</v>
      </c>
      <c r="G79" s="1">
        <v>4.3311339701524197E-2</v>
      </c>
    </row>
    <row r="80" spans="1:7" ht="15.75" customHeight="1" x14ac:dyDescent="0.25">
      <c r="A80" s="1">
        <v>1</v>
      </c>
      <c r="B80" s="1">
        <v>4</v>
      </c>
      <c r="C80" s="1" t="s">
        <v>95</v>
      </c>
      <c r="D80" s="1">
        <v>2002</v>
      </c>
      <c r="E80" s="1">
        <v>1</v>
      </c>
      <c r="F80" s="1">
        <v>0.92397711999999976</v>
      </c>
      <c r="G80" s="1">
        <v>4.6915258875187701E-2</v>
      </c>
    </row>
    <row r="81" spans="1:7" ht="15.75" customHeight="1" x14ac:dyDescent="0.25">
      <c r="A81" s="1">
        <v>1</v>
      </c>
      <c r="B81" s="1">
        <v>4</v>
      </c>
      <c r="C81" s="1" t="s">
        <v>95</v>
      </c>
      <c r="D81" s="1">
        <v>2003</v>
      </c>
      <c r="E81" s="1">
        <v>1</v>
      </c>
      <c r="F81" s="1">
        <v>0.88672483899999976</v>
      </c>
      <c r="G81" s="1">
        <v>4.5053002060648703E-2</v>
      </c>
    </row>
    <row r="82" spans="1:7" ht="15.75" customHeight="1" x14ac:dyDescent="0.25">
      <c r="A82" s="1">
        <v>1</v>
      </c>
      <c r="B82" s="1">
        <v>4</v>
      </c>
      <c r="C82" s="1" t="s">
        <v>95</v>
      </c>
      <c r="D82" s="1">
        <v>2004</v>
      </c>
      <c r="E82" s="1">
        <v>1</v>
      </c>
      <c r="F82" s="1">
        <v>0.75802395199999972</v>
      </c>
      <c r="G82" s="1">
        <v>4.7432817149281999E-2</v>
      </c>
    </row>
    <row r="83" spans="1:7" ht="15.75" customHeight="1" x14ac:dyDescent="0.25">
      <c r="A83" s="1">
        <v>1</v>
      </c>
      <c r="B83" s="1">
        <v>4</v>
      </c>
      <c r="C83" s="1" t="s">
        <v>95</v>
      </c>
      <c r="D83" s="1">
        <v>2005</v>
      </c>
      <c r="E83" s="1">
        <v>1</v>
      </c>
      <c r="F83" s="1">
        <v>0.73813467199999983</v>
      </c>
      <c r="G83" s="1">
        <v>4.4639568469101797E-2</v>
      </c>
    </row>
    <row r="84" spans="1:7" ht="15.75" customHeight="1" x14ac:dyDescent="0.25">
      <c r="A84" s="1">
        <v>1</v>
      </c>
      <c r="B84" s="1">
        <v>4</v>
      </c>
      <c r="C84" s="1" t="s">
        <v>95</v>
      </c>
      <c r="D84" s="1">
        <v>2006</v>
      </c>
      <c r="E84" s="1">
        <v>1</v>
      </c>
      <c r="F84" s="1">
        <v>0.75161665899999985</v>
      </c>
      <c r="G84" s="1">
        <v>4.7245679927303302E-2</v>
      </c>
    </row>
    <row r="85" spans="1:7" ht="15.75" customHeight="1" x14ac:dyDescent="0.25">
      <c r="A85" s="1">
        <v>1</v>
      </c>
      <c r="B85" s="1">
        <v>4</v>
      </c>
      <c r="C85" s="1" t="s">
        <v>95</v>
      </c>
      <c r="D85" s="1">
        <v>2007</v>
      </c>
      <c r="E85" s="1">
        <v>1</v>
      </c>
      <c r="F85" s="1">
        <v>0.84788422999999979</v>
      </c>
      <c r="G85" s="1">
        <v>4.2255989659841398E-2</v>
      </c>
    </row>
    <row r="86" spans="1:7" ht="15.75" customHeight="1" x14ac:dyDescent="0.25">
      <c r="A86" s="1">
        <v>1</v>
      </c>
      <c r="B86" s="1">
        <v>4</v>
      </c>
      <c r="C86" s="1" t="s">
        <v>95</v>
      </c>
      <c r="D86" s="1">
        <v>2008</v>
      </c>
      <c r="E86" s="1">
        <v>1</v>
      </c>
      <c r="F86" s="1">
        <v>0.7757302399999999</v>
      </c>
      <c r="G86" s="1">
        <v>4.2222684590433199E-2</v>
      </c>
    </row>
    <row r="87" spans="1:7" ht="15.75" customHeight="1" x14ac:dyDescent="0.25">
      <c r="A87" s="1">
        <v>1</v>
      </c>
      <c r="B87" s="1">
        <v>4</v>
      </c>
      <c r="C87" s="1" t="s">
        <v>95</v>
      </c>
      <c r="D87" s="1">
        <v>2009</v>
      </c>
      <c r="E87" s="1">
        <v>1</v>
      </c>
      <c r="F87" s="1">
        <v>0.98482013999999996</v>
      </c>
      <c r="G87" s="1">
        <v>4.2423092981228698E-2</v>
      </c>
    </row>
    <row r="88" spans="1:7" ht="15.75" customHeight="1" x14ac:dyDescent="0.25">
      <c r="A88" s="1">
        <v>1</v>
      </c>
      <c r="B88" s="1">
        <v>4</v>
      </c>
      <c r="C88" s="1" t="s">
        <v>95</v>
      </c>
      <c r="D88" s="1">
        <v>2010</v>
      </c>
      <c r="E88" s="1">
        <v>1</v>
      </c>
      <c r="F88" s="1">
        <v>1.0471994799999997</v>
      </c>
      <c r="G88" s="1">
        <v>4.6342646171541997E-2</v>
      </c>
    </row>
    <row r="89" spans="1:7" ht="15.75" customHeight="1" x14ac:dyDescent="0.25">
      <c r="A89" s="1">
        <v>1</v>
      </c>
      <c r="B89" s="1">
        <v>4</v>
      </c>
      <c r="C89" s="1" t="s">
        <v>95</v>
      </c>
      <c r="D89" s="1">
        <v>2011</v>
      </c>
      <c r="E89" s="1">
        <v>1</v>
      </c>
      <c r="F89" s="1">
        <v>1.3315243199999998</v>
      </c>
      <c r="G89" s="1">
        <v>4.0082639295461603E-2</v>
      </c>
    </row>
    <row r="90" spans="1:7" ht="15.75" customHeight="1" x14ac:dyDescent="0.25">
      <c r="A90" s="1">
        <v>1</v>
      </c>
      <c r="B90" s="1">
        <v>4</v>
      </c>
      <c r="C90" s="1" t="s">
        <v>95</v>
      </c>
      <c r="D90" s="1">
        <v>2012</v>
      </c>
      <c r="E90" s="1">
        <v>1</v>
      </c>
      <c r="F90" s="1">
        <v>1.3205639999999996</v>
      </c>
      <c r="G90" s="1">
        <v>4.1864735261983102E-2</v>
      </c>
    </row>
    <row r="91" spans="1:7" ht="15.75" customHeight="1" x14ac:dyDescent="0.25">
      <c r="A91" s="1">
        <v>1</v>
      </c>
      <c r="B91" s="1">
        <v>4</v>
      </c>
      <c r="C91" s="1" t="s">
        <v>95</v>
      </c>
      <c r="D91" s="1">
        <v>2013</v>
      </c>
      <c r="E91" s="1">
        <v>1</v>
      </c>
      <c r="F91" s="1">
        <v>1.2856758299999997</v>
      </c>
      <c r="G91" s="1">
        <v>0.169714126691766</v>
      </c>
    </row>
    <row r="92" spans="1:7" ht="15.75" customHeight="1" x14ac:dyDescent="0.25">
      <c r="A92" s="1">
        <v>1</v>
      </c>
      <c r="B92" s="1">
        <v>4</v>
      </c>
      <c r="C92" s="1" t="s">
        <v>95</v>
      </c>
      <c r="D92" s="1">
        <v>2014</v>
      </c>
      <c r="E92" s="1">
        <v>1</v>
      </c>
      <c r="F92" s="1">
        <v>1.4468479999999997</v>
      </c>
      <c r="G92" s="1">
        <v>9.5369720457646606E-2</v>
      </c>
    </row>
    <row r="93" spans="1:7" ht="15.75" customHeight="1" x14ac:dyDescent="0.25">
      <c r="A93" s="1">
        <v>1</v>
      </c>
      <c r="B93" s="1">
        <v>4</v>
      </c>
      <c r="C93" s="1" t="s">
        <v>95</v>
      </c>
      <c r="D93" s="1">
        <v>2015</v>
      </c>
      <c r="E93" s="1">
        <v>1</v>
      </c>
      <c r="F93" s="1">
        <v>1.7736409899999996</v>
      </c>
      <c r="G93" s="1">
        <v>7.7095179739025299E-2</v>
      </c>
    </row>
    <row r="94" spans="1:7" ht="15.75" customHeight="1" x14ac:dyDescent="0.25">
      <c r="A94" s="1">
        <v>1</v>
      </c>
      <c r="B94" s="1">
        <v>4</v>
      </c>
      <c r="C94" s="1" t="s">
        <v>95</v>
      </c>
      <c r="D94" s="1">
        <v>2016</v>
      </c>
      <c r="E94" s="1">
        <v>1</v>
      </c>
      <c r="F94" s="1">
        <v>1.7601738999999996</v>
      </c>
      <c r="G94" s="1">
        <v>8.0418506929916603E-2</v>
      </c>
    </row>
    <row r="95" spans="1:7" ht="15.75" customHeight="1" x14ac:dyDescent="0.25">
      <c r="A95" s="1">
        <v>1</v>
      </c>
      <c r="B95" s="1">
        <v>4</v>
      </c>
      <c r="C95" s="1" t="s">
        <v>95</v>
      </c>
      <c r="D95" s="1">
        <v>2017</v>
      </c>
      <c r="E95" s="1">
        <v>1</v>
      </c>
      <c r="F95" s="1">
        <v>1.7677804499999994</v>
      </c>
      <c r="G95" s="1">
        <v>7.0698853026702604E-2</v>
      </c>
    </row>
    <row r="96" spans="1:7" ht="15.75" customHeight="1" x14ac:dyDescent="0.25">
      <c r="A96" s="1">
        <v>1</v>
      </c>
      <c r="B96" s="1">
        <v>4</v>
      </c>
      <c r="C96" s="1" t="s">
        <v>95</v>
      </c>
      <c r="D96" s="1">
        <v>2018</v>
      </c>
      <c r="E96" s="1">
        <v>1</v>
      </c>
      <c r="F96" s="1">
        <v>2.0124595399999996</v>
      </c>
      <c r="G96" s="1">
        <v>7.5854203075401E-2</v>
      </c>
    </row>
    <row r="97" spans="1:7" ht="15.75" customHeight="1" x14ac:dyDescent="0.25">
      <c r="A97" s="1">
        <v>1</v>
      </c>
      <c r="B97" s="1">
        <v>4</v>
      </c>
      <c r="C97" s="1" t="s">
        <v>95</v>
      </c>
      <c r="D97" s="1">
        <v>2019</v>
      </c>
      <c r="E97" s="1">
        <v>1</v>
      </c>
      <c r="F97" s="1">
        <v>2.1217606199999999</v>
      </c>
      <c r="G97" s="1">
        <v>5.2223248197017798E-2</v>
      </c>
    </row>
    <row r="98" spans="1:7" ht="15.75" customHeight="1" x14ac:dyDescent="0.25">
      <c r="A98" s="1">
        <v>1</v>
      </c>
      <c r="B98" s="1">
        <v>4</v>
      </c>
      <c r="C98" s="1" t="s">
        <v>95</v>
      </c>
      <c r="D98" s="1">
        <v>2020</v>
      </c>
      <c r="E98" s="1">
        <v>1</v>
      </c>
      <c r="F98" s="1">
        <v>1.9058071999999999</v>
      </c>
      <c r="G98" s="1">
        <v>5.4505824282937702E-2</v>
      </c>
    </row>
    <row r="99" spans="1:7" ht="15.75" customHeight="1" x14ac:dyDescent="0.25">
      <c r="A99" s="1">
        <v>1</v>
      </c>
      <c r="B99" s="1">
        <v>4</v>
      </c>
      <c r="C99" s="1" t="s">
        <v>95</v>
      </c>
      <c r="D99" s="1">
        <v>2021</v>
      </c>
      <c r="E99" s="1">
        <v>1</v>
      </c>
      <c r="F99" s="1">
        <v>1.9310996199999999</v>
      </c>
      <c r="G99" s="1">
        <v>5.5284015061312801E-2</v>
      </c>
    </row>
    <row r="100" spans="1:7" ht="15.75" customHeight="1" x14ac:dyDescent="0.25">
      <c r="A100" s="1">
        <v>1</v>
      </c>
      <c r="B100" s="1">
        <v>4</v>
      </c>
      <c r="C100" s="1" t="s">
        <v>95</v>
      </c>
      <c r="D100" s="1">
        <v>2022</v>
      </c>
      <c r="E100" s="1">
        <v>1</v>
      </c>
      <c r="F100" s="1">
        <v>2.2771546599999999</v>
      </c>
      <c r="G100" s="1">
        <v>6.05934627000266E-2</v>
      </c>
    </row>
    <row r="101" spans="1:7" ht="15.75" customHeight="1" x14ac:dyDescent="0.25">
      <c r="A101" s="1">
        <v>1</v>
      </c>
      <c r="B101" s="1">
        <v>4</v>
      </c>
      <c r="C101" s="1" t="s">
        <v>95</v>
      </c>
      <c r="D101" s="1">
        <v>2023</v>
      </c>
      <c r="E101" s="1">
        <v>1</v>
      </c>
      <c r="F101" s="1">
        <v>2.6221630500000002</v>
      </c>
      <c r="G101" s="1">
        <v>8.1460254759040507E-2</v>
      </c>
    </row>
    <row r="102" spans="1:7" ht="15.75" customHeight="1" x14ac:dyDescent="0.25">
      <c r="A102" s="1">
        <v>1</v>
      </c>
      <c r="B102" s="1">
        <v>4</v>
      </c>
      <c r="C102" s="1" t="s">
        <v>95</v>
      </c>
      <c r="D102" s="1">
        <v>2024</v>
      </c>
      <c r="E102" s="1">
        <v>1</v>
      </c>
      <c r="F102" s="1">
        <v>3.0085890000000002</v>
      </c>
      <c r="G102" s="1">
        <v>4.6739904035066102E-2</v>
      </c>
    </row>
    <row r="103" spans="1:7" ht="15.75" customHeight="1" x14ac:dyDescent="0.25">
      <c r="A103" s="1">
        <v>2</v>
      </c>
      <c r="B103" s="1">
        <v>4</v>
      </c>
      <c r="C103" s="1" t="s">
        <v>79</v>
      </c>
      <c r="D103" s="1">
        <v>1990</v>
      </c>
      <c r="E103" s="1">
        <v>1</v>
      </c>
      <c r="F103" s="1">
        <v>3.7906586399999997</v>
      </c>
      <c r="G103" s="1">
        <v>4.6918473162275001E-2</v>
      </c>
    </row>
    <row r="104" spans="1:7" ht="15.75" customHeight="1" x14ac:dyDescent="0.25">
      <c r="A104" s="1">
        <v>2</v>
      </c>
      <c r="B104" s="1">
        <v>4</v>
      </c>
      <c r="C104" s="1" t="s">
        <v>79</v>
      </c>
      <c r="D104" s="1">
        <v>1991</v>
      </c>
      <c r="E104" s="1">
        <v>1</v>
      </c>
      <c r="F104" s="1">
        <v>3.9221775000000001</v>
      </c>
      <c r="G104" s="1">
        <v>5.6406866090329799E-2</v>
      </c>
    </row>
    <row r="105" spans="1:7" ht="15.75" customHeight="1" x14ac:dyDescent="0.25">
      <c r="A105" s="1">
        <v>2</v>
      </c>
      <c r="B105" s="1">
        <v>4</v>
      </c>
      <c r="C105" s="1" t="s">
        <v>79</v>
      </c>
      <c r="D105" s="1">
        <v>1992</v>
      </c>
      <c r="E105" s="1">
        <v>1</v>
      </c>
      <c r="F105" s="1">
        <v>3.7947658000000004</v>
      </c>
      <c r="G105" s="1">
        <v>4.2486780173753499E-2</v>
      </c>
    </row>
    <row r="106" spans="1:7" ht="15.75" customHeight="1" x14ac:dyDescent="0.25">
      <c r="A106" s="1">
        <v>2</v>
      </c>
      <c r="B106" s="1">
        <v>4</v>
      </c>
      <c r="C106" s="1" t="s">
        <v>79</v>
      </c>
      <c r="D106" s="1">
        <v>1993</v>
      </c>
      <c r="E106" s="1">
        <v>1</v>
      </c>
      <c r="F106" s="1">
        <v>3.4020499499999999</v>
      </c>
      <c r="G106" s="1">
        <v>5.2002786071755999E-2</v>
      </c>
    </row>
    <row r="107" spans="1:7" ht="15.75" customHeight="1" x14ac:dyDescent="0.25">
      <c r="A107" s="1">
        <v>2</v>
      </c>
      <c r="B107" s="1">
        <v>4</v>
      </c>
      <c r="C107" s="1" t="s">
        <v>79</v>
      </c>
      <c r="D107" s="1">
        <v>1994</v>
      </c>
      <c r="E107" s="1">
        <v>1</v>
      </c>
      <c r="F107" s="1">
        <v>2.9149517400000007</v>
      </c>
      <c r="G107" s="1">
        <v>4.1096620155227997E-2</v>
      </c>
    </row>
    <row r="108" spans="1:7" ht="15.75" customHeight="1" x14ac:dyDescent="0.25">
      <c r="A108" s="1">
        <v>2</v>
      </c>
      <c r="B108" s="1">
        <v>4</v>
      </c>
      <c r="C108" s="1" t="s">
        <v>79</v>
      </c>
      <c r="D108" s="1">
        <v>1995</v>
      </c>
      <c r="E108" s="1">
        <v>1</v>
      </c>
      <c r="F108" s="1">
        <v>2.3460600100000004</v>
      </c>
      <c r="G108" s="1">
        <v>5.1766617952054103E-2</v>
      </c>
    </row>
    <row r="109" spans="1:7" ht="15.75" customHeight="1" x14ac:dyDescent="0.25">
      <c r="A109" s="1">
        <v>2</v>
      </c>
      <c r="B109" s="1">
        <v>4</v>
      </c>
      <c r="C109" s="1" t="s">
        <v>79</v>
      </c>
      <c r="D109" s="1">
        <v>1996</v>
      </c>
      <c r="E109" s="1">
        <v>1</v>
      </c>
      <c r="F109" s="1">
        <v>2.4243360400000005</v>
      </c>
      <c r="G109" s="1">
        <v>6.0430532114050597E-2</v>
      </c>
    </row>
    <row r="110" spans="1:7" ht="15.75" customHeight="1" x14ac:dyDescent="0.25">
      <c r="A110" s="1">
        <v>2</v>
      </c>
      <c r="B110" s="1">
        <v>4</v>
      </c>
      <c r="C110" s="1" t="s">
        <v>79</v>
      </c>
      <c r="D110" s="1">
        <v>1997</v>
      </c>
      <c r="E110" s="1">
        <v>1</v>
      </c>
      <c r="F110" s="1">
        <v>1.8894960000000003</v>
      </c>
      <c r="G110" s="1">
        <v>4.2209277886192997E-2</v>
      </c>
    </row>
    <row r="111" spans="1:7" ht="15.75" customHeight="1" x14ac:dyDescent="0.25">
      <c r="A111" s="1">
        <v>2</v>
      </c>
      <c r="B111" s="1">
        <v>4</v>
      </c>
      <c r="C111" s="1" t="s">
        <v>79</v>
      </c>
      <c r="D111" s="1">
        <v>1998</v>
      </c>
      <c r="E111" s="1">
        <v>1</v>
      </c>
      <c r="F111" s="1">
        <v>1.7933954500000002</v>
      </c>
      <c r="G111" s="1">
        <v>4.7571195085031298E-2</v>
      </c>
    </row>
    <row r="112" spans="1:7" ht="15.75" customHeight="1" x14ac:dyDescent="0.25">
      <c r="A112" s="1">
        <v>2</v>
      </c>
      <c r="B112" s="1">
        <v>4</v>
      </c>
      <c r="C112" s="1" t="s">
        <v>79</v>
      </c>
      <c r="D112" s="1">
        <v>1999</v>
      </c>
      <c r="E112" s="1">
        <v>1</v>
      </c>
      <c r="F112" s="1">
        <v>1.7833081800000004</v>
      </c>
      <c r="G112" s="1">
        <v>5.0189103152307998E-2</v>
      </c>
    </row>
    <row r="113" spans="1:7" ht="15.75" customHeight="1" x14ac:dyDescent="0.25">
      <c r="A113" s="1">
        <v>2</v>
      </c>
      <c r="B113" s="1">
        <v>4</v>
      </c>
      <c r="C113" s="1" t="s">
        <v>79</v>
      </c>
      <c r="D113" s="1">
        <v>2000</v>
      </c>
      <c r="E113" s="1">
        <v>1</v>
      </c>
      <c r="F113" s="1">
        <v>1.7872095000000003</v>
      </c>
      <c r="G113" s="1">
        <v>5.2407393249629002E-2</v>
      </c>
    </row>
    <row r="114" spans="1:7" ht="15.75" customHeight="1" x14ac:dyDescent="0.25">
      <c r="A114" s="1">
        <v>2</v>
      </c>
      <c r="B114" s="1">
        <v>4</v>
      </c>
      <c r="C114" s="1" t="s">
        <v>79</v>
      </c>
      <c r="D114" s="1">
        <v>2001</v>
      </c>
      <c r="E114" s="1">
        <v>1</v>
      </c>
      <c r="F114" s="1">
        <v>1.6214037300000004</v>
      </c>
      <c r="G114" s="1">
        <v>6.0841184260585303E-2</v>
      </c>
    </row>
    <row r="115" spans="1:7" ht="15.75" customHeight="1" x14ac:dyDescent="0.25">
      <c r="A115" s="1">
        <v>2</v>
      </c>
      <c r="B115" s="1">
        <v>4</v>
      </c>
      <c r="C115" s="1" t="s">
        <v>79</v>
      </c>
      <c r="D115" s="1">
        <v>2002</v>
      </c>
      <c r="E115" s="1">
        <v>1</v>
      </c>
      <c r="F115" s="1">
        <v>1.4882458830000003</v>
      </c>
      <c r="G115" s="1">
        <v>5.4903516297552399E-2</v>
      </c>
    </row>
    <row r="116" spans="1:7" ht="15.75" customHeight="1" x14ac:dyDescent="0.25">
      <c r="A116" s="1">
        <v>2</v>
      </c>
      <c r="B116" s="1">
        <v>4</v>
      </c>
      <c r="C116" s="1" t="s">
        <v>79</v>
      </c>
      <c r="D116" s="1">
        <v>2003</v>
      </c>
      <c r="E116" s="1">
        <v>1</v>
      </c>
      <c r="F116" s="1">
        <v>1.2844075920000002</v>
      </c>
      <c r="G116" s="1">
        <v>4.9594687936842297E-2</v>
      </c>
    </row>
    <row r="117" spans="1:7" ht="15.75" customHeight="1" x14ac:dyDescent="0.25">
      <c r="A117" s="1">
        <v>2</v>
      </c>
      <c r="B117" s="1">
        <v>4</v>
      </c>
      <c r="C117" s="1" t="s">
        <v>79</v>
      </c>
      <c r="D117" s="1">
        <v>2004</v>
      </c>
      <c r="E117" s="1">
        <v>1</v>
      </c>
      <c r="F117" s="1">
        <v>1.1338968610000002</v>
      </c>
      <c r="G117" s="1">
        <v>8.8068215678685197E-2</v>
      </c>
    </row>
    <row r="118" spans="1:7" ht="15.75" customHeight="1" x14ac:dyDescent="0.25">
      <c r="A118" s="1">
        <v>2</v>
      </c>
      <c r="B118" s="1">
        <v>4</v>
      </c>
      <c r="C118" s="1" t="s">
        <v>79</v>
      </c>
      <c r="D118" s="1">
        <v>2005</v>
      </c>
      <c r="E118" s="1">
        <v>1</v>
      </c>
      <c r="F118" s="1">
        <v>1.1676218400000002</v>
      </c>
      <c r="G118" s="1">
        <v>5.02500079944561E-2</v>
      </c>
    </row>
    <row r="119" spans="1:7" ht="15.75" customHeight="1" x14ac:dyDescent="0.25">
      <c r="A119" s="1">
        <v>2</v>
      </c>
      <c r="B119" s="1">
        <v>4</v>
      </c>
      <c r="C119" s="1" t="s">
        <v>79</v>
      </c>
      <c r="D119" s="1">
        <v>2006</v>
      </c>
      <c r="E119" s="1">
        <v>1</v>
      </c>
      <c r="F119" s="1">
        <v>1.1161994220000002</v>
      </c>
      <c r="G119" s="1">
        <v>3.3711693691544101E-2</v>
      </c>
    </row>
    <row r="120" spans="1:7" ht="15.75" customHeight="1" x14ac:dyDescent="0.25">
      <c r="A120" s="1">
        <v>2</v>
      </c>
      <c r="B120" s="1">
        <v>4</v>
      </c>
      <c r="C120" s="1" t="s">
        <v>79</v>
      </c>
      <c r="D120" s="1">
        <v>2007</v>
      </c>
      <c r="E120" s="1">
        <v>1</v>
      </c>
      <c r="F120" s="1">
        <v>1.118457072</v>
      </c>
      <c r="G120" s="1">
        <v>6.6513019555693595E-2</v>
      </c>
    </row>
    <row r="121" spans="1:7" ht="15.75" customHeight="1" x14ac:dyDescent="0.25">
      <c r="A121" s="1">
        <v>2</v>
      </c>
      <c r="B121" s="1">
        <v>4</v>
      </c>
      <c r="C121" s="1" t="s">
        <v>79</v>
      </c>
      <c r="D121" s="1">
        <v>2008</v>
      </c>
      <c r="E121" s="1">
        <v>1</v>
      </c>
      <c r="F121" s="1">
        <v>1.2847554360000002</v>
      </c>
      <c r="G121" s="1">
        <v>6.9983363286163697E-2</v>
      </c>
    </row>
    <row r="122" spans="1:7" ht="15.75" customHeight="1" x14ac:dyDescent="0.25">
      <c r="A122" s="1">
        <v>2</v>
      </c>
      <c r="B122" s="1">
        <v>4</v>
      </c>
      <c r="C122" s="1" t="s">
        <v>79</v>
      </c>
      <c r="D122" s="1">
        <v>2009</v>
      </c>
      <c r="E122" s="1">
        <v>1</v>
      </c>
      <c r="F122" s="1">
        <v>1.4837388320000002</v>
      </c>
      <c r="G122" s="1">
        <v>7.9064498720030699E-2</v>
      </c>
    </row>
    <row r="123" spans="1:7" ht="15.75" customHeight="1" x14ac:dyDescent="0.25">
      <c r="A123" s="1">
        <v>2</v>
      </c>
      <c r="B123" s="1">
        <v>4</v>
      </c>
      <c r="C123" s="1" t="s">
        <v>79</v>
      </c>
      <c r="D123" s="1">
        <v>2010</v>
      </c>
      <c r="E123" s="1">
        <v>1</v>
      </c>
      <c r="F123" s="1">
        <v>1.6550883440000004</v>
      </c>
      <c r="G123" s="1">
        <v>6.20882147164298E-2</v>
      </c>
    </row>
    <row r="124" spans="1:7" ht="15.75" customHeight="1" x14ac:dyDescent="0.25">
      <c r="A124" s="1">
        <v>2</v>
      </c>
      <c r="B124" s="1">
        <v>4</v>
      </c>
      <c r="C124" s="1" t="s">
        <v>79</v>
      </c>
      <c r="D124" s="1">
        <v>2011</v>
      </c>
      <c r="E124" s="1">
        <v>1</v>
      </c>
      <c r="F124" s="1">
        <v>1.8617709670000004</v>
      </c>
      <c r="G124" s="1">
        <v>4.3842240720928898E-2</v>
      </c>
    </row>
    <row r="125" spans="1:7" ht="15.75" customHeight="1" x14ac:dyDescent="0.25">
      <c r="A125" s="1">
        <v>2</v>
      </c>
      <c r="B125" s="1">
        <v>4</v>
      </c>
      <c r="C125" s="1" t="s">
        <v>79</v>
      </c>
      <c r="D125" s="1">
        <v>2012</v>
      </c>
      <c r="E125" s="1">
        <v>1</v>
      </c>
      <c r="F125" s="1">
        <v>1.9069293000000003</v>
      </c>
      <c r="G125" s="1">
        <v>5.6313437705257902E-2</v>
      </c>
    </row>
    <row r="126" spans="1:7" ht="15.75" customHeight="1" x14ac:dyDescent="0.25">
      <c r="A126" s="1">
        <v>2</v>
      </c>
      <c r="B126" s="1">
        <v>4</v>
      </c>
      <c r="C126" s="1" t="s">
        <v>79</v>
      </c>
      <c r="D126" s="1">
        <v>2013</v>
      </c>
      <c r="E126" s="1">
        <v>1</v>
      </c>
      <c r="F126" s="1">
        <v>1.9969332000000004</v>
      </c>
      <c r="G126" s="1">
        <v>3.3339689687738101E-2</v>
      </c>
    </row>
    <row r="127" spans="1:7" ht="15.75" customHeight="1" x14ac:dyDescent="0.25">
      <c r="A127" s="1">
        <v>2</v>
      </c>
      <c r="B127" s="1">
        <v>4</v>
      </c>
      <c r="C127" s="1" t="s">
        <v>79</v>
      </c>
      <c r="D127" s="1">
        <v>2014</v>
      </c>
      <c r="E127" s="1">
        <v>1</v>
      </c>
      <c r="F127" s="1">
        <v>2.2313577000000002</v>
      </c>
      <c r="G127" s="1">
        <v>4.3303235598535002E-2</v>
      </c>
    </row>
    <row r="128" spans="1:7" ht="15.75" customHeight="1" x14ac:dyDescent="0.25">
      <c r="A128" s="1">
        <v>2</v>
      </c>
      <c r="B128" s="1">
        <v>4</v>
      </c>
      <c r="C128" s="1" t="s">
        <v>79</v>
      </c>
      <c r="D128" s="1">
        <v>2015</v>
      </c>
      <c r="E128" s="1">
        <v>1</v>
      </c>
      <c r="F128" s="1">
        <v>2.4453840000000002</v>
      </c>
      <c r="G128" s="1">
        <v>3.99607547695685E-2</v>
      </c>
    </row>
    <row r="129" spans="1:7" ht="15.75" customHeight="1" x14ac:dyDescent="0.25">
      <c r="A129" s="1">
        <v>2</v>
      </c>
      <c r="B129" s="1">
        <v>4</v>
      </c>
      <c r="C129" s="1" t="s">
        <v>79</v>
      </c>
      <c r="D129" s="1">
        <v>2016</v>
      </c>
      <c r="E129" s="1">
        <v>1</v>
      </c>
      <c r="F129" s="1">
        <v>2.8272267400000008</v>
      </c>
      <c r="G129" s="1">
        <v>3.5802622851338797E-2</v>
      </c>
    </row>
    <row r="130" spans="1:7" ht="15.75" customHeight="1" x14ac:dyDescent="0.25">
      <c r="A130" s="1">
        <v>2</v>
      </c>
      <c r="B130" s="1">
        <v>4</v>
      </c>
      <c r="C130" s="1" t="s">
        <v>79</v>
      </c>
      <c r="D130" s="1">
        <v>2017</v>
      </c>
      <c r="E130" s="1">
        <v>1</v>
      </c>
      <c r="F130" s="1">
        <v>3.0989074800000007</v>
      </c>
      <c r="G130" s="1">
        <v>3.6764674782380997E-2</v>
      </c>
    </row>
    <row r="131" spans="1:7" ht="15.75" customHeight="1" x14ac:dyDescent="0.25">
      <c r="A131" s="1">
        <v>2</v>
      </c>
      <c r="B131" s="1">
        <v>4</v>
      </c>
      <c r="C131" s="1" t="s">
        <v>79</v>
      </c>
      <c r="D131" s="1">
        <v>2018</v>
      </c>
      <c r="E131" s="1">
        <v>1</v>
      </c>
      <c r="F131" s="1">
        <v>3.3626257100000005</v>
      </c>
      <c r="G131" s="1">
        <v>5.4469226590281798E-2</v>
      </c>
    </row>
    <row r="132" spans="1:7" ht="15.75" customHeight="1" x14ac:dyDescent="0.25">
      <c r="A132" s="1">
        <v>2</v>
      </c>
      <c r="B132" s="1">
        <v>4</v>
      </c>
      <c r="C132" s="1" t="s">
        <v>79</v>
      </c>
      <c r="D132" s="1">
        <v>2019</v>
      </c>
      <c r="E132" s="1">
        <v>1</v>
      </c>
      <c r="F132" s="1">
        <v>3.5573012700000008</v>
      </c>
      <c r="G132" s="1">
        <v>3.3870024725059102E-2</v>
      </c>
    </row>
    <row r="133" spans="1:7" ht="15.75" customHeight="1" x14ac:dyDescent="0.25">
      <c r="A133" s="1">
        <v>2</v>
      </c>
      <c r="B133" s="1">
        <v>4</v>
      </c>
      <c r="C133" s="1" t="s">
        <v>79</v>
      </c>
      <c r="D133" s="1">
        <v>2020</v>
      </c>
      <c r="E133" s="1">
        <v>1</v>
      </c>
      <c r="F133" s="1">
        <v>3.5575076800000005</v>
      </c>
      <c r="G133" s="1">
        <v>6.2567892238757597E-2</v>
      </c>
    </row>
    <row r="134" spans="1:7" ht="15.75" customHeight="1" x14ac:dyDescent="0.25">
      <c r="A134" s="1">
        <v>2</v>
      </c>
      <c r="B134" s="1">
        <v>4</v>
      </c>
      <c r="C134" s="1" t="s">
        <v>79</v>
      </c>
      <c r="D134" s="1">
        <v>2021</v>
      </c>
      <c r="E134" s="1">
        <v>1</v>
      </c>
      <c r="F134" s="1">
        <v>3.7728528600000009</v>
      </c>
      <c r="G134" s="1">
        <v>5.99547434482108E-2</v>
      </c>
    </row>
    <row r="135" spans="1:7" ht="15.75" customHeight="1" x14ac:dyDescent="0.25">
      <c r="A135" s="1">
        <v>2</v>
      </c>
      <c r="B135" s="1">
        <v>4</v>
      </c>
      <c r="C135" s="1" t="s">
        <v>79</v>
      </c>
      <c r="D135" s="1">
        <v>2022</v>
      </c>
      <c r="E135" s="1">
        <v>1</v>
      </c>
      <c r="F135" s="1">
        <v>4.2755107200000015</v>
      </c>
      <c r="G135" s="1">
        <v>4.79301780461776E-2</v>
      </c>
    </row>
    <row r="136" spans="1:7" ht="15.75" customHeight="1" x14ac:dyDescent="0.25">
      <c r="A136" s="1">
        <v>2</v>
      </c>
      <c r="B136" s="1">
        <v>4</v>
      </c>
      <c r="C136" s="1" t="s">
        <v>79</v>
      </c>
      <c r="D136" s="1">
        <v>2023</v>
      </c>
      <c r="E136" s="1">
        <v>1</v>
      </c>
      <c r="F136" s="1">
        <v>4.5996721500000008</v>
      </c>
      <c r="G136" s="1">
        <v>8.6979491117995203E-2</v>
      </c>
    </row>
    <row r="137" spans="1:7" ht="15.75" customHeight="1" x14ac:dyDescent="0.25">
      <c r="A137" s="1">
        <v>2</v>
      </c>
      <c r="B137" s="1">
        <v>4</v>
      </c>
      <c r="C137" s="1" t="s">
        <v>79</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activeCell="L13" sqref="L13"/>
    </sheetView>
  </sheetViews>
  <sheetFormatPr defaultColWidth="14.42578125" defaultRowHeight="15" customHeight="1" x14ac:dyDescent="0.25"/>
  <cols>
    <col min="1" max="66" width="11.42578125" customWidth="1"/>
  </cols>
  <sheetData>
    <row r="1" spans="1:66" ht="22.5" customHeight="1" x14ac:dyDescent="0.25">
      <c r="A1" s="11" t="s">
        <v>417</v>
      </c>
      <c r="B1" s="12"/>
      <c r="C1" s="12"/>
      <c r="D1" s="12"/>
      <c r="E1" s="12"/>
      <c r="F1" s="12"/>
      <c r="G1" s="12"/>
      <c r="H1" s="12"/>
      <c r="I1" s="12"/>
      <c r="J1" s="12"/>
      <c r="K1" s="12"/>
      <c r="L1" s="12"/>
      <c r="M1" s="12"/>
      <c r="N1" s="12"/>
      <c r="O1" s="12"/>
      <c r="P1" s="12"/>
      <c r="Q1" s="12"/>
      <c r="R1" s="12"/>
      <c r="S1" s="12"/>
      <c r="T1" s="12"/>
      <c r="U1" s="13"/>
    </row>
    <row r="2" spans="1:66" x14ac:dyDescent="0.25">
      <c r="A2" s="6" t="s">
        <v>182</v>
      </c>
      <c r="B2" s="1" t="s">
        <v>169</v>
      </c>
      <c r="C2" s="1" t="s">
        <v>165</v>
      </c>
      <c r="D2" s="1" t="s">
        <v>171</v>
      </c>
      <c r="E2" s="1" t="s">
        <v>188</v>
      </c>
      <c r="F2" s="1" t="s">
        <v>189</v>
      </c>
      <c r="G2" s="1" t="s">
        <v>190</v>
      </c>
      <c r="H2" s="1" t="s">
        <v>191</v>
      </c>
      <c r="I2" s="1" t="s">
        <v>192</v>
      </c>
      <c r="J2" s="1" t="s">
        <v>193</v>
      </c>
      <c r="K2" s="1" t="s">
        <v>194</v>
      </c>
      <c r="L2" s="1" t="s">
        <v>195</v>
      </c>
      <c r="M2" s="1" t="s">
        <v>196</v>
      </c>
      <c r="N2" s="1" t="s">
        <v>197</v>
      </c>
      <c r="O2" s="1" t="s">
        <v>198</v>
      </c>
      <c r="P2" s="1" t="s">
        <v>199</v>
      </c>
      <c r="Q2" s="1" t="s">
        <v>200</v>
      </c>
      <c r="R2" s="1" t="s">
        <v>201</v>
      </c>
      <c r="S2" s="1" t="s">
        <v>202</v>
      </c>
      <c r="T2" s="1" t="s">
        <v>203</v>
      </c>
      <c r="U2" s="1" t="s">
        <v>204</v>
      </c>
      <c r="V2" s="1" t="s">
        <v>205</v>
      </c>
      <c r="W2" s="1" t="s">
        <v>206</v>
      </c>
      <c r="X2" s="1" t="s">
        <v>207</v>
      </c>
      <c r="Y2" s="1" t="s">
        <v>208</v>
      </c>
      <c r="Z2" s="1" t="s">
        <v>209</v>
      </c>
      <c r="AA2" s="1" t="s">
        <v>210</v>
      </c>
      <c r="AB2" s="1" t="s">
        <v>211</v>
      </c>
      <c r="AC2" s="1" t="s">
        <v>212</v>
      </c>
      <c r="AD2" s="1" t="s">
        <v>213</v>
      </c>
      <c r="AE2" s="1" t="s">
        <v>214</v>
      </c>
      <c r="AF2" s="1" t="s">
        <v>215</v>
      </c>
      <c r="AG2" s="1" t="s">
        <v>216</v>
      </c>
      <c r="AH2" s="1" t="s">
        <v>217</v>
      </c>
      <c r="AI2" s="1" t="s">
        <v>218</v>
      </c>
      <c r="AJ2" s="1" t="s">
        <v>219</v>
      </c>
      <c r="AK2" s="1" t="s">
        <v>220</v>
      </c>
      <c r="AL2" s="1" t="s">
        <v>221</v>
      </c>
      <c r="AM2" s="1" t="s">
        <v>222</v>
      </c>
      <c r="AN2" s="1" t="s">
        <v>223</v>
      </c>
      <c r="AO2" s="1" t="s">
        <v>224</v>
      </c>
      <c r="AP2" s="1" t="s">
        <v>225</v>
      </c>
      <c r="AQ2" s="1" t="s">
        <v>226</v>
      </c>
      <c r="AR2" s="1" t="s">
        <v>227</v>
      </c>
      <c r="AS2" s="1" t="s">
        <v>228</v>
      </c>
      <c r="AT2" s="1" t="s">
        <v>229</v>
      </c>
      <c r="AU2" s="1"/>
      <c r="AV2" s="1"/>
      <c r="AW2" s="1"/>
      <c r="AX2" s="1"/>
      <c r="AY2" s="1"/>
      <c r="AZ2" s="1"/>
      <c r="BA2" s="1"/>
      <c r="BB2" s="1"/>
      <c r="BC2" s="1"/>
      <c r="BD2" s="1"/>
      <c r="BE2" s="1"/>
      <c r="BF2" s="1"/>
      <c r="BG2" s="1"/>
      <c r="BH2" s="1"/>
      <c r="BI2" s="1"/>
      <c r="BJ2" s="1"/>
      <c r="BK2" s="1"/>
      <c r="BL2" s="1"/>
      <c r="BM2" s="1"/>
      <c r="BN2" s="1"/>
    </row>
    <row r="3" spans="1:66" x14ac:dyDescent="0.25">
      <c r="A3" s="1">
        <v>2</v>
      </c>
      <c r="B3" s="1" t="s">
        <v>95</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95</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95</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95</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95</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95</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95</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95</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95</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95</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95</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95</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95</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95</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95</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95</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95</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95</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95</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95</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95</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95</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95</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95</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95</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95</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95</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95</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95</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95</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95</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95</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95</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95</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95</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95</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95</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95</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79</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79</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79</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79</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79</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79</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79</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79</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79</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79</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79</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79</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79</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79</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79</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79</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79</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79</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79</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79</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79</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79</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79</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79</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79</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79</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79</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79</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79</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79</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79</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79</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79</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79</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79</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79</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79</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79</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95</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95</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95</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95</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95</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95</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95</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95</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95</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95</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95</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95</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95</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95</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95</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95</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95</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95</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95</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95</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95</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95</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95</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95</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95</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95</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95</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95</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95</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95</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95</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95</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95</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95</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95</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79</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79</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79</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79</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79</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79</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79</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79</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79</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79</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79</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79</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79</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79</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79</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79</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79</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79</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79</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79</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79</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79</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79</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79</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79</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79</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79</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79</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79</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79</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79</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79</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79</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79</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79</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B7" sqref="B7"/>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1" t="s">
        <v>419</v>
      </c>
      <c r="B1" s="12"/>
      <c r="C1" s="12"/>
      <c r="D1" s="12"/>
      <c r="E1" s="12"/>
      <c r="F1" s="12"/>
      <c r="G1" s="12"/>
      <c r="H1" s="12"/>
      <c r="I1" s="12"/>
      <c r="J1" s="12"/>
      <c r="K1" s="12"/>
      <c r="L1" s="12"/>
      <c r="M1" s="12"/>
      <c r="N1" s="12"/>
      <c r="O1" s="12"/>
      <c r="P1" s="12"/>
      <c r="Q1" s="12"/>
      <c r="R1" s="12"/>
      <c r="S1" s="12"/>
      <c r="T1" s="12"/>
      <c r="U1" s="13"/>
    </row>
    <row r="2" spans="1:21" x14ac:dyDescent="0.25">
      <c r="A2" s="1" t="s">
        <v>107</v>
      </c>
      <c r="B2" s="1" t="s">
        <v>66</v>
      </c>
      <c r="C2" s="1" t="s">
        <v>108</v>
      </c>
      <c r="D2" s="1" t="s">
        <v>109</v>
      </c>
      <c r="E2" s="1" t="s">
        <v>110</v>
      </c>
      <c r="F2" s="1" t="s">
        <v>407</v>
      </c>
      <c r="G2" s="1" t="s">
        <v>111</v>
      </c>
      <c r="H2" s="1" t="s">
        <v>112</v>
      </c>
      <c r="I2" s="1" t="s">
        <v>113</v>
      </c>
    </row>
    <row r="3" spans="1:21" x14ac:dyDescent="0.25">
      <c r="A3" s="1">
        <v>1</v>
      </c>
      <c r="B3" s="1">
        <v>0</v>
      </c>
      <c r="C3" s="1">
        <v>5</v>
      </c>
      <c r="D3" s="1">
        <v>0</v>
      </c>
      <c r="E3" s="1">
        <v>3</v>
      </c>
      <c r="F3" s="1">
        <v>1</v>
      </c>
      <c r="G3" s="1">
        <v>1</v>
      </c>
      <c r="H3" s="1">
        <v>0.25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J15" sqref="J15"/>
    </sheetView>
  </sheetViews>
  <sheetFormatPr defaultColWidth="14.42578125" defaultRowHeight="15" customHeight="1" x14ac:dyDescent="0.25"/>
  <cols>
    <col min="1" max="26" width="11.42578125" customWidth="1"/>
  </cols>
  <sheetData>
    <row r="1" spans="1:20" x14ac:dyDescent="0.25">
      <c r="A1" s="11" t="s">
        <v>420</v>
      </c>
      <c r="B1" s="12"/>
      <c r="C1" s="12"/>
      <c r="D1" s="12"/>
      <c r="E1" s="12"/>
      <c r="F1" s="12"/>
      <c r="G1" s="12"/>
      <c r="H1" s="12"/>
      <c r="I1" s="12"/>
      <c r="J1" s="12"/>
      <c r="K1" s="12"/>
      <c r="L1" s="12"/>
      <c r="M1" s="12"/>
      <c r="N1" s="12"/>
      <c r="O1" s="12"/>
      <c r="P1" s="12"/>
      <c r="Q1" s="12"/>
      <c r="R1" s="12"/>
      <c r="S1" s="12"/>
      <c r="T1" s="13"/>
    </row>
    <row r="2" spans="1:20" x14ac:dyDescent="0.25">
      <c r="A2" s="1" t="s">
        <v>90</v>
      </c>
      <c r="B2" s="1" t="s">
        <v>114</v>
      </c>
      <c r="C2" s="1" t="s">
        <v>35</v>
      </c>
      <c r="D2" s="1" t="s">
        <v>230</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7" sqref="L7"/>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421</v>
      </c>
      <c r="B1" s="15"/>
      <c r="C1" s="15"/>
      <c r="D1" s="15"/>
      <c r="E1" s="15"/>
      <c r="F1" s="15"/>
      <c r="G1" s="15"/>
      <c r="H1" s="15"/>
      <c r="I1" s="15"/>
      <c r="J1" s="15"/>
      <c r="K1" s="15"/>
      <c r="L1" s="15"/>
      <c r="M1" s="15"/>
      <c r="N1" s="15"/>
      <c r="O1" s="15"/>
      <c r="P1" s="15"/>
      <c r="Q1" s="15"/>
      <c r="R1" s="15"/>
      <c r="S1" s="15"/>
      <c r="T1" s="15"/>
      <c r="U1" s="15"/>
      <c r="V1" s="15"/>
      <c r="W1" s="15"/>
    </row>
    <row r="2" spans="1:38" x14ac:dyDescent="0.25">
      <c r="A2" s="1" t="s">
        <v>84</v>
      </c>
      <c r="B2" s="1" t="s">
        <v>40</v>
      </c>
      <c r="C2" s="1" t="s">
        <v>41</v>
      </c>
      <c r="D2" s="1" t="s">
        <v>85</v>
      </c>
      <c r="E2" s="1" t="s">
        <v>86</v>
      </c>
      <c r="F2" s="1" t="s">
        <v>87</v>
      </c>
      <c r="G2" s="1" t="s">
        <v>88</v>
      </c>
      <c r="H2" s="1" t="s">
        <v>89</v>
      </c>
      <c r="I2" s="1" t="s">
        <v>71</v>
      </c>
      <c r="J2" s="1" t="s">
        <v>72</v>
      </c>
      <c r="K2" s="1" t="s">
        <v>73</v>
      </c>
      <c r="L2" s="1" t="s">
        <v>37</v>
      </c>
      <c r="M2" s="1" t="s">
        <v>75</v>
      </c>
      <c r="N2" s="1" t="s">
        <v>90</v>
      </c>
      <c r="O2" s="1" t="s">
        <v>91</v>
      </c>
      <c r="P2" s="1" t="s">
        <v>92</v>
      </c>
      <c r="Q2" s="1" t="s">
        <v>93</v>
      </c>
      <c r="R2" s="1" t="s">
        <v>94</v>
      </c>
      <c r="AG2" s="1"/>
      <c r="AH2" s="1"/>
      <c r="AI2" s="1"/>
      <c r="AJ2" s="1"/>
      <c r="AK2" s="1"/>
      <c r="AL2" s="1"/>
    </row>
    <row r="3" spans="1:38" x14ac:dyDescent="0.25">
      <c r="A3" s="1">
        <v>0</v>
      </c>
      <c r="B3" s="1" t="s">
        <v>95</v>
      </c>
      <c r="C3" s="1" t="s">
        <v>96</v>
      </c>
      <c r="D3" s="1">
        <v>50</v>
      </c>
      <c r="E3" s="1">
        <v>80</v>
      </c>
      <c r="F3" s="1">
        <v>65</v>
      </c>
      <c r="G3" s="1">
        <v>2</v>
      </c>
      <c r="H3" s="1">
        <v>0</v>
      </c>
      <c r="I3" s="1">
        <v>1</v>
      </c>
      <c r="J3" s="1">
        <v>70</v>
      </c>
      <c r="K3" s="1">
        <f t="shared" ref="K3:K4" si="0">J3*0.05</f>
        <v>3.5</v>
      </c>
      <c r="L3" s="1" t="s">
        <v>408</v>
      </c>
      <c r="M3" s="1" t="s">
        <v>98</v>
      </c>
      <c r="N3" s="1">
        <v>1970</v>
      </c>
      <c r="O3" s="1">
        <v>1</v>
      </c>
      <c r="P3" s="1">
        <v>1</v>
      </c>
      <c r="Q3" s="1">
        <v>1</v>
      </c>
      <c r="R3" s="1">
        <v>0</v>
      </c>
      <c r="AG3" s="1"/>
      <c r="AH3" s="1"/>
      <c r="AI3" s="1"/>
      <c r="AJ3" s="1"/>
      <c r="AK3" s="1"/>
      <c r="AL3" s="1"/>
    </row>
    <row r="4" spans="1:38" x14ac:dyDescent="0.25">
      <c r="A4" s="1">
        <v>0</v>
      </c>
      <c r="B4" s="1" t="s">
        <v>95</v>
      </c>
      <c r="C4" s="1" t="s">
        <v>99</v>
      </c>
      <c r="D4" s="1">
        <v>0.01</v>
      </c>
      <c r="E4" s="1">
        <v>2</v>
      </c>
      <c r="F4" s="1">
        <v>1.5</v>
      </c>
      <c r="G4" s="1">
        <v>2</v>
      </c>
      <c r="H4" s="1">
        <v>0</v>
      </c>
      <c r="I4" s="1">
        <v>0</v>
      </c>
      <c r="J4" s="1">
        <v>1.5</v>
      </c>
      <c r="K4" s="1">
        <f t="shared" si="0"/>
        <v>7.5000000000000011E-2</v>
      </c>
      <c r="L4" s="1" t="s">
        <v>408</v>
      </c>
      <c r="M4" s="1" t="s">
        <v>98</v>
      </c>
      <c r="N4" s="1">
        <v>1971</v>
      </c>
      <c r="O4" s="1">
        <v>1</v>
      </c>
      <c r="P4" s="1">
        <v>1</v>
      </c>
      <c r="Q4" s="1">
        <v>1</v>
      </c>
      <c r="R4" s="1">
        <v>0</v>
      </c>
      <c r="AG4" s="1"/>
      <c r="AH4" s="1"/>
      <c r="AI4" s="1"/>
      <c r="AJ4" s="1"/>
      <c r="AK4" s="1"/>
      <c r="AL4" s="1"/>
    </row>
    <row r="5" spans="1:38" x14ac:dyDescent="0.25">
      <c r="A5" s="1">
        <v>0</v>
      </c>
      <c r="B5" s="1" t="s">
        <v>79</v>
      </c>
      <c r="C5" s="1" t="s">
        <v>96</v>
      </c>
      <c r="D5" s="1">
        <v>50</v>
      </c>
      <c r="E5" s="1">
        <v>80</v>
      </c>
      <c r="F5" s="1">
        <v>65</v>
      </c>
      <c r="G5" s="1">
        <v>2</v>
      </c>
      <c r="H5" s="1">
        <v>0</v>
      </c>
      <c r="I5" s="1">
        <v>1</v>
      </c>
      <c r="J5" s="1">
        <v>70</v>
      </c>
      <c r="K5" s="1">
        <v>5</v>
      </c>
      <c r="L5" s="1" t="s">
        <v>97</v>
      </c>
      <c r="M5" s="1" t="s">
        <v>102</v>
      </c>
      <c r="N5" s="1">
        <v>1972</v>
      </c>
      <c r="O5" s="1">
        <v>1</v>
      </c>
      <c r="P5" s="1">
        <v>1</v>
      </c>
      <c r="Q5" s="1">
        <v>1</v>
      </c>
      <c r="R5" s="1">
        <v>0</v>
      </c>
      <c r="AG5" s="1"/>
      <c r="AH5" s="1"/>
      <c r="AI5" s="1"/>
      <c r="AJ5" s="1"/>
      <c r="AK5" s="1"/>
      <c r="AL5" s="1"/>
    </row>
    <row r="6" spans="1:38" x14ac:dyDescent="0.25">
      <c r="A6" s="1">
        <v>0</v>
      </c>
      <c r="B6" s="1" t="s">
        <v>79</v>
      </c>
      <c r="C6" s="1" t="s">
        <v>99</v>
      </c>
      <c r="D6" s="1">
        <v>0.01</v>
      </c>
      <c r="E6" s="1">
        <v>2</v>
      </c>
      <c r="F6" s="1">
        <v>1.5</v>
      </c>
      <c r="G6" s="1">
        <v>2</v>
      </c>
      <c r="H6" s="1">
        <v>0</v>
      </c>
      <c r="I6" s="1">
        <v>0</v>
      </c>
      <c r="J6" s="1">
        <v>1.5</v>
      </c>
      <c r="K6" s="1">
        <f t="shared" ref="K6" si="1">J6*0.05</f>
        <v>7.5000000000000011E-2</v>
      </c>
      <c r="L6" s="1" t="s">
        <v>97</v>
      </c>
      <c r="M6" s="1" t="s">
        <v>102</v>
      </c>
      <c r="N6" s="1">
        <v>1973</v>
      </c>
      <c r="O6" s="1">
        <v>1</v>
      </c>
      <c r="P6" s="1">
        <v>1</v>
      </c>
      <c r="Q6" s="1">
        <v>1</v>
      </c>
      <c r="R6" s="1">
        <v>0</v>
      </c>
      <c r="AG6" s="1"/>
      <c r="AH6" s="1"/>
      <c r="AI6" s="1"/>
      <c r="AJ6" s="1"/>
      <c r="AK6" s="1"/>
      <c r="AL6" s="1"/>
    </row>
    <row r="7" spans="1:38" x14ac:dyDescent="0.25">
      <c r="A7" s="1">
        <v>0</v>
      </c>
      <c r="B7" s="1" t="s">
        <v>79</v>
      </c>
      <c r="C7" s="1" t="s">
        <v>100</v>
      </c>
      <c r="D7" s="1">
        <v>75</v>
      </c>
      <c r="E7" s="1">
        <v>150</v>
      </c>
      <c r="F7" s="1">
        <v>120</v>
      </c>
      <c r="G7" s="1">
        <v>2</v>
      </c>
      <c r="H7" s="1">
        <v>0</v>
      </c>
      <c r="I7" s="1">
        <v>1</v>
      </c>
      <c r="J7" s="1">
        <v>130</v>
      </c>
      <c r="K7" s="1">
        <v>10</v>
      </c>
      <c r="L7" s="1" t="s">
        <v>97</v>
      </c>
      <c r="M7" s="1" t="s">
        <v>102</v>
      </c>
      <c r="N7" s="1">
        <v>1974</v>
      </c>
      <c r="O7" s="1">
        <v>1</v>
      </c>
      <c r="P7" s="1">
        <v>1</v>
      </c>
      <c r="Q7" s="1">
        <v>1</v>
      </c>
      <c r="R7" s="1">
        <v>0</v>
      </c>
      <c r="AG7" s="1"/>
      <c r="AH7" s="1"/>
      <c r="AI7" s="1"/>
      <c r="AJ7" s="1"/>
      <c r="AK7" s="1"/>
      <c r="AL7" s="1"/>
    </row>
    <row r="8" spans="1:38" x14ac:dyDescent="0.25">
      <c r="A8" s="1">
        <v>0</v>
      </c>
      <c r="B8" s="1" t="s">
        <v>79</v>
      </c>
      <c r="C8" s="1" t="s">
        <v>101</v>
      </c>
      <c r="D8" s="1">
        <v>-10</v>
      </c>
      <c r="E8" s="1">
        <v>0</v>
      </c>
      <c r="F8" s="1">
        <v>-5</v>
      </c>
      <c r="G8" s="1">
        <v>2</v>
      </c>
      <c r="H8" s="1">
        <v>0</v>
      </c>
      <c r="I8" s="1">
        <v>0</v>
      </c>
      <c r="J8" s="1">
        <v>-0.1</v>
      </c>
      <c r="K8" s="1">
        <v>1E-3</v>
      </c>
      <c r="L8" s="1" t="s">
        <v>97</v>
      </c>
      <c r="M8" s="1" t="s">
        <v>102</v>
      </c>
      <c r="N8" s="1">
        <v>1975</v>
      </c>
      <c r="O8" s="1">
        <v>1</v>
      </c>
      <c r="P8" s="1">
        <v>1</v>
      </c>
      <c r="Q8" s="1">
        <v>1</v>
      </c>
      <c r="R8" s="1">
        <v>0</v>
      </c>
      <c r="AG8" s="1"/>
      <c r="AH8" s="1"/>
      <c r="AI8" s="1"/>
      <c r="AJ8" s="1"/>
      <c r="AK8" s="1"/>
      <c r="AL8" s="1"/>
    </row>
    <row r="9" spans="1:38" x14ac:dyDescent="0.25">
      <c r="A9" s="1">
        <v>1</v>
      </c>
      <c r="B9" s="1" t="s">
        <v>95</v>
      </c>
      <c r="C9" s="1" t="s">
        <v>96</v>
      </c>
      <c r="D9" s="1">
        <v>50</v>
      </c>
      <c r="E9" s="1">
        <v>80</v>
      </c>
      <c r="F9" s="1">
        <v>75</v>
      </c>
      <c r="G9" s="1">
        <v>2</v>
      </c>
      <c r="H9" s="1">
        <v>0</v>
      </c>
      <c r="I9" s="1">
        <v>0</v>
      </c>
      <c r="J9" s="1">
        <v>70</v>
      </c>
      <c r="K9" s="1">
        <v>5</v>
      </c>
      <c r="L9" s="1" t="s">
        <v>408</v>
      </c>
      <c r="M9" s="1" t="s">
        <v>103</v>
      </c>
      <c r="N9" s="1">
        <v>1976</v>
      </c>
      <c r="O9" s="1">
        <v>1</v>
      </c>
      <c r="P9" s="1">
        <v>1</v>
      </c>
      <c r="Q9" s="1">
        <v>1</v>
      </c>
      <c r="R9" s="1">
        <v>0</v>
      </c>
      <c r="AG9" s="1"/>
      <c r="AH9" s="1"/>
      <c r="AI9" s="1"/>
      <c r="AJ9" s="1"/>
      <c r="AK9" s="1"/>
      <c r="AL9" s="1"/>
    </row>
    <row r="10" spans="1:38" x14ac:dyDescent="0.25">
      <c r="A10" s="1">
        <v>1</v>
      </c>
      <c r="B10" s="1" t="s">
        <v>95</v>
      </c>
      <c r="C10" s="1" t="s">
        <v>99</v>
      </c>
      <c r="D10" s="1">
        <v>0.01</v>
      </c>
      <c r="E10" s="1">
        <v>2</v>
      </c>
      <c r="F10" s="1">
        <v>1.5</v>
      </c>
      <c r="G10" s="1">
        <v>2</v>
      </c>
      <c r="H10" s="1">
        <v>0</v>
      </c>
      <c r="I10" s="1">
        <v>0</v>
      </c>
      <c r="J10" s="1">
        <v>1.5</v>
      </c>
      <c r="K10" s="1">
        <f t="shared" ref="K10" si="2">J10*0.05</f>
        <v>7.5000000000000011E-2</v>
      </c>
      <c r="L10" s="1" t="s">
        <v>408</v>
      </c>
      <c r="M10" s="1" t="s">
        <v>103</v>
      </c>
      <c r="N10" s="1">
        <v>1977</v>
      </c>
      <c r="O10" s="1">
        <v>1</v>
      </c>
      <c r="P10" s="1">
        <v>1</v>
      </c>
      <c r="Q10" s="1">
        <v>1</v>
      </c>
      <c r="R10" s="1">
        <v>0</v>
      </c>
      <c r="AG10" s="1"/>
      <c r="AH10" s="1"/>
      <c r="AI10" s="1"/>
      <c r="AJ10" s="1"/>
      <c r="AK10" s="1"/>
      <c r="AL10" s="1"/>
    </row>
    <row r="11" spans="1:38" x14ac:dyDescent="0.25">
      <c r="A11" s="1">
        <v>1</v>
      </c>
      <c r="B11" s="1" t="s">
        <v>79</v>
      </c>
      <c r="C11" s="1" t="s">
        <v>96</v>
      </c>
      <c r="D11" s="1">
        <v>50</v>
      </c>
      <c r="E11" s="1">
        <v>80</v>
      </c>
      <c r="F11" s="1">
        <v>75</v>
      </c>
      <c r="G11" s="1">
        <v>2</v>
      </c>
      <c r="H11" s="1">
        <v>0</v>
      </c>
      <c r="I11" s="1">
        <v>1</v>
      </c>
      <c r="J11" s="1">
        <v>65</v>
      </c>
      <c r="K11" s="1">
        <v>5</v>
      </c>
      <c r="L11" s="1" t="s">
        <v>97</v>
      </c>
      <c r="M11" s="1" t="s">
        <v>104</v>
      </c>
      <c r="N11" s="1">
        <v>1978</v>
      </c>
      <c r="O11" s="1">
        <v>1</v>
      </c>
      <c r="P11" s="1">
        <v>1</v>
      </c>
      <c r="Q11" s="1">
        <v>1</v>
      </c>
      <c r="R11" s="1">
        <v>0</v>
      </c>
      <c r="AG11" s="1"/>
      <c r="AH11" s="1"/>
      <c r="AI11" s="1"/>
      <c r="AJ11" s="1"/>
      <c r="AK11" s="1"/>
      <c r="AL11" s="1"/>
    </row>
    <row r="12" spans="1:38" x14ac:dyDescent="0.25">
      <c r="A12" s="1">
        <v>1</v>
      </c>
      <c r="B12" s="1" t="s">
        <v>79</v>
      </c>
      <c r="C12" s="1" t="s">
        <v>99</v>
      </c>
      <c r="D12" s="1">
        <v>0.01</v>
      </c>
      <c r="E12" s="1">
        <v>2</v>
      </c>
      <c r="F12" s="1">
        <v>1.5</v>
      </c>
      <c r="G12" s="1">
        <v>2</v>
      </c>
      <c r="H12" s="1">
        <v>0</v>
      </c>
      <c r="I12" s="1">
        <v>0</v>
      </c>
      <c r="J12" s="1">
        <v>1.5</v>
      </c>
      <c r="K12" s="1">
        <f t="shared" ref="K12" si="3">J12*0.05</f>
        <v>7.5000000000000011E-2</v>
      </c>
      <c r="L12" s="1" t="s">
        <v>97</v>
      </c>
      <c r="M12" s="1" t="s">
        <v>104</v>
      </c>
      <c r="N12" s="1">
        <v>1979</v>
      </c>
      <c r="O12" s="1">
        <v>1</v>
      </c>
      <c r="P12" s="1">
        <v>1</v>
      </c>
      <c r="Q12" s="1">
        <v>1</v>
      </c>
      <c r="R12" s="1">
        <v>0</v>
      </c>
      <c r="AG12" s="1"/>
      <c r="AH12" s="1"/>
      <c r="AI12" s="1"/>
      <c r="AJ12" s="1"/>
      <c r="AK12" s="1"/>
      <c r="AL12" s="1"/>
    </row>
    <row r="13" spans="1:38" x14ac:dyDescent="0.25">
      <c r="A13" s="1">
        <v>1</v>
      </c>
      <c r="B13" s="1" t="s">
        <v>79</v>
      </c>
      <c r="C13" s="1" t="s">
        <v>100</v>
      </c>
      <c r="D13" s="1">
        <v>75</v>
      </c>
      <c r="E13" s="1">
        <v>150</v>
      </c>
      <c r="F13" s="1">
        <v>120</v>
      </c>
      <c r="G13" s="1">
        <v>2</v>
      </c>
      <c r="H13" s="1">
        <v>0</v>
      </c>
      <c r="I13" s="1">
        <v>1</v>
      </c>
      <c r="J13" s="1">
        <v>130</v>
      </c>
      <c r="K13" s="1">
        <v>10</v>
      </c>
      <c r="L13" s="1" t="s">
        <v>97</v>
      </c>
      <c r="M13" s="1" t="s">
        <v>104</v>
      </c>
      <c r="N13" s="1">
        <v>1980</v>
      </c>
      <c r="O13" s="1">
        <v>1</v>
      </c>
      <c r="P13" s="1">
        <v>1</v>
      </c>
      <c r="Q13" s="1">
        <v>1</v>
      </c>
      <c r="R13" s="1">
        <v>0</v>
      </c>
      <c r="AG13" s="1"/>
      <c r="AH13" s="1"/>
      <c r="AI13" s="1"/>
      <c r="AJ13" s="1"/>
      <c r="AK13" s="1"/>
      <c r="AL13" s="1"/>
    </row>
    <row r="14" spans="1:38" x14ac:dyDescent="0.25">
      <c r="A14" s="1">
        <v>1</v>
      </c>
      <c r="B14" s="1" t="s">
        <v>79</v>
      </c>
      <c r="C14" s="1" t="s">
        <v>101</v>
      </c>
      <c r="D14" s="1">
        <v>-10</v>
      </c>
      <c r="E14" s="1">
        <v>0</v>
      </c>
      <c r="F14" s="1">
        <v>-5</v>
      </c>
      <c r="G14" s="1">
        <v>2</v>
      </c>
      <c r="H14" s="1">
        <v>0</v>
      </c>
      <c r="I14" s="1">
        <v>0</v>
      </c>
      <c r="J14" s="1">
        <v>-0.1</v>
      </c>
      <c r="K14" s="1">
        <v>1E-3</v>
      </c>
      <c r="L14" s="1" t="s">
        <v>97</v>
      </c>
      <c r="M14" s="1" t="s">
        <v>104</v>
      </c>
      <c r="N14" s="1">
        <v>1981</v>
      </c>
      <c r="O14" s="1">
        <v>1</v>
      </c>
      <c r="P14" s="1">
        <v>1</v>
      </c>
      <c r="Q14" s="1">
        <v>1</v>
      </c>
      <c r="R14" s="1">
        <v>0</v>
      </c>
      <c r="AG14" s="1"/>
      <c r="AH14" s="1"/>
      <c r="AI14" s="1"/>
      <c r="AJ14" s="1"/>
      <c r="AK14" s="1"/>
      <c r="AL14" s="1"/>
    </row>
    <row r="15" spans="1:38" x14ac:dyDescent="0.25">
      <c r="A15" s="1">
        <v>2</v>
      </c>
      <c r="B15" s="1" t="s">
        <v>95</v>
      </c>
      <c r="C15" s="1" t="s">
        <v>96</v>
      </c>
      <c r="D15" s="1">
        <v>50</v>
      </c>
      <c r="E15" s="1">
        <v>80</v>
      </c>
      <c r="F15" s="1">
        <v>78</v>
      </c>
      <c r="G15" s="1">
        <v>2</v>
      </c>
      <c r="H15" s="1">
        <v>0</v>
      </c>
      <c r="I15" s="1">
        <v>0</v>
      </c>
      <c r="J15" s="1">
        <v>70</v>
      </c>
      <c r="K15" s="1">
        <v>5</v>
      </c>
      <c r="L15" s="1" t="s">
        <v>408</v>
      </c>
      <c r="M15" s="1" t="s">
        <v>105</v>
      </c>
      <c r="N15" s="1">
        <v>1982</v>
      </c>
      <c r="O15" s="1">
        <v>1</v>
      </c>
      <c r="P15" s="1">
        <v>1</v>
      </c>
      <c r="Q15" s="1">
        <v>1</v>
      </c>
      <c r="R15" s="1">
        <v>0</v>
      </c>
      <c r="AG15" s="1"/>
      <c r="AH15" s="1"/>
      <c r="AI15" s="1"/>
      <c r="AJ15" s="1"/>
      <c r="AK15" s="1"/>
      <c r="AL15" s="1"/>
    </row>
    <row r="16" spans="1:38" x14ac:dyDescent="0.25">
      <c r="A16" s="1">
        <v>2</v>
      </c>
      <c r="B16" s="1" t="s">
        <v>95</v>
      </c>
      <c r="C16" s="1" t="s">
        <v>99</v>
      </c>
      <c r="D16" s="1">
        <v>0.01</v>
      </c>
      <c r="E16" s="1">
        <v>2</v>
      </c>
      <c r="F16" s="1">
        <v>1.5</v>
      </c>
      <c r="G16" s="1">
        <v>2</v>
      </c>
      <c r="H16" s="1">
        <v>0</v>
      </c>
      <c r="I16" s="1">
        <v>0</v>
      </c>
      <c r="J16" s="1">
        <v>1.5</v>
      </c>
      <c r="K16" s="1">
        <f t="shared" ref="K16" si="4">J16*0.05</f>
        <v>7.5000000000000011E-2</v>
      </c>
      <c r="L16" s="1" t="s">
        <v>408</v>
      </c>
      <c r="M16" s="1" t="s">
        <v>105</v>
      </c>
      <c r="N16" s="1">
        <v>1983</v>
      </c>
      <c r="O16" s="1">
        <v>1</v>
      </c>
      <c r="P16" s="1">
        <v>1</v>
      </c>
      <c r="Q16" s="1">
        <v>1</v>
      </c>
      <c r="R16" s="1">
        <v>0</v>
      </c>
      <c r="AG16" s="1"/>
      <c r="AH16" s="1"/>
      <c r="AI16" s="1"/>
      <c r="AJ16" s="1"/>
      <c r="AK16" s="1"/>
      <c r="AL16" s="1"/>
    </row>
    <row r="17" spans="1:38" x14ac:dyDescent="0.25">
      <c r="A17" s="1">
        <v>2</v>
      </c>
      <c r="B17" s="1" t="s">
        <v>79</v>
      </c>
      <c r="C17" s="1" t="s">
        <v>96</v>
      </c>
      <c r="D17" s="1">
        <v>50</v>
      </c>
      <c r="E17" s="1">
        <v>80</v>
      </c>
      <c r="F17" s="1">
        <v>78</v>
      </c>
      <c r="G17" s="1">
        <v>2</v>
      </c>
      <c r="H17" s="1">
        <v>0</v>
      </c>
      <c r="I17" s="1">
        <v>1</v>
      </c>
      <c r="J17" s="1">
        <v>65</v>
      </c>
      <c r="K17" s="1">
        <v>5</v>
      </c>
      <c r="L17" s="1" t="s">
        <v>97</v>
      </c>
      <c r="M17" s="1" t="s">
        <v>106</v>
      </c>
      <c r="N17" s="1">
        <v>1984</v>
      </c>
      <c r="O17" s="1">
        <v>1</v>
      </c>
      <c r="P17" s="1">
        <v>1</v>
      </c>
      <c r="Q17" s="1">
        <v>1</v>
      </c>
      <c r="R17" s="1">
        <v>0</v>
      </c>
      <c r="AG17" s="1"/>
      <c r="AH17" s="1"/>
      <c r="AI17" s="1"/>
      <c r="AJ17" s="1"/>
      <c r="AK17" s="1"/>
      <c r="AL17" s="1"/>
    </row>
    <row r="18" spans="1:38" x14ac:dyDescent="0.25">
      <c r="A18" s="1">
        <v>2</v>
      </c>
      <c r="B18" s="1" t="s">
        <v>79</v>
      </c>
      <c r="C18" s="1" t="s">
        <v>99</v>
      </c>
      <c r="D18" s="1">
        <v>0.01</v>
      </c>
      <c r="E18" s="1">
        <v>2</v>
      </c>
      <c r="F18" s="1">
        <v>1.5</v>
      </c>
      <c r="G18" s="1">
        <v>2</v>
      </c>
      <c r="H18" s="1">
        <v>0</v>
      </c>
      <c r="I18" s="1">
        <v>0</v>
      </c>
      <c r="J18" s="1">
        <v>1.5</v>
      </c>
      <c r="K18" s="1">
        <f t="shared" ref="K18" si="5">J18*0.05</f>
        <v>7.5000000000000011E-2</v>
      </c>
      <c r="L18" s="1" t="s">
        <v>97</v>
      </c>
      <c r="M18" s="1" t="s">
        <v>106</v>
      </c>
      <c r="N18" s="1">
        <v>1985</v>
      </c>
      <c r="O18" s="1">
        <v>1</v>
      </c>
      <c r="P18" s="1">
        <v>1</v>
      </c>
      <c r="Q18" s="1">
        <v>1</v>
      </c>
      <c r="R18" s="1">
        <v>0</v>
      </c>
      <c r="AG18" s="1"/>
      <c r="AH18" s="1"/>
      <c r="AI18" s="1"/>
      <c r="AJ18" s="1"/>
      <c r="AK18" s="1"/>
      <c r="AL18" s="1"/>
    </row>
    <row r="19" spans="1:38" x14ac:dyDescent="0.25">
      <c r="A19" s="1">
        <v>2</v>
      </c>
      <c r="B19" s="1" t="s">
        <v>79</v>
      </c>
      <c r="C19" s="1" t="s">
        <v>100</v>
      </c>
      <c r="D19" s="1">
        <v>75</v>
      </c>
      <c r="E19" s="1">
        <v>150</v>
      </c>
      <c r="F19" s="1">
        <v>120</v>
      </c>
      <c r="G19" s="1">
        <v>2</v>
      </c>
      <c r="H19" s="1">
        <v>0</v>
      </c>
      <c r="I19" s="1">
        <v>1</v>
      </c>
      <c r="J19" s="1">
        <v>130</v>
      </c>
      <c r="K19" s="1">
        <v>10</v>
      </c>
      <c r="L19" s="1" t="s">
        <v>97</v>
      </c>
      <c r="M19" s="1" t="s">
        <v>106</v>
      </c>
      <c r="N19" s="1">
        <v>1986</v>
      </c>
      <c r="O19" s="1">
        <v>1</v>
      </c>
      <c r="P19" s="1">
        <v>1</v>
      </c>
      <c r="Q19" s="1">
        <v>1</v>
      </c>
      <c r="R19" s="1">
        <v>0</v>
      </c>
      <c r="AG19" s="1"/>
      <c r="AH19" s="1"/>
      <c r="AI19" s="1"/>
      <c r="AJ19" s="1"/>
      <c r="AK19" s="1"/>
      <c r="AL19" s="1"/>
    </row>
    <row r="20" spans="1:38" x14ac:dyDescent="0.25">
      <c r="A20" s="1">
        <v>2</v>
      </c>
      <c r="B20" s="1" t="s">
        <v>79</v>
      </c>
      <c r="C20" s="1" t="s">
        <v>101</v>
      </c>
      <c r="D20" s="1">
        <v>-10</v>
      </c>
      <c r="E20" s="1">
        <v>0</v>
      </c>
      <c r="F20" s="1">
        <v>-5</v>
      </c>
      <c r="G20" s="1">
        <v>2</v>
      </c>
      <c r="H20" s="1">
        <v>0</v>
      </c>
      <c r="I20" s="1">
        <v>0</v>
      </c>
      <c r="J20" s="1">
        <v>-0.1</v>
      </c>
      <c r="K20" s="1">
        <v>1E-3</v>
      </c>
      <c r="L20" s="1" t="s">
        <v>97</v>
      </c>
      <c r="M20" s="1" t="s">
        <v>106</v>
      </c>
      <c r="N20" s="1">
        <v>1987</v>
      </c>
      <c r="O20" s="1">
        <v>1</v>
      </c>
      <c r="P20" s="1">
        <v>1</v>
      </c>
      <c r="Q20" s="1">
        <v>1</v>
      </c>
      <c r="R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1988</v>
      </c>
      <c r="O21" s="1">
        <v>1</v>
      </c>
      <c r="P21" s="1">
        <v>1</v>
      </c>
      <c r="Q21" s="1">
        <v>1</v>
      </c>
      <c r="R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1989</v>
      </c>
      <c r="O22" s="1">
        <v>1</v>
      </c>
      <c r="P22" s="1">
        <v>1</v>
      </c>
      <c r="Q22" s="1">
        <v>1</v>
      </c>
      <c r="R22" s="1">
        <v>0</v>
      </c>
      <c r="AG22" s="1"/>
      <c r="AH22" s="1"/>
      <c r="AI22" s="1"/>
      <c r="AJ22" s="1"/>
      <c r="AK22" s="1"/>
      <c r="AL22" s="1"/>
    </row>
    <row r="23" spans="1:38" ht="15.75" customHeight="1" x14ac:dyDescent="0.25">
      <c r="A23" s="1"/>
      <c r="B23" s="1"/>
      <c r="C23" s="1"/>
      <c r="D23" s="1"/>
      <c r="E23" s="1"/>
      <c r="H23" s="1"/>
      <c r="I23" s="1"/>
      <c r="J23" s="1"/>
      <c r="K23" s="1"/>
      <c r="L23" s="1"/>
      <c r="M23" s="1"/>
      <c r="N23" s="1">
        <v>1990</v>
      </c>
      <c r="O23" s="1">
        <v>2</v>
      </c>
      <c r="P23" s="1">
        <v>2</v>
      </c>
      <c r="Q23" s="1">
        <v>2</v>
      </c>
      <c r="R23" s="1">
        <v>0</v>
      </c>
      <c r="AG23" s="1"/>
      <c r="AH23" s="1"/>
      <c r="AI23" s="1"/>
      <c r="AJ23" s="1"/>
      <c r="AK23" s="1"/>
      <c r="AL23" s="1"/>
    </row>
    <row r="24" spans="1:38" ht="15.75" customHeight="1" x14ac:dyDescent="0.25">
      <c r="A24" s="1"/>
      <c r="B24" s="1"/>
      <c r="C24" s="1"/>
      <c r="D24" s="1"/>
      <c r="E24" s="1"/>
      <c r="H24" s="1"/>
      <c r="I24" s="1"/>
      <c r="J24" s="1"/>
      <c r="K24" s="1"/>
      <c r="L24" s="1"/>
      <c r="M24" s="1"/>
      <c r="N24" s="1">
        <v>1991</v>
      </c>
      <c r="O24" s="1">
        <v>2</v>
      </c>
      <c r="P24" s="1">
        <v>2</v>
      </c>
      <c r="Q24" s="1">
        <v>2</v>
      </c>
      <c r="R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1992</v>
      </c>
      <c r="O25" s="1">
        <v>2</v>
      </c>
      <c r="P25" s="1">
        <v>2</v>
      </c>
      <c r="Q25" s="1">
        <v>2</v>
      </c>
      <c r="R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N29" s="1">
        <v>1996</v>
      </c>
      <c r="O29" s="1">
        <v>2</v>
      </c>
      <c r="P29" s="1">
        <v>2</v>
      </c>
      <c r="Q29" s="1">
        <v>2</v>
      </c>
      <c r="R29" s="1">
        <v>0</v>
      </c>
      <c r="AG29" s="1"/>
      <c r="AH29" s="1"/>
      <c r="AI29" s="1"/>
      <c r="AJ29" s="1"/>
      <c r="AK29" s="1"/>
      <c r="AL29" s="1"/>
    </row>
    <row r="30" spans="1:38" ht="15.75" customHeight="1" x14ac:dyDescent="0.25">
      <c r="N30" s="1">
        <v>1997</v>
      </c>
      <c r="O30" s="1">
        <v>2</v>
      </c>
      <c r="P30" s="1">
        <v>2</v>
      </c>
      <c r="Q30" s="1">
        <v>2</v>
      </c>
      <c r="R30" s="1">
        <v>0</v>
      </c>
      <c r="AG30" s="1"/>
      <c r="AH30" s="1"/>
      <c r="AI30" s="1"/>
      <c r="AJ30" s="1"/>
      <c r="AK30" s="1"/>
      <c r="AL30" s="1"/>
    </row>
    <row r="31" spans="1:38" ht="15.75" customHeight="1" x14ac:dyDescent="0.25">
      <c r="N31" s="1">
        <v>1998</v>
      </c>
      <c r="O31" s="1">
        <v>2</v>
      </c>
      <c r="P31" s="1">
        <v>2</v>
      </c>
      <c r="Q31" s="1">
        <v>2</v>
      </c>
      <c r="R31" s="1">
        <v>0</v>
      </c>
      <c r="AG31" s="1"/>
      <c r="AH31" s="1"/>
      <c r="AI31" s="1"/>
      <c r="AJ31" s="1"/>
      <c r="AK31" s="1"/>
      <c r="AL31" s="1"/>
    </row>
    <row r="32" spans="1:38" ht="15.75" customHeight="1" x14ac:dyDescent="0.25">
      <c r="N32" s="1">
        <v>1999</v>
      </c>
      <c r="O32" s="1">
        <v>2</v>
      </c>
      <c r="P32" s="1">
        <v>2</v>
      </c>
      <c r="Q32" s="1">
        <v>2</v>
      </c>
      <c r="R32" s="1">
        <v>0</v>
      </c>
      <c r="AG32" s="1"/>
      <c r="AH32" s="1"/>
      <c r="AI32" s="1"/>
      <c r="AJ32" s="1"/>
      <c r="AK32" s="1"/>
      <c r="AL32" s="1"/>
    </row>
    <row r="33" spans="14:38" ht="15.75" customHeight="1" x14ac:dyDescent="0.25">
      <c r="N33" s="1">
        <v>2000</v>
      </c>
      <c r="O33" s="1">
        <v>2</v>
      </c>
      <c r="P33" s="1">
        <v>2</v>
      </c>
      <c r="Q33" s="1">
        <v>2</v>
      </c>
      <c r="R33" s="1">
        <v>0</v>
      </c>
      <c r="AG33" s="1"/>
      <c r="AH33" s="1"/>
      <c r="AI33" s="1"/>
      <c r="AJ33" s="1"/>
      <c r="AK33" s="1"/>
      <c r="AL33" s="1"/>
    </row>
    <row r="34" spans="14:38" ht="15.75" customHeight="1" x14ac:dyDescent="0.25">
      <c r="N34" s="1">
        <v>2001</v>
      </c>
      <c r="O34" s="1">
        <v>2</v>
      </c>
      <c r="P34" s="1">
        <v>2</v>
      </c>
      <c r="Q34" s="1">
        <v>2</v>
      </c>
      <c r="R34" s="1">
        <v>0</v>
      </c>
      <c r="AG34" s="1"/>
      <c r="AH34" s="1"/>
      <c r="AI34" s="1"/>
      <c r="AJ34" s="1"/>
      <c r="AK34" s="1"/>
      <c r="AL34" s="1"/>
    </row>
    <row r="35" spans="14:38" ht="15.75" customHeight="1" x14ac:dyDescent="0.25">
      <c r="N35" s="1">
        <v>2002</v>
      </c>
      <c r="O35" s="1">
        <v>2</v>
      </c>
      <c r="P35" s="1">
        <v>2</v>
      </c>
      <c r="Q35" s="1">
        <v>2</v>
      </c>
      <c r="R35" s="1">
        <v>0</v>
      </c>
      <c r="AG35" s="1"/>
      <c r="AH35" s="1"/>
      <c r="AI35" s="1"/>
      <c r="AJ35" s="1"/>
      <c r="AK35" s="1"/>
      <c r="AL35" s="1"/>
    </row>
    <row r="36" spans="14:38" ht="15.75" customHeight="1" x14ac:dyDescent="0.25">
      <c r="N36" s="1">
        <v>2003</v>
      </c>
      <c r="O36" s="1">
        <v>2</v>
      </c>
      <c r="P36" s="1">
        <v>2</v>
      </c>
      <c r="Q36" s="1">
        <v>2</v>
      </c>
      <c r="R36" s="1">
        <v>0</v>
      </c>
      <c r="AG36" s="1"/>
      <c r="AH36" s="1"/>
      <c r="AI36" s="1"/>
      <c r="AJ36" s="1"/>
      <c r="AK36" s="1"/>
      <c r="AL36" s="1"/>
    </row>
    <row r="37" spans="14:38" ht="15.75" customHeight="1" x14ac:dyDescent="0.25">
      <c r="N37" s="1">
        <v>2004</v>
      </c>
      <c r="O37" s="1">
        <v>2</v>
      </c>
      <c r="P37" s="1">
        <v>2</v>
      </c>
      <c r="Q37" s="1">
        <v>2</v>
      </c>
      <c r="R37" s="1">
        <v>0</v>
      </c>
      <c r="AG37" s="1"/>
      <c r="AH37" s="1"/>
      <c r="AI37" s="1"/>
      <c r="AJ37" s="1"/>
      <c r="AK37" s="1"/>
      <c r="AL37" s="1"/>
    </row>
    <row r="38" spans="14:38" ht="15.75" customHeight="1" x14ac:dyDescent="0.25">
      <c r="N38" s="1">
        <v>2005</v>
      </c>
      <c r="O38" s="1">
        <v>2</v>
      </c>
      <c r="P38" s="1">
        <v>2</v>
      </c>
      <c r="Q38" s="1">
        <v>2</v>
      </c>
      <c r="R38" s="1">
        <v>0</v>
      </c>
      <c r="AG38" s="1"/>
      <c r="AH38" s="1"/>
      <c r="AI38" s="1"/>
      <c r="AJ38" s="1"/>
      <c r="AK38" s="1"/>
      <c r="AL38" s="1"/>
    </row>
    <row r="39" spans="14:38" ht="15.75" customHeight="1" x14ac:dyDescent="0.25">
      <c r="N39" s="1">
        <v>2006</v>
      </c>
      <c r="O39" s="1">
        <v>2</v>
      </c>
      <c r="P39" s="1">
        <v>2</v>
      </c>
      <c r="Q39" s="1">
        <v>2</v>
      </c>
      <c r="R39" s="1">
        <v>0</v>
      </c>
      <c r="AG39" s="1"/>
      <c r="AH39" s="1"/>
      <c r="AI39" s="1"/>
      <c r="AJ39" s="1"/>
      <c r="AK39" s="1"/>
      <c r="AL39" s="1"/>
    </row>
    <row r="40" spans="14:38" ht="15.75" customHeight="1" x14ac:dyDescent="0.25">
      <c r="N40" s="1">
        <v>2007</v>
      </c>
      <c r="O40" s="1">
        <v>2</v>
      </c>
      <c r="P40" s="1">
        <v>2</v>
      </c>
      <c r="Q40" s="1">
        <v>2</v>
      </c>
      <c r="R40" s="1">
        <v>0</v>
      </c>
      <c r="AG40" s="1"/>
      <c r="AH40" s="1"/>
      <c r="AI40" s="1"/>
      <c r="AJ40" s="1"/>
      <c r="AK40" s="1"/>
      <c r="AL40" s="1"/>
    </row>
    <row r="41" spans="14:38" ht="15.75" customHeight="1" x14ac:dyDescent="0.25">
      <c r="N41" s="1">
        <v>2008</v>
      </c>
      <c r="O41" s="1">
        <v>2</v>
      </c>
      <c r="P41" s="1">
        <v>2</v>
      </c>
      <c r="Q41" s="1">
        <v>2</v>
      </c>
      <c r="R41" s="1">
        <v>0</v>
      </c>
      <c r="AG41" s="1"/>
      <c r="AH41" s="1"/>
      <c r="AI41" s="1"/>
      <c r="AJ41" s="1"/>
      <c r="AK41" s="1"/>
      <c r="AL41" s="1"/>
    </row>
    <row r="42" spans="14:38" ht="15.75" customHeight="1" x14ac:dyDescent="0.25">
      <c r="N42" s="1">
        <v>2009</v>
      </c>
      <c r="O42" s="1">
        <v>2</v>
      </c>
      <c r="P42" s="1">
        <v>2</v>
      </c>
      <c r="Q42" s="1">
        <v>2</v>
      </c>
      <c r="R42" s="1">
        <v>0</v>
      </c>
      <c r="AG42" s="1"/>
      <c r="AH42" s="1"/>
      <c r="AI42" s="1"/>
      <c r="AJ42" s="1"/>
      <c r="AK42" s="1"/>
      <c r="AL42" s="1"/>
    </row>
    <row r="43" spans="14:38" ht="15.75" customHeight="1" x14ac:dyDescent="0.25">
      <c r="N43" s="1">
        <v>2010</v>
      </c>
      <c r="O43" s="1">
        <v>2</v>
      </c>
      <c r="P43" s="1">
        <v>2</v>
      </c>
      <c r="Q43" s="1">
        <v>2</v>
      </c>
      <c r="R43" s="1">
        <v>0</v>
      </c>
      <c r="AG43" s="1"/>
      <c r="AH43" s="1"/>
      <c r="AI43" s="1"/>
      <c r="AJ43" s="1"/>
      <c r="AK43" s="1"/>
      <c r="AL43" s="1"/>
    </row>
    <row r="44" spans="14:38" ht="15.75" customHeight="1" x14ac:dyDescent="0.25">
      <c r="N44" s="1">
        <v>2011</v>
      </c>
      <c r="O44" s="1">
        <v>2</v>
      </c>
      <c r="P44" s="1">
        <v>2</v>
      </c>
      <c r="Q44" s="1">
        <v>2</v>
      </c>
      <c r="R44" s="1">
        <v>0</v>
      </c>
      <c r="AG44" s="1"/>
      <c r="AH44" s="1"/>
      <c r="AI44" s="1"/>
      <c r="AJ44" s="1"/>
      <c r="AK44" s="1"/>
      <c r="AL44" s="1"/>
    </row>
    <row r="45" spans="14:38" ht="15.75" customHeight="1" x14ac:dyDescent="0.25">
      <c r="N45" s="1">
        <v>2012</v>
      </c>
      <c r="O45" s="1">
        <v>2</v>
      </c>
      <c r="P45" s="1">
        <v>2</v>
      </c>
      <c r="Q45" s="1">
        <v>2</v>
      </c>
      <c r="R45" s="1">
        <v>0</v>
      </c>
      <c r="AG45" s="1"/>
      <c r="AH45" s="1"/>
      <c r="AI45" s="1"/>
      <c r="AJ45" s="1"/>
      <c r="AK45" s="1"/>
      <c r="AL45" s="1"/>
    </row>
    <row r="46" spans="14:38" ht="15.75" customHeight="1" x14ac:dyDescent="0.25">
      <c r="N46" s="1">
        <v>2013</v>
      </c>
      <c r="O46" s="1">
        <v>2</v>
      </c>
      <c r="P46" s="1">
        <v>2</v>
      </c>
      <c r="Q46" s="1">
        <v>2</v>
      </c>
      <c r="R46" s="1">
        <v>0</v>
      </c>
      <c r="AG46" s="1"/>
      <c r="AH46" s="1"/>
      <c r="AI46" s="1"/>
      <c r="AJ46" s="1"/>
      <c r="AK46" s="1"/>
      <c r="AL46" s="1"/>
    </row>
    <row r="47" spans="14:38" ht="15.75" customHeight="1" x14ac:dyDescent="0.25">
      <c r="N47" s="1">
        <v>2014</v>
      </c>
      <c r="O47" s="1">
        <v>2</v>
      </c>
      <c r="P47" s="1">
        <v>2</v>
      </c>
      <c r="Q47" s="1">
        <v>2</v>
      </c>
      <c r="R47" s="1">
        <v>0</v>
      </c>
      <c r="AG47" s="1"/>
      <c r="AH47" s="1"/>
      <c r="AI47" s="1"/>
      <c r="AJ47" s="1"/>
      <c r="AK47" s="1"/>
      <c r="AL47" s="1"/>
    </row>
    <row r="48" spans="14: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tabSelected="1" workbookViewId="0">
      <selection activeCell="N8" sqref="N8"/>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62.25" customHeight="1" x14ac:dyDescent="0.25">
      <c r="A1" s="14" t="s">
        <v>422</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275</v>
      </c>
      <c r="B2" t="s">
        <v>276</v>
      </c>
      <c r="C2" t="s">
        <v>182</v>
      </c>
      <c r="D2" t="s">
        <v>169</v>
      </c>
      <c r="E2" t="s">
        <v>277</v>
      </c>
      <c r="F2" t="s">
        <v>166</v>
      </c>
      <c r="G2" t="s">
        <v>41</v>
      </c>
      <c r="H2" s="7" t="s">
        <v>231</v>
      </c>
      <c r="I2" s="7" t="s">
        <v>278</v>
      </c>
      <c r="J2" s="7" t="s">
        <v>279</v>
      </c>
      <c r="K2" s="10" t="s">
        <v>400</v>
      </c>
      <c r="L2" s="1" t="s">
        <v>233</v>
      </c>
      <c r="M2" s="1" t="s">
        <v>234</v>
      </c>
      <c r="N2" s="1" t="s">
        <v>235</v>
      </c>
      <c r="O2" s="1" t="s">
        <v>236</v>
      </c>
      <c r="P2" s="1" t="s">
        <v>237</v>
      </c>
      <c r="Q2" s="1" t="s">
        <v>238</v>
      </c>
      <c r="R2" s="1" t="s">
        <v>239</v>
      </c>
      <c r="S2" s="1" t="s">
        <v>240</v>
      </c>
      <c r="T2" s="1" t="s">
        <v>241</v>
      </c>
      <c r="U2" s="1" t="s">
        <v>242</v>
      </c>
      <c r="V2" s="1" t="s">
        <v>243</v>
      </c>
      <c r="W2" s="1" t="s">
        <v>244</v>
      </c>
      <c r="X2" s="1" t="s">
        <v>245</v>
      </c>
      <c r="Y2" s="1" t="s">
        <v>246</v>
      </c>
      <c r="Z2" s="1" t="s">
        <v>247</v>
      </c>
      <c r="AA2" s="1" t="s">
        <v>248</v>
      </c>
      <c r="AB2" s="1" t="s">
        <v>249</v>
      </c>
      <c r="AC2" s="1" t="s">
        <v>250</v>
      </c>
      <c r="AD2" s="1" t="s">
        <v>251</v>
      </c>
      <c r="AE2" s="1" t="s">
        <v>252</v>
      </c>
      <c r="AF2" s="1" t="s">
        <v>253</v>
      </c>
      <c r="AG2" s="1" t="s">
        <v>254</v>
      </c>
      <c r="AH2" s="1" t="s">
        <v>255</v>
      </c>
      <c r="AI2" s="1" t="s">
        <v>256</v>
      </c>
      <c r="AJ2" s="1" t="s">
        <v>257</v>
      </c>
      <c r="AK2" s="1" t="s">
        <v>258</v>
      </c>
      <c r="AL2" s="1" t="s">
        <v>259</v>
      </c>
      <c r="AM2" s="1" t="s">
        <v>260</v>
      </c>
      <c r="AN2" s="1" t="s">
        <v>261</v>
      </c>
      <c r="AO2" s="1" t="s">
        <v>262</v>
      </c>
      <c r="AP2" s="1" t="s">
        <v>263</v>
      </c>
      <c r="AQ2" s="1" t="s">
        <v>264</v>
      </c>
      <c r="AR2" s="1" t="s">
        <v>265</v>
      </c>
      <c r="AS2" s="1" t="s">
        <v>266</v>
      </c>
      <c r="AT2" s="1" t="s">
        <v>267</v>
      </c>
      <c r="AU2" s="1" t="s">
        <v>268</v>
      </c>
      <c r="AV2" s="1" t="s">
        <v>269</v>
      </c>
      <c r="AW2" s="1" t="s">
        <v>270</v>
      </c>
      <c r="AX2" s="1" t="s">
        <v>271</v>
      </c>
      <c r="AY2" s="1" t="s">
        <v>272</v>
      </c>
      <c r="AZ2" s="1" t="s">
        <v>273</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274</v>
      </c>
      <c r="B3" t="s">
        <v>274</v>
      </c>
      <c r="C3">
        <v>1</v>
      </c>
      <c r="D3" t="s">
        <v>274</v>
      </c>
      <c r="E3" t="s">
        <v>274</v>
      </c>
      <c r="F3" t="s">
        <v>274</v>
      </c>
      <c r="G3" t="s">
        <v>280</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274</v>
      </c>
      <c r="B4" t="s">
        <v>274</v>
      </c>
      <c r="C4">
        <v>3</v>
      </c>
      <c r="D4" t="s">
        <v>274</v>
      </c>
      <c r="E4" t="s">
        <v>274</v>
      </c>
      <c r="F4" t="s">
        <v>274</v>
      </c>
      <c r="G4" t="s">
        <v>281</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274</v>
      </c>
      <c r="B5" t="s">
        <v>274</v>
      </c>
      <c r="C5" t="s">
        <v>274</v>
      </c>
      <c r="D5" t="s">
        <v>274</v>
      </c>
      <c r="E5" t="s">
        <v>274</v>
      </c>
      <c r="F5" t="s">
        <v>274</v>
      </c>
      <c r="G5" t="s">
        <v>232</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2026-05-06T06:47:21Z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