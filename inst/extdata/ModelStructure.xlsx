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https://wagov01-my.sharepoint.com/personal/simon_delestang_dpird_wa_gov_au/Documents/Lobster/Lobster Model/IMuLT_V2/"/>
    </mc:Choice>
  </mc:AlternateContent>
  <xr:revisionPtr revIDLastSave="610" documentId="11_D9C6CE0357C220C0C9068611A04CFFC10BB5556C" xr6:coauthVersionLast="47" xr6:coauthVersionMax="47" xr10:uidLastSave="{1918626D-E4E8-487C-89CB-DEE9783E075A}"/>
  <bookViews>
    <workbookView xWindow="-120" yWindow="-120" windowWidth="29040" windowHeight="15720" firstSheet="10" activeTab="19" xr2:uid="{00000000-000D-0000-FFFF-FFFF00000000}"/>
  </bookViews>
  <sheets>
    <sheet name="dynamics" sheetId="8" r:id="rId1"/>
    <sheet name="area" sheetId="3" r:id="rId2"/>
    <sheet name="times" sheetId="2" r:id="rId3"/>
    <sheet name="Weights" sheetId="32" r:id="rId4"/>
    <sheet name="fleetcode" sheetId="1" r:id="rId5"/>
    <sheet name="MainParameters" sheetId="35" r:id="rId6"/>
    <sheet name="Escapegaps" sheetId="6" r:id="rId7"/>
    <sheet name="EfficiencyCreep" sheetId="30" r:id="rId8"/>
    <sheet name="Growth" sheetId="20" r:id="rId9"/>
    <sheet name="SizeTransMatricesNew" sheetId="31" r:id="rId10"/>
    <sheet name="Puerulus" sheetId="18" r:id="rId11"/>
    <sheet name="PuerulusPar" sheetId="23" r:id="rId12"/>
    <sheet name="Recruitment" sheetId="22" r:id="rId13"/>
    <sheet name="migrate" sheetId="4" r:id="rId14"/>
    <sheet name="IsWhite" sheetId="28" r:id="rId15"/>
    <sheet name="maturity" sheetId="5" r:id="rId16"/>
    <sheet name="lengthweight" sheetId="9" r:id="rId17"/>
    <sheet name="Catch" sheetId="11" r:id="rId18"/>
    <sheet name="CPUE" sheetId="27" r:id="rId19"/>
    <sheet name="LengthFreq" sheetId="15" r:id="rId20"/>
    <sheet name="HighGrading" sheetId="24" r:id="rId21"/>
    <sheet name="LegalID" sheetId="25" r:id="rId22"/>
    <sheet name="LegalPattern" sheetId="7" r:id="rId23"/>
    <sheet name="LegalList" sheetId="26" r:id="rId24"/>
    <sheet name="Sheet1" sheetId="33" r:id="rId25"/>
    <sheet name="Sheet2" sheetId="34" r:id="rId26"/>
  </sheets>
  <externalReferences>
    <externalReference r:id="rId27"/>
  </externalReferences>
  <definedNames>
    <definedName name="_xlnm._FilterDatabase" localSheetId="17" hidden="1">Catch!$A$2:$D$131</definedName>
    <definedName name="_xlnm._FilterDatabase" localSheetId="18" hidden="1">CPUE!$A$2:$G$2306</definedName>
    <definedName name="_xlnm._FilterDatabase" localSheetId="4" hidden="1">fleetcode!$A$2:$F$4</definedName>
    <definedName name="_xlnm._FilterDatabase" localSheetId="8" hidden="1">Growth!$A$2:$K$4</definedName>
    <definedName name="_xlnm._FilterDatabase" localSheetId="19" hidden="1">LengthFreq!$A$2:$AT$3209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8" i="11" l="1"/>
  <c r="D69" i="11" s="1"/>
  <c r="D70" i="11" s="1"/>
  <c r="D71" i="11" s="1"/>
  <c r="D72" i="11" s="1"/>
  <c r="D73" i="11" s="1"/>
  <c r="D74" i="11" s="1"/>
  <c r="D75" i="11" s="1"/>
  <c r="D76" i="11" s="1"/>
  <c r="D77" i="11" s="1"/>
  <c r="D78" i="11" s="1"/>
  <c r="D79" i="11" s="1"/>
  <c r="D80" i="11" s="1"/>
  <c r="D4" i="11"/>
  <c r="D5" i="11" s="1"/>
  <c r="D6" i="11" s="1"/>
  <c r="D7" i="11" s="1"/>
  <c r="D8" i="11" s="1"/>
  <c r="D81" i="11" l="1"/>
  <c r="D82" i="11" s="1"/>
  <c r="D83" i="11" s="1"/>
  <c r="D84" i="11" s="1"/>
  <c r="D85" i="11" s="1"/>
  <c r="D86" i="11" s="1"/>
  <c r="D87" i="11" s="1"/>
  <c r="D88" i="11" s="1"/>
  <c r="D89" i="11" s="1"/>
  <c r="D90" i="11" s="1"/>
  <c r="D9" i="11"/>
  <c r="D10" i="11" s="1"/>
  <c r="D11" i="11" s="1"/>
  <c r="D12" i="11" s="1"/>
  <c r="D91" i="11" l="1"/>
  <c r="D92" i="11" s="1"/>
  <c r="D93" i="11" s="1"/>
  <c r="D94" i="11" s="1"/>
  <c r="D95" i="11" s="1"/>
  <c r="D96" i="11" s="1"/>
  <c r="D97" i="11" s="1"/>
  <c r="D98" i="11" s="1"/>
  <c r="D99" i="11" s="1"/>
  <c r="D100" i="11" s="1"/>
  <c r="D101" i="11" s="1"/>
  <c r="D102" i="11" s="1"/>
  <c r="D103" i="11" s="1"/>
  <c r="D104" i="11" s="1"/>
  <c r="D105" i="11" s="1"/>
  <c r="D106" i="11" s="1"/>
  <c r="D107" i="11" s="1"/>
  <c r="D108" i="11" s="1"/>
  <c r="D109" i="11" s="1"/>
  <c r="D110" i="11" s="1"/>
  <c r="D111" i="11" s="1"/>
  <c r="D112" i="11" s="1"/>
  <c r="D13" i="11"/>
  <c r="D14" i="11" s="1"/>
  <c r="D15" i="11" s="1"/>
  <c r="D16" i="11" s="1"/>
  <c r="D17" i="11" s="1"/>
  <c r="D18" i="11" l="1"/>
  <c r="D19" i="11" l="1"/>
  <c r="D20" i="11" s="1"/>
  <c r="D21" i="11" s="1"/>
  <c r="D22" i="11" l="1"/>
  <c r="D23" i="11" s="1"/>
  <c r="D24" i="11" s="1"/>
  <c r="D25" i="11" s="1"/>
  <c r="D26" i="11" s="1"/>
  <c r="D27" i="11" s="1"/>
  <c r="D28" i="11" s="1"/>
  <c r="D29" i="11" s="1"/>
  <c r="W1" i="22"/>
  <c r="V1" i="22"/>
  <c r="D4" i="20"/>
  <c r="C4" i="20"/>
  <c r="B4" i="20"/>
  <c r="E3" i="20"/>
  <c r="C3" i="20"/>
  <c r="B3" i="20"/>
  <c r="K25" i="6"/>
  <c r="K24" i="6"/>
  <c r="K23" i="6"/>
  <c r="K21" i="6"/>
  <c r="K20" i="6"/>
  <c r="K19" i="6"/>
  <c r="K17" i="6"/>
  <c r="K16" i="6"/>
  <c r="K15" i="6"/>
  <c r="K13" i="6"/>
  <c r="K12" i="6"/>
  <c r="K11" i="6"/>
  <c r="K9" i="6"/>
  <c r="K8" i="6"/>
  <c r="K7" i="6"/>
  <c r="K5" i="6"/>
  <c r="K4" i="6"/>
  <c r="K3" i="6"/>
  <c r="D30" i="11" l="1"/>
  <c r="D31" i="11" s="1"/>
  <c r="D32" i="11" s="1"/>
  <c r="D33" i="11" l="1"/>
  <c r="D34" i="11" s="1"/>
  <c r="D35" i="11" s="1"/>
  <c r="D36" i="11" s="1"/>
  <c r="D37" i="11" s="1"/>
  <c r="D38" i="11" s="1"/>
  <c r="D39" i="11" s="1"/>
  <c r="D40" i="11" s="1"/>
  <c r="D41" i="11" s="1"/>
  <c r="D42" i="11" s="1"/>
  <c r="D43" i="11" s="1"/>
  <c r="D44" i="11" s="1"/>
  <c r="D45" i="11" s="1"/>
  <c r="D46" i="11" s="1"/>
  <c r="D47" i="11" s="1"/>
  <c r="D48" i="11" l="1"/>
  <c r="D49" i="11" s="1"/>
  <c r="D50" i="11" s="1"/>
  <c r="D51" i="11" s="1"/>
  <c r="D52" i="11" s="1"/>
  <c r="D53" i="11" s="1"/>
  <c r="D54" i="11" s="1"/>
  <c r="D55" i="11" s="1"/>
  <c r="D56" i="11" s="1"/>
  <c r="D57" i="11" s="1"/>
  <c r="D58" i="11" s="1"/>
  <c r="D59" i="11" s="1"/>
  <c r="D60" i="11" s="1"/>
  <c r="D61" i="11" s="1"/>
  <c r="D62" i="11" s="1"/>
  <c r="D63" i="11" s="1"/>
  <c r="D64" i="11" s="1"/>
  <c r="D65" i="11" s="1"/>
  <c r="D66" i="11" s="1"/>
  <c r="D67" i="11" s="1"/>
</calcChain>
</file>

<file path=xl/sharedStrings.xml><?xml version="1.0" encoding="utf-8"?>
<sst xmlns="http://schemas.openxmlformats.org/spreadsheetml/2006/main" count="532" uniqueCount="340">
  <si>
    <t>fleet</t>
  </si>
  <si>
    <t>group</t>
  </si>
  <si>
    <t>comm</t>
  </si>
  <si>
    <t>comm_monitor</t>
  </si>
  <si>
    <t>month</t>
  </si>
  <si>
    <t>hm</t>
  </si>
  <si>
    <t>tstep</t>
  </si>
  <si>
    <t>A</t>
  </si>
  <si>
    <t>newarea</t>
  </si>
  <si>
    <t>Source</t>
  </si>
  <si>
    <t>Dest</t>
  </si>
  <si>
    <t>pointer</t>
  </si>
  <si>
    <t>cat</t>
  </si>
  <si>
    <t>area</t>
  </si>
  <si>
    <t>mature</t>
  </si>
  <si>
    <t>dspawn</t>
  </si>
  <si>
    <t>sex</t>
  </si>
  <si>
    <t>sexs</t>
  </si>
  <si>
    <t>ages</t>
  </si>
  <si>
    <t>projectedcatch</t>
  </si>
  <si>
    <t>projectedseason</t>
  </si>
  <si>
    <t>endseason</t>
  </si>
  <si>
    <t>startseason</t>
  </si>
  <si>
    <t>value</t>
  </si>
  <si>
    <t># max sex, if two sexes 1, if one sex 0</t>
  </si>
  <si>
    <t># in t not KG</t>
  </si>
  <si>
    <t># number of years</t>
  </si>
  <si>
    <t># first season/year</t>
  </si>
  <si>
    <t>a</t>
  </si>
  <si>
    <t>b</t>
  </si>
  <si>
    <t>male</t>
  </si>
  <si>
    <t>Season</t>
  </si>
  <si>
    <t>lwr</t>
  </si>
  <si>
    <t>upr</t>
  </si>
  <si>
    <t>season</t>
  </si>
  <si>
    <t>lbgap</t>
  </si>
  <si>
    <t>bottom of lowest length bin</t>
  </si>
  <si>
    <t>bottom of largest length bin</t>
  </si>
  <si>
    <t>size of length bin</t>
  </si>
  <si>
    <t>lblwr</t>
  </si>
  <si>
    <t>lbupr</t>
  </si>
  <si>
    <t>growthmat</t>
  </si>
  <si>
    <t># max age, if one age = 1, if two age = 2</t>
  </si>
  <si>
    <t>grow</t>
  </si>
  <si>
    <t>Age</t>
  </si>
  <si>
    <t>lower</t>
  </si>
  <si>
    <t>upper</t>
  </si>
  <si>
    <t>est</t>
  </si>
  <si>
    <t>Phase</t>
  </si>
  <si>
    <t>recruitarea</t>
  </si>
  <si>
    <t>recruit</t>
  </si>
  <si>
    <t>## not loaded: Recruit refers to the timestep when recruitment should occur.  Only needed in the first record for that timestep.</t>
  </si>
  <si>
    <t>Use Parameters</t>
  </si>
  <si>
    <t>description</t>
  </si>
  <si>
    <t>Sex Split: 0 = 50:50</t>
  </si>
  <si>
    <t>A1 Slope Sex 1</t>
  </si>
  <si>
    <t>A1 Inflect Sex 1: Recruit area 1, sex 1</t>
  </si>
  <si>
    <t>These numbers should match</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</si>
  <si>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</si>
  <si>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</si>
  <si>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</si>
  <si>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</si>
  <si>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</si>
  <si>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</si>
  <si>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</si>
  <si>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</si>
  <si>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</si>
  <si>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</si>
  <si>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</si>
  <si>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</si>
  <si>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</si>
  <si>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</si>
  <si>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</si>
  <si>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</si>
  <si>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</si>
  <si>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</si>
  <si>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</si>
  <si>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</si>
  <si>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</si>
  <si>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</si>
  <si>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</si>
  <si>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</si>
  <si>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</si>
  <si>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</si>
  <si>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</si>
  <si>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</si>
  <si>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</si>
  <si>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</si>
  <si>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</si>
  <si>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</si>
  <si>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</si>
  <si>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</si>
  <si>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</si>
  <si>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</si>
  <si>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prop</t>
  </si>
  <si>
    <t>depth</t>
  </si>
  <si>
    <t>Is.Survey</t>
  </si>
  <si>
    <t>id</t>
  </si>
  <si>
    <t>M</t>
  </si>
  <si>
    <t>X</t>
  </si>
  <si>
    <t>none</t>
  </si>
  <si>
    <t>## not loaded:  equation W = a*Length^b</t>
  </si>
  <si>
    <t>fecundity</t>
  </si>
  <si>
    <t>Sex</t>
  </si>
  <si>
    <t>Area</t>
  </si>
  <si>
    <t>Tstep</t>
  </si>
  <si>
    <t>prior</t>
  </si>
  <si>
    <t>priorsd</t>
  </si>
  <si>
    <t>zone</t>
  </si>
  <si>
    <t>agemat</t>
  </si>
  <si>
    <t>tune_years</t>
  </si>
  <si>
    <t>burn_in</t>
  </si>
  <si>
    <t>commonq</t>
  </si>
  <si>
    <t>change_q_bymonth</t>
  </si>
  <si>
    <t>effic.creep</t>
  </si>
  <si>
    <t>temporal.cover</t>
  </si>
  <si>
    <t>matrix</t>
  </si>
  <si>
    <t>redone</t>
  </si>
  <si>
    <t>par</t>
  </si>
  <si>
    <t>phase</t>
  </si>
  <si>
    <t>type</t>
  </si>
  <si>
    <t>cpue</t>
  </si>
  <si>
    <t>numbers</t>
  </si>
  <si>
    <t>length</t>
  </si>
  <si>
    <t>larvae</t>
  </si>
  <si>
    <t>tag1</t>
  </si>
  <si>
    <t>tag2</t>
  </si>
  <si>
    <t>initialN</t>
  </si>
  <si>
    <t>initialPen</t>
  </si>
  <si>
    <t>form</t>
  </si>
  <si>
    <t>global</t>
  </si>
  <si>
    <t># Age when maturity is attained (starts at age 1)</t>
  </si>
  <si>
    <t>comment</t>
  </si>
  <si>
    <t xml:space="preserve">## not loaded: Every combination of legal lobster based on sampling (i.e. what is and is not setose) and limited to Non white lobsters </t>
  </si>
  <si>
    <t>pos</t>
  </si>
  <si>
    <t>sea</t>
  </si>
  <si>
    <t>lowtp</t>
  </si>
  <si>
    <t>ts</t>
  </si>
  <si>
    <t>min</t>
  </si>
  <si>
    <t>max</t>
  </si>
  <si>
    <t>bio</t>
  </si>
  <si>
    <t>num</t>
  </si>
  <si>
    <t>age</t>
  </si>
  <si>
    <t>## not loaded: oldarea 99 represents all areas in model.  All timesteps in years not listed get no high-grading.</t>
  </si>
  <si>
    <t>## not loaded:  MaturityOgive = 1/(1+exp((lens-a)/b)) . Fecundity = a*Length^b. if male only (and no fecundity) set parameters to length weight and double breeding to be super large. One for each model area</t>
  </si>
  <si>
    <t>## not loaded: numb refers to how many samples the data was derived from.  Fleet must match fleetcopde tab. Sex and timestep starts at 1</t>
  </si>
  <si>
    <t>Survey</t>
  </si>
  <si>
    <t>individual</t>
  </si>
  <si>
    <t>parlink</t>
  </si>
  <si>
    <t>biomass target</t>
  </si>
  <si>
    <t>biomass threshold</t>
  </si>
  <si>
    <t>biomass limit</t>
  </si>
  <si>
    <t>## not loaded: Link areas with fleets and a description of the fleet (area name _ fleet type)</t>
  </si>
  <si>
    <t>name</t>
  </si>
  <si>
    <t>MeanRecruitment</t>
  </si>
  <si>
    <t xml:space="preserve"> upper</t>
  </si>
  <si>
    <t xml:space="preserve"> estimate</t>
  </si>
  <si>
    <t xml:space="preserve"> phase</t>
  </si>
  <si>
    <t xml:space="preserve"> link</t>
  </si>
  <si>
    <t xml:space="preserve"> mnprior</t>
  </si>
  <si>
    <t xml:space="preserve"> sdprior</t>
  </si>
  <si>
    <t>#</t>
  </si>
  <si>
    <t>Rbar</t>
  </si>
  <si>
    <t>WhiteScaleM</t>
  </si>
  <si>
    <t>RedScaleQ</t>
  </si>
  <si>
    <t>SigmaR</t>
  </si>
  <si>
    <t>Rintro</t>
  </si>
  <si>
    <t>Initial</t>
  </si>
  <si>
    <t xml:space="preserve"> useprior</t>
  </si>
  <si>
    <t>area1</t>
  </si>
  <si>
    <t>## not loaded: link parameters to have common parameter. M must match number of areas and ages. Priors, 0 = none, 1 = normal, 2 = gamma (not yet implemented)</t>
  </si>
  <si>
    <t>RedQ</t>
  </si>
  <si>
    <t>Sigma</t>
  </si>
  <si>
    <t>hash</t>
  </si>
  <si>
    <t>Iniial F at start of model</t>
  </si>
  <si>
    <t>Rintro1</t>
  </si>
  <si>
    <t>Does q change between timesteps? 0 no, 1 yes</t>
  </si>
  <si>
    <t>rec</t>
  </si>
  <si>
    <t>STM_s2_l1_ts1</t>
  </si>
  <si>
    <t>mn</t>
  </si>
  <si>
    <t>se</t>
  </si>
  <si>
    <t>cv</t>
  </si>
  <si>
    <t>## not loaded: Leave blank if there is not post-larval recruitment data.</t>
  </si>
  <si>
    <t>area 1</t>
  </si>
  <si>
    <t>area 2</t>
  </si>
  <si>
    <t>area 3</t>
  </si>
  <si>
    <t>area 4</t>
  </si>
  <si>
    <t>area 5</t>
  </si>
  <si>
    <t>area 6</t>
  </si>
  <si>
    <t>area 7</t>
  </si>
  <si>
    <t>area 8</t>
  </si>
  <si>
    <t>## not loaded: Leave blanck in not post-larval data. Density dependent parameter (b) in relationship Rec = a*Puerulus^b.  Required for every area of the model</t>
  </si>
  <si>
    <t>A1 Inflect Sex 2</t>
  </si>
  <si>
    <t>A1 Slope Sex 2</t>
  </si>
  <si>
    <t>female</t>
  </si>
  <si>
    <t>## not loaded:  Catch should be in KG.  Fleet starts at 1 and should match those under fleet tab.  Recreational and indigenous should  be combined.</t>
  </si>
  <si>
    <t>ManageZone</t>
  </si>
  <si>
    <t>Name</t>
  </si>
  <si>
    <t>AreaCode</t>
  </si>
  <si>
    <t>doublelogistic</t>
  </si>
  <si>
    <t>inflect1</t>
  </si>
  <si>
    <t>slope1</t>
  </si>
  <si>
    <t>inflect2</t>
  </si>
  <si>
    <t>slope2</t>
  </si>
  <si>
    <t>F</t>
  </si>
  <si>
    <t>Fgap0</t>
  </si>
  <si>
    <t>Mgap0</t>
  </si>
  <si>
    <t>yearlink</t>
  </si>
  <si>
    <t>fleet1</t>
  </si>
  <si>
    <t>fleet2</t>
  </si>
  <si>
    <t>fleet3</t>
  </si>
  <si>
    <t>fleet4</t>
  </si>
  <si>
    <t>## not loaded: Put description in herer to inform people.</t>
  </si>
  <si>
    <t>object</t>
  </si>
  <si>
    <t>comments</t>
  </si>
  <si>
    <t>## not loaded: Every combination of legal lobster based on sampling (i.e. what is and is not setose). Start year Sex Zone Tstep Depth Min Max Biological</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</si>
  <si>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</si>
  <si>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</si>
  <si>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</si>
  <si>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</si>
  <si>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</si>
  <si>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</si>
  <si>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</si>
  <si>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</si>
  <si>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</si>
  <si>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</si>
  <si>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</si>
  <si>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</si>
  <si>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</si>
  <si>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</si>
  <si>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</si>
  <si>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</si>
  <si>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</si>
  <si>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</si>
  <si>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</si>
  <si>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</si>
  <si>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</si>
  <si>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</si>
  <si>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</si>
  <si>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</si>
  <si>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</si>
  <si>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</si>
  <si>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</si>
  <si>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</si>
  <si>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</si>
  <si>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</si>
  <si>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</si>
  <si>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</si>
  <si>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</si>
  <si>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</si>
  <si>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</si>
  <si>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</si>
  <si>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</si>
  <si>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</si>
  <si>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</si>
  <si>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</si>
  <si>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</si>
  <si>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 not loaded: Setting up parameters for efficiency creep.  Number pars poduced is  nyears/temporal cover, with efficiency compounded year on year. Pointer need to match numbers in fleet tab</t>
  </si>
  <si>
    <t>Fleet</t>
  </si>
  <si>
    <t>Sex</t>
  </si>
  <si>
    <t>Season</t>
  </si>
  <si>
    <t>Tstep</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</si>
  <si>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</si>
  <si>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</si>
  <si>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</si>
  <si>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</si>
  <si>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</si>
  <si>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</si>
  <si>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</si>
  <si>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</si>
  <si>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</si>
  <si>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</si>
  <si>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</si>
  <si>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</si>
  <si>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</si>
  <si>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</si>
  <si>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</si>
  <si>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</si>
  <si>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</si>
  <si>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</si>
  <si>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</si>
  <si>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</si>
  <si>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</si>
  <si>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</si>
  <si>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</si>
  <si>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</si>
  <si>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</si>
  <si>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</si>
  <si>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</si>
  <si>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</si>
  <si>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</si>
  <si>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</si>
  <si>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</si>
  <si>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</si>
  <si>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</si>
  <si>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</si>
  <si>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</si>
  <si>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</si>
  <si>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</si>
  <si>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</si>
  <si>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</si>
  <si>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</si>
  <si>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</si>
  <si>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</si>
  <si>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year</t>
  </si>
  <si>
    <t>step</t>
  </si>
  <si>
    <t>fleet</t>
  </si>
  <si>
    <t>catch</t>
  </si>
  <si>
    <t xml:space="preserve">## not loaded: Should be pre standardised for everything sensible.  Index starts at 0, fleet at 1, sex at 0 (combined sexes),1 (sex 1) or 2, timestep at 1. </t>
  </si>
  <si>
    <t>CpueInd</t>
  </si>
  <si>
    <t>Year</t>
  </si>
  <si>
    <t>Step</t>
  </si>
  <si>
    <t>Index</t>
  </si>
  <si>
    <t>CV</t>
  </si>
  <si>
    <t>## not loaded: parameters for logistic curve to describe retention in pots.  Sex = F, M or B (both).  YearLink aligns years (decimals in table to right allow for multiple version of that to be applied).  Parlink allows parameters to be linked. Form must be either logistic or doublelogistic. If doublelogistic inflect1 must be &lt; inflect2, slope 1 and 2 must be +ive and -ive, respectively</t>
  </si>
  <si>
    <t>## not loaded: Any value &gt; 0 will apply a STM in that timestep. The STM will be compounded by the grow number to allow for monthly STMs to represent longer periods of growth, e.g. grow = 6 represents six months of growth. Season 999 applies to all seasons.  Put in a specific season and only this season will have that unique moulting schedule/growth.  All timesteps and areas not listed will default to no growth. Matrix define what matrix to use for that case (sex/area/tstep) as reported in next tab (sizetransmat)</t>
  </si>
  <si>
    <t>## not loaded: Add all size trans matrices below with a "#label" before each STM.  They should be sorted by sex and then growth area then timestep (Fem area1 ts 1, Fem area1 ts 2, Fem area2 ts1 , Mal area1 ts 1, ….).  Each STM should be a square of length-bin dimentions with columns summing to 1.</t>
  </si>
  <si>
    <t># Matrix # s2_l1_ts1</t>
  </si>
  <si>
    <t>Multiplier for age 1</t>
  </si>
  <si>
    <t>SouthCoast</t>
  </si>
  <si>
    <t>survey</t>
  </si>
  <si>
    <t>com_catch</t>
  </si>
  <si>
    <t>com_measure</t>
  </si>
  <si>
    <t>Fgap54</t>
  </si>
  <si>
    <t>Mgap54</t>
  </si>
  <si>
    <t>Fgap55</t>
  </si>
  <si>
    <t>Mgap55</t>
  </si>
  <si>
    <t>## not loaded: Use parameters: 1 = Yes, 0 = No and use pre-specifyed dist.  Number of parameters must = 1(sexsplit)+(#Areas-1)+#RecruitAreas*#Sex*2Par.  Relative contribution by area for # areas -1 (last area is remainder).  Add pre specified in order of sex 1 area 1, sex 2 area 1, sex 1 area 2 .... Does not need to be aligned with Inflection parameter, but makes it easy to track</t>
  </si>
  <si>
    <t>## not loaded:  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Priors not used yet. Leave blank if no migration exists but leave headers on row 3.</t>
  </si>
  <si>
    <t>## not loaded:  This links with migration and the different catchability and M they experience during this life stage.  Leave blank if you have no need for this (headers remain on row 2). Age starts at 1</t>
  </si>
  <si>
    <t>9999 M X X X 76 X none</t>
  </si>
  <si>
    <t>XXXX</t>
  </si>
  <si>
    <t>burnin</t>
  </si>
  <si>
    <t>Maximum burnin period for all areas</t>
  </si>
  <si>
    <t>STM_s1_l1_ts1</t>
  </si>
  <si>
    <t># Matrix # s1_l1_ts1</t>
  </si>
  <si>
    <t>## not loaded: parameters for logistic curve to describe proportion of catch retained for landings. Used to assign to different years. Put sea (season) as xxxx if all years . Sex as X if combined.</t>
  </si>
  <si>
    <t>## not loaded: Recruit area refers to size composition of recruits.  All the same area have all same recruit size. Target/limit and thresholds are in proportions</t>
  </si>
  <si>
    <t>9999 F X X X 76 X none</t>
  </si>
  <si>
    <t>## not loaded: Define weights to data types - globally (required) or individual: by fleet, timestep, sex (only list changes from 1). Set timestep to -1 for all.  Sex only used for length freq. For individ, type = cpue, numbers, length or larvae . Sex starts at 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</si>
</sst>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1"/>
      <color theme="1"/>
      <name val="Calibri"/>
      <family val="2"/>
    </font>
  </fonts>
  <fills count="5">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xf numFmtId="0" fontId="1" fillId="0" borderId="0" xfId="0" applyFont="1" applyAlignment="1">
      <alignment horizontal="right"/>
    </xf>
    <xf numFmtId="11" fontId="1" fillId="0" borderId="0" xfId="0" applyNumberFormat="1" applyFont="1"/>
    <xf numFmtId="0" fontId="1" fillId="3" borderId="0" xfId="0" applyFont="1" applyFill="1"/>
    <xf numFmtId="0" fontId="1" fillId="4" borderId="0" xfId="0" applyFont="1" applyFill="1"/>
    <xf numFmtId="0" fontId="1" fillId="0" borderId="0" xfId="0" applyFont="1" applyAlignment="1">
      <alignment wrapText="1"/>
    </xf>
    <xf numFmtId="0" fontId="0" fillId="2" borderId="0" xfId="0" applyFill="1"/>
    <xf numFmtId="0" fontId="0" fillId="4" borderId="0" xfId="0" applyFill="1"/>
    <xf numFmtId="0" fontId="0" fillId="0" borderId="0" xfId="0" quotePrefix="1"/>
    <xf numFmtId="0" fontId="1" fillId="2" borderId="0" xfId="0" applyFont="1" applyFill="1" applyAlignment="1">
      <alignment wrapText="1"/>
    </xf>
    <xf numFmtId="0" fontId="1" fillId="2" borderId="0" xfId="0" applyFont="1" applyFill="1"/>
    <xf numFmtId="11"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1.xml"/><Relationship Id="rId30"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Book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Sheet6"/>
      <sheetName val="Sheet7"/>
      <sheetName val="Sheet5"/>
      <sheetName val="Sheet4"/>
    </sheetNames>
    <sheetDataSet>
      <sheetData sheetId="0"/>
      <sheetData sheetId="1"/>
      <sheetData sheetId="2"/>
      <sheetData sheetId="3"/>
      <sheetData sheetId="4">
        <row r="2">
          <cell r="F2">
            <v>0</v>
          </cell>
          <cell r="G2">
            <v>0</v>
          </cell>
          <cell r="H2">
            <v>0</v>
          </cell>
          <cell r="I2">
            <v>0</v>
          </cell>
          <cell r="J2">
            <v>1.0024171261206E-5</v>
          </cell>
          <cell r="K2">
            <v>4.8116022053788901E-4</v>
          </cell>
          <cell r="L2">
            <v>5.8179983918474603E-3</v>
          </cell>
          <cell r="M2">
            <v>2.3898848612976101E-2</v>
          </cell>
          <cell r="N2">
            <v>3.4482383934635701E-2</v>
          </cell>
          <cell r="O2">
            <v>3.4498912339158E-2</v>
          </cell>
          <cell r="P2">
            <v>3.8604843495904498E-2</v>
          </cell>
          <cell r="Q2">
            <v>3.7377150337776298E-2</v>
          </cell>
          <cell r="R2">
            <v>3.6408478704222098E-2</v>
          </cell>
          <cell r="S2">
            <v>3.4868811910735598E-2</v>
          </cell>
          <cell r="T2">
            <v>3.8120010296583899E-2</v>
          </cell>
          <cell r="U2">
            <v>3.92962817517538E-2</v>
          </cell>
          <cell r="V2">
            <v>4.0649544872016601E-2</v>
          </cell>
          <cell r="W2">
            <v>4.0708848175279498E-2</v>
          </cell>
          <cell r="X2">
            <v>4.0806794276152303E-2</v>
          </cell>
          <cell r="Y2">
            <v>4.2979973389268698E-2</v>
          </cell>
          <cell r="Z2">
            <v>4.4668013221499298E-2</v>
          </cell>
          <cell r="AA2">
            <v>4.8649063099632898E-2</v>
          </cell>
          <cell r="AB2">
            <v>5.2716887101508597E-2</v>
          </cell>
          <cell r="AC2">
            <v>5.4281346501778502E-2</v>
          </cell>
          <cell r="AD2">
            <v>4.9058294152342301E-2</v>
          </cell>
          <cell r="AE2">
            <v>4.4336679927140299E-2</v>
          </cell>
          <cell r="AF2">
            <v>3.7958858352491499E-2</v>
          </cell>
          <cell r="AG2">
            <v>3.20196516608139E-2</v>
          </cell>
          <cell r="AH2">
            <v>2.76330437087536E-2</v>
          </cell>
          <cell r="AI2">
            <v>2.4000620733414298E-2</v>
          </cell>
          <cell r="AJ2">
            <v>1.9480867300480001E-2</v>
          </cell>
          <cell r="AK2">
            <v>1.4800880168149001E-2</v>
          </cell>
          <cell r="AL2">
            <v>1.22698151848901E-2</v>
          </cell>
          <cell r="AM2">
            <v>9.1899459551780301E-3</v>
          </cell>
          <cell r="AN2">
            <v>7.1107338825864997E-3</v>
          </cell>
          <cell r="AO2">
            <v>5.9619332478957699E-3</v>
          </cell>
          <cell r="AP2">
            <v>4.8518519312063298E-3</v>
          </cell>
          <cell r="AQ2">
            <v>4.2663944173171198E-3</v>
          </cell>
          <cell r="AR2">
            <v>3.1767440451066298E-3</v>
          </cell>
          <cell r="AS2">
            <v>2.80202368887666E-3</v>
          </cell>
          <cell r="AT2">
            <v>1.17562868388294E-2</v>
          </cell>
          <cell r="BB2">
            <v>0</v>
          </cell>
          <cell r="BC2">
            <v>0</v>
          </cell>
          <cell r="BD2">
            <v>0</v>
          </cell>
          <cell r="BE2">
            <v>0</v>
          </cell>
          <cell r="BF2">
            <v>1.0024171261206032E-5</v>
          </cell>
          <cell r="BG2">
            <v>4.8116022053788944E-4</v>
          </cell>
          <cell r="BH2">
            <v>5.8179983918474577E-3</v>
          </cell>
          <cell r="BI2">
            <v>2.389884861297609E-2</v>
          </cell>
          <cell r="BJ2">
            <v>3.448238393463568E-2</v>
          </cell>
          <cell r="BK2">
            <v>3.4498912339157972E-2</v>
          </cell>
          <cell r="BL2">
            <v>3.8604843495904491E-2</v>
          </cell>
          <cell r="BM2">
            <v>3.7377150337776319E-2</v>
          </cell>
          <cell r="BN2">
            <v>3.6408478704222064E-2</v>
          </cell>
          <cell r="BO2">
            <v>3.4868811910735598E-2</v>
          </cell>
          <cell r="BP2">
            <v>3.8120010296583864E-2</v>
          </cell>
          <cell r="BQ2">
            <v>3.9296281751753773E-2</v>
          </cell>
          <cell r="BR2">
            <v>4.0649544872016601E-2</v>
          </cell>
          <cell r="BS2">
            <v>4.0708848175279456E-2</v>
          </cell>
          <cell r="BT2">
            <v>4.0806794276152303E-2</v>
          </cell>
          <cell r="BU2">
            <v>4.2979973389268733E-2</v>
          </cell>
          <cell r="BV2">
            <v>4.4668013221499298E-2</v>
          </cell>
          <cell r="BW2">
            <v>4.8649063099632933E-2</v>
          </cell>
          <cell r="BX2">
            <v>5.2716887101508604E-2</v>
          </cell>
          <cell r="BY2">
            <v>5.4281346501778495E-2</v>
          </cell>
          <cell r="BZ2">
            <v>4.9058294152342308E-2</v>
          </cell>
          <cell r="CA2">
            <v>4.4336679927140348E-2</v>
          </cell>
          <cell r="CB2">
            <v>3.7958858352491492E-2</v>
          </cell>
          <cell r="CC2">
            <v>3.2019651660813886E-2</v>
          </cell>
          <cell r="CD2">
            <v>2.7633043708753597E-2</v>
          </cell>
          <cell r="CE2">
            <v>2.4000620733414284E-2</v>
          </cell>
          <cell r="CF2">
            <v>1.948086730047997E-2</v>
          </cell>
          <cell r="CG2">
            <v>1.4800880168148969E-2</v>
          </cell>
          <cell r="CH2">
            <v>1.2269815184890101E-2</v>
          </cell>
          <cell r="CI2">
            <v>9.1899459551780267E-3</v>
          </cell>
          <cell r="CJ2">
            <v>7.1107338825864988E-3</v>
          </cell>
          <cell r="CK2">
            <v>5.9619332478957655E-3</v>
          </cell>
          <cell r="CL2">
            <v>4.8518519312063307E-3</v>
          </cell>
          <cell r="CM2">
            <v>4.2663944173171155E-3</v>
          </cell>
          <cell r="CN2">
            <v>3.1767440451066276E-3</v>
          </cell>
          <cell r="CO2">
            <v>2.8020236888766591E-3</v>
          </cell>
          <cell r="CP2">
            <v>1.1756286838829384E-2</v>
          </cell>
        </row>
      </sheetData>
      <sheetData sheetId="5"/>
      <sheetData sheetId="6"/>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5"/>
  <sheetViews>
    <sheetView workbookViewId="0">
      <selection activeCell="D15" sqref="D15"/>
    </sheetView>
  </sheetViews>
  <sheetFormatPr defaultColWidth="11.42578125" defaultRowHeight="15" x14ac:dyDescent="0.25"/>
  <cols>
    <col min="1" max="1" width="18.7109375" customWidth="1"/>
  </cols>
  <sheetData>
    <row r="1" spans="1:21" ht="15" customHeight="1" x14ac:dyDescent="0.25">
      <c r="A1" s="10" t="s">
        <v>212</v>
      </c>
      <c r="B1" s="11"/>
      <c r="C1" s="11"/>
      <c r="D1" s="11"/>
      <c r="E1" s="11"/>
      <c r="F1" s="11"/>
      <c r="G1" s="11"/>
      <c r="H1" s="11"/>
      <c r="I1" s="11"/>
      <c r="J1" s="11"/>
      <c r="K1" s="11"/>
      <c r="L1" s="11"/>
      <c r="M1" s="11"/>
      <c r="N1" s="11"/>
      <c r="O1" s="11"/>
      <c r="P1" s="11"/>
      <c r="Q1" s="11"/>
      <c r="R1" s="11"/>
      <c r="S1" s="11"/>
      <c r="T1" s="11"/>
      <c r="U1" s="11"/>
    </row>
    <row r="2" spans="1:21" x14ac:dyDescent="0.25">
      <c r="A2" t="s">
        <v>213</v>
      </c>
      <c r="B2" t="s">
        <v>23</v>
      </c>
      <c r="C2" t="s">
        <v>214</v>
      </c>
    </row>
    <row r="3" spans="1:21" x14ac:dyDescent="0.25">
      <c r="A3" t="s">
        <v>22</v>
      </c>
      <c r="B3">
        <v>1970</v>
      </c>
      <c r="C3" t="s">
        <v>27</v>
      </c>
    </row>
    <row r="4" spans="1:21" x14ac:dyDescent="0.25">
      <c r="A4" t="s">
        <v>21</v>
      </c>
      <c r="B4">
        <v>2024</v>
      </c>
    </row>
    <row r="5" spans="1:21" x14ac:dyDescent="0.25">
      <c r="A5" t="s">
        <v>20</v>
      </c>
      <c r="B5">
        <v>10</v>
      </c>
      <c r="C5" t="s">
        <v>26</v>
      </c>
    </row>
    <row r="6" spans="1:21" x14ac:dyDescent="0.25">
      <c r="A6" t="s">
        <v>19</v>
      </c>
      <c r="B6">
        <v>7000</v>
      </c>
      <c r="C6" t="s">
        <v>25</v>
      </c>
    </row>
    <row r="7" spans="1:21" x14ac:dyDescent="0.25">
      <c r="A7" t="s">
        <v>18</v>
      </c>
      <c r="B7">
        <v>1</v>
      </c>
      <c r="C7" t="s">
        <v>42</v>
      </c>
    </row>
    <row r="8" spans="1:21" x14ac:dyDescent="0.25">
      <c r="A8" t="s">
        <v>109</v>
      </c>
      <c r="B8">
        <v>1</v>
      </c>
      <c r="C8" t="s">
        <v>131</v>
      </c>
    </row>
    <row r="9" spans="1:21" x14ac:dyDescent="0.25">
      <c r="A9" t="s">
        <v>17</v>
      </c>
      <c r="B9">
        <v>1</v>
      </c>
      <c r="C9" t="s">
        <v>24</v>
      </c>
    </row>
    <row r="10" spans="1:21" x14ac:dyDescent="0.25">
      <c r="A10" t="s">
        <v>39</v>
      </c>
      <c r="B10">
        <v>51</v>
      </c>
      <c r="C10" t="s">
        <v>36</v>
      </c>
    </row>
    <row r="11" spans="1:21" x14ac:dyDescent="0.25">
      <c r="A11" t="s">
        <v>40</v>
      </c>
      <c r="B11">
        <v>131</v>
      </c>
      <c r="C11" t="s">
        <v>37</v>
      </c>
    </row>
    <row r="12" spans="1:21" x14ac:dyDescent="0.25">
      <c r="A12" t="s">
        <v>35</v>
      </c>
      <c r="B12">
        <v>2</v>
      </c>
      <c r="C12" t="s">
        <v>38</v>
      </c>
    </row>
    <row r="13" spans="1:21" x14ac:dyDescent="0.25">
      <c r="A13" t="s">
        <v>110</v>
      </c>
      <c r="B13">
        <v>2</v>
      </c>
    </row>
    <row r="14" spans="1:21" x14ac:dyDescent="0.25">
      <c r="A14" t="s">
        <v>113</v>
      </c>
      <c r="B14">
        <v>1</v>
      </c>
      <c r="C14" t="s">
        <v>176</v>
      </c>
    </row>
    <row r="15" spans="1:21" x14ac:dyDescent="0.25">
      <c r="A15" t="s">
        <v>332</v>
      </c>
      <c r="B15">
        <v>10</v>
      </c>
      <c r="C15" t="s">
        <v>333</v>
      </c>
    </row>
  </sheetData>
  <mergeCells count="1">
    <mergeCell ref="A1:U1"/>
  </mergeCells>
  <pageMargins left="0.7" right="0.7" top="0.75" bottom="0.75" header="0.3" footer="0.3"/>
  <pageSetup paperSize="9" orientation="portrait" horizontalDpi="300" verticalDpi="300"/>
  <headerFooter scaleWithDoc="0" alignWithMargins="0">
    <oddHeader>&amp;C&amp;"Aptos"&amp;12&amp;KFF0000 OFFICIAL&amp;1#_x000D_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3"/>
  <sheetViews>
    <sheetView workbookViewId="0">
      <selection activeCell="G9" sqref="G9"/>
    </sheetView>
  </sheetViews>
  <sheetFormatPr defaultColWidth="11.42578125" defaultRowHeight="15" x14ac:dyDescent="0.25"/>
  <cols>
    <col min="1" max="1" width="19.5703125" customWidth="1"/>
    <col min="2" max="2" width="13.140625" customWidth="1"/>
  </cols>
  <sheetData>
    <row r="1" spans="1:16" ht="15.75" customHeight="1" x14ac:dyDescent="0.25">
      <c r="A1" s="10" t="s">
        <v>337</v>
      </c>
      <c r="B1" s="11"/>
      <c r="C1" s="11"/>
      <c r="D1" s="11"/>
      <c r="E1" s="11"/>
      <c r="F1" s="11"/>
      <c r="G1" s="11"/>
      <c r="H1" s="11"/>
      <c r="I1" s="11"/>
      <c r="J1" s="11"/>
      <c r="K1" s="11"/>
      <c r="L1" s="11"/>
      <c r="M1" s="11"/>
      <c r="N1" s="11"/>
      <c r="O1" s="11"/>
      <c r="P1" s="11"/>
    </row>
    <row r="2" spans="1:16" x14ac:dyDescent="0.25">
      <c r="A2" t="s">
        <v>197</v>
      </c>
      <c r="B2" t="s">
        <v>196</v>
      </c>
      <c r="C2" t="s">
        <v>198</v>
      </c>
      <c r="D2" t="s">
        <v>41</v>
      </c>
      <c r="E2" t="s">
        <v>49</v>
      </c>
      <c r="F2" t="s">
        <v>111</v>
      </c>
      <c r="G2" t="s">
        <v>110</v>
      </c>
      <c r="H2" t="s">
        <v>149</v>
      </c>
      <c r="I2" t="s">
        <v>150</v>
      </c>
      <c r="J2" t="s">
        <v>151</v>
      </c>
      <c r="K2" t="s">
        <v>95</v>
      </c>
    </row>
    <row r="3" spans="1:16" x14ac:dyDescent="0.25">
      <c r="A3" t="s">
        <v>319</v>
      </c>
      <c r="B3" t="s">
        <v>7</v>
      </c>
      <c r="C3">
        <v>1</v>
      </c>
      <c r="D3">
        <v>1</v>
      </c>
      <c r="E3">
        <v>1</v>
      </c>
      <c r="F3">
        <v>3</v>
      </c>
      <c r="G3">
        <v>2</v>
      </c>
      <c r="H3">
        <v>0.42</v>
      </c>
      <c r="I3">
        <v>0.35</v>
      </c>
      <c r="J3">
        <v>0.2</v>
      </c>
      <c r="K3">
        <v>0</v>
      </c>
    </row>
  </sheetData>
  <mergeCells count="1">
    <mergeCell ref="A1:P1"/>
  </mergeCells>
  <pageMargins left="0.7" right="0.7" top="0.75" bottom="0.75" header="0.3" footer="0.3"/>
  <pageSetup paperSize="9" orientation="portrait" horizontalDpi="300" verticalDpi="300"/>
  <headerFooter scaleWithDoc="0" alignWithMargins="0">
    <oddHeader>&amp;C&amp;"Aptos"&amp;12&amp;KFF0000 OFFICIAL&amp;1#_x000D_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26"/>
  <sheetViews>
    <sheetView workbookViewId="0">
      <selection activeCell="G9" sqref="G9"/>
    </sheetView>
  </sheetViews>
  <sheetFormatPr defaultColWidth="11.42578125" defaultRowHeight="15" x14ac:dyDescent="0.25"/>
  <sheetData>
    <row r="1" spans="1:21" x14ac:dyDescent="0.25">
      <c r="A1" s="10" t="s">
        <v>51</v>
      </c>
      <c r="B1" s="11"/>
      <c r="C1" s="11"/>
      <c r="D1" s="11"/>
      <c r="E1" s="11"/>
      <c r="F1" s="11"/>
      <c r="G1" s="11"/>
      <c r="H1" s="11"/>
      <c r="I1" s="11"/>
      <c r="J1" s="11"/>
      <c r="K1" s="11"/>
      <c r="L1" s="11"/>
      <c r="M1" s="11"/>
      <c r="N1" s="11"/>
      <c r="O1" s="11"/>
      <c r="P1" s="11"/>
      <c r="Q1" s="11"/>
      <c r="R1" s="11"/>
      <c r="S1" s="11"/>
      <c r="T1" s="11"/>
      <c r="U1" s="11"/>
    </row>
    <row r="2" spans="1:21" x14ac:dyDescent="0.25">
      <c r="A2" t="s">
        <v>4</v>
      </c>
      <c r="B2" t="s">
        <v>5</v>
      </c>
      <c r="C2" t="s">
        <v>6</v>
      </c>
      <c r="D2" t="s">
        <v>50</v>
      </c>
    </row>
    <row r="3" spans="1:21" x14ac:dyDescent="0.25">
      <c r="A3">
        <v>1</v>
      </c>
      <c r="B3">
        <v>0</v>
      </c>
      <c r="C3">
        <v>1</v>
      </c>
      <c r="D3">
        <v>1</v>
      </c>
    </row>
    <row r="4" spans="1:21" x14ac:dyDescent="0.25">
      <c r="A4">
        <v>1</v>
      </c>
      <c r="B4">
        <v>1</v>
      </c>
      <c r="C4">
        <v>1</v>
      </c>
      <c r="D4">
        <v>0</v>
      </c>
    </row>
    <row r="5" spans="1:21" x14ac:dyDescent="0.25">
      <c r="A5">
        <v>2</v>
      </c>
      <c r="B5">
        <v>0</v>
      </c>
      <c r="C5">
        <v>1</v>
      </c>
      <c r="D5">
        <v>0</v>
      </c>
    </row>
    <row r="6" spans="1:21" x14ac:dyDescent="0.25">
      <c r="A6">
        <v>2</v>
      </c>
      <c r="B6">
        <v>1</v>
      </c>
      <c r="C6">
        <v>1</v>
      </c>
      <c r="D6">
        <v>0</v>
      </c>
    </row>
    <row r="7" spans="1:21" x14ac:dyDescent="0.25">
      <c r="A7">
        <v>3</v>
      </c>
      <c r="B7">
        <v>0</v>
      </c>
      <c r="C7">
        <v>1</v>
      </c>
      <c r="D7">
        <v>0</v>
      </c>
    </row>
    <row r="8" spans="1:21" x14ac:dyDescent="0.25">
      <c r="A8">
        <v>3</v>
      </c>
      <c r="B8">
        <v>1</v>
      </c>
      <c r="C8">
        <v>1</v>
      </c>
      <c r="D8">
        <v>0</v>
      </c>
    </row>
    <row r="9" spans="1:21" x14ac:dyDescent="0.25">
      <c r="A9">
        <v>4</v>
      </c>
      <c r="B9">
        <v>0</v>
      </c>
      <c r="C9">
        <v>1</v>
      </c>
      <c r="D9">
        <v>0</v>
      </c>
    </row>
    <row r="10" spans="1:21" x14ac:dyDescent="0.25">
      <c r="A10">
        <v>4</v>
      </c>
      <c r="B10">
        <v>1</v>
      </c>
      <c r="C10">
        <v>1</v>
      </c>
      <c r="D10">
        <v>0</v>
      </c>
    </row>
    <row r="11" spans="1:21" x14ac:dyDescent="0.25">
      <c r="A11">
        <v>5</v>
      </c>
      <c r="B11">
        <v>0</v>
      </c>
      <c r="C11">
        <v>1</v>
      </c>
      <c r="D11">
        <v>0</v>
      </c>
    </row>
    <row r="12" spans="1:21" x14ac:dyDescent="0.25">
      <c r="A12">
        <v>5</v>
      </c>
      <c r="B12">
        <v>1</v>
      </c>
      <c r="C12">
        <v>1</v>
      </c>
      <c r="D12">
        <v>0</v>
      </c>
    </row>
    <row r="13" spans="1:21" x14ac:dyDescent="0.25">
      <c r="A13">
        <v>6</v>
      </c>
      <c r="B13">
        <v>0</v>
      </c>
      <c r="C13">
        <v>1</v>
      </c>
      <c r="D13">
        <v>0</v>
      </c>
    </row>
    <row r="14" spans="1:21" x14ac:dyDescent="0.25">
      <c r="A14">
        <v>6</v>
      </c>
      <c r="B14">
        <v>1</v>
      </c>
      <c r="C14">
        <v>1</v>
      </c>
      <c r="D14">
        <v>0</v>
      </c>
    </row>
    <row r="15" spans="1:21" x14ac:dyDescent="0.25">
      <c r="A15">
        <v>7</v>
      </c>
      <c r="B15">
        <v>0</v>
      </c>
      <c r="C15">
        <v>1</v>
      </c>
      <c r="D15">
        <v>0</v>
      </c>
    </row>
    <row r="16" spans="1:21" x14ac:dyDescent="0.25">
      <c r="A16">
        <v>7</v>
      </c>
      <c r="B16">
        <v>1</v>
      </c>
      <c r="C16">
        <v>1</v>
      </c>
      <c r="D16">
        <v>0</v>
      </c>
    </row>
    <row r="17" spans="1:4" x14ac:dyDescent="0.25">
      <c r="A17">
        <v>8</v>
      </c>
      <c r="B17">
        <v>0</v>
      </c>
      <c r="C17">
        <v>1</v>
      </c>
      <c r="D17">
        <v>0</v>
      </c>
    </row>
    <row r="18" spans="1:4" x14ac:dyDescent="0.25">
      <c r="A18">
        <v>8</v>
      </c>
      <c r="B18">
        <v>1</v>
      </c>
      <c r="C18">
        <v>1</v>
      </c>
      <c r="D18">
        <v>0</v>
      </c>
    </row>
    <row r="19" spans="1:4" x14ac:dyDescent="0.25">
      <c r="A19">
        <v>9</v>
      </c>
      <c r="B19">
        <v>0</v>
      </c>
      <c r="C19">
        <v>1</v>
      </c>
      <c r="D19">
        <v>0</v>
      </c>
    </row>
    <row r="20" spans="1:4" x14ac:dyDescent="0.25">
      <c r="A20">
        <v>9</v>
      </c>
      <c r="B20">
        <v>1</v>
      </c>
      <c r="C20">
        <v>1</v>
      </c>
      <c r="D20">
        <v>0</v>
      </c>
    </row>
    <row r="21" spans="1:4" x14ac:dyDescent="0.25">
      <c r="A21">
        <v>10</v>
      </c>
      <c r="B21">
        <v>0</v>
      </c>
      <c r="C21">
        <v>1</v>
      </c>
      <c r="D21">
        <v>0</v>
      </c>
    </row>
    <row r="22" spans="1:4" x14ac:dyDescent="0.25">
      <c r="A22">
        <v>10</v>
      </c>
      <c r="B22">
        <v>1</v>
      </c>
      <c r="C22">
        <v>1</v>
      </c>
      <c r="D22">
        <v>0</v>
      </c>
    </row>
    <row r="23" spans="1:4" x14ac:dyDescent="0.25">
      <c r="A23">
        <v>11</v>
      </c>
      <c r="B23">
        <v>0</v>
      </c>
      <c r="C23">
        <v>1</v>
      </c>
      <c r="D23">
        <v>0</v>
      </c>
    </row>
    <row r="24" spans="1:4" x14ac:dyDescent="0.25">
      <c r="A24">
        <v>11</v>
      </c>
      <c r="B24">
        <v>1</v>
      </c>
      <c r="C24">
        <v>1</v>
      </c>
      <c r="D24">
        <v>0</v>
      </c>
    </row>
    <row r="25" spans="1:4" x14ac:dyDescent="0.25">
      <c r="A25">
        <v>12</v>
      </c>
      <c r="B25">
        <v>0</v>
      </c>
      <c r="C25">
        <v>1</v>
      </c>
      <c r="D25">
        <v>0</v>
      </c>
    </row>
    <row r="26" spans="1:4" x14ac:dyDescent="0.25">
      <c r="A26">
        <v>12</v>
      </c>
      <c r="B26">
        <v>1</v>
      </c>
      <c r="C26">
        <v>1</v>
      </c>
      <c r="D26">
        <v>0</v>
      </c>
    </row>
  </sheetData>
  <mergeCells count="1">
    <mergeCell ref="A1:U1"/>
  </mergeCells>
  <pageMargins left="0.7" right="0.7" top="0.75" bottom="0.75" header="0.3" footer="0.3"/>
  <pageSetup paperSize="9" orientation="portrait" horizontalDpi="300" verticalDpi="300"/>
  <headerFooter scaleWithDoc="0" alignWithMargins="0">
    <oddHeader>&amp;C&amp;"Aptos"&amp;12&amp;KFF0000 OFFICIAL&amp;1#_x000D_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15"/>
  <sheetViews>
    <sheetView workbookViewId="0">
      <selection activeCell="J34" sqref="J34"/>
    </sheetView>
  </sheetViews>
  <sheetFormatPr defaultColWidth="11.42578125" defaultRowHeight="15" x14ac:dyDescent="0.25"/>
  <cols>
    <col min="1" max="1" width="11.28515625" customWidth="1"/>
    <col min="21" max="21" width="15.5703125" customWidth="1"/>
  </cols>
  <sheetData>
    <row r="1" spans="1:21" x14ac:dyDescent="0.25">
      <c r="A1" s="10" t="s">
        <v>339</v>
      </c>
      <c r="B1" s="11"/>
      <c r="C1" s="11"/>
      <c r="D1" s="11"/>
      <c r="E1" s="11"/>
      <c r="F1" s="11"/>
      <c r="G1" s="11"/>
      <c r="H1" s="11"/>
      <c r="I1" s="11"/>
      <c r="J1" s="11"/>
      <c r="K1" s="11"/>
      <c r="L1" s="11"/>
      <c r="M1" s="11"/>
      <c r="N1" s="11"/>
      <c r="O1" s="11"/>
      <c r="P1" s="11"/>
      <c r="Q1" s="11"/>
      <c r="R1" s="11"/>
      <c r="S1" s="11"/>
      <c r="T1" s="11"/>
      <c r="U1" s="11"/>
    </row>
    <row r="2" spans="1:21" x14ac:dyDescent="0.25">
      <c r="A2" t="s">
        <v>129</v>
      </c>
      <c r="B2" t="s">
        <v>120</v>
      </c>
      <c r="C2" t="s">
        <v>23</v>
      </c>
      <c r="D2" t="s">
        <v>0</v>
      </c>
      <c r="E2" t="s">
        <v>6</v>
      </c>
      <c r="F2" t="s">
        <v>16</v>
      </c>
      <c r="G2" t="s">
        <v>97</v>
      </c>
    </row>
    <row r="3" spans="1:21" x14ac:dyDescent="0.25">
      <c r="A3" t="s">
        <v>130</v>
      </c>
      <c r="B3" t="s">
        <v>121</v>
      </c>
      <c r="C3">
        <v>1</v>
      </c>
    </row>
    <row r="4" spans="1:21" x14ac:dyDescent="0.25">
      <c r="A4" t="s">
        <v>130</v>
      </c>
      <c r="B4" t="s">
        <v>122</v>
      </c>
      <c r="C4">
        <v>1</v>
      </c>
    </row>
    <row r="5" spans="1:21" x14ac:dyDescent="0.25">
      <c r="A5" t="s">
        <v>130</v>
      </c>
      <c r="B5" t="s">
        <v>123</v>
      </c>
      <c r="C5">
        <v>0.25</v>
      </c>
    </row>
    <row r="6" spans="1:21" x14ac:dyDescent="0.25">
      <c r="A6" t="s">
        <v>130</v>
      </c>
      <c r="B6" t="s">
        <v>124</v>
      </c>
      <c r="C6">
        <v>1</v>
      </c>
    </row>
    <row r="7" spans="1:21" x14ac:dyDescent="0.25">
      <c r="A7" t="s">
        <v>130</v>
      </c>
      <c r="B7" s="1" t="s">
        <v>125</v>
      </c>
      <c r="C7" s="1">
        <v>0</v>
      </c>
      <c r="D7" s="1"/>
      <c r="E7" s="1"/>
      <c r="F7" s="1"/>
      <c r="G7" s="1"/>
      <c r="H7" s="1"/>
      <c r="I7" s="1"/>
    </row>
    <row r="8" spans="1:21" x14ac:dyDescent="0.25">
      <c r="A8" t="s">
        <v>130</v>
      </c>
      <c r="B8" s="1" t="s">
        <v>126</v>
      </c>
      <c r="C8" s="1">
        <v>0</v>
      </c>
      <c r="D8" s="1"/>
      <c r="E8" s="1"/>
      <c r="F8" s="1"/>
      <c r="G8" s="1"/>
      <c r="H8" s="1"/>
      <c r="I8" s="1"/>
    </row>
    <row r="9" spans="1:21" x14ac:dyDescent="0.25">
      <c r="A9" t="s">
        <v>130</v>
      </c>
      <c r="B9" s="1" t="s">
        <v>127</v>
      </c>
      <c r="C9" s="1">
        <v>0</v>
      </c>
      <c r="D9" s="1"/>
      <c r="E9" s="1"/>
      <c r="F9" s="1"/>
      <c r="G9" s="1"/>
      <c r="H9" s="1"/>
      <c r="I9" s="1"/>
    </row>
    <row r="10" spans="1:21" x14ac:dyDescent="0.25">
      <c r="A10" t="s">
        <v>130</v>
      </c>
      <c r="B10" s="1" t="s">
        <v>128</v>
      </c>
      <c r="C10" s="1">
        <v>0</v>
      </c>
      <c r="D10" s="1"/>
      <c r="E10" s="1"/>
      <c r="F10" s="1"/>
      <c r="G10" s="1"/>
      <c r="H10" s="1"/>
      <c r="I10" s="1"/>
    </row>
    <row r="11" spans="1:21" x14ac:dyDescent="0.25">
      <c r="A11" t="s">
        <v>147</v>
      </c>
      <c r="B11" t="s">
        <v>121</v>
      </c>
      <c r="C11">
        <v>5</v>
      </c>
      <c r="D11">
        <v>4</v>
      </c>
      <c r="E11">
        <v>-1</v>
      </c>
      <c r="F11">
        <v>-1</v>
      </c>
      <c r="G11" t="s">
        <v>320</v>
      </c>
    </row>
    <row r="12" spans="1:21" x14ac:dyDescent="0.25">
      <c r="A12" t="s">
        <v>147</v>
      </c>
      <c r="B12" t="s">
        <v>123</v>
      </c>
      <c r="C12">
        <v>1</v>
      </c>
      <c r="D12" s="1">
        <v>2</v>
      </c>
      <c r="E12">
        <v>-1</v>
      </c>
      <c r="F12">
        <v>0</v>
      </c>
      <c r="G12" t="s">
        <v>3</v>
      </c>
    </row>
    <row r="13" spans="1:21" x14ac:dyDescent="0.25">
      <c r="A13" t="s">
        <v>147</v>
      </c>
      <c r="B13" t="s">
        <v>123</v>
      </c>
      <c r="C13">
        <v>1</v>
      </c>
      <c r="D13" s="1">
        <v>2</v>
      </c>
      <c r="E13">
        <v>-1</v>
      </c>
      <c r="F13">
        <v>1</v>
      </c>
      <c r="G13" t="s">
        <v>3</v>
      </c>
    </row>
    <row r="14" spans="1:21" x14ac:dyDescent="0.25">
      <c r="A14" t="s">
        <v>147</v>
      </c>
      <c r="B14" t="s">
        <v>123</v>
      </c>
      <c r="C14">
        <v>1</v>
      </c>
      <c r="D14" s="1">
        <v>4</v>
      </c>
      <c r="E14">
        <v>-1</v>
      </c>
      <c r="F14">
        <v>0</v>
      </c>
      <c r="G14" s="1" t="s">
        <v>320</v>
      </c>
    </row>
    <row r="15" spans="1:21" x14ac:dyDescent="0.25">
      <c r="A15" t="s">
        <v>147</v>
      </c>
      <c r="B15" t="s">
        <v>123</v>
      </c>
      <c r="C15">
        <v>1</v>
      </c>
      <c r="D15" s="1">
        <v>4</v>
      </c>
      <c r="E15">
        <v>-1</v>
      </c>
      <c r="F15">
        <v>1</v>
      </c>
      <c r="G15" s="1" t="s">
        <v>320</v>
      </c>
    </row>
  </sheetData>
  <mergeCells count="1">
    <mergeCell ref="A1:U1"/>
  </mergeCells>
  <pageMargins left="0.7" right="0.7" top="0.75" bottom="0.75" header="0.3" footer="0.3"/>
  <pageSetup paperSize="9" orientation="portrait" horizontalDpi="300" verticalDpi="300"/>
  <headerFooter scaleWithDoc="0" alignWithMargins="0">
    <oddHeader>&amp;C&amp;"Aptos"&amp;12&amp;KFF0000 OFFICIAL&amp;1#_x000D_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6"/>
  <sheetViews>
    <sheetView workbookViewId="0">
      <selection activeCell="A4" sqref="A4:XFD4"/>
    </sheetView>
  </sheetViews>
  <sheetFormatPr defaultColWidth="11.42578125" defaultRowHeight="15" x14ac:dyDescent="0.25"/>
  <cols>
    <col min="2" max="2" width="15.140625" customWidth="1"/>
    <col min="3" max="3" width="14.7109375" customWidth="1"/>
    <col min="7" max="7" width="19.140625" customWidth="1"/>
  </cols>
  <sheetData>
    <row r="1" spans="1:21" ht="15" customHeight="1" x14ac:dyDescent="0.25">
      <c r="A1" s="10" t="s">
        <v>152</v>
      </c>
      <c r="B1" s="11"/>
      <c r="C1" s="11"/>
      <c r="D1" s="11"/>
      <c r="E1" s="11"/>
      <c r="F1" s="11"/>
      <c r="G1" s="11"/>
      <c r="H1" s="11"/>
      <c r="I1" s="11"/>
      <c r="J1" s="11"/>
      <c r="K1" s="11"/>
      <c r="L1" s="11"/>
      <c r="M1" s="11"/>
      <c r="N1" s="11"/>
      <c r="O1" s="11"/>
      <c r="P1" s="11"/>
      <c r="Q1" s="11"/>
      <c r="R1" s="11"/>
      <c r="S1" s="11"/>
      <c r="T1" s="11"/>
      <c r="U1" s="11"/>
    </row>
    <row r="2" spans="1:21" x14ac:dyDescent="0.25">
      <c r="A2" t="s">
        <v>8</v>
      </c>
      <c r="B2" t="s">
        <v>0</v>
      </c>
      <c r="C2" t="s">
        <v>1</v>
      </c>
      <c r="D2" t="s">
        <v>96</v>
      </c>
      <c r="E2" t="s">
        <v>112</v>
      </c>
      <c r="F2" t="s">
        <v>114</v>
      </c>
      <c r="G2" t="s">
        <v>53</v>
      </c>
    </row>
    <row r="3" spans="1:21" x14ac:dyDescent="0.25">
      <c r="A3">
        <v>1</v>
      </c>
      <c r="B3">
        <v>1</v>
      </c>
      <c r="C3" t="s">
        <v>2</v>
      </c>
      <c r="D3">
        <v>0</v>
      </c>
      <c r="E3">
        <v>1</v>
      </c>
      <c r="F3">
        <v>1</v>
      </c>
      <c r="G3" t="s">
        <v>321</v>
      </c>
    </row>
    <row r="4" spans="1:21" x14ac:dyDescent="0.25">
      <c r="A4" s="1">
        <v>1</v>
      </c>
      <c r="B4">
        <v>2</v>
      </c>
      <c r="C4" s="1" t="s">
        <v>3</v>
      </c>
      <c r="D4" s="1">
        <v>1</v>
      </c>
      <c r="E4" s="1">
        <v>1</v>
      </c>
      <c r="F4" s="1">
        <v>1</v>
      </c>
      <c r="G4" t="s">
        <v>322</v>
      </c>
    </row>
    <row r="5" spans="1:21" x14ac:dyDescent="0.25">
      <c r="A5">
        <v>1</v>
      </c>
      <c r="B5">
        <v>3</v>
      </c>
      <c r="C5" t="s">
        <v>177</v>
      </c>
      <c r="D5">
        <v>0</v>
      </c>
      <c r="E5">
        <v>2</v>
      </c>
      <c r="F5">
        <v>1</v>
      </c>
      <c r="G5" t="s">
        <v>177</v>
      </c>
    </row>
    <row r="6" spans="1:21" x14ac:dyDescent="0.25">
      <c r="A6">
        <v>1</v>
      </c>
      <c r="B6">
        <v>4</v>
      </c>
      <c r="C6" t="s">
        <v>320</v>
      </c>
      <c r="D6">
        <v>1</v>
      </c>
      <c r="E6">
        <v>3</v>
      </c>
      <c r="F6">
        <v>0</v>
      </c>
      <c r="G6" t="s">
        <v>320</v>
      </c>
    </row>
  </sheetData>
  <mergeCells count="1">
    <mergeCell ref="A1:U1"/>
  </mergeCells>
  <pageMargins left="0.7" right="0.7" top="0.75" bottom="0.75" header="0.3" footer="0.3"/>
  <pageSetup paperSize="9" orientation="portrait" horizontalDpi="300" verticalDpi="300"/>
  <headerFooter scaleWithDoc="0" alignWithMargins="0">
    <oddHeader>&amp;C&amp;"Aptos"&amp;12&amp;KFF0000 OFFICIAL&amp;1#_x000D_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10"/>
  <sheetViews>
    <sheetView workbookViewId="0">
      <selection activeCell="G15" sqref="G15"/>
    </sheetView>
  </sheetViews>
  <sheetFormatPr defaultColWidth="11.42578125" defaultRowHeight="15" x14ac:dyDescent="0.25"/>
  <cols>
    <col min="1" max="1" width="20.7109375" customWidth="1"/>
    <col min="11" max="11" width="18.7109375" customWidth="1"/>
  </cols>
  <sheetData>
    <row r="1" spans="1:21" ht="15" customHeight="1" x14ac:dyDescent="0.25">
      <c r="A1" s="10" t="s">
        <v>170</v>
      </c>
      <c r="B1" s="11"/>
      <c r="C1" s="11"/>
      <c r="D1" s="11"/>
      <c r="E1" s="11"/>
      <c r="F1" s="11"/>
      <c r="G1" s="11"/>
      <c r="H1" s="11"/>
      <c r="I1" s="11"/>
      <c r="J1" s="11"/>
      <c r="K1" s="11"/>
      <c r="L1" s="11"/>
      <c r="M1" s="11"/>
      <c r="N1" s="11"/>
      <c r="O1" s="11"/>
      <c r="P1" s="11"/>
      <c r="Q1" s="11"/>
      <c r="R1" s="11"/>
      <c r="S1" s="11"/>
      <c r="T1" s="11"/>
      <c r="U1" s="11"/>
    </row>
    <row r="2" spans="1:21" x14ac:dyDescent="0.25">
      <c r="A2" t="s">
        <v>153</v>
      </c>
      <c r="B2" t="s">
        <v>45</v>
      </c>
      <c r="C2" t="s">
        <v>155</v>
      </c>
      <c r="D2" t="s">
        <v>156</v>
      </c>
      <c r="E2" t="s">
        <v>157</v>
      </c>
      <c r="F2" t="s">
        <v>158</v>
      </c>
      <c r="G2" t="s">
        <v>168</v>
      </c>
      <c r="H2" t="s">
        <v>159</v>
      </c>
      <c r="I2" t="s">
        <v>160</v>
      </c>
      <c r="J2" t="s">
        <v>173</v>
      </c>
      <c r="K2" t="s">
        <v>132</v>
      </c>
    </row>
    <row r="3" spans="1:21" x14ac:dyDescent="0.25">
      <c r="A3" t="s">
        <v>154</v>
      </c>
      <c r="B3">
        <v>1</v>
      </c>
      <c r="C3">
        <v>25</v>
      </c>
      <c r="D3">
        <v>10.5</v>
      </c>
      <c r="E3">
        <v>1</v>
      </c>
      <c r="F3">
        <v>0</v>
      </c>
      <c r="G3">
        <v>0</v>
      </c>
      <c r="H3">
        <v>7.5</v>
      </c>
      <c r="I3">
        <v>0.1</v>
      </c>
      <c r="J3" t="s">
        <v>161</v>
      </c>
      <c r="K3" t="s">
        <v>162</v>
      </c>
    </row>
    <row r="4" spans="1:21" x14ac:dyDescent="0.25">
      <c r="A4" t="s">
        <v>98</v>
      </c>
      <c r="B4">
        <v>0.05</v>
      </c>
      <c r="C4">
        <v>0.2</v>
      </c>
      <c r="D4">
        <v>0.08</v>
      </c>
      <c r="E4">
        <v>-1</v>
      </c>
      <c r="F4">
        <v>0</v>
      </c>
      <c r="G4">
        <v>0</v>
      </c>
      <c r="H4">
        <v>0.13</v>
      </c>
      <c r="I4">
        <v>0.01</v>
      </c>
      <c r="J4" t="s">
        <v>161</v>
      </c>
      <c r="K4" t="s">
        <v>169</v>
      </c>
    </row>
    <row r="5" spans="1:21" x14ac:dyDescent="0.25">
      <c r="A5" t="s">
        <v>98</v>
      </c>
      <c r="B5">
        <v>0</v>
      </c>
      <c r="C5">
        <v>10</v>
      </c>
      <c r="D5">
        <v>1</v>
      </c>
      <c r="E5">
        <v>-1</v>
      </c>
      <c r="F5">
        <v>0</v>
      </c>
      <c r="G5">
        <v>0</v>
      </c>
      <c r="H5">
        <v>0.1</v>
      </c>
      <c r="I5">
        <v>0.01</v>
      </c>
      <c r="J5" t="s">
        <v>161</v>
      </c>
      <c r="K5" t="s">
        <v>318</v>
      </c>
    </row>
    <row r="6" spans="1:21" x14ac:dyDescent="0.25">
      <c r="A6" t="s">
        <v>98</v>
      </c>
      <c r="B6">
        <v>1</v>
      </c>
      <c r="C6">
        <v>5</v>
      </c>
      <c r="D6">
        <v>3</v>
      </c>
      <c r="E6">
        <v>-1</v>
      </c>
      <c r="F6">
        <v>0</v>
      </c>
      <c r="G6">
        <v>0</v>
      </c>
      <c r="H6">
        <v>0.1</v>
      </c>
      <c r="I6">
        <v>0.01</v>
      </c>
      <c r="J6" t="s">
        <v>161</v>
      </c>
      <c r="K6" t="s">
        <v>163</v>
      </c>
    </row>
    <row r="7" spans="1:21" x14ac:dyDescent="0.25">
      <c r="A7" t="s">
        <v>171</v>
      </c>
      <c r="B7">
        <v>0</v>
      </c>
      <c r="C7">
        <v>1</v>
      </c>
      <c r="D7">
        <v>1</v>
      </c>
      <c r="E7">
        <v>-2</v>
      </c>
      <c r="F7">
        <v>0</v>
      </c>
      <c r="G7">
        <v>0</v>
      </c>
      <c r="H7">
        <v>0.1</v>
      </c>
      <c r="I7">
        <v>0.01</v>
      </c>
      <c r="J7" t="s">
        <v>161</v>
      </c>
      <c r="K7" t="s">
        <v>164</v>
      </c>
    </row>
    <row r="8" spans="1:21" x14ac:dyDescent="0.25">
      <c r="A8" t="s">
        <v>172</v>
      </c>
      <c r="B8">
        <v>1E-3</v>
      </c>
      <c r="C8">
        <v>1</v>
      </c>
      <c r="D8">
        <v>0.5</v>
      </c>
      <c r="E8">
        <v>-1</v>
      </c>
      <c r="F8">
        <v>0</v>
      </c>
      <c r="G8">
        <v>0</v>
      </c>
      <c r="H8">
        <v>0.1</v>
      </c>
      <c r="I8">
        <v>0.01</v>
      </c>
      <c r="J8" t="s">
        <v>161</v>
      </c>
      <c r="K8" t="s">
        <v>165</v>
      </c>
    </row>
    <row r="9" spans="1:21" x14ac:dyDescent="0.25">
      <c r="A9" t="s">
        <v>166</v>
      </c>
      <c r="B9">
        <v>10</v>
      </c>
      <c r="C9">
        <v>25</v>
      </c>
      <c r="D9">
        <v>15</v>
      </c>
      <c r="E9">
        <v>-1</v>
      </c>
      <c r="F9">
        <v>0</v>
      </c>
      <c r="G9">
        <v>0</v>
      </c>
      <c r="H9">
        <v>0.1</v>
      </c>
      <c r="I9">
        <v>0.01</v>
      </c>
      <c r="J9" t="s">
        <v>161</v>
      </c>
      <c r="K9" t="s">
        <v>175</v>
      </c>
    </row>
    <row r="10" spans="1:21" x14ac:dyDescent="0.25">
      <c r="A10" t="s">
        <v>167</v>
      </c>
      <c r="B10">
        <v>-6</v>
      </c>
      <c r="C10">
        <v>1</v>
      </c>
      <c r="D10">
        <v>-0.2</v>
      </c>
      <c r="E10">
        <v>-1</v>
      </c>
      <c r="F10">
        <v>0</v>
      </c>
      <c r="G10">
        <v>0</v>
      </c>
      <c r="H10">
        <v>0.1</v>
      </c>
      <c r="I10">
        <v>0.01</v>
      </c>
      <c r="J10" t="s">
        <v>161</v>
      </c>
      <c r="K10" t="s">
        <v>174</v>
      </c>
    </row>
  </sheetData>
  <mergeCells count="1">
    <mergeCell ref="A1:U1"/>
  </mergeCells>
  <pageMargins left="0.7" right="0.7" top="0.75" bottom="0.75" header="0.3" footer="0.3"/>
  <pageSetup paperSize="9" orientation="portrait" horizontalDpi="300" verticalDpi="300"/>
  <headerFooter scaleWithDoc="0" alignWithMargins="0">
    <oddHeader>&amp;C&amp;"Aptos"&amp;12&amp;KFF0000 OFFICIAL&amp;1#_x000D_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P355"/>
  <sheetViews>
    <sheetView workbookViewId="0">
      <selection activeCell="H29" sqref="H29"/>
    </sheetView>
  </sheetViews>
  <sheetFormatPr defaultColWidth="11.42578125" defaultRowHeight="15" x14ac:dyDescent="0.25"/>
  <cols>
    <col min="8" max="11" width="13.7109375" customWidth="1"/>
    <col min="12" max="12" width="23.28515625" customWidth="1"/>
    <col min="13" max="13" width="25.140625" customWidth="1"/>
    <col min="15" max="32" width="8" customWidth="1"/>
  </cols>
  <sheetData>
    <row r="1" spans="1:42" ht="34.5" customHeight="1" x14ac:dyDescent="0.25">
      <c r="A1" s="10" t="s">
        <v>314</v>
      </c>
      <c r="B1" s="11"/>
      <c r="C1" s="11"/>
      <c r="D1" s="11"/>
      <c r="E1" s="11"/>
      <c r="F1" s="11"/>
      <c r="G1" s="11"/>
      <c r="H1" s="11"/>
      <c r="I1" s="11"/>
      <c r="J1" s="11"/>
      <c r="K1" s="11"/>
      <c r="L1" s="11"/>
      <c r="M1" s="11"/>
      <c r="N1" s="11"/>
      <c r="O1" s="11"/>
      <c r="P1" s="11"/>
      <c r="Q1" s="11"/>
      <c r="R1" s="11"/>
      <c r="S1" s="11"/>
      <c r="T1" s="11"/>
      <c r="U1" s="11"/>
      <c r="V1" s="11"/>
      <c r="W1" s="11"/>
    </row>
    <row r="2" spans="1:42" x14ac:dyDescent="0.25">
      <c r="A2" t="s">
        <v>207</v>
      </c>
      <c r="B2" t="s">
        <v>16</v>
      </c>
      <c r="C2" t="s">
        <v>97</v>
      </c>
      <c r="D2" t="s">
        <v>32</v>
      </c>
      <c r="E2" t="s">
        <v>33</v>
      </c>
      <c r="F2" t="s">
        <v>118</v>
      </c>
      <c r="G2" t="s">
        <v>119</v>
      </c>
      <c r="H2" t="s">
        <v>148</v>
      </c>
      <c r="I2" t="s">
        <v>168</v>
      </c>
      <c r="J2" t="s">
        <v>159</v>
      </c>
      <c r="K2" t="s">
        <v>160</v>
      </c>
      <c r="L2" t="s">
        <v>129</v>
      </c>
      <c r="M2" t="s">
        <v>132</v>
      </c>
      <c r="N2" t="s">
        <v>34</v>
      </c>
      <c r="O2" t="s">
        <v>208</v>
      </c>
      <c r="P2" t="s">
        <v>209</v>
      </c>
      <c r="Q2" t="s">
        <v>210</v>
      </c>
      <c r="R2" t="s">
        <v>211</v>
      </c>
      <c r="AG2" s="1"/>
      <c r="AH2" s="1"/>
      <c r="AI2" s="1"/>
      <c r="AJ2" s="1"/>
      <c r="AK2" s="1"/>
      <c r="AL2" s="1"/>
      <c r="AM2" s="1"/>
      <c r="AN2" s="1"/>
      <c r="AO2" s="1"/>
      <c r="AP2" s="1"/>
    </row>
    <row r="3" spans="1:42" x14ac:dyDescent="0.25">
      <c r="A3">
        <v>0</v>
      </c>
      <c r="B3" t="s">
        <v>204</v>
      </c>
      <c r="C3" t="s">
        <v>200</v>
      </c>
      <c r="D3">
        <v>50</v>
      </c>
      <c r="E3">
        <v>80</v>
      </c>
      <c r="F3">
        <v>65</v>
      </c>
      <c r="G3">
        <v>5</v>
      </c>
      <c r="H3">
        <v>0</v>
      </c>
      <c r="I3">
        <v>0</v>
      </c>
      <c r="J3">
        <v>65</v>
      </c>
      <c r="K3">
        <f>J3*0.05</f>
        <v>3.25</v>
      </c>
      <c r="L3" t="s">
        <v>199</v>
      </c>
      <c r="M3" t="s">
        <v>205</v>
      </c>
      <c r="N3">
        <v>1970</v>
      </c>
      <c r="O3">
        <v>1</v>
      </c>
      <c r="P3">
        <v>1</v>
      </c>
      <c r="Q3">
        <v>1</v>
      </c>
      <c r="R3">
        <v>0</v>
      </c>
      <c r="AG3" s="1"/>
      <c r="AH3" s="1"/>
      <c r="AI3" s="1"/>
      <c r="AJ3" s="1"/>
      <c r="AK3" s="1"/>
      <c r="AL3" s="1"/>
      <c r="AM3" s="1"/>
      <c r="AN3" s="1"/>
      <c r="AO3" s="1"/>
      <c r="AP3" s="1"/>
    </row>
    <row r="4" spans="1:42" x14ac:dyDescent="0.25">
      <c r="A4">
        <v>0</v>
      </c>
      <c r="B4" t="s">
        <v>204</v>
      </c>
      <c r="C4" t="s">
        <v>201</v>
      </c>
      <c r="D4">
        <v>0.01</v>
      </c>
      <c r="E4">
        <v>2</v>
      </c>
      <c r="F4">
        <v>1.5</v>
      </c>
      <c r="G4">
        <v>5</v>
      </c>
      <c r="H4">
        <v>0</v>
      </c>
      <c r="I4">
        <v>0</v>
      </c>
      <c r="J4">
        <v>1.5</v>
      </c>
      <c r="K4">
        <f t="shared" ref="K4:K25" si="0">J4*0.05</f>
        <v>7.5000000000000011E-2</v>
      </c>
      <c r="L4" t="s">
        <v>199</v>
      </c>
      <c r="M4" t="s">
        <v>205</v>
      </c>
      <c r="N4">
        <v>1971</v>
      </c>
      <c r="O4">
        <v>1</v>
      </c>
      <c r="P4">
        <v>1</v>
      </c>
      <c r="Q4">
        <v>1</v>
      </c>
      <c r="R4">
        <v>0</v>
      </c>
      <c r="AG4" s="1"/>
      <c r="AH4" s="1"/>
      <c r="AI4" s="1"/>
      <c r="AJ4" s="1"/>
      <c r="AK4" s="1"/>
      <c r="AL4" s="1"/>
      <c r="AM4" s="1"/>
      <c r="AN4" s="1"/>
      <c r="AO4" s="1"/>
      <c r="AP4" s="1"/>
    </row>
    <row r="5" spans="1:42" x14ac:dyDescent="0.25">
      <c r="A5">
        <v>0</v>
      </c>
      <c r="B5" t="s">
        <v>204</v>
      </c>
      <c r="C5" t="s">
        <v>202</v>
      </c>
      <c r="D5">
        <v>75</v>
      </c>
      <c r="E5">
        <v>150</v>
      </c>
      <c r="F5">
        <v>149</v>
      </c>
      <c r="G5">
        <v>5</v>
      </c>
      <c r="H5">
        <v>0</v>
      </c>
      <c r="I5">
        <v>0</v>
      </c>
      <c r="J5">
        <v>120</v>
      </c>
      <c r="K5">
        <f t="shared" si="0"/>
        <v>6</v>
      </c>
      <c r="L5" t="s">
        <v>199</v>
      </c>
      <c r="M5" t="s">
        <v>205</v>
      </c>
      <c r="N5">
        <v>1972</v>
      </c>
      <c r="O5">
        <v>1</v>
      </c>
      <c r="P5">
        <v>1</v>
      </c>
      <c r="Q5">
        <v>1</v>
      </c>
      <c r="R5">
        <v>0</v>
      </c>
      <c r="AG5" s="1"/>
      <c r="AH5" s="1"/>
      <c r="AI5" s="1"/>
      <c r="AJ5" s="1"/>
      <c r="AK5" s="1"/>
      <c r="AL5" s="1"/>
      <c r="AM5" s="1"/>
      <c r="AN5" s="1"/>
      <c r="AO5" s="1"/>
      <c r="AP5" s="1"/>
    </row>
    <row r="6" spans="1:42" x14ac:dyDescent="0.25">
      <c r="A6">
        <v>0</v>
      </c>
      <c r="B6" t="s">
        <v>204</v>
      </c>
      <c r="C6" t="s">
        <v>203</v>
      </c>
      <c r="D6">
        <v>-10</v>
      </c>
      <c r="E6">
        <v>0</v>
      </c>
      <c r="F6">
        <v>-5</v>
      </c>
      <c r="G6">
        <v>5</v>
      </c>
      <c r="H6">
        <v>0</v>
      </c>
      <c r="I6">
        <v>0</v>
      </c>
      <c r="J6">
        <v>-0.1</v>
      </c>
      <c r="K6">
        <v>1E-3</v>
      </c>
      <c r="L6" t="s">
        <v>199</v>
      </c>
      <c r="M6" t="s">
        <v>205</v>
      </c>
      <c r="N6">
        <v>1973</v>
      </c>
      <c r="O6">
        <v>1</v>
      </c>
      <c r="P6">
        <v>1</v>
      </c>
      <c r="Q6">
        <v>1</v>
      </c>
      <c r="R6">
        <v>0</v>
      </c>
      <c r="AG6" s="1"/>
      <c r="AH6" s="1"/>
      <c r="AI6" s="1"/>
      <c r="AJ6" s="1"/>
      <c r="AK6" s="1"/>
      <c r="AL6" s="1"/>
      <c r="AM6" s="1"/>
      <c r="AN6" s="1"/>
      <c r="AO6" s="1"/>
      <c r="AP6" s="1"/>
    </row>
    <row r="7" spans="1:42" x14ac:dyDescent="0.25">
      <c r="A7">
        <v>0</v>
      </c>
      <c r="B7" t="s">
        <v>98</v>
      </c>
      <c r="C7" t="s">
        <v>200</v>
      </c>
      <c r="D7">
        <v>50</v>
      </c>
      <c r="E7">
        <v>80</v>
      </c>
      <c r="F7">
        <v>65</v>
      </c>
      <c r="G7">
        <v>5</v>
      </c>
      <c r="H7">
        <v>0</v>
      </c>
      <c r="I7">
        <v>0</v>
      </c>
      <c r="J7">
        <v>65</v>
      </c>
      <c r="K7">
        <f t="shared" si="0"/>
        <v>3.25</v>
      </c>
      <c r="L7" t="s">
        <v>199</v>
      </c>
      <c r="M7" t="s">
        <v>206</v>
      </c>
      <c r="N7">
        <v>1974</v>
      </c>
      <c r="O7">
        <v>1</v>
      </c>
      <c r="P7">
        <v>1</v>
      </c>
      <c r="Q7">
        <v>1</v>
      </c>
      <c r="R7">
        <v>0</v>
      </c>
      <c r="AG7" s="1"/>
      <c r="AH7" s="1"/>
      <c r="AI7" s="1"/>
      <c r="AJ7" s="1"/>
      <c r="AK7" s="1"/>
      <c r="AL7" s="1"/>
      <c r="AM7" s="1"/>
      <c r="AN7" s="1"/>
      <c r="AO7" s="1"/>
      <c r="AP7" s="1"/>
    </row>
    <row r="8" spans="1:42" x14ac:dyDescent="0.25">
      <c r="A8">
        <v>0</v>
      </c>
      <c r="B8" t="s">
        <v>98</v>
      </c>
      <c r="C8" t="s">
        <v>201</v>
      </c>
      <c r="D8">
        <v>0.01</v>
      </c>
      <c r="E8">
        <v>2</v>
      </c>
      <c r="F8">
        <v>1.5</v>
      </c>
      <c r="G8">
        <v>5</v>
      </c>
      <c r="H8">
        <v>0</v>
      </c>
      <c r="I8">
        <v>0</v>
      </c>
      <c r="J8">
        <v>1.5</v>
      </c>
      <c r="K8">
        <f t="shared" si="0"/>
        <v>7.5000000000000011E-2</v>
      </c>
      <c r="L8" t="s">
        <v>199</v>
      </c>
      <c r="M8" t="s">
        <v>206</v>
      </c>
      <c r="N8">
        <v>1975</v>
      </c>
      <c r="O8">
        <v>1</v>
      </c>
      <c r="P8">
        <v>1</v>
      </c>
      <c r="Q8">
        <v>1</v>
      </c>
      <c r="R8">
        <v>0</v>
      </c>
      <c r="AG8" s="1"/>
      <c r="AH8" s="1"/>
      <c r="AI8" s="1"/>
      <c r="AJ8" s="1"/>
      <c r="AK8" s="1"/>
      <c r="AL8" s="1"/>
      <c r="AM8" s="1"/>
      <c r="AN8" s="1"/>
      <c r="AO8" s="1"/>
      <c r="AP8" s="1"/>
    </row>
    <row r="9" spans="1:42" x14ac:dyDescent="0.25">
      <c r="A9">
        <v>0</v>
      </c>
      <c r="B9" t="s">
        <v>98</v>
      </c>
      <c r="C9" t="s">
        <v>202</v>
      </c>
      <c r="D9">
        <v>75</v>
      </c>
      <c r="E9">
        <v>150</v>
      </c>
      <c r="F9">
        <v>120</v>
      </c>
      <c r="G9">
        <v>5</v>
      </c>
      <c r="H9">
        <v>0</v>
      </c>
      <c r="I9">
        <v>0</v>
      </c>
      <c r="J9">
        <v>120</v>
      </c>
      <c r="K9">
        <f t="shared" si="0"/>
        <v>6</v>
      </c>
      <c r="L9" t="s">
        <v>199</v>
      </c>
      <c r="M9" t="s">
        <v>206</v>
      </c>
      <c r="N9">
        <v>1976</v>
      </c>
      <c r="O9">
        <v>1</v>
      </c>
      <c r="P9">
        <v>1</v>
      </c>
      <c r="Q9">
        <v>1</v>
      </c>
      <c r="R9">
        <v>0</v>
      </c>
      <c r="AG9" s="1"/>
      <c r="AH9" s="1"/>
      <c r="AI9" s="1"/>
      <c r="AJ9" s="1"/>
      <c r="AK9" s="1"/>
      <c r="AL9" s="1"/>
      <c r="AM9" s="1"/>
      <c r="AN9" s="1"/>
      <c r="AO9" s="1"/>
      <c r="AP9" s="1"/>
    </row>
    <row r="10" spans="1:42" x14ac:dyDescent="0.25">
      <c r="A10">
        <v>0</v>
      </c>
      <c r="B10" t="s">
        <v>98</v>
      </c>
      <c r="C10" t="s">
        <v>203</v>
      </c>
      <c r="D10">
        <v>-10</v>
      </c>
      <c r="E10">
        <v>0</v>
      </c>
      <c r="F10">
        <v>-5</v>
      </c>
      <c r="G10">
        <v>5</v>
      </c>
      <c r="H10">
        <v>0</v>
      </c>
      <c r="I10">
        <v>0</v>
      </c>
      <c r="J10">
        <v>-0.1</v>
      </c>
      <c r="K10">
        <v>1E-3</v>
      </c>
      <c r="L10" t="s">
        <v>199</v>
      </c>
      <c r="M10" t="s">
        <v>206</v>
      </c>
      <c r="N10">
        <v>1977</v>
      </c>
      <c r="O10">
        <v>1</v>
      </c>
      <c r="P10">
        <v>1</v>
      </c>
      <c r="Q10">
        <v>1</v>
      </c>
      <c r="R10">
        <v>0</v>
      </c>
      <c r="AG10" s="1"/>
      <c r="AH10" s="1"/>
      <c r="AI10" s="1"/>
      <c r="AJ10" s="1"/>
      <c r="AK10" s="1"/>
      <c r="AL10" s="1"/>
      <c r="AM10" s="1"/>
      <c r="AN10" s="1"/>
      <c r="AO10" s="1"/>
      <c r="AP10" s="1"/>
    </row>
    <row r="11" spans="1:42" x14ac:dyDescent="0.25">
      <c r="A11" s="1">
        <v>1</v>
      </c>
      <c r="B11" s="1" t="s">
        <v>204</v>
      </c>
      <c r="C11" s="1" t="s">
        <v>200</v>
      </c>
      <c r="D11" s="1">
        <v>50</v>
      </c>
      <c r="E11" s="1">
        <v>80</v>
      </c>
      <c r="F11" s="1">
        <v>75</v>
      </c>
      <c r="G11" s="1">
        <v>5</v>
      </c>
      <c r="H11" s="1">
        <v>0</v>
      </c>
      <c r="I11" s="1">
        <v>0</v>
      </c>
      <c r="J11" s="1">
        <v>65</v>
      </c>
      <c r="K11" s="1">
        <f t="shared" si="0"/>
        <v>3.25</v>
      </c>
      <c r="L11" s="1" t="s">
        <v>199</v>
      </c>
      <c r="M11" s="1" t="s">
        <v>323</v>
      </c>
      <c r="N11">
        <v>1978</v>
      </c>
      <c r="O11">
        <v>1</v>
      </c>
      <c r="P11">
        <v>1</v>
      </c>
      <c r="Q11">
        <v>1</v>
      </c>
      <c r="R11">
        <v>0</v>
      </c>
      <c r="AG11" s="1"/>
      <c r="AH11" s="1"/>
      <c r="AI11" s="1"/>
      <c r="AJ11" s="1"/>
      <c r="AK11" s="1"/>
      <c r="AL11" s="1"/>
      <c r="AM11" s="1"/>
      <c r="AN11" s="1"/>
      <c r="AO11" s="1"/>
      <c r="AP11" s="1"/>
    </row>
    <row r="12" spans="1:42" x14ac:dyDescent="0.25">
      <c r="A12" s="1">
        <v>1</v>
      </c>
      <c r="B12" s="1" t="s">
        <v>204</v>
      </c>
      <c r="C12" s="1" t="s">
        <v>201</v>
      </c>
      <c r="D12" s="1">
        <v>0.01</v>
      </c>
      <c r="E12" s="1">
        <v>2</v>
      </c>
      <c r="F12" s="1">
        <v>1.5</v>
      </c>
      <c r="G12" s="1">
        <v>5</v>
      </c>
      <c r="H12" s="1">
        <v>0</v>
      </c>
      <c r="I12" s="1">
        <v>0</v>
      </c>
      <c r="J12" s="1">
        <v>1.5</v>
      </c>
      <c r="K12" s="1">
        <f t="shared" si="0"/>
        <v>7.5000000000000011E-2</v>
      </c>
      <c r="L12" s="1" t="s">
        <v>199</v>
      </c>
      <c r="M12" s="1" t="s">
        <v>323</v>
      </c>
      <c r="N12">
        <v>1979</v>
      </c>
      <c r="O12">
        <v>1</v>
      </c>
      <c r="P12">
        <v>1</v>
      </c>
      <c r="Q12">
        <v>1</v>
      </c>
      <c r="R12">
        <v>0</v>
      </c>
      <c r="AG12" s="1"/>
      <c r="AH12" s="1"/>
      <c r="AI12" s="1"/>
      <c r="AJ12" s="1"/>
      <c r="AK12" s="1"/>
      <c r="AL12" s="1"/>
      <c r="AM12" s="1"/>
      <c r="AN12" s="1"/>
      <c r="AO12" s="1"/>
      <c r="AP12" s="1"/>
    </row>
    <row r="13" spans="1:42" x14ac:dyDescent="0.25">
      <c r="A13" s="1">
        <v>1</v>
      </c>
      <c r="B13" s="1" t="s">
        <v>204</v>
      </c>
      <c r="C13" s="1" t="s">
        <v>202</v>
      </c>
      <c r="D13" s="1">
        <v>75</v>
      </c>
      <c r="E13" s="1">
        <v>150</v>
      </c>
      <c r="F13">
        <v>149</v>
      </c>
      <c r="G13">
        <v>5</v>
      </c>
      <c r="H13" s="1">
        <v>0</v>
      </c>
      <c r="I13" s="1">
        <v>0</v>
      </c>
      <c r="J13" s="1">
        <v>120</v>
      </c>
      <c r="K13" s="1">
        <f t="shared" si="0"/>
        <v>6</v>
      </c>
      <c r="L13" s="1" t="s">
        <v>199</v>
      </c>
      <c r="M13" s="1" t="s">
        <v>323</v>
      </c>
      <c r="N13">
        <v>1980</v>
      </c>
      <c r="O13">
        <v>1</v>
      </c>
      <c r="P13">
        <v>1</v>
      </c>
      <c r="Q13">
        <v>1</v>
      </c>
      <c r="R13">
        <v>0</v>
      </c>
      <c r="AG13" s="1"/>
      <c r="AH13" s="1"/>
      <c r="AI13" s="1"/>
      <c r="AJ13" s="1"/>
      <c r="AK13" s="1"/>
      <c r="AL13" s="1"/>
      <c r="AM13" s="1"/>
      <c r="AN13" s="1"/>
      <c r="AO13" s="1"/>
      <c r="AP13" s="1"/>
    </row>
    <row r="14" spans="1:42" x14ac:dyDescent="0.25">
      <c r="A14" s="1">
        <v>1</v>
      </c>
      <c r="B14" s="1" t="s">
        <v>204</v>
      </c>
      <c r="C14" s="1" t="s">
        <v>203</v>
      </c>
      <c r="D14" s="1">
        <v>-10</v>
      </c>
      <c r="E14" s="1">
        <v>0</v>
      </c>
      <c r="F14">
        <v>-5</v>
      </c>
      <c r="G14">
        <v>5</v>
      </c>
      <c r="H14" s="1">
        <v>0</v>
      </c>
      <c r="I14" s="1">
        <v>0</v>
      </c>
      <c r="J14" s="1">
        <v>-0.1</v>
      </c>
      <c r="K14" s="1">
        <v>1E-3</v>
      </c>
      <c r="L14" s="1" t="s">
        <v>199</v>
      </c>
      <c r="M14" s="1" t="s">
        <v>323</v>
      </c>
      <c r="N14">
        <v>1981</v>
      </c>
      <c r="O14">
        <v>1</v>
      </c>
      <c r="P14">
        <v>1</v>
      </c>
      <c r="Q14">
        <v>1</v>
      </c>
      <c r="R14">
        <v>0</v>
      </c>
      <c r="AG14" s="1"/>
      <c r="AH14" s="1"/>
      <c r="AI14" s="1"/>
      <c r="AJ14" s="1"/>
      <c r="AK14" s="1"/>
      <c r="AL14" s="1"/>
      <c r="AM14" s="1"/>
      <c r="AN14" s="1"/>
      <c r="AO14" s="1"/>
      <c r="AP14" s="1"/>
    </row>
    <row r="15" spans="1:42" x14ac:dyDescent="0.25">
      <c r="A15" s="1">
        <v>1</v>
      </c>
      <c r="B15" s="1" t="s">
        <v>98</v>
      </c>
      <c r="C15" s="1" t="s">
        <v>200</v>
      </c>
      <c r="D15" s="1">
        <v>50</v>
      </c>
      <c r="E15" s="1">
        <v>80</v>
      </c>
      <c r="F15" s="1">
        <v>75</v>
      </c>
      <c r="G15" s="1">
        <v>5</v>
      </c>
      <c r="H15" s="1">
        <v>0</v>
      </c>
      <c r="I15" s="1">
        <v>0</v>
      </c>
      <c r="J15" s="1">
        <v>65</v>
      </c>
      <c r="K15" s="1">
        <f t="shared" si="0"/>
        <v>3.25</v>
      </c>
      <c r="L15" s="1" t="s">
        <v>199</v>
      </c>
      <c r="M15" s="1" t="s">
        <v>324</v>
      </c>
      <c r="N15">
        <v>1982</v>
      </c>
      <c r="O15">
        <v>1</v>
      </c>
      <c r="P15">
        <v>1</v>
      </c>
      <c r="Q15">
        <v>1</v>
      </c>
      <c r="R15">
        <v>0</v>
      </c>
      <c r="AG15" s="1"/>
      <c r="AH15" s="1"/>
      <c r="AI15" s="1"/>
      <c r="AJ15" s="1"/>
      <c r="AK15" s="1"/>
      <c r="AL15" s="1"/>
      <c r="AM15" s="1"/>
      <c r="AN15" s="1"/>
      <c r="AO15" s="1"/>
      <c r="AP15" s="1"/>
    </row>
    <row r="16" spans="1:42" x14ac:dyDescent="0.25">
      <c r="A16" s="1">
        <v>1</v>
      </c>
      <c r="B16" s="1" t="s">
        <v>98</v>
      </c>
      <c r="C16" s="1" t="s">
        <v>201</v>
      </c>
      <c r="D16" s="1">
        <v>0.01</v>
      </c>
      <c r="E16" s="1">
        <v>2</v>
      </c>
      <c r="F16" s="1">
        <v>1.5</v>
      </c>
      <c r="G16" s="1">
        <v>5</v>
      </c>
      <c r="H16" s="1">
        <v>0</v>
      </c>
      <c r="I16" s="1">
        <v>0</v>
      </c>
      <c r="J16" s="1">
        <v>1.5</v>
      </c>
      <c r="K16" s="1">
        <f t="shared" si="0"/>
        <v>7.5000000000000011E-2</v>
      </c>
      <c r="L16" s="1" t="s">
        <v>199</v>
      </c>
      <c r="M16" s="1" t="s">
        <v>324</v>
      </c>
      <c r="N16">
        <v>1983</v>
      </c>
      <c r="O16">
        <v>1</v>
      </c>
      <c r="P16">
        <v>1</v>
      </c>
      <c r="Q16">
        <v>1</v>
      </c>
      <c r="R16">
        <v>0</v>
      </c>
      <c r="AG16" s="1"/>
      <c r="AH16" s="1"/>
      <c r="AI16" s="1"/>
      <c r="AJ16" s="1"/>
      <c r="AK16" s="1"/>
      <c r="AL16" s="1"/>
      <c r="AM16" s="1"/>
      <c r="AN16" s="1"/>
      <c r="AO16" s="1"/>
      <c r="AP16" s="1"/>
    </row>
    <row r="17" spans="1:42" x14ac:dyDescent="0.25">
      <c r="A17" s="1">
        <v>1</v>
      </c>
      <c r="B17" s="1" t="s">
        <v>98</v>
      </c>
      <c r="C17" s="1" t="s">
        <v>202</v>
      </c>
      <c r="D17" s="1">
        <v>75</v>
      </c>
      <c r="E17" s="1">
        <v>150</v>
      </c>
      <c r="F17">
        <v>120</v>
      </c>
      <c r="G17" s="1">
        <v>5</v>
      </c>
      <c r="H17" s="1">
        <v>0</v>
      </c>
      <c r="I17" s="1">
        <v>0</v>
      </c>
      <c r="J17" s="1">
        <v>120</v>
      </c>
      <c r="K17" s="1">
        <f t="shared" si="0"/>
        <v>6</v>
      </c>
      <c r="L17" s="1" t="s">
        <v>199</v>
      </c>
      <c r="M17" s="1" t="s">
        <v>324</v>
      </c>
      <c r="N17">
        <v>1984</v>
      </c>
      <c r="O17">
        <v>1</v>
      </c>
      <c r="P17">
        <v>1</v>
      </c>
      <c r="Q17">
        <v>1</v>
      </c>
      <c r="R17">
        <v>0</v>
      </c>
      <c r="AG17" s="1"/>
      <c r="AH17" s="1"/>
      <c r="AI17" s="1"/>
      <c r="AJ17" s="1"/>
      <c r="AK17" s="1"/>
      <c r="AL17" s="1"/>
      <c r="AM17" s="1"/>
      <c r="AN17" s="1"/>
      <c r="AO17" s="1"/>
      <c r="AP17" s="1"/>
    </row>
    <row r="18" spans="1:42" x14ac:dyDescent="0.25">
      <c r="A18" s="1">
        <v>1</v>
      </c>
      <c r="B18" s="1" t="s">
        <v>98</v>
      </c>
      <c r="C18" s="1" t="s">
        <v>203</v>
      </c>
      <c r="D18" s="1">
        <v>-10</v>
      </c>
      <c r="E18" s="1">
        <v>0</v>
      </c>
      <c r="F18">
        <v>-5</v>
      </c>
      <c r="G18" s="1">
        <v>5</v>
      </c>
      <c r="H18" s="1">
        <v>0</v>
      </c>
      <c r="I18" s="1">
        <v>0</v>
      </c>
      <c r="J18" s="1">
        <v>-0.1</v>
      </c>
      <c r="K18" s="1">
        <v>1E-3</v>
      </c>
      <c r="L18" s="1" t="s">
        <v>199</v>
      </c>
      <c r="M18" s="1" t="s">
        <v>324</v>
      </c>
      <c r="N18">
        <v>1985</v>
      </c>
      <c r="O18">
        <v>1</v>
      </c>
      <c r="P18">
        <v>1</v>
      </c>
      <c r="Q18">
        <v>1</v>
      </c>
      <c r="R18">
        <v>0</v>
      </c>
      <c r="AG18" s="1"/>
      <c r="AH18" s="1"/>
      <c r="AI18" s="1"/>
      <c r="AJ18" s="1"/>
      <c r="AK18" s="1"/>
      <c r="AL18" s="1"/>
      <c r="AM18" s="1"/>
      <c r="AN18" s="1"/>
      <c r="AO18" s="1"/>
      <c r="AP18" s="1"/>
    </row>
    <row r="19" spans="1:42" x14ac:dyDescent="0.25">
      <c r="A19">
        <v>2</v>
      </c>
      <c r="B19" t="s">
        <v>204</v>
      </c>
      <c r="C19" t="s">
        <v>200</v>
      </c>
      <c r="D19">
        <v>50</v>
      </c>
      <c r="E19">
        <v>80</v>
      </c>
      <c r="F19">
        <v>78</v>
      </c>
      <c r="G19">
        <v>5</v>
      </c>
      <c r="H19">
        <v>0</v>
      </c>
      <c r="I19">
        <v>0</v>
      </c>
      <c r="J19">
        <v>65</v>
      </c>
      <c r="K19">
        <f t="shared" si="0"/>
        <v>3.25</v>
      </c>
      <c r="L19" t="s">
        <v>199</v>
      </c>
      <c r="M19" t="s">
        <v>325</v>
      </c>
      <c r="N19">
        <v>1986</v>
      </c>
      <c r="O19">
        <v>1</v>
      </c>
      <c r="P19">
        <v>1</v>
      </c>
      <c r="Q19">
        <v>1</v>
      </c>
      <c r="R19">
        <v>0</v>
      </c>
      <c r="AG19" s="1"/>
      <c r="AH19" s="1"/>
      <c r="AI19" s="1"/>
      <c r="AJ19" s="1"/>
      <c r="AK19" s="1"/>
      <c r="AL19" s="1"/>
      <c r="AM19" s="1"/>
      <c r="AN19" s="1"/>
      <c r="AO19" s="1"/>
      <c r="AP19" s="1"/>
    </row>
    <row r="20" spans="1:42" x14ac:dyDescent="0.25">
      <c r="A20">
        <v>2</v>
      </c>
      <c r="B20" t="s">
        <v>204</v>
      </c>
      <c r="C20" t="s">
        <v>201</v>
      </c>
      <c r="D20">
        <v>0.01</v>
      </c>
      <c r="E20">
        <v>2</v>
      </c>
      <c r="F20">
        <v>1.5</v>
      </c>
      <c r="G20">
        <v>5</v>
      </c>
      <c r="H20">
        <v>0</v>
      </c>
      <c r="I20">
        <v>0</v>
      </c>
      <c r="J20">
        <v>1.5</v>
      </c>
      <c r="K20">
        <f t="shared" si="0"/>
        <v>7.5000000000000011E-2</v>
      </c>
      <c r="L20" t="s">
        <v>199</v>
      </c>
      <c r="M20" t="s">
        <v>325</v>
      </c>
      <c r="N20">
        <v>1987</v>
      </c>
      <c r="O20">
        <v>1</v>
      </c>
      <c r="P20">
        <v>1</v>
      </c>
      <c r="Q20">
        <v>1</v>
      </c>
      <c r="R20">
        <v>0</v>
      </c>
      <c r="AG20" s="1"/>
      <c r="AH20" s="1"/>
      <c r="AI20" s="1"/>
      <c r="AJ20" s="1"/>
      <c r="AK20" s="1"/>
      <c r="AL20" s="1"/>
      <c r="AM20" s="1"/>
      <c r="AN20" s="1"/>
      <c r="AO20" s="1"/>
      <c r="AP20" s="1"/>
    </row>
    <row r="21" spans="1:42" x14ac:dyDescent="0.25">
      <c r="A21">
        <v>2</v>
      </c>
      <c r="B21" t="s">
        <v>204</v>
      </c>
      <c r="C21" t="s">
        <v>202</v>
      </c>
      <c r="D21">
        <v>75</v>
      </c>
      <c r="E21">
        <v>150</v>
      </c>
      <c r="F21">
        <v>149</v>
      </c>
      <c r="G21">
        <v>5</v>
      </c>
      <c r="H21">
        <v>0</v>
      </c>
      <c r="I21">
        <v>0</v>
      </c>
      <c r="J21">
        <v>120</v>
      </c>
      <c r="K21">
        <f t="shared" si="0"/>
        <v>6</v>
      </c>
      <c r="L21" t="s">
        <v>199</v>
      </c>
      <c r="M21" t="s">
        <v>325</v>
      </c>
      <c r="N21">
        <v>1988</v>
      </c>
      <c r="O21">
        <v>1</v>
      </c>
      <c r="P21">
        <v>1</v>
      </c>
      <c r="Q21">
        <v>1</v>
      </c>
      <c r="R21">
        <v>0</v>
      </c>
      <c r="AG21" s="1"/>
      <c r="AH21" s="1"/>
      <c r="AI21" s="1"/>
      <c r="AJ21" s="1"/>
      <c r="AK21" s="1"/>
      <c r="AL21" s="1"/>
      <c r="AM21" s="1"/>
      <c r="AN21" s="1"/>
      <c r="AO21" s="1"/>
      <c r="AP21" s="1"/>
    </row>
    <row r="22" spans="1:42" x14ac:dyDescent="0.25">
      <c r="A22">
        <v>2</v>
      </c>
      <c r="B22" t="s">
        <v>204</v>
      </c>
      <c r="C22" t="s">
        <v>203</v>
      </c>
      <c r="D22">
        <v>-10</v>
      </c>
      <c r="E22">
        <v>0</v>
      </c>
      <c r="F22">
        <v>-5</v>
      </c>
      <c r="G22">
        <v>5</v>
      </c>
      <c r="H22">
        <v>0</v>
      </c>
      <c r="I22">
        <v>0</v>
      </c>
      <c r="J22">
        <v>-0.1</v>
      </c>
      <c r="K22">
        <v>1E-3</v>
      </c>
      <c r="L22" t="s">
        <v>199</v>
      </c>
      <c r="M22" t="s">
        <v>325</v>
      </c>
      <c r="N22">
        <v>1989</v>
      </c>
      <c r="O22">
        <v>1</v>
      </c>
      <c r="P22">
        <v>1</v>
      </c>
      <c r="Q22">
        <v>1</v>
      </c>
      <c r="R22">
        <v>0</v>
      </c>
      <c r="AG22" s="1"/>
      <c r="AH22" s="1"/>
      <c r="AI22" s="1"/>
      <c r="AJ22" s="1"/>
      <c r="AK22" s="1"/>
      <c r="AL22" s="1"/>
      <c r="AM22" s="1"/>
      <c r="AN22" s="1"/>
      <c r="AO22" s="1"/>
      <c r="AP22" s="1"/>
    </row>
    <row r="23" spans="1:42" x14ac:dyDescent="0.25">
      <c r="A23">
        <v>2</v>
      </c>
      <c r="B23" t="s">
        <v>98</v>
      </c>
      <c r="C23" t="s">
        <v>200</v>
      </c>
      <c r="D23">
        <v>50</v>
      </c>
      <c r="E23">
        <v>80</v>
      </c>
      <c r="F23">
        <v>78</v>
      </c>
      <c r="G23">
        <v>5</v>
      </c>
      <c r="H23">
        <v>0</v>
      </c>
      <c r="I23">
        <v>0</v>
      </c>
      <c r="J23">
        <v>65</v>
      </c>
      <c r="K23">
        <f t="shared" si="0"/>
        <v>3.25</v>
      </c>
      <c r="L23" t="s">
        <v>199</v>
      </c>
      <c r="M23" t="s">
        <v>326</v>
      </c>
      <c r="N23">
        <v>1990</v>
      </c>
      <c r="O23">
        <v>2</v>
      </c>
      <c r="P23">
        <v>2</v>
      </c>
      <c r="Q23">
        <v>2</v>
      </c>
      <c r="R23">
        <v>0</v>
      </c>
      <c r="AG23" s="1"/>
      <c r="AH23" s="1"/>
      <c r="AI23" s="1"/>
      <c r="AJ23" s="1"/>
      <c r="AK23" s="1"/>
      <c r="AL23" s="1"/>
      <c r="AM23" s="1"/>
      <c r="AN23" s="1"/>
      <c r="AO23" s="1"/>
      <c r="AP23" s="1"/>
    </row>
    <row r="24" spans="1:42" x14ac:dyDescent="0.25">
      <c r="A24">
        <v>2</v>
      </c>
      <c r="B24" t="s">
        <v>98</v>
      </c>
      <c r="C24" t="s">
        <v>201</v>
      </c>
      <c r="D24">
        <v>0.01</v>
      </c>
      <c r="E24">
        <v>2</v>
      </c>
      <c r="F24">
        <v>1.5</v>
      </c>
      <c r="G24">
        <v>5</v>
      </c>
      <c r="H24">
        <v>0</v>
      </c>
      <c r="I24">
        <v>0</v>
      </c>
      <c r="J24">
        <v>1.5</v>
      </c>
      <c r="K24">
        <f t="shared" si="0"/>
        <v>7.5000000000000011E-2</v>
      </c>
      <c r="L24" t="s">
        <v>199</v>
      </c>
      <c r="M24" t="s">
        <v>326</v>
      </c>
      <c r="N24">
        <v>1991</v>
      </c>
      <c r="O24">
        <v>2</v>
      </c>
      <c r="P24">
        <v>2</v>
      </c>
      <c r="Q24">
        <v>2</v>
      </c>
      <c r="R24">
        <v>0</v>
      </c>
      <c r="AG24" s="1"/>
      <c r="AH24" s="1"/>
      <c r="AI24" s="1"/>
      <c r="AJ24" s="1"/>
      <c r="AK24" s="1"/>
      <c r="AL24" s="1"/>
      <c r="AM24" s="1"/>
      <c r="AN24" s="1"/>
      <c r="AO24" s="1"/>
      <c r="AP24" s="1"/>
    </row>
    <row r="25" spans="1:42" x14ac:dyDescent="0.25">
      <c r="A25">
        <v>2</v>
      </c>
      <c r="B25" t="s">
        <v>98</v>
      </c>
      <c r="C25" t="s">
        <v>202</v>
      </c>
      <c r="D25">
        <v>75</v>
      </c>
      <c r="E25">
        <v>150</v>
      </c>
      <c r="F25">
        <v>120</v>
      </c>
      <c r="G25">
        <v>5</v>
      </c>
      <c r="H25">
        <v>0</v>
      </c>
      <c r="I25">
        <v>0</v>
      </c>
      <c r="J25">
        <v>120</v>
      </c>
      <c r="K25">
        <f t="shared" si="0"/>
        <v>6</v>
      </c>
      <c r="L25" t="s">
        <v>199</v>
      </c>
      <c r="M25" t="s">
        <v>326</v>
      </c>
      <c r="N25">
        <v>1992</v>
      </c>
      <c r="O25">
        <v>2</v>
      </c>
      <c r="P25">
        <v>2</v>
      </c>
      <c r="Q25">
        <v>2</v>
      </c>
      <c r="R25">
        <v>0</v>
      </c>
      <c r="AG25" s="1"/>
      <c r="AH25" s="1"/>
      <c r="AI25" s="1"/>
      <c r="AJ25" s="1"/>
      <c r="AK25" s="1"/>
      <c r="AL25" s="1"/>
      <c r="AM25" s="1"/>
      <c r="AN25" s="1"/>
      <c r="AO25" s="1"/>
      <c r="AP25" s="1"/>
    </row>
    <row r="26" spans="1:42" x14ac:dyDescent="0.25">
      <c r="A26">
        <v>2</v>
      </c>
      <c r="B26" t="s">
        <v>98</v>
      </c>
      <c r="C26" t="s">
        <v>203</v>
      </c>
      <c r="D26">
        <v>-10</v>
      </c>
      <c r="E26">
        <v>0</v>
      </c>
      <c r="F26">
        <v>-5</v>
      </c>
      <c r="G26">
        <v>5</v>
      </c>
      <c r="H26">
        <v>0</v>
      </c>
      <c r="I26">
        <v>0</v>
      </c>
      <c r="J26">
        <v>-0.1</v>
      </c>
      <c r="K26">
        <v>1E-3</v>
      </c>
      <c r="L26" t="s">
        <v>199</v>
      </c>
      <c r="M26" t="s">
        <v>326</v>
      </c>
      <c r="N26">
        <v>1993</v>
      </c>
      <c r="O26">
        <v>2</v>
      </c>
      <c r="P26">
        <v>2</v>
      </c>
      <c r="Q26">
        <v>2</v>
      </c>
      <c r="R26">
        <v>0</v>
      </c>
      <c r="AG26" s="1"/>
      <c r="AH26" s="1"/>
      <c r="AI26" s="1"/>
      <c r="AJ26" s="1"/>
      <c r="AK26" s="1"/>
      <c r="AL26" s="1"/>
      <c r="AM26" s="1"/>
      <c r="AN26" s="1"/>
      <c r="AO26" s="1"/>
      <c r="AP26" s="1"/>
    </row>
    <row r="27" spans="1:42" x14ac:dyDescent="0.25">
      <c r="A27" s="1"/>
      <c r="B27" s="1"/>
      <c r="C27" s="1"/>
      <c r="D27" s="1"/>
      <c r="E27" s="1"/>
      <c r="F27" s="1"/>
      <c r="G27" s="1"/>
      <c r="H27" s="1"/>
      <c r="I27" s="1"/>
      <c r="J27" s="1"/>
      <c r="K27" s="1"/>
      <c r="L27" s="1"/>
      <c r="M27" s="1"/>
      <c r="N27">
        <v>1994</v>
      </c>
      <c r="O27">
        <v>2</v>
      </c>
      <c r="P27">
        <v>2</v>
      </c>
      <c r="Q27">
        <v>2</v>
      </c>
      <c r="R27">
        <v>0</v>
      </c>
      <c r="AG27" s="1"/>
      <c r="AH27" s="1"/>
      <c r="AI27" s="1"/>
      <c r="AJ27" s="1"/>
      <c r="AK27" s="1"/>
      <c r="AL27" s="1"/>
      <c r="AM27" s="1"/>
      <c r="AN27" s="1"/>
      <c r="AO27" s="1"/>
      <c r="AP27" s="1"/>
    </row>
    <row r="28" spans="1:42" x14ac:dyDescent="0.25">
      <c r="A28" s="1"/>
      <c r="B28" s="1"/>
      <c r="C28" s="1"/>
      <c r="D28" s="1"/>
      <c r="E28" s="1"/>
      <c r="F28" s="1"/>
      <c r="G28" s="1"/>
      <c r="H28" s="1"/>
      <c r="I28" s="1"/>
      <c r="J28" s="1"/>
      <c r="K28" s="1"/>
      <c r="L28" s="1"/>
      <c r="M28" s="1"/>
      <c r="N28">
        <v>1995</v>
      </c>
      <c r="O28">
        <v>2</v>
      </c>
      <c r="P28">
        <v>2</v>
      </c>
      <c r="Q28">
        <v>2</v>
      </c>
      <c r="R28">
        <v>0</v>
      </c>
      <c r="AG28" s="1"/>
      <c r="AH28" s="1"/>
      <c r="AI28" s="1"/>
      <c r="AJ28" s="1"/>
      <c r="AK28" s="1"/>
      <c r="AL28" s="1"/>
      <c r="AM28" s="1"/>
      <c r="AN28" s="1"/>
      <c r="AO28" s="1"/>
      <c r="AP28" s="1"/>
    </row>
    <row r="29" spans="1:42" x14ac:dyDescent="0.25">
      <c r="A29" s="1"/>
      <c r="B29" s="1"/>
      <c r="C29" s="1"/>
      <c r="D29" s="1"/>
      <c r="E29" s="1"/>
      <c r="H29" s="1"/>
      <c r="I29" s="1"/>
      <c r="J29" s="1"/>
      <c r="K29" s="1"/>
      <c r="L29" s="1"/>
      <c r="M29" s="1"/>
      <c r="N29">
        <v>1996</v>
      </c>
      <c r="O29">
        <v>2</v>
      </c>
      <c r="P29">
        <v>2</v>
      </c>
      <c r="Q29">
        <v>2</v>
      </c>
      <c r="R29">
        <v>0</v>
      </c>
      <c r="AG29" s="1"/>
      <c r="AH29" s="1"/>
      <c r="AI29" s="1"/>
      <c r="AJ29" s="1"/>
      <c r="AK29" s="1"/>
      <c r="AL29" s="1"/>
      <c r="AM29" s="1"/>
      <c r="AN29" s="1"/>
      <c r="AO29" s="1"/>
      <c r="AP29" s="1"/>
    </row>
    <row r="30" spans="1:42" x14ac:dyDescent="0.25">
      <c r="A30" s="1"/>
      <c r="B30" s="1"/>
      <c r="C30" s="1"/>
      <c r="D30" s="1"/>
      <c r="E30" s="1"/>
      <c r="H30" s="1"/>
      <c r="I30" s="1"/>
      <c r="J30" s="1"/>
      <c r="K30" s="1"/>
      <c r="L30" s="1"/>
      <c r="M30" s="1"/>
      <c r="N30">
        <v>1997</v>
      </c>
      <c r="O30">
        <v>2</v>
      </c>
      <c r="P30">
        <v>2</v>
      </c>
      <c r="Q30">
        <v>2</v>
      </c>
      <c r="R30">
        <v>0</v>
      </c>
      <c r="AG30" s="1"/>
      <c r="AH30" s="1"/>
      <c r="AI30" s="1"/>
      <c r="AJ30" s="1"/>
      <c r="AK30" s="1"/>
      <c r="AL30" s="1"/>
      <c r="AM30" s="1"/>
      <c r="AN30" s="1"/>
      <c r="AO30" s="1"/>
      <c r="AP30" s="1"/>
    </row>
    <row r="31" spans="1:42" x14ac:dyDescent="0.25">
      <c r="A31" s="1"/>
      <c r="B31" s="1"/>
      <c r="C31" s="1"/>
      <c r="D31" s="1"/>
      <c r="E31" s="1"/>
      <c r="F31" s="1"/>
      <c r="G31" s="1"/>
      <c r="H31" s="1"/>
      <c r="I31" s="1"/>
      <c r="J31" s="1"/>
      <c r="K31" s="1"/>
      <c r="L31" s="1"/>
      <c r="M31" s="1"/>
      <c r="N31">
        <v>1998</v>
      </c>
      <c r="O31">
        <v>2</v>
      </c>
      <c r="P31">
        <v>2</v>
      </c>
      <c r="Q31">
        <v>2</v>
      </c>
      <c r="R31">
        <v>0</v>
      </c>
      <c r="AG31" s="1"/>
      <c r="AH31" s="1"/>
      <c r="AI31" s="1"/>
      <c r="AJ31" s="1"/>
      <c r="AK31" s="1"/>
      <c r="AL31" s="1"/>
      <c r="AM31" s="1"/>
      <c r="AN31" s="1"/>
      <c r="AO31" s="1"/>
      <c r="AP31" s="1"/>
    </row>
    <row r="32" spans="1:42" x14ac:dyDescent="0.25">
      <c r="A32" s="1"/>
      <c r="B32" s="1"/>
      <c r="C32" s="1"/>
      <c r="D32" s="1"/>
      <c r="E32" s="1"/>
      <c r="F32" s="1"/>
      <c r="G32" s="1"/>
      <c r="H32" s="1"/>
      <c r="I32" s="1"/>
      <c r="J32" s="1"/>
      <c r="K32" s="1"/>
      <c r="L32" s="1"/>
      <c r="M32" s="1"/>
      <c r="N32">
        <v>1999</v>
      </c>
      <c r="O32">
        <v>2</v>
      </c>
      <c r="P32">
        <v>2</v>
      </c>
      <c r="Q32">
        <v>2</v>
      </c>
      <c r="R32">
        <v>0</v>
      </c>
      <c r="AG32" s="1"/>
      <c r="AH32" s="1"/>
      <c r="AI32" s="1"/>
      <c r="AJ32" s="1"/>
      <c r="AK32" s="1"/>
      <c r="AL32" s="1"/>
      <c r="AM32" s="1"/>
      <c r="AN32" s="1"/>
      <c r="AO32" s="1"/>
      <c r="AP32" s="1"/>
    </row>
    <row r="33" spans="1:42" x14ac:dyDescent="0.25">
      <c r="A33" s="1"/>
      <c r="B33" s="1"/>
      <c r="C33" s="1"/>
      <c r="D33" s="1"/>
      <c r="E33" s="1"/>
      <c r="F33" s="1"/>
      <c r="G33" s="1"/>
      <c r="H33" s="1"/>
      <c r="I33" s="1"/>
      <c r="J33" s="1"/>
      <c r="K33" s="1"/>
      <c r="L33" s="1"/>
      <c r="M33" s="1"/>
      <c r="N33">
        <v>2000</v>
      </c>
      <c r="O33">
        <v>2</v>
      </c>
      <c r="P33">
        <v>2</v>
      </c>
      <c r="Q33">
        <v>2</v>
      </c>
      <c r="R33">
        <v>0</v>
      </c>
      <c r="AG33" s="1"/>
      <c r="AH33" s="1"/>
      <c r="AI33" s="1"/>
      <c r="AJ33" s="1"/>
      <c r="AK33" s="1"/>
      <c r="AL33" s="1"/>
      <c r="AM33" s="1"/>
      <c r="AN33" s="1"/>
      <c r="AO33" s="1"/>
      <c r="AP33" s="1"/>
    </row>
    <row r="34" spans="1:42" x14ac:dyDescent="0.25">
      <c r="A34" s="1"/>
      <c r="B34" s="1"/>
      <c r="C34" s="1"/>
      <c r="D34" s="1"/>
      <c r="E34" s="1"/>
      <c r="F34" s="1"/>
      <c r="G34" s="1"/>
      <c r="H34" s="1"/>
      <c r="I34" s="1"/>
      <c r="J34" s="1"/>
      <c r="K34" s="1"/>
      <c r="L34" s="1"/>
      <c r="M34" s="1"/>
      <c r="N34">
        <v>2001</v>
      </c>
      <c r="O34">
        <v>2</v>
      </c>
      <c r="P34">
        <v>2</v>
      </c>
      <c r="Q34">
        <v>2</v>
      </c>
      <c r="R34">
        <v>0</v>
      </c>
      <c r="AG34" s="1"/>
      <c r="AH34" s="1"/>
      <c r="AI34" s="1"/>
      <c r="AJ34" s="1"/>
      <c r="AK34" s="1"/>
      <c r="AL34" s="1"/>
      <c r="AM34" s="1"/>
      <c r="AN34" s="1"/>
      <c r="AO34" s="1"/>
      <c r="AP34" s="1"/>
    </row>
    <row r="35" spans="1:42" x14ac:dyDescent="0.25">
      <c r="N35">
        <v>2002</v>
      </c>
      <c r="O35">
        <v>2</v>
      </c>
      <c r="P35">
        <v>2</v>
      </c>
      <c r="Q35">
        <v>2</v>
      </c>
      <c r="R35">
        <v>0</v>
      </c>
      <c r="AG35" s="1"/>
      <c r="AH35" s="1"/>
      <c r="AI35" s="1"/>
      <c r="AJ35" s="1"/>
      <c r="AK35" s="1"/>
      <c r="AL35" s="1"/>
      <c r="AM35" s="1"/>
      <c r="AN35" s="1"/>
      <c r="AO35" s="1"/>
      <c r="AP35" s="1"/>
    </row>
    <row r="36" spans="1:42" x14ac:dyDescent="0.25">
      <c r="N36">
        <v>2003</v>
      </c>
      <c r="O36">
        <v>2</v>
      </c>
      <c r="P36">
        <v>2</v>
      </c>
      <c r="Q36">
        <v>2</v>
      </c>
      <c r="R36">
        <v>0</v>
      </c>
      <c r="AG36" s="1"/>
      <c r="AH36" s="1"/>
      <c r="AI36" s="1"/>
      <c r="AJ36" s="1"/>
      <c r="AK36" s="1"/>
      <c r="AL36" s="1"/>
      <c r="AM36" s="1"/>
      <c r="AN36" s="1"/>
      <c r="AO36" s="1"/>
      <c r="AP36" s="1"/>
    </row>
    <row r="37" spans="1:42" x14ac:dyDescent="0.25">
      <c r="N37">
        <v>2004</v>
      </c>
      <c r="O37">
        <v>2</v>
      </c>
      <c r="P37">
        <v>2</v>
      </c>
      <c r="Q37">
        <v>2</v>
      </c>
      <c r="R37">
        <v>0</v>
      </c>
      <c r="AG37" s="1"/>
      <c r="AH37" s="1"/>
      <c r="AI37" s="1"/>
      <c r="AJ37" s="1"/>
      <c r="AK37" s="1"/>
      <c r="AL37" s="1"/>
      <c r="AM37" s="1"/>
      <c r="AN37" s="1"/>
      <c r="AO37" s="1"/>
      <c r="AP37" s="1"/>
    </row>
    <row r="38" spans="1:42" x14ac:dyDescent="0.25">
      <c r="N38">
        <v>2005</v>
      </c>
      <c r="O38">
        <v>2</v>
      </c>
      <c r="P38">
        <v>2</v>
      </c>
      <c r="Q38">
        <v>2</v>
      </c>
      <c r="R38">
        <v>0</v>
      </c>
      <c r="AG38" s="1"/>
      <c r="AH38" s="1"/>
      <c r="AI38" s="1"/>
      <c r="AJ38" s="1"/>
      <c r="AK38" s="1"/>
      <c r="AL38" s="1"/>
      <c r="AM38" s="1"/>
      <c r="AN38" s="1"/>
      <c r="AO38" s="1"/>
      <c r="AP38" s="1"/>
    </row>
    <row r="39" spans="1:42" x14ac:dyDescent="0.25">
      <c r="N39">
        <v>2006</v>
      </c>
      <c r="O39">
        <v>2</v>
      </c>
      <c r="P39">
        <v>2</v>
      </c>
      <c r="Q39">
        <v>2</v>
      </c>
      <c r="R39">
        <v>0</v>
      </c>
      <c r="AG39" s="1"/>
      <c r="AH39" s="1"/>
      <c r="AI39" s="1"/>
      <c r="AJ39" s="1"/>
      <c r="AK39" s="1"/>
      <c r="AL39" s="1"/>
      <c r="AM39" s="1"/>
      <c r="AN39" s="1"/>
      <c r="AO39" s="1"/>
      <c r="AP39" s="1"/>
    </row>
    <row r="40" spans="1:42" x14ac:dyDescent="0.25">
      <c r="N40">
        <v>2007</v>
      </c>
      <c r="O40">
        <v>2</v>
      </c>
      <c r="P40">
        <v>2</v>
      </c>
      <c r="Q40">
        <v>2</v>
      </c>
      <c r="R40">
        <v>0</v>
      </c>
      <c r="AG40" s="1"/>
      <c r="AH40" s="1"/>
      <c r="AI40" s="1"/>
      <c r="AJ40" s="1"/>
      <c r="AK40" s="1"/>
      <c r="AL40" s="1"/>
      <c r="AM40" s="1"/>
      <c r="AN40" s="1"/>
      <c r="AO40" s="1"/>
      <c r="AP40" s="1"/>
    </row>
    <row r="41" spans="1:42" x14ac:dyDescent="0.25">
      <c r="N41">
        <v>2008</v>
      </c>
      <c r="O41">
        <v>2</v>
      </c>
      <c r="P41">
        <v>2</v>
      </c>
      <c r="Q41">
        <v>2</v>
      </c>
      <c r="R41">
        <v>0</v>
      </c>
      <c r="AG41" s="1"/>
      <c r="AH41" s="1"/>
      <c r="AI41" s="1"/>
      <c r="AJ41" s="1"/>
      <c r="AK41" s="1"/>
      <c r="AL41" s="1"/>
      <c r="AM41" s="1"/>
      <c r="AN41" s="1"/>
      <c r="AO41" s="1"/>
      <c r="AP41" s="1"/>
    </row>
    <row r="42" spans="1:42" x14ac:dyDescent="0.25">
      <c r="N42">
        <v>2009</v>
      </c>
      <c r="O42">
        <v>2</v>
      </c>
      <c r="P42">
        <v>2</v>
      </c>
      <c r="Q42">
        <v>2</v>
      </c>
      <c r="R42">
        <v>0</v>
      </c>
      <c r="AG42" s="1"/>
      <c r="AH42" s="1"/>
      <c r="AI42" s="1"/>
      <c r="AJ42" s="1"/>
      <c r="AK42" s="1"/>
      <c r="AL42" s="1"/>
      <c r="AM42" s="1"/>
      <c r="AN42" s="1"/>
      <c r="AO42" s="1"/>
      <c r="AP42" s="1"/>
    </row>
    <row r="43" spans="1:42" x14ac:dyDescent="0.25">
      <c r="N43">
        <v>2010</v>
      </c>
      <c r="O43">
        <v>2</v>
      </c>
      <c r="P43">
        <v>2</v>
      </c>
      <c r="Q43">
        <v>2</v>
      </c>
      <c r="R43">
        <v>0</v>
      </c>
      <c r="AG43" s="1"/>
      <c r="AH43" s="1"/>
      <c r="AI43" s="1"/>
      <c r="AJ43" s="1"/>
      <c r="AK43" s="1"/>
      <c r="AL43" s="1"/>
      <c r="AM43" s="1"/>
      <c r="AN43" s="1"/>
      <c r="AO43" s="1"/>
      <c r="AP43" s="1"/>
    </row>
    <row r="44" spans="1:42" x14ac:dyDescent="0.25">
      <c r="N44">
        <v>2011</v>
      </c>
      <c r="O44">
        <v>2</v>
      </c>
      <c r="P44">
        <v>2</v>
      </c>
      <c r="Q44">
        <v>2</v>
      </c>
      <c r="R44">
        <v>0</v>
      </c>
      <c r="AG44" s="1"/>
      <c r="AH44" s="1"/>
      <c r="AI44" s="1"/>
      <c r="AJ44" s="1"/>
      <c r="AK44" s="1"/>
      <c r="AL44" s="1"/>
      <c r="AM44" s="1"/>
      <c r="AN44" s="1"/>
      <c r="AO44" s="1"/>
      <c r="AP44" s="1"/>
    </row>
    <row r="45" spans="1:42" x14ac:dyDescent="0.25">
      <c r="N45">
        <v>2012</v>
      </c>
      <c r="O45">
        <v>2</v>
      </c>
      <c r="P45">
        <v>2</v>
      </c>
      <c r="Q45">
        <v>2</v>
      </c>
      <c r="R45">
        <v>0</v>
      </c>
      <c r="AG45" s="1"/>
      <c r="AH45" s="1"/>
      <c r="AI45" s="1"/>
      <c r="AJ45" s="1"/>
      <c r="AK45" s="1"/>
      <c r="AL45" s="1"/>
      <c r="AM45" s="1"/>
      <c r="AN45" s="1"/>
      <c r="AO45" s="1"/>
      <c r="AP45" s="1"/>
    </row>
    <row r="46" spans="1:42" x14ac:dyDescent="0.25">
      <c r="N46">
        <v>2013</v>
      </c>
      <c r="O46">
        <v>2</v>
      </c>
      <c r="P46">
        <v>2</v>
      </c>
      <c r="Q46">
        <v>2</v>
      </c>
      <c r="R46">
        <v>0</v>
      </c>
      <c r="AG46" s="1"/>
      <c r="AH46" s="1"/>
      <c r="AI46" s="1"/>
      <c r="AJ46" s="1"/>
      <c r="AK46" s="1"/>
      <c r="AL46" s="1"/>
      <c r="AM46" s="1"/>
      <c r="AN46" s="1"/>
      <c r="AO46" s="1"/>
      <c r="AP46" s="1"/>
    </row>
    <row r="47" spans="1:42" x14ac:dyDescent="0.25">
      <c r="N47">
        <v>2014</v>
      </c>
      <c r="O47">
        <v>2</v>
      </c>
      <c r="P47">
        <v>2</v>
      </c>
      <c r="Q47">
        <v>2</v>
      </c>
      <c r="R47">
        <v>0</v>
      </c>
      <c r="AG47" s="1"/>
      <c r="AH47" s="1"/>
      <c r="AI47" s="1"/>
      <c r="AJ47" s="1"/>
      <c r="AK47" s="1"/>
      <c r="AL47" s="1"/>
      <c r="AM47" s="1"/>
      <c r="AN47" s="1"/>
      <c r="AO47" s="1"/>
      <c r="AP47" s="1"/>
    </row>
    <row r="48" spans="1:42" x14ac:dyDescent="0.25">
      <c r="N48">
        <v>2015</v>
      </c>
      <c r="O48">
        <v>2</v>
      </c>
      <c r="P48">
        <v>2</v>
      </c>
      <c r="Q48">
        <v>2</v>
      </c>
      <c r="R48">
        <v>0</v>
      </c>
      <c r="AG48" s="1"/>
      <c r="AH48" s="1"/>
      <c r="AI48" s="1"/>
      <c r="AJ48" s="1"/>
      <c r="AK48" s="1"/>
      <c r="AL48" s="1"/>
      <c r="AM48" s="1"/>
      <c r="AN48" s="1"/>
      <c r="AO48" s="1"/>
      <c r="AP48" s="1"/>
    </row>
    <row r="49" spans="14:42" x14ac:dyDescent="0.25">
      <c r="N49">
        <v>2016</v>
      </c>
      <c r="O49">
        <v>2</v>
      </c>
      <c r="P49">
        <v>2</v>
      </c>
      <c r="Q49">
        <v>2</v>
      </c>
      <c r="R49">
        <v>0</v>
      </c>
      <c r="AG49" s="1"/>
      <c r="AH49" s="1"/>
      <c r="AI49" s="1"/>
      <c r="AJ49" s="1"/>
      <c r="AK49" s="1"/>
      <c r="AL49" s="1"/>
      <c r="AM49" s="1"/>
      <c r="AN49" s="1"/>
      <c r="AO49" s="1"/>
      <c r="AP49" s="1"/>
    </row>
    <row r="50" spans="14:42" x14ac:dyDescent="0.25">
      <c r="N50">
        <v>2017</v>
      </c>
      <c r="O50">
        <v>2</v>
      </c>
      <c r="P50">
        <v>2</v>
      </c>
      <c r="Q50">
        <v>2</v>
      </c>
      <c r="R50">
        <v>0</v>
      </c>
      <c r="AG50" s="1"/>
      <c r="AH50" s="1"/>
      <c r="AI50" s="1"/>
      <c r="AJ50" s="1"/>
      <c r="AK50" s="1"/>
      <c r="AL50" s="1"/>
      <c r="AM50" s="1"/>
      <c r="AN50" s="1"/>
      <c r="AO50" s="1"/>
      <c r="AP50" s="1"/>
    </row>
    <row r="51" spans="14:42" x14ac:dyDescent="0.25">
      <c r="N51">
        <v>2018</v>
      </c>
      <c r="O51">
        <v>2</v>
      </c>
      <c r="P51">
        <v>2</v>
      </c>
      <c r="Q51">
        <v>2</v>
      </c>
      <c r="R51">
        <v>0</v>
      </c>
      <c r="AG51" s="1"/>
      <c r="AH51" s="1"/>
      <c r="AI51" s="1"/>
      <c r="AJ51" s="1"/>
      <c r="AK51" s="1"/>
      <c r="AL51" s="1"/>
      <c r="AM51" s="1"/>
      <c r="AN51" s="1"/>
      <c r="AO51" s="1"/>
      <c r="AP51" s="1"/>
    </row>
    <row r="52" spans="14:42" x14ac:dyDescent="0.25">
      <c r="N52">
        <v>2019</v>
      </c>
      <c r="O52">
        <v>2</v>
      </c>
      <c r="P52">
        <v>2</v>
      </c>
      <c r="Q52">
        <v>2</v>
      </c>
      <c r="R52">
        <v>0</v>
      </c>
      <c r="AG52" s="1"/>
      <c r="AH52" s="1"/>
      <c r="AI52" s="1"/>
      <c r="AJ52" s="1"/>
      <c r="AK52" s="1"/>
      <c r="AL52" s="1"/>
      <c r="AM52" s="1"/>
      <c r="AN52" s="1"/>
      <c r="AO52" s="1"/>
      <c r="AP52" s="1"/>
    </row>
    <row r="53" spans="14:42" x14ac:dyDescent="0.25">
      <c r="N53">
        <v>2020</v>
      </c>
      <c r="O53">
        <v>2</v>
      </c>
      <c r="P53">
        <v>2</v>
      </c>
      <c r="Q53">
        <v>2</v>
      </c>
      <c r="R53">
        <v>0</v>
      </c>
      <c r="AG53" s="1"/>
      <c r="AH53" s="1"/>
      <c r="AI53" s="1"/>
      <c r="AJ53" s="1"/>
      <c r="AK53" s="1"/>
      <c r="AL53" s="1"/>
      <c r="AM53" s="1"/>
      <c r="AN53" s="1"/>
      <c r="AO53" s="1"/>
      <c r="AP53" s="1"/>
    </row>
    <row r="54" spans="14:42" x14ac:dyDescent="0.25">
      <c r="N54">
        <v>2021</v>
      </c>
      <c r="O54">
        <v>2</v>
      </c>
      <c r="P54">
        <v>2</v>
      </c>
      <c r="Q54">
        <v>2</v>
      </c>
      <c r="R54">
        <v>0</v>
      </c>
      <c r="AG54" s="1"/>
      <c r="AH54" s="1"/>
      <c r="AI54" s="1"/>
      <c r="AJ54" s="1"/>
      <c r="AK54" s="1"/>
      <c r="AL54" s="1"/>
      <c r="AM54" s="1"/>
      <c r="AN54" s="1"/>
      <c r="AO54" s="1"/>
      <c r="AP54" s="1"/>
    </row>
    <row r="55" spans="14:42" x14ac:dyDescent="0.25">
      <c r="N55">
        <v>2022</v>
      </c>
      <c r="O55">
        <v>2</v>
      </c>
      <c r="P55">
        <v>2</v>
      </c>
      <c r="Q55">
        <v>2</v>
      </c>
      <c r="R55">
        <v>0</v>
      </c>
      <c r="AG55" s="1"/>
      <c r="AH55" s="1"/>
      <c r="AI55" s="1"/>
      <c r="AJ55" s="1"/>
      <c r="AK55" s="1"/>
      <c r="AL55" s="1"/>
      <c r="AM55" s="1"/>
      <c r="AN55" s="1"/>
      <c r="AO55" s="1"/>
      <c r="AP55" s="1"/>
    </row>
    <row r="56" spans="14:42" x14ac:dyDescent="0.25">
      <c r="N56">
        <v>2023</v>
      </c>
      <c r="O56">
        <v>2</v>
      </c>
      <c r="P56">
        <v>2</v>
      </c>
      <c r="Q56">
        <v>2</v>
      </c>
      <c r="R56">
        <v>0</v>
      </c>
      <c r="AG56" s="1"/>
      <c r="AH56" s="1"/>
      <c r="AI56" s="1"/>
      <c r="AJ56" s="1"/>
      <c r="AK56" s="1"/>
      <c r="AL56" s="1"/>
      <c r="AM56" s="1"/>
      <c r="AN56" s="1"/>
      <c r="AO56" s="1"/>
      <c r="AP56" s="1"/>
    </row>
    <row r="57" spans="14:42" x14ac:dyDescent="0.25">
      <c r="N57">
        <v>2024</v>
      </c>
      <c r="O57">
        <v>2</v>
      </c>
      <c r="P57">
        <v>2</v>
      </c>
      <c r="Q57">
        <v>2</v>
      </c>
      <c r="R57">
        <v>0</v>
      </c>
      <c r="AG57" s="1"/>
      <c r="AH57" s="1"/>
      <c r="AI57" s="1"/>
      <c r="AJ57" s="1"/>
      <c r="AK57" s="1"/>
      <c r="AL57" s="1"/>
      <c r="AM57" s="1"/>
      <c r="AN57" s="1"/>
      <c r="AO57" s="1"/>
      <c r="AP57" s="1"/>
    </row>
    <row r="58" spans="14:42" x14ac:dyDescent="0.25">
      <c r="N58">
        <v>2025</v>
      </c>
      <c r="O58">
        <v>2</v>
      </c>
      <c r="P58">
        <v>2</v>
      </c>
      <c r="Q58">
        <v>2</v>
      </c>
      <c r="R58">
        <v>0</v>
      </c>
      <c r="AG58" s="1"/>
      <c r="AH58" s="1"/>
      <c r="AI58" s="1"/>
      <c r="AJ58" s="1"/>
      <c r="AK58" s="1"/>
      <c r="AL58" s="1"/>
      <c r="AM58" s="1"/>
      <c r="AN58" s="1"/>
      <c r="AO58" s="1"/>
      <c r="AP58" s="1"/>
    </row>
    <row r="59" spans="14:42" x14ac:dyDescent="0.25">
      <c r="N59">
        <v>2026</v>
      </c>
      <c r="O59">
        <v>2</v>
      </c>
      <c r="P59">
        <v>2</v>
      </c>
      <c r="Q59">
        <v>2</v>
      </c>
      <c r="R59">
        <v>0</v>
      </c>
      <c r="AG59" s="1"/>
      <c r="AH59" s="1"/>
      <c r="AI59" s="1"/>
      <c r="AJ59" s="1"/>
      <c r="AK59" s="1"/>
      <c r="AL59" s="1"/>
      <c r="AM59" s="1"/>
      <c r="AN59" s="1"/>
      <c r="AO59" s="1"/>
      <c r="AP59" s="1"/>
    </row>
    <row r="60" spans="14:42" x14ac:dyDescent="0.25">
      <c r="N60">
        <v>2027</v>
      </c>
      <c r="O60">
        <v>2</v>
      </c>
      <c r="P60">
        <v>2</v>
      </c>
      <c r="Q60">
        <v>2</v>
      </c>
      <c r="R60">
        <v>0</v>
      </c>
      <c r="AG60" s="1"/>
      <c r="AH60" s="1"/>
      <c r="AI60" s="1"/>
      <c r="AJ60" s="1"/>
      <c r="AK60" s="1"/>
      <c r="AL60" s="1"/>
      <c r="AM60" s="1"/>
      <c r="AN60" s="1"/>
      <c r="AO60" s="1"/>
      <c r="AP60" s="1"/>
    </row>
    <row r="61" spans="14:42" x14ac:dyDescent="0.25">
      <c r="N61">
        <v>2028</v>
      </c>
      <c r="O61">
        <v>2</v>
      </c>
      <c r="P61">
        <v>2</v>
      </c>
      <c r="Q61">
        <v>2</v>
      </c>
      <c r="R61">
        <v>0</v>
      </c>
      <c r="AG61" s="1"/>
      <c r="AH61" s="1"/>
      <c r="AI61" s="1"/>
      <c r="AJ61" s="1"/>
      <c r="AK61" s="1"/>
      <c r="AL61" s="1"/>
      <c r="AM61" s="1"/>
      <c r="AN61" s="1"/>
      <c r="AO61" s="1"/>
      <c r="AP61" s="1"/>
    </row>
    <row r="62" spans="14:42" x14ac:dyDescent="0.25">
      <c r="N62">
        <v>2029</v>
      </c>
      <c r="O62">
        <v>2</v>
      </c>
      <c r="P62">
        <v>2</v>
      </c>
      <c r="Q62">
        <v>2</v>
      </c>
      <c r="R62">
        <v>0</v>
      </c>
      <c r="AG62" s="1"/>
      <c r="AH62" s="1"/>
      <c r="AI62" s="1"/>
      <c r="AJ62" s="1"/>
      <c r="AK62" s="1"/>
      <c r="AL62" s="1"/>
      <c r="AM62" s="1"/>
      <c r="AN62" s="1"/>
      <c r="AO62" s="1"/>
      <c r="AP62" s="1"/>
    </row>
    <row r="63" spans="14:42" x14ac:dyDescent="0.25">
      <c r="N63">
        <v>2030</v>
      </c>
      <c r="O63">
        <v>2</v>
      </c>
      <c r="P63">
        <v>2</v>
      </c>
      <c r="Q63">
        <v>2</v>
      </c>
      <c r="R63">
        <v>0</v>
      </c>
      <c r="AG63" s="1"/>
      <c r="AH63" s="1"/>
      <c r="AI63" s="1"/>
      <c r="AJ63" s="1"/>
      <c r="AK63" s="1"/>
      <c r="AL63" s="1"/>
      <c r="AM63" s="1"/>
      <c r="AN63" s="1"/>
      <c r="AO63" s="1"/>
      <c r="AP63" s="1"/>
    </row>
    <row r="64" spans="14:42" x14ac:dyDescent="0.25">
      <c r="N64">
        <v>2031</v>
      </c>
      <c r="O64">
        <v>2</v>
      </c>
      <c r="P64">
        <v>2</v>
      </c>
      <c r="Q64">
        <v>2</v>
      </c>
      <c r="R64">
        <v>0</v>
      </c>
      <c r="AG64" s="1"/>
      <c r="AH64" s="1"/>
      <c r="AI64" s="1"/>
      <c r="AJ64" s="1"/>
      <c r="AK64" s="1"/>
      <c r="AL64" s="1"/>
      <c r="AM64" s="1"/>
      <c r="AN64" s="1"/>
      <c r="AO64" s="1"/>
      <c r="AP64" s="1"/>
    </row>
    <row r="65" spans="14:42" x14ac:dyDescent="0.25">
      <c r="N65">
        <v>2032</v>
      </c>
      <c r="O65">
        <v>2</v>
      </c>
      <c r="P65">
        <v>2</v>
      </c>
      <c r="Q65">
        <v>2</v>
      </c>
      <c r="R65">
        <v>0</v>
      </c>
      <c r="AG65" s="1"/>
      <c r="AH65" s="1"/>
      <c r="AI65" s="1"/>
      <c r="AJ65" s="1"/>
      <c r="AK65" s="1"/>
      <c r="AL65" s="1"/>
      <c r="AM65" s="1"/>
      <c r="AN65" s="1"/>
      <c r="AO65" s="1"/>
      <c r="AP65" s="1"/>
    </row>
    <row r="66" spans="14:42" x14ac:dyDescent="0.25">
      <c r="N66">
        <v>2033</v>
      </c>
      <c r="O66">
        <v>2</v>
      </c>
      <c r="P66">
        <v>2</v>
      </c>
      <c r="Q66">
        <v>2</v>
      </c>
      <c r="R66">
        <v>0</v>
      </c>
      <c r="AG66" s="1"/>
      <c r="AH66" s="1"/>
      <c r="AI66" s="1"/>
      <c r="AJ66" s="1"/>
      <c r="AK66" s="1"/>
      <c r="AL66" s="1"/>
      <c r="AM66" s="1"/>
      <c r="AN66" s="1"/>
      <c r="AO66" s="1"/>
      <c r="AP66" s="1"/>
    </row>
    <row r="67" spans="14:42" x14ac:dyDescent="0.25">
      <c r="N67">
        <v>2034</v>
      </c>
      <c r="O67">
        <v>2</v>
      </c>
      <c r="P67">
        <v>2</v>
      </c>
      <c r="Q67">
        <v>2</v>
      </c>
      <c r="R67">
        <v>0</v>
      </c>
      <c r="AG67" s="1"/>
      <c r="AH67" s="1"/>
      <c r="AI67" s="1"/>
      <c r="AJ67" s="1"/>
      <c r="AK67" s="1"/>
      <c r="AL67" s="1"/>
      <c r="AM67" s="1"/>
      <c r="AN67" s="1"/>
      <c r="AO67" s="1"/>
      <c r="AP67" s="1"/>
    </row>
    <row r="68" spans="14:42" x14ac:dyDescent="0.25">
      <c r="N68">
        <v>2035</v>
      </c>
      <c r="O68">
        <v>2</v>
      </c>
      <c r="P68">
        <v>2</v>
      </c>
      <c r="Q68">
        <v>2</v>
      </c>
      <c r="R68">
        <v>0</v>
      </c>
      <c r="AG68" s="1"/>
      <c r="AH68" s="1"/>
      <c r="AI68" s="1"/>
      <c r="AJ68" s="1"/>
      <c r="AK68" s="1"/>
      <c r="AL68" s="1"/>
      <c r="AM68" s="1"/>
      <c r="AN68" s="1"/>
      <c r="AO68" s="1"/>
      <c r="AP68" s="1"/>
    </row>
    <row r="69" spans="14:42" x14ac:dyDescent="0.25">
      <c r="N69">
        <v>2036</v>
      </c>
      <c r="O69">
        <v>2</v>
      </c>
      <c r="P69">
        <v>2</v>
      </c>
      <c r="Q69">
        <v>2</v>
      </c>
      <c r="R69">
        <v>0</v>
      </c>
      <c r="AG69" s="1"/>
      <c r="AH69" s="1"/>
      <c r="AI69" s="1"/>
      <c r="AJ69" s="1"/>
      <c r="AK69" s="1"/>
      <c r="AL69" s="1"/>
      <c r="AM69" s="1"/>
      <c r="AN69" s="1"/>
      <c r="AO69" s="1"/>
      <c r="AP69" s="1"/>
    </row>
    <row r="70" spans="14:42" x14ac:dyDescent="0.25">
      <c r="N70">
        <v>2037</v>
      </c>
      <c r="O70">
        <v>2</v>
      </c>
      <c r="P70">
        <v>2</v>
      </c>
      <c r="Q70">
        <v>2</v>
      </c>
      <c r="R70">
        <v>0</v>
      </c>
      <c r="AG70" s="1"/>
      <c r="AH70" s="1"/>
      <c r="AI70" s="1"/>
      <c r="AJ70" s="1"/>
      <c r="AK70" s="1"/>
      <c r="AL70" s="1"/>
      <c r="AM70" s="1"/>
      <c r="AN70" s="1"/>
      <c r="AO70" s="1"/>
      <c r="AP70" s="1"/>
    </row>
    <row r="71" spans="14:42" x14ac:dyDescent="0.25">
      <c r="N71">
        <v>2038</v>
      </c>
      <c r="O71">
        <v>2</v>
      </c>
      <c r="P71">
        <v>2</v>
      </c>
      <c r="Q71">
        <v>2</v>
      </c>
      <c r="R71">
        <v>0</v>
      </c>
      <c r="AG71" s="1"/>
      <c r="AH71" s="1"/>
      <c r="AI71" s="1"/>
      <c r="AJ71" s="1"/>
      <c r="AK71" s="1"/>
      <c r="AL71" s="1"/>
      <c r="AM71" s="1"/>
      <c r="AN71" s="1"/>
      <c r="AO71" s="1"/>
      <c r="AP71" s="1"/>
    </row>
    <row r="72" spans="14:42" x14ac:dyDescent="0.25">
      <c r="N72">
        <v>2039</v>
      </c>
      <c r="O72">
        <v>2</v>
      </c>
      <c r="P72">
        <v>2</v>
      </c>
      <c r="Q72">
        <v>2</v>
      </c>
      <c r="R72">
        <v>0</v>
      </c>
      <c r="AG72" s="1"/>
      <c r="AH72" s="1"/>
      <c r="AI72" s="1"/>
      <c r="AJ72" s="1"/>
      <c r="AK72" s="1"/>
      <c r="AL72" s="1"/>
      <c r="AM72" s="1"/>
      <c r="AN72" s="1"/>
      <c r="AO72" s="1"/>
      <c r="AP72" s="1"/>
    </row>
    <row r="73" spans="14:42" x14ac:dyDescent="0.25">
      <c r="N73">
        <v>2040</v>
      </c>
      <c r="O73">
        <v>2</v>
      </c>
      <c r="P73">
        <v>2</v>
      </c>
      <c r="Q73">
        <v>2</v>
      </c>
      <c r="R73">
        <v>0</v>
      </c>
      <c r="AG73" s="1"/>
      <c r="AH73" s="1"/>
      <c r="AI73" s="1"/>
      <c r="AJ73" s="1"/>
      <c r="AK73" s="1"/>
      <c r="AL73" s="1"/>
      <c r="AM73" s="1"/>
      <c r="AN73" s="1"/>
      <c r="AO73" s="1"/>
      <c r="AP73" s="1"/>
    </row>
    <row r="74" spans="14:42" x14ac:dyDescent="0.25">
      <c r="N74">
        <v>2041</v>
      </c>
      <c r="O74">
        <v>2</v>
      </c>
      <c r="P74">
        <v>2</v>
      </c>
      <c r="Q74">
        <v>2</v>
      </c>
      <c r="R74">
        <v>0</v>
      </c>
      <c r="AG74" s="1"/>
      <c r="AH74" s="1"/>
      <c r="AI74" s="1"/>
      <c r="AJ74" s="1"/>
      <c r="AK74" s="1"/>
      <c r="AL74" s="1"/>
      <c r="AM74" s="1"/>
      <c r="AN74" s="1"/>
      <c r="AO74" s="1"/>
      <c r="AP74" s="1"/>
    </row>
    <row r="75" spans="14:42" x14ac:dyDescent="0.25">
      <c r="N75">
        <v>2042</v>
      </c>
      <c r="O75">
        <v>2</v>
      </c>
      <c r="P75">
        <v>2</v>
      </c>
      <c r="Q75">
        <v>2</v>
      </c>
      <c r="R75">
        <v>0</v>
      </c>
      <c r="AG75" s="1"/>
      <c r="AH75" s="1"/>
      <c r="AI75" s="1"/>
      <c r="AJ75" s="1"/>
      <c r="AK75" s="1"/>
      <c r="AL75" s="1"/>
      <c r="AM75" s="1"/>
      <c r="AN75" s="1"/>
      <c r="AO75" s="1"/>
      <c r="AP75" s="1"/>
    </row>
    <row r="76" spans="14:42" x14ac:dyDescent="0.25">
      <c r="N76">
        <v>2043</v>
      </c>
      <c r="O76">
        <v>2</v>
      </c>
      <c r="P76">
        <v>2</v>
      </c>
      <c r="Q76">
        <v>2</v>
      </c>
      <c r="R76">
        <v>0</v>
      </c>
      <c r="AG76" s="1"/>
      <c r="AH76" s="1"/>
      <c r="AI76" s="1"/>
      <c r="AJ76" s="1"/>
      <c r="AK76" s="1"/>
      <c r="AL76" s="1"/>
      <c r="AM76" s="1"/>
      <c r="AN76" s="1"/>
      <c r="AO76" s="1"/>
      <c r="AP76" s="1"/>
    </row>
    <row r="77" spans="14:42" x14ac:dyDescent="0.25">
      <c r="N77">
        <v>2044</v>
      </c>
      <c r="O77">
        <v>2</v>
      </c>
      <c r="P77">
        <v>2</v>
      </c>
      <c r="Q77">
        <v>2</v>
      </c>
      <c r="R77">
        <v>0</v>
      </c>
      <c r="AG77" s="1"/>
      <c r="AH77" s="1"/>
      <c r="AI77" s="1"/>
      <c r="AJ77" s="1"/>
      <c r="AK77" s="1"/>
      <c r="AL77" s="1"/>
      <c r="AM77" s="1"/>
      <c r="AN77" s="1"/>
      <c r="AO77" s="1"/>
      <c r="AP77" s="1"/>
    </row>
    <row r="78" spans="14:42" x14ac:dyDescent="0.25">
      <c r="N78">
        <v>2045</v>
      </c>
      <c r="O78">
        <v>2</v>
      </c>
      <c r="P78">
        <v>2</v>
      </c>
      <c r="Q78">
        <v>2</v>
      </c>
      <c r="R78">
        <v>0</v>
      </c>
      <c r="AG78" s="1"/>
      <c r="AH78" s="1"/>
      <c r="AI78" s="1"/>
      <c r="AJ78" s="1"/>
      <c r="AK78" s="1"/>
      <c r="AL78" s="1"/>
      <c r="AM78" s="1"/>
      <c r="AN78" s="1"/>
      <c r="AO78" s="1"/>
      <c r="AP78" s="1"/>
    </row>
    <row r="79" spans="14:42" x14ac:dyDescent="0.25">
      <c r="N79">
        <v>2046</v>
      </c>
      <c r="O79">
        <v>2</v>
      </c>
      <c r="P79">
        <v>2</v>
      </c>
      <c r="Q79">
        <v>2</v>
      </c>
      <c r="R79">
        <v>0</v>
      </c>
      <c r="AG79" s="1"/>
      <c r="AH79" s="1"/>
      <c r="AI79" s="1"/>
      <c r="AJ79" s="1"/>
      <c r="AK79" s="1"/>
      <c r="AL79" s="1"/>
      <c r="AM79" s="1"/>
      <c r="AN79" s="1"/>
      <c r="AO79" s="1"/>
      <c r="AP79" s="1"/>
    </row>
    <row r="80" spans="14:42" x14ac:dyDescent="0.25">
      <c r="N80">
        <v>2047</v>
      </c>
      <c r="O80">
        <v>2</v>
      </c>
      <c r="P80">
        <v>2</v>
      </c>
      <c r="Q80">
        <v>2</v>
      </c>
      <c r="R80">
        <v>0</v>
      </c>
      <c r="AG80" s="1"/>
      <c r="AH80" s="1"/>
      <c r="AI80" s="1"/>
      <c r="AJ80" s="1"/>
      <c r="AK80" s="1"/>
      <c r="AL80" s="1"/>
      <c r="AM80" s="1"/>
      <c r="AN80" s="1"/>
      <c r="AO80" s="1"/>
      <c r="AP80" s="1"/>
    </row>
    <row r="81" spans="14:42" x14ac:dyDescent="0.25">
      <c r="N81">
        <v>2048</v>
      </c>
      <c r="O81">
        <v>2</v>
      </c>
      <c r="P81">
        <v>2</v>
      </c>
      <c r="Q81">
        <v>2</v>
      </c>
      <c r="R81">
        <v>0</v>
      </c>
      <c r="AG81" s="1"/>
      <c r="AH81" s="1"/>
      <c r="AI81" s="1"/>
      <c r="AJ81" s="1"/>
      <c r="AK81" s="1"/>
      <c r="AL81" s="1"/>
      <c r="AM81" s="1"/>
      <c r="AN81" s="1"/>
      <c r="AO81" s="1"/>
      <c r="AP81" s="1"/>
    </row>
    <row r="82" spans="14:42" x14ac:dyDescent="0.25">
      <c r="N82">
        <v>2049</v>
      </c>
      <c r="O82">
        <v>2</v>
      </c>
      <c r="P82">
        <v>2</v>
      </c>
      <c r="Q82">
        <v>2</v>
      </c>
      <c r="R82">
        <v>0</v>
      </c>
      <c r="AG82" s="1"/>
      <c r="AH82" s="1"/>
      <c r="AI82" s="1"/>
      <c r="AJ82" s="1"/>
      <c r="AK82" s="1"/>
      <c r="AL82" s="1"/>
      <c r="AM82" s="1"/>
      <c r="AN82" s="1"/>
      <c r="AO82" s="1"/>
      <c r="AP82" s="1"/>
    </row>
    <row r="83" spans="14:42" x14ac:dyDescent="0.25">
      <c r="N83">
        <v>2050</v>
      </c>
      <c r="O83">
        <v>2</v>
      </c>
      <c r="P83">
        <v>2</v>
      </c>
      <c r="Q83">
        <v>2</v>
      </c>
      <c r="R83">
        <v>0</v>
      </c>
      <c r="AG83" s="1"/>
      <c r="AH83" s="1"/>
      <c r="AI83" s="1"/>
      <c r="AJ83" s="1"/>
      <c r="AK83" s="1"/>
      <c r="AL83" s="1"/>
      <c r="AM83" s="1"/>
      <c r="AN83" s="1"/>
      <c r="AO83" s="1"/>
      <c r="AP83" s="1"/>
    </row>
    <row r="84" spans="14:42" x14ac:dyDescent="0.25">
      <c r="N84">
        <v>2051</v>
      </c>
      <c r="O84">
        <v>2</v>
      </c>
      <c r="P84">
        <v>2</v>
      </c>
      <c r="Q84">
        <v>2</v>
      </c>
      <c r="R84">
        <v>0</v>
      </c>
      <c r="AG84" s="1"/>
      <c r="AH84" s="1"/>
      <c r="AI84" s="1"/>
      <c r="AJ84" s="1"/>
      <c r="AK84" s="1"/>
      <c r="AL84" s="1"/>
      <c r="AM84" s="1"/>
      <c r="AN84" s="1"/>
      <c r="AO84" s="1"/>
      <c r="AP84" s="1"/>
    </row>
    <row r="85" spans="14:42" x14ac:dyDescent="0.25">
      <c r="N85">
        <v>2052</v>
      </c>
      <c r="O85">
        <v>2</v>
      </c>
      <c r="P85">
        <v>2</v>
      </c>
      <c r="Q85">
        <v>2</v>
      </c>
      <c r="R85">
        <v>0</v>
      </c>
      <c r="AG85" s="1"/>
      <c r="AH85" s="1"/>
      <c r="AI85" s="1"/>
      <c r="AJ85" s="1"/>
      <c r="AK85" s="1"/>
      <c r="AL85" s="1"/>
      <c r="AM85" s="1"/>
      <c r="AN85" s="1"/>
      <c r="AO85" s="1"/>
      <c r="AP85" s="1"/>
    </row>
    <row r="86" spans="14:42" x14ac:dyDescent="0.25">
      <c r="N86">
        <v>2053</v>
      </c>
      <c r="O86">
        <v>2</v>
      </c>
      <c r="P86">
        <v>2</v>
      </c>
      <c r="Q86">
        <v>2</v>
      </c>
      <c r="R86">
        <v>0</v>
      </c>
      <c r="AG86" s="1"/>
      <c r="AH86" s="1"/>
      <c r="AI86" s="1"/>
      <c r="AJ86" s="1"/>
      <c r="AK86" s="1"/>
      <c r="AL86" s="1"/>
      <c r="AM86" s="1"/>
      <c r="AN86" s="1"/>
      <c r="AO86" s="1"/>
      <c r="AP86" s="1"/>
    </row>
    <row r="87" spans="14:42" x14ac:dyDescent="0.25">
      <c r="N87">
        <v>2054</v>
      </c>
      <c r="O87">
        <v>2</v>
      </c>
      <c r="P87">
        <v>2</v>
      </c>
      <c r="Q87">
        <v>2</v>
      </c>
      <c r="R87">
        <v>0</v>
      </c>
      <c r="AG87" s="1"/>
      <c r="AH87" s="1"/>
      <c r="AI87" s="1"/>
      <c r="AJ87" s="1"/>
      <c r="AK87" s="1"/>
      <c r="AL87" s="1"/>
      <c r="AM87" s="1"/>
      <c r="AN87" s="1"/>
      <c r="AO87" s="1"/>
      <c r="AP87" s="1"/>
    </row>
    <row r="88" spans="14:42" x14ac:dyDescent="0.25">
      <c r="N88">
        <v>2055</v>
      </c>
      <c r="O88">
        <v>2</v>
      </c>
      <c r="P88">
        <v>2</v>
      </c>
      <c r="Q88">
        <v>2</v>
      </c>
      <c r="R88">
        <v>0</v>
      </c>
      <c r="AG88" s="1"/>
      <c r="AH88" s="1"/>
      <c r="AI88" s="1"/>
      <c r="AJ88" s="1"/>
      <c r="AK88" s="1"/>
      <c r="AL88" s="1"/>
      <c r="AM88" s="1"/>
      <c r="AN88" s="1"/>
      <c r="AO88" s="1"/>
      <c r="AP88" s="1"/>
    </row>
    <row r="89" spans="14:42" x14ac:dyDescent="0.25">
      <c r="N89">
        <v>2056</v>
      </c>
      <c r="O89">
        <v>2</v>
      </c>
      <c r="P89">
        <v>2</v>
      </c>
      <c r="Q89">
        <v>2</v>
      </c>
      <c r="R89">
        <v>0</v>
      </c>
      <c r="AG89" s="1"/>
      <c r="AH89" s="1"/>
      <c r="AI89" s="1"/>
      <c r="AJ89" s="1"/>
      <c r="AK89" s="1"/>
      <c r="AL89" s="1"/>
      <c r="AM89" s="1"/>
      <c r="AN89" s="1"/>
      <c r="AO89" s="1"/>
      <c r="AP89" s="1"/>
    </row>
    <row r="90" spans="14:42" x14ac:dyDescent="0.25">
      <c r="N90">
        <v>2057</v>
      </c>
      <c r="O90">
        <v>2</v>
      </c>
      <c r="P90">
        <v>2</v>
      </c>
      <c r="Q90">
        <v>2</v>
      </c>
      <c r="R90">
        <v>0</v>
      </c>
      <c r="AG90" s="1"/>
      <c r="AH90" s="1"/>
      <c r="AI90" s="1"/>
      <c r="AJ90" s="1"/>
      <c r="AK90" s="1"/>
      <c r="AL90" s="1"/>
      <c r="AM90" s="1"/>
      <c r="AN90" s="1"/>
      <c r="AO90" s="1"/>
      <c r="AP90" s="1"/>
    </row>
    <row r="91" spans="14:42" x14ac:dyDescent="0.25">
      <c r="N91">
        <v>2058</v>
      </c>
      <c r="O91">
        <v>2</v>
      </c>
      <c r="P91">
        <v>2</v>
      </c>
      <c r="Q91">
        <v>2</v>
      </c>
      <c r="R91">
        <v>0</v>
      </c>
      <c r="AG91" s="1"/>
      <c r="AH91" s="1"/>
      <c r="AI91" s="1"/>
      <c r="AJ91" s="1"/>
      <c r="AK91" s="1"/>
      <c r="AL91" s="1"/>
      <c r="AM91" s="1"/>
      <c r="AN91" s="1"/>
      <c r="AO91" s="1"/>
      <c r="AP91" s="1"/>
    </row>
    <row r="92" spans="14:42" x14ac:dyDescent="0.25">
      <c r="N92">
        <v>2059</v>
      </c>
      <c r="O92">
        <v>2</v>
      </c>
      <c r="P92">
        <v>2</v>
      </c>
      <c r="Q92">
        <v>2</v>
      </c>
      <c r="R92">
        <v>0</v>
      </c>
      <c r="AG92" s="1"/>
      <c r="AH92" s="1"/>
      <c r="AI92" s="1"/>
      <c r="AJ92" s="1"/>
      <c r="AK92" s="1"/>
      <c r="AL92" s="1"/>
      <c r="AM92" s="1"/>
      <c r="AN92" s="1"/>
      <c r="AO92" s="1"/>
      <c r="AP92" s="1"/>
    </row>
    <row r="93" spans="14:42" x14ac:dyDescent="0.25">
      <c r="N93">
        <v>2060</v>
      </c>
      <c r="O93">
        <v>2</v>
      </c>
      <c r="P93">
        <v>2</v>
      </c>
      <c r="Q93">
        <v>2</v>
      </c>
      <c r="R93">
        <v>0</v>
      </c>
      <c r="AG93" s="1"/>
      <c r="AH93" s="1"/>
      <c r="AI93" s="1"/>
      <c r="AJ93" s="1"/>
      <c r="AK93" s="1"/>
      <c r="AL93" s="1"/>
      <c r="AM93" s="1"/>
      <c r="AN93" s="1"/>
      <c r="AO93" s="1"/>
      <c r="AP93" s="1"/>
    </row>
    <row r="94" spans="14:42" x14ac:dyDescent="0.25">
      <c r="N94">
        <v>2061</v>
      </c>
      <c r="O94">
        <v>2</v>
      </c>
      <c r="P94">
        <v>2</v>
      </c>
      <c r="Q94">
        <v>2</v>
      </c>
      <c r="R94">
        <v>0</v>
      </c>
      <c r="AG94" s="1"/>
      <c r="AH94" s="1"/>
      <c r="AI94" s="1"/>
      <c r="AJ94" s="1"/>
      <c r="AK94" s="1"/>
      <c r="AL94" s="1"/>
      <c r="AM94" s="1"/>
      <c r="AN94" s="1"/>
      <c r="AO94" s="1"/>
      <c r="AP94" s="1"/>
    </row>
    <row r="95" spans="14:42" x14ac:dyDescent="0.25">
      <c r="N95">
        <v>2062</v>
      </c>
      <c r="O95">
        <v>2</v>
      </c>
      <c r="P95">
        <v>2</v>
      </c>
      <c r="Q95">
        <v>2</v>
      </c>
      <c r="R95">
        <v>0</v>
      </c>
      <c r="AG95" s="1"/>
      <c r="AH95" s="1"/>
      <c r="AI95" s="1"/>
      <c r="AJ95" s="1"/>
      <c r="AK95" s="1"/>
      <c r="AL95" s="1"/>
      <c r="AM95" s="1"/>
      <c r="AN95" s="1"/>
      <c r="AO95" s="1"/>
      <c r="AP95" s="1"/>
    </row>
    <row r="96" spans="14:42" x14ac:dyDescent="0.25">
      <c r="N96">
        <v>2063</v>
      </c>
      <c r="O96">
        <v>2</v>
      </c>
      <c r="P96">
        <v>2</v>
      </c>
      <c r="Q96">
        <v>2</v>
      </c>
      <c r="R96">
        <v>0</v>
      </c>
      <c r="AG96" s="1"/>
      <c r="AH96" s="1"/>
      <c r="AI96" s="1"/>
      <c r="AJ96" s="1"/>
      <c r="AK96" s="1"/>
      <c r="AL96" s="1"/>
      <c r="AM96" s="1"/>
      <c r="AN96" s="1"/>
      <c r="AO96" s="1"/>
      <c r="AP96" s="1"/>
    </row>
    <row r="97" spans="14:42" x14ac:dyDescent="0.25">
      <c r="N97">
        <v>2064</v>
      </c>
      <c r="O97">
        <v>2</v>
      </c>
      <c r="P97">
        <v>2</v>
      </c>
      <c r="Q97">
        <v>2</v>
      </c>
      <c r="R97">
        <v>0</v>
      </c>
      <c r="AG97" s="1"/>
      <c r="AH97" s="1"/>
      <c r="AI97" s="1"/>
      <c r="AJ97" s="1"/>
      <c r="AK97" s="1"/>
      <c r="AL97" s="1"/>
      <c r="AM97" s="1"/>
      <c r="AN97" s="1"/>
      <c r="AO97" s="1"/>
      <c r="AP97" s="1"/>
    </row>
    <row r="98" spans="14:42" x14ac:dyDescent="0.25">
      <c r="N98">
        <v>2065</v>
      </c>
      <c r="O98">
        <v>2</v>
      </c>
      <c r="P98">
        <v>2</v>
      </c>
      <c r="Q98">
        <v>2</v>
      </c>
      <c r="R98">
        <v>0</v>
      </c>
      <c r="AG98" s="1"/>
      <c r="AH98" s="1"/>
      <c r="AI98" s="1"/>
      <c r="AJ98" s="1"/>
      <c r="AK98" s="1"/>
      <c r="AL98" s="1"/>
      <c r="AM98" s="1"/>
      <c r="AN98" s="1"/>
      <c r="AO98" s="1"/>
      <c r="AP98" s="1"/>
    </row>
    <row r="99" spans="14:42" x14ac:dyDescent="0.25">
      <c r="N99">
        <v>2066</v>
      </c>
      <c r="O99">
        <v>2</v>
      </c>
      <c r="P99">
        <v>2</v>
      </c>
      <c r="Q99">
        <v>2</v>
      </c>
      <c r="R99">
        <v>0</v>
      </c>
      <c r="AG99" s="1"/>
      <c r="AH99" s="1"/>
      <c r="AI99" s="1"/>
      <c r="AJ99" s="1"/>
      <c r="AK99" s="1"/>
      <c r="AL99" s="1"/>
      <c r="AM99" s="1"/>
      <c r="AN99" s="1"/>
      <c r="AO99" s="1"/>
      <c r="AP99" s="1"/>
    </row>
    <row r="100" spans="14:42" x14ac:dyDescent="0.25">
      <c r="N100">
        <v>2067</v>
      </c>
      <c r="O100">
        <v>2</v>
      </c>
      <c r="P100">
        <v>2</v>
      </c>
      <c r="Q100">
        <v>2</v>
      </c>
      <c r="R100">
        <v>0</v>
      </c>
      <c r="AG100" s="1"/>
      <c r="AH100" s="1"/>
      <c r="AI100" s="1"/>
      <c r="AJ100" s="1"/>
      <c r="AK100" s="1"/>
      <c r="AL100" s="1"/>
      <c r="AM100" s="1"/>
      <c r="AN100" s="1"/>
      <c r="AO100" s="1"/>
      <c r="AP100" s="1"/>
    </row>
    <row r="101" spans="14:42" x14ac:dyDescent="0.25">
      <c r="N101">
        <v>2068</v>
      </c>
      <c r="O101">
        <v>2</v>
      </c>
      <c r="P101">
        <v>2</v>
      </c>
      <c r="Q101">
        <v>2</v>
      </c>
      <c r="R101">
        <v>0</v>
      </c>
      <c r="AG101" s="1"/>
      <c r="AH101" s="1"/>
      <c r="AI101" s="1"/>
      <c r="AJ101" s="1"/>
      <c r="AK101" s="1"/>
      <c r="AL101" s="1"/>
      <c r="AM101" s="1"/>
      <c r="AN101" s="1"/>
      <c r="AO101" s="1"/>
      <c r="AP101" s="1"/>
    </row>
    <row r="102" spans="14:42" x14ac:dyDescent="0.25">
      <c r="N102">
        <v>2069</v>
      </c>
      <c r="O102">
        <v>2</v>
      </c>
      <c r="P102">
        <v>2</v>
      </c>
      <c r="Q102">
        <v>2</v>
      </c>
      <c r="R102">
        <v>0</v>
      </c>
      <c r="AG102" s="1"/>
      <c r="AH102" s="1"/>
      <c r="AI102" s="1"/>
      <c r="AJ102" s="1"/>
      <c r="AK102" s="1"/>
      <c r="AL102" s="1"/>
      <c r="AM102" s="1"/>
      <c r="AN102" s="1"/>
      <c r="AO102" s="1"/>
      <c r="AP102" s="1"/>
    </row>
    <row r="103" spans="14:42" x14ac:dyDescent="0.25">
      <c r="N103">
        <v>2070</v>
      </c>
      <c r="O103">
        <v>2</v>
      </c>
      <c r="P103">
        <v>2</v>
      </c>
      <c r="Q103">
        <v>2</v>
      </c>
      <c r="R103">
        <v>0</v>
      </c>
      <c r="AG103" s="1"/>
      <c r="AH103" s="1"/>
      <c r="AI103" s="1"/>
      <c r="AJ103" s="1"/>
      <c r="AK103" s="1"/>
      <c r="AL103" s="1"/>
      <c r="AM103" s="1"/>
      <c r="AN103" s="1"/>
      <c r="AO103" s="1"/>
      <c r="AP103" s="1"/>
    </row>
    <row r="104" spans="14:42" x14ac:dyDescent="0.25">
      <c r="N104">
        <v>2071</v>
      </c>
      <c r="O104">
        <v>2</v>
      </c>
      <c r="P104">
        <v>2</v>
      </c>
      <c r="Q104">
        <v>2</v>
      </c>
      <c r="R104">
        <v>0</v>
      </c>
      <c r="AG104" s="1"/>
      <c r="AH104" s="1"/>
      <c r="AI104" s="1"/>
      <c r="AJ104" s="1"/>
      <c r="AK104" s="1"/>
      <c r="AL104" s="1"/>
      <c r="AM104" s="1"/>
      <c r="AN104" s="1"/>
      <c r="AO104" s="1"/>
      <c r="AP104" s="1"/>
    </row>
    <row r="105" spans="14:42" x14ac:dyDescent="0.25">
      <c r="N105">
        <v>2072</v>
      </c>
      <c r="O105">
        <v>2</v>
      </c>
      <c r="P105">
        <v>2</v>
      </c>
      <c r="Q105">
        <v>2</v>
      </c>
      <c r="R105">
        <v>0</v>
      </c>
      <c r="AG105" s="1"/>
      <c r="AH105" s="1"/>
      <c r="AI105" s="1"/>
      <c r="AJ105" s="1"/>
      <c r="AK105" s="1"/>
      <c r="AL105" s="1"/>
      <c r="AM105" s="1"/>
      <c r="AN105" s="1"/>
      <c r="AO105" s="1"/>
      <c r="AP105" s="1"/>
    </row>
    <row r="106" spans="14:42" x14ac:dyDescent="0.25">
      <c r="N106">
        <v>2073</v>
      </c>
      <c r="O106">
        <v>2</v>
      </c>
      <c r="P106">
        <v>2</v>
      </c>
      <c r="Q106">
        <v>2</v>
      </c>
      <c r="R106">
        <v>0</v>
      </c>
      <c r="AG106" s="1"/>
      <c r="AH106" s="1"/>
      <c r="AI106" s="1"/>
      <c r="AJ106" s="1"/>
      <c r="AK106" s="1"/>
      <c r="AL106" s="1"/>
      <c r="AM106" s="1"/>
      <c r="AN106" s="1"/>
      <c r="AO106" s="1"/>
      <c r="AP106" s="1"/>
    </row>
    <row r="107" spans="14:42" x14ac:dyDescent="0.25">
      <c r="N107">
        <v>2074</v>
      </c>
      <c r="O107">
        <v>2</v>
      </c>
      <c r="P107">
        <v>2</v>
      </c>
      <c r="Q107">
        <v>2</v>
      </c>
      <c r="R107">
        <v>0</v>
      </c>
      <c r="AG107" s="1"/>
      <c r="AH107" s="1"/>
      <c r="AI107" s="1"/>
      <c r="AJ107" s="1"/>
      <c r="AK107" s="1"/>
      <c r="AL107" s="1"/>
      <c r="AM107" s="1"/>
      <c r="AN107" s="1"/>
      <c r="AO107" s="1"/>
      <c r="AP107" s="1"/>
    </row>
    <row r="108" spans="14:42" x14ac:dyDescent="0.25">
      <c r="N108">
        <v>2075</v>
      </c>
      <c r="O108">
        <v>2</v>
      </c>
      <c r="P108">
        <v>2</v>
      </c>
      <c r="Q108">
        <v>2</v>
      </c>
      <c r="R108">
        <v>0</v>
      </c>
      <c r="AG108" s="1"/>
      <c r="AH108" s="1"/>
      <c r="AI108" s="1"/>
      <c r="AJ108" s="1"/>
      <c r="AK108" s="1"/>
      <c r="AL108" s="1"/>
      <c r="AM108" s="1"/>
      <c r="AN108" s="1"/>
      <c r="AO108" s="1"/>
      <c r="AP108" s="1"/>
    </row>
    <row r="109" spans="14:42" x14ac:dyDescent="0.25">
      <c r="N109">
        <v>2076</v>
      </c>
      <c r="O109">
        <v>2</v>
      </c>
      <c r="P109">
        <v>2</v>
      </c>
      <c r="Q109">
        <v>2</v>
      </c>
      <c r="R109">
        <v>0</v>
      </c>
      <c r="AG109" s="1"/>
      <c r="AH109" s="1"/>
      <c r="AI109" s="1"/>
      <c r="AJ109" s="1"/>
      <c r="AK109" s="1"/>
      <c r="AL109" s="1"/>
      <c r="AM109" s="1"/>
      <c r="AN109" s="1"/>
      <c r="AO109" s="1"/>
      <c r="AP109" s="1"/>
    </row>
    <row r="110" spans="14:42" x14ac:dyDescent="0.25">
      <c r="N110">
        <v>2077</v>
      </c>
      <c r="O110">
        <v>2</v>
      </c>
      <c r="P110">
        <v>2</v>
      </c>
      <c r="Q110">
        <v>2</v>
      </c>
      <c r="R110">
        <v>0</v>
      </c>
      <c r="AG110" s="1"/>
      <c r="AH110" s="1"/>
      <c r="AI110" s="1"/>
      <c r="AJ110" s="1"/>
      <c r="AK110" s="1"/>
      <c r="AL110" s="1"/>
      <c r="AM110" s="1"/>
      <c r="AN110" s="1"/>
      <c r="AO110" s="1"/>
      <c r="AP110" s="1"/>
    </row>
    <row r="111" spans="14:42" x14ac:dyDescent="0.25">
      <c r="N111">
        <v>2078</v>
      </c>
      <c r="O111">
        <v>2</v>
      </c>
      <c r="P111">
        <v>2</v>
      </c>
      <c r="Q111">
        <v>2</v>
      </c>
      <c r="R111">
        <v>0</v>
      </c>
      <c r="AG111" s="1"/>
      <c r="AH111" s="1"/>
      <c r="AI111" s="1"/>
      <c r="AJ111" s="1"/>
      <c r="AK111" s="1"/>
      <c r="AL111" s="1"/>
      <c r="AM111" s="1"/>
      <c r="AN111" s="1"/>
      <c r="AO111" s="1"/>
      <c r="AP111" s="1"/>
    </row>
    <row r="112" spans="14:42" x14ac:dyDescent="0.25">
      <c r="N112">
        <v>2079</v>
      </c>
      <c r="O112">
        <v>2</v>
      </c>
      <c r="P112">
        <v>2</v>
      </c>
      <c r="Q112">
        <v>2</v>
      </c>
      <c r="R112">
        <v>0</v>
      </c>
      <c r="AG112" s="1"/>
      <c r="AH112" s="1"/>
      <c r="AI112" s="1"/>
      <c r="AJ112" s="1"/>
      <c r="AK112" s="1"/>
      <c r="AL112" s="1"/>
      <c r="AM112" s="1"/>
      <c r="AN112" s="1"/>
      <c r="AO112" s="1"/>
      <c r="AP112" s="1"/>
    </row>
    <row r="113" spans="14:42" x14ac:dyDescent="0.25">
      <c r="N113">
        <v>2080</v>
      </c>
      <c r="O113">
        <v>2</v>
      </c>
      <c r="P113">
        <v>2</v>
      </c>
      <c r="Q113">
        <v>2</v>
      </c>
      <c r="R113">
        <v>0</v>
      </c>
      <c r="AG113" s="1"/>
      <c r="AH113" s="1"/>
      <c r="AI113" s="1"/>
      <c r="AJ113" s="1"/>
      <c r="AK113" s="1"/>
      <c r="AL113" s="1"/>
      <c r="AM113" s="1"/>
      <c r="AN113" s="1"/>
      <c r="AO113" s="1"/>
      <c r="AP113" s="1"/>
    </row>
    <row r="114" spans="14:42" x14ac:dyDescent="0.25">
      <c r="N114">
        <v>2081</v>
      </c>
      <c r="O114">
        <v>2</v>
      </c>
      <c r="P114">
        <v>2</v>
      </c>
      <c r="Q114">
        <v>2</v>
      </c>
      <c r="R114">
        <v>0</v>
      </c>
      <c r="AG114" s="1"/>
      <c r="AH114" s="1"/>
      <c r="AI114" s="1"/>
      <c r="AJ114" s="1"/>
      <c r="AK114" s="1"/>
      <c r="AL114" s="1"/>
      <c r="AM114" s="1"/>
      <c r="AN114" s="1"/>
      <c r="AO114" s="1"/>
      <c r="AP114" s="1"/>
    </row>
    <row r="115" spans="14:42" x14ac:dyDescent="0.25">
      <c r="N115">
        <v>2082</v>
      </c>
      <c r="O115">
        <v>2</v>
      </c>
      <c r="P115">
        <v>2</v>
      </c>
      <c r="Q115">
        <v>2</v>
      </c>
      <c r="R115">
        <v>0</v>
      </c>
      <c r="AG115" s="1"/>
      <c r="AH115" s="1"/>
      <c r="AI115" s="1"/>
      <c r="AJ115" s="1"/>
      <c r="AK115" s="1"/>
      <c r="AL115" s="1"/>
      <c r="AM115" s="1"/>
      <c r="AN115" s="1"/>
      <c r="AO115" s="1"/>
      <c r="AP115" s="1"/>
    </row>
    <row r="116" spans="14:42" x14ac:dyDescent="0.25">
      <c r="N116">
        <v>2083</v>
      </c>
      <c r="O116">
        <v>2</v>
      </c>
      <c r="P116">
        <v>2</v>
      </c>
      <c r="Q116">
        <v>2</v>
      </c>
      <c r="R116">
        <v>0</v>
      </c>
      <c r="AG116" s="1"/>
      <c r="AH116" s="1"/>
      <c r="AI116" s="1"/>
      <c r="AJ116" s="1"/>
      <c r="AK116" s="1"/>
      <c r="AL116" s="1"/>
      <c r="AM116" s="1"/>
      <c r="AN116" s="1"/>
      <c r="AO116" s="1"/>
      <c r="AP116" s="1"/>
    </row>
    <row r="117" spans="14:42" x14ac:dyDescent="0.25">
      <c r="N117">
        <v>2084</v>
      </c>
      <c r="O117">
        <v>2</v>
      </c>
      <c r="P117">
        <v>2</v>
      </c>
      <c r="Q117">
        <v>2</v>
      </c>
      <c r="R117">
        <v>0</v>
      </c>
      <c r="AG117" s="1"/>
      <c r="AH117" s="1"/>
      <c r="AI117" s="1"/>
      <c r="AJ117" s="1"/>
      <c r="AK117" s="1"/>
      <c r="AL117" s="1"/>
      <c r="AM117" s="1"/>
      <c r="AN117" s="1"/>
      <c r="AO117" s="1"/>
      <c r="AP117" s="1"/>
    </row>
    <row r="118" spans="14:42" x14ac:dyDescent="0.25">
      <c r="N118">
        <v>2085</v>
      </c>
      <c r="O118">
        <v>2</v>
      </c>
      <c r="P118">
        <v>2</v>
      </c>
      <c r="Q118">
        <v>2</v>
      </c>
      <c r="R118">
        <v>0</v>
      </c>
      <c r="AG118" s="1"/>
      <c r="AH118" s="1"/>
      <c r="AI118" s="1"/>
      <c r="AJ118" s="1"/>
      <c r="AK118" s="1"/>
      <c r="AL118" s="1"/>
      <c r="AM118" s="1"/>
      <c r="AN118" s="1"/>
      <c r="AO118" s="1"/>
      <c r="AP118" s="1"/>
    </row>
    <row r="119" spans="14:42" x14ac:dyDescent="0.25">
      <c r="N119">
        <v>2086</v>
      </c>
      <c r="O119">
        <v>2</v>
      </c>
      <c r="P119">
        <v>2</v>
      </c>
      <c r="Q119">
        <v>2</v>
      </c>
      <c r="R119">
        <v>0</v>
      </c>
      <c r="AG119" s="1"/>
      <c r="AH119" s="1"/>
      <c r="AI119" s="1"/>
      <c r="AJ119" s="1"/>
      <c r="AK119" s="1"/>
      <c r="AL119" s="1"/>
      <c r="AM119" s="1"/>
      <c r="AN119" s="1"/>
      <c r="AO119" s="1"/>
      <c r="AP119" s="1"/>
    </row>
    <row r="120" spans="14:42" x14ac:dyDescent="0.25">
      <c r="N120">
        <v>2087</v>
      </c>
      <c r="O120">
        <v>2</v>
      </c>
      <c r="P120">
        <v>2</v>
      </c>
      <c r="Q120">
        <v>2</v>
      </c>
      <c r="R120">
        <v>0</v>
      </c>
      <c r="AG120" s="1"/>
      <c r="AH120" s="1"/>
      <c r="AI120" s="1"/>
      <c r="AJ120" s="1"/>
      <c r="AK120" s="1"/>
      <c r="AL120" s="1"/>
      <c r="AM120" s="1"/>
      <c r="AN120" s="1"/>
      <c r="AO120" s="1"/>
      <c r="AP120" s="1"/>
    </row>
    <row r="121" spans="14:42" x14ac:dyDescent="0.25">
      <c r="N121">
        <v>2088</v>
      </c>
      <c r="O121">
        <v>2</v>
      </c>
      <c r="P121">
        <v>2</v>
      </c>
      <c r="Q121">
        <v>2</v>
      </c>
      <c r="R121">
        <v>0</v>
      </c>
      <c r="AG121" s="1"/>
      <c r="AH121" s="1"/>
      <c r="AI121" s="1"/>
      <c r="AJ121" s="1"/>
      <c r="AK121" s="1"/>
      <c r="AL121" s="1"/>
      <c r="AM121" s="1"/>
      <c r="AN121" s="1"/>
      <c r="AO121" s="1"/>
      <c r="AP121" s="1"/>
    </row>
    <row r="122" spans="14:42" x14ac:dyDescent="0.25">
      <c r="N122">
        <v>2089</v>
      </c>
      <c r="O122">
        <v>2</v>
      </c>
      <c r="P122">
        <v>2</v>
      </c>
      <c r="Q122">
        <v>2</v>
      </c>
      <c r="R122">
        <v>0</v>
      </c>
      <c r="AG122" s="1"/>
      <c r="AH122" s="1"/>
      <c r="AI122" s="1"/>
      <c r="AJ122" s="1"/>
      <c r="AK122" s="1"/>
      <c r="AL122" s="1"/>
      <c r="AM122" s="1"/>
      <c r="AN122" s="1"/>
      <c r="AO122" s="1"/>
      <c r="AP122" s="1"/>
    </row>
    <row r="123" spans="14:42" x14ac:dyDescent="0.25">
      <c r="N123">
        <v>2090</v>
      </c>
      <c r="O123">
        <v>2</v>
      </c>
      <c r="P123">
        <v>2</v>
      </c>
      <c r="Q123">
        <v>2</v>
      </c>
      <c r="R123">
        <v>0</v>
      </c>
      <c r="AG123" s="1"/>
      <c r="AH123" s="1"/>
      <c r="AI123" s="1"/>
      <c r="AJ123" s="1"/>
      <c r="AK123" s="1"/>
      <c r="AL123" s="1"/>
      <c r="AM123" s="1"/>
      <c r="AN123" s="1"/>
      <c r="AO123" s="1"/>
      <c r="AP123" s="1"/>
    </row>
    <row r="124" spans="14:42" x14ac:dyDescent="0.25">
      <c r="N124">
        <v>2091</v>
      </c>
      <c r="O124">
        <v>2</v>
      </c>
      <c r="P124">
        <v>2</v>
      </c>
      <c r="Q124">
        <v>2</v>
      </c>
      <c r="R124">
        <v>0</v>
      </c>
      <c r="AG124" s="1"/>
      <c r="AH124" s="1"/>
      <c r="AI124" s="1"/>
      <c r="AJ124" s="1"/>
      <c r="AK124" s="1"/>
      <c r="AL124" s="1"/>
      <c r="AM124" s="1"/>
      <c r="AN124" s="1"/>
      <c r="AO124" s="1"/>
      <c r="AP124" s="1"/>
    </row>
    <row r="125" spans="14:42" x14ac:dyDescent="0.25">
      <c r="N125">
        <v>2092</v>
      </c>
      <c r="O125">
        <v>2</v>
      </c>
      <c r="P125">
        <v>2</v>
      </c>
      <c r="Q125">
        <v>2</v>
      </c>
      <c r="R125">
        <v>0</v>
      </c>
      <c r="AG125" s="1"/>
      <c r="AH125" s="1"/>
      <c r="AI125" s="1"/>
      <c r="AJ125" s="1"/>
      <c r="AK125" s="1"/>
      <c r="AL125" s="1"/>
      <c r="AM125" s="1"/>
      <c r="AN125" s="1"/>
      <c r="AO125" s="1"/>
      <c r="AP125" s="1"/>
    </row>
    <row r="126" spans="14:42" x14ac:dyDescent="0.25">
      <c r="N126">
        <v>2093</v>
      </c>
      <c r="O126">
        <v>2</v>
      </c>
      <c r="P126">
        <v>2</v>
      </c>
      <c r="Q126">
        <v>2</v>
      </c>
      <c r="R126">
        <v>0</v>
      </c>
      <c r="AG126" s="1"/>
      <c r="AH126" s="1"/>
      <c r="AI126" s="1"/>
      <c r="AJ126" s="1"/>
      <c r="AK126" s="1"/>
      <c r="AL126" s="1"/>
      <c r="AM126" s="1"/>
      <c r="AN126" s="1"/>
      <c r="AO126" s="1"/>
      <c r="AP126" s="1"/>
    </row>
    <row r="127" spans="14:42" x14ac:dyDescent="0.25">
      <c r="N127">
        <v>2094</v>
      </c>
      <c r="O127">
        <v>2</v>
      </c>
      <c r="P127">
        <v>2</v>
      </c>
      <c r="Q127">
        <v>2</v>
      </c>
      <c r="R127">
        <v>0</v>
      </c>
      <c r="AG127" s="1"/>
      <c r="AH127" s="1"/>
      <c r="AI127" s="1"/>
      <c r="AJ127" s="1"/>
      <c r="AK127" s="1"/>
      <c r="AL127" s="1"/>
      <c r="AM127" s="1"/>
      <c r="AN127" s="1"/>
      <c r="AO127" s="1"/>
      <c r="AP127" s="1"/>
    </row>
    <row r="128" spans="14:42" x14ac:dyDescent="0.25">
      <c r="N128">
        <v>2095</v>
      </c>
      <c r="O128">
        <v>2</v>
      </c>
      <c r="P128">
        <v>2</v>
      </c>
      <c r="Q128">
        <v>2</v>
      </c>
      <c r="R128">
        <v>0</v>
      </c>
      <c r="AG128" s="1"/>
      <c r="AH128" s="1"/>
      <c r="AI128" s="1"/>
      <c r="AJ128" s="1"/>
      <c r="AK128" s="1"/>
      <c r="AL128" s="1"/>
      <c r="AM128" s="1"/>
      <c r="AN128" s="1"/>
      <c r="AO128" s="1"/>
      <c r="AP128" s="1"/>
    </row>
    <row r="129" spans="14:42" x14ac:dyDescent="0.25">
      <c r="N129">
        <v>2096</v>
      </c>
      <c r="O129">
        <v>2</v>
      </c>
      <c r="P129">
        <v>2</v>
      </c>
      <c r="Q129">
        <v>2</v>
      </c>
      <c r="R129">
        <v>0</v>
      </c>
      <c r="AG129" s="1"/>
      <c r="AH129" s="1"/>
      <c r="AI129" s="1"/>
      <c r="AJ129" s="1"/>
      <c r="AK129" s="1"/>
      <c r="AL129" s="1"/>
      <c r="AM129" s="1"/>
      <c r="AN129" s="1"/>
      <c r="AO129" s="1"/>
      <c r="AP129" s="1"/>
    </row>
    <row r="130" spans="14:42" x14ac:dyDescent="0.25">
      <c r="N130">
        <v>2097</v>
      </c>
      <c r="O130">
        <v>2</v>
      </c>
      <c r="P130">
        <v>2</v>
      </c>
      <c r="Q130">
        <v>2</v>
      </c>
      <c r="R130">
        <v>0</v>
      </c>
      <c r="AG130" s="1"/>
      <c r="AH130" s="1"/>
      <c r="AI130" s="1"/>
      <c r="AJ130" s="1"/>
      <c r="AK130" s="1"/>
      <c r="AL130" s="1"/>
      <c r="AM130" s="1"/>
      <c r="AN130" s="1"/>
      <c r="AO130" s="1"/>
      <c r="AP130" s="1"/>
    </row>
    <row r="131" spans="14:42" x14ac:dyDescent="0.25">
      <c r="N131">
        <v>2098</v>
      </c>
      <c r="O131">
        <v>2</v>
      </c>
      <c r="P131">
        <v>2</v>
      </c>
      <c r="Q131">
        <v>2</v>
      </c>
      <c r="R131">
        <v>0</v>
      </c>
      <c r="AG131" s="1"/>
      <c r="AH131" s="1"/>
      <c r="AI131" s="1"/>
      <c r="AJ131" s="1"/>
      <c r="AK131" s="1"/>
      <c r="AL131" s="1"/>
      <c r="AM131" s="1"/>
      <c r="AN131" s="1"/>
      <c r="AO131" s="1"/>
      <c r="AP131" s="1"/>
    </row>
    <row r="132" spans="14:42" x14ac:dyDescent="0.25">
      <c r="N132">
        <v>2099</v>
      </c>
      <c r="O132">
        <v>2</v>
      </c>
      <c r="P132">
        <v>2</v>
      </c>
      <c r="Q132">
        <v>2</v>
      </c>
      <c r="R132">
        <v>0</v>
      </c>
      <c r="AG132" s="1"/>
      <c r="AH132" s="1"/>
      <c r="AI132" s="1"/>
      <c r="AJ132" s="1"/>
      <c r="AK132" s="1"/>
      <c r="AL132" s="1"/>
      <c r="AM132" s="1"/>
      <c r="AN132" s="1"/>
      <c r="AO132" s="1"/>
      <c r="AP132" s="1"/>
    </row>
    <row r="133" spans="14:42" x14ac:dyDescent="0.25">
      <c r="N133">
        <v>2100</v>
      </c>
      <c r="O133">
        <v>2</v>
      </c>
      <c r="P133">
        <v>2</v>
      </c>
      <c r="Q133">
        <v>2</v>
      </c>
      <c r="R133">
        <v>0</v>
      </c>
      <c r="AG133" s="1"/>
      <c r="AH133" s="1"/>
      <c r="AI133" s="1"/>
      <c r="AJ133" s="1"/>
      <c r="AK133" s="1"/>
      <c r="AL133" s="1"/>
      <c r="AM133" s="1"/>
      <c r="AN133" s="1"/>
      <c r="AO133" s="1"/>
      <c r="AP133" s="1"/>
    </row>
    <row r="134" spans="14:42" x14ac:dyDescent="0.25">
      <c r="N134">
        <v>2101</v>
      </c>
      <c r="O134">
        <v>2</v>
      </c>
      <c r="P134">
        <v>2</v>
      </c>
      <c r="Q134">
        <v>2</v>
      </c>
      <c r="R134">
        <v>0</v>
      </c>
      <c r="AG134" s="1"/>
      <c r="AH134" s="1"/>
      <c r="AI134" s="1"/>
      <c r="AJ134" s="1"/>
      <c r="AK134" s="1"/>
      <c r="AL134" s="1"/>
      <c r="AM134" s="1"/>
      <c r="AN134" s="1"/>
      <c r="AO134" s="1"/>
      <c r="AP134" s="1"/>
    </row>
    <row r="135" spans="14:42" x14ac:dyDescent="0.25">
      <c r="N135">
        <v>2102</v>
      </c>
      <c r="O135">
        <v>2</v>
      </c>
      <c r="P135">
        <v>2</v>
      </c>
      <c r="Q135">
        <v>2</v>
      </c>
      <c r="R135">
        <v>0</v>
      </c>
      <c r="AG135" s="1"/>
      <c r="AH135" s="1"/>
      <c r="AI135" s="1"/>
      <c r="AJ135" s="1"/>
      <c r="AK135" s="1"/>
      <c r="AL135" s="1"/>
      <c r="AM135" s="1"/>
      <c r="AN135" s="1"/>
      <c r="AO135" s="1"/>
      <c r="AP135" s="1"/>
    </row>
    <row r="136" spans="14:42" x14ac:dyDescent="0.25">
      <c r="N136">
        <v>2103</v>
      </c>
      <c r="O136">
        <v>2</v>
      </c>
      <c r="P136">
        <v>2</v>
      </c>
      <c r="Q136">
        <v>2</v>
      </c>
      <c r="R136">
        <v>0</v>
      </c>
      <c r="AG136" s="1"/>
      <c r="AH136" s="1"/>
      <c r="AI136" s="1"/>
      <c r="AJ136" s="1"/>
      <c r="AK136" s="1"/>
      <c r="AL136" s="1"/>
      <c r="AM136" s="1"/>
      <c r="AN136" s="1"/>
      <c r="AO136" s="1"/>
      <c r="AP136" s="1"/>
    </row>
    <row r="137" spans="14:42" x14ac:dyDescent="0.25">
      <c r="N137">
        <v>2104</v>
      </c>
      <c r="O137">
        <v>2</v>
      </c>
      <c r="P137">
        <v>2</v>
      </c>
      <c r="Q137">
        <v>2</v>
      </c>
      <c r="R137">
        <v>0</v>
      </c>
      <c r="AG137" s="1"/>
      <c r="AH137" s="1"/>
      <c r="AI137" s="1"/>
      <c r="AJ137" s="1"/>
      <c r="AK137" s="1"/>
      <c r="AL137" s="1"/>
      <c r="AM137" s="1"/>
      <c r="AN137" s="1"/>
      <c r="AO137" s="1"/>
      <c r="AP137" s="1"/>
    </row>
    <row r="138" spans="14:42" x14ac:dyDescent="0.25">
      <c r="N138">
        <v>2105</v>
      </c>
      <c r="O138">
        <v>2</v>
      </c>
      <c r="P138">
        <v>2</v>
      </c>
      <c r="Q138">
        <v>2</v>
      </c>
      <c r="R138">
        <v>0</v>
      </c>
      <c r="AG138" s="1"/>
      <c r="AH138" s="1"/>
      <c r="AI138" s="1"/>
      <c r="AJ138" s="1"/>
      <c r="AK138" s="1"/>
      <c r="AL138" s="1"/>
      <c r="AM138" s="1"/>
      <c r="AN138" s="1"/>
      <c r="AO138" s="1"/>
      <c r="AP138" s="1"/>
    </row>
    <row r="139" spans="14:42" x14ac:dyDescent="0.25">
      <c r="N139">
        <v>2106</v>
      </c>
      <c r="O139">
        <v>2</v>
      </c>
      <c r="P139">
        <v>2</v>
      </c>
      <c r="Q139">
        <v>2</v>
      </c>
      <c r="R139">
        <v>0</v>
      </c>
      <c r="AG139" s="1"/>
      <c r="AH139" s="1"/>
      <c r="AI139" s="1"/>
      <c r="AJ139" s="1"/>
      <c r="AK139" s="1"/>
      <c r="AL139" s="1"/>
      <c r="AM139" s="1"/>
      <c r="AN139" s="1"/>
      <c r="AO139" s="1"/>
      <c r="AP139" s="1"/>
    </row>
    <row r="140" spans="14:42" x14ac:dyDescent="0.25">
      <c r="N140">
        <v>2107</v>
      </c>
      <c r="O140">
        <v>2</v>
      </c>
      <c r="P140">
        <v>2</v>
      </c>
      <c r="Q140">
        <v>2</v>
      </c>
      <c r="R140">
        <v>0</v>
      </c>
      <c r="AG140" s="1"/>
      <c r="AH140" s="1"/>
      <c r="AI140" s="1"/>
      <c r="AJ140" s="1"/>
      <c r="AK140" s="1"/>
      <c r="AL140" s="1"/>
      <c r="AM140" s="1"/>
      <c r="AN140" s="1"/>
      <c r="AO140" s="1"/>
      <c r="AP140" s="1"/>
    </row>
    <row r="141" spans="14:42" x14ac:dyDescent="0.25">
      <c r="N141">
        <v>2108</v>
      </c>
      <c r="O141">
        <v>2</v>
      </c>
      <c r="P141">
        <v>2</v>
      </c>
      <c r="Q141">
        <v>2</v>
      </c>
      <c r="R141">
        <v>0</v>
      </c>
      <c r="AG141" s="1"/>
      <c r="AH141" s="1"/>
      <c r="AI141" s="1"/>
      <c r="AJ141" s="1"/>
      <c r="AK141" s="1"/>
      <c r="AL141" s="1"/>
      <c r="AM141" s="1"/>
      <c r="AN141" s="1"/>
      <c r="AO141" s="1"/>
      <c r="AP141" s="1"/>
    </row>
    <row r="142" spans="14:42" x14ac:dyDescent="0.25">
      <c r="N142">
        <v>2109</v>
      </c>
      <c r="O142">
        <v>2</v>
      </c>
      <c r="P142">
        <v>2</v>
      </c>
      <c r="Q142">
        <v>2</v>
      </c>
      <c r="R142">
        <v>0</v>
      </c>
      <c r="AG142" s="1"/>
      <c r="AH142" s="1"/>
      <c r="AI142" s="1"/>
      <c r="AJ142" s="1"/>
      <c r="AK142" s="1"/>
      <c r="AL142" s="1"/>
      <c r="AM142" s="1"/>
      <c r="AN142" s="1"/>
      <c r="AO142" s="1"/>
      <c r="AP142" s="1"/>
    </row>
    <row r="143" spans="14:42" x14ac:dyDescent="0.25">
      <c r="N143">
        <v>2110</v>
      </c>
      <c r="O143">
        <v>2</v>
      </c>
      <c r="P143">
        <v>2</v>
      </c>
      <c r="Q143">
        <v>2</v>
      </c>
      <c r="R143">
        <v>0</v>
      </c>
      <c r="AG143" s="1"/>
      <c r="AH143" s="1"/>
      <c r="AI143" s="1"/>
      <c r="AJ143" s="1"/>
      <c r="AK143" s="1"/>
      <c r="AL143" s="1"/>
      <c r="AM143" s="1"/>
      <c r="AN143" s="1"/>
      <c r="AO143" s="1"/>
      <c r="AP143" s="1"/>
    </row>
    <row r="144" spans="14:42" x14ac:dyDescent="0.25">
      <c r="N144">
        <v>2111</v>
      </c>
      <c r="O144">
        <v>2</v>
      </c>
      <c r="P144">
        <v>2</v>
      </c>
      <c r="Q144">
        <v>2</v>
      </c>
      <c r="R144">
        <v>0</v>
      </c>
      <c r="AG144" s="1"/>
      <c r="AH144" s="1"/>
      <c r="AI144" s="1"/>
      <c r="AJ144" s="1"/>
      <c r="AK144" s="1"/>
      <c r="AL144" s="1"/>
      <c r="AM144" s="1"/>
      <c r="AN144" s="1"/>
      <c r="AO144" s="1"/>
      <c r="AP144" s="1"/>
    </row>
    <row r="145" spans="14:42" x14ac:dyDescent="0.25">
      <c r="N145">
        <v>2112</v>
      </c>
      <c r="O145">
        <v>2</v>
      </c>
      <c r="P145">
        <v>2</v>
      </c>
      <c r="Q145">
        <v>2</v>
      </c>
      <c r="R145">
        <v>0</v>
      </c>
      <c r="AG145" s="1"/>
      <c r="AH145" s="1"/>
      <c r="AI145" s="1"/>
      <c r="AJ145" s="1"/>
      <c r="AK145" s="1"/>
      <c r="AL145" s="1"/>
      <c r="AM145" s="1"/>
      <c r="AN145" s="1"/>
      <c r="AO145" s="1"/>
      <c r="AP145" s="1"/>
    </row>
    <row r="146" spans="14:42" x14ac:dyDescent="0.25">
      <c r="N146">
        <v>2113</v>
      </c>
      <c r="O146">
        <v>2</v>
      </c>
      <c r="P146">
        <v>2</v>
      </c>
      <c r="Q146">
        <v>2</v>
      </c>
      <c r="R146">
        <v>0</v>
      </c>
      <c r="AG146" s="1"/>
      <c r="AH146" s="1"/>
      <c r="AI146" s="1"/>
      <c r="AJ146" s="1"/>
      <c r="AK146" s="1"/>
      <c r="AL146" s="1"/>
      <c r="AM146" s="1"/>
      <c r="AN146" s="1"/>
      <c r="AO146" s="1"/>
      <c r="AP146" s="1"/>
    </row>
    <row r="147" spans="14:42" x14ac:dyDescent="0.25">
      <c r="N147">
        <v>2114</v>
      </c>
      <c r="O147">
        <v>2</v>
      </c>
      <c r="P147">
        <v>2</v>
      </c>
      <c r="Q147">
        <v>2</v>
      </c>
      <c r="R147">
        <v>0</v>
      </c>
      <c r="AG147" s="1"/>
      <c r="AH147" s="1"/>
      <c r="AI147" s="1"/>
      <c r="AJ147" s="1"/>
      <c r="AK147" s="1"/>
      <c r="AL147" s="1"/>
      <c r="AM147" s="1"/>
      <c r="AN147" s="1"/>
      <c r="AO147" s="1"/>
      <c r="AP147" s="1"/>
    </row>
    <row r="148" spans="14:42" x14ac:dyDescent="0.25">
      <c r="N148">
        <v>2115</v>
      </c>
      <c r="O148">
        <v>2</v>
      </c>
      <c r="P148">
        <v>2</v>
      </c>
      <c r="Q148">
        <v>2</v>
      </c>
      <c r="R148">
        <v>0</v>
      </c>
      <c r="AG148" s="1"/>
      <c r="AH148" s="1"/>
      <c r="AI148" s="1"/>
      <c r="AJ148" s="1"/>
      <c r="AK148" s="1"/>
      <c r="AL148" s="1"/>
      <c r="AM148" s="1"/>
      <c r="AN148" s="1"/>
      <c r="AO148" s="1"/>
      <c r="AP148" s="1"/>
    </row>
    <row r="149" spans="14:42" x14ac:dyDescent="0.25">
      <c r="N149">
        <v>2116</v>
      </c>
      <c r="O149">
        <v>2</v>
      </c>
      <c r="P149">
        <v>2</v>
      </c>
      <c r="Q149">
        <v>2</v>
      </c>
      <c r="R149">
        <v>0</v>
      </c>
      <c r="AG149" s="1"/>
      <c r="AH149" s="1"/>
      <c r="AI149" s="1"/>
      <c r="AJ149" s="1"/>
      <c r="AK149" s="1"/>
      <c r="AL149" s="1"/>
      <c r="AM149" s="1"/>
      <c r="AN149" s="1"/>
      <c r="AO149" s="1"/>
      <c r="AP149" s="1"/>
    </row>
    <row r="150" spans="14:42" x14ac:dyDescent="0.25">
      <c r="N150">
        <v>2117</v>
      </c>
      <c r="O150">
        <v>2</v>
      </c>
      <c r="P150">
        <v>2</v>
      </c>
      <c r="Q150">
        <v>2</v>
      </c>
      <c r="R150">
        <v>0</v>
      </c>
      <c r="AG150" s="1"/>
      <c r="AH150" s="1"/>
      <c r="AI150" s="1"/>
      <c r="AJ150" s="1"/>
      <c r="AK150" s="1"/>
      <c r="AL150" s="1"/>
      <c r="AM150" s="1"/>
      <c r="AN150" s="1"/>
      <c r="AO150" s="1"/>
      <c r="AP150" s="1"/>
    </row>
    <row r="151" spans="14:42" x14ac:dyDescent="0.25">
      <c r="N151">
        <v>2118</v>
      </c>
      <c r="O151">
        <v>2</v>
      </c>
      <c r="P151">
        <v>2</v>
      </c>
      <c r="Q151">
        <v>2</v>
      </c>
      <c r="R151">
        <v>0</v>
      </c>
      <c r="AG151" s="1"/>
      <c r="AH151" s="1"/>
      <c r="AI151" s="1"/>
      <c r="AJ151" s="1"/>
      <c r="AK151" s="1"/>
      <c r="AL151" s="1"/>
      <c r="AM151" s="1"/>
      <c r="AN151" s="1"/>
      <c r="AO151" s="1"/>
      <c r="AP151" s="1"/>
    </row>
    <row r="152" spans="14:42" x14ac:dyDescent="0.25">
      <c r="N152">
        <v>2119</v>
      </c>
      <c r="O152">
        <v>2</v>
      </c>
      <c r="P152">
        <v>2</v>
      </c>
      <c r="Q152">
        <v>2</v>
      </c>
      <c r="R152">
        <v>0</v>
      </c>
      <c r="AG152" s="1"/>
      <c r="AH152" s="1"/>
      <c r="AI152" s="1"/>
      <c r="AJ152" s="1"/>
      <c r="AK152" s="1"/>
      <c r="AL152" s="1"/>
      <c r="AM152" s="1"/>
      <c r="AN152" s="1"/>
      <c r="AO152" s="1"/>
      <c r="AP152" s="1"/>
    </row>
    <row r="153" spans="14:42" x14ac:dyDescent="0.25">
      <c r="N153">
        <v>2120</v>
      </c>
      <c r="O153">
        <v>2</v>
      </c>
      <c r="P153">
        <v>2</v>
      </c>
      <c r="Q153">
        <v>2</v>
      </c>
      <c r="R153">
        <v>0</v>
      </c>
      <c r="AG153" s="1"/>
      <c r="AH153" s="1"/>
      <c r="AI153" s="1"/>
      <c r="AJ153" s="1"/>
      <c r="AK153" s="1"/>
      <c r="AL153" s="1"/>
      <c r="AM153" s="1"/>
      <c r="AN153" s="1"/>
      <c r="AO153" s="1"/>
      <c r="AP153" s="1"/>
    </row>
    <row r="154" spans="14:42" x14ac:dyDescent="0.25">
      <c r="N154">
        <v>2121</v>
      </c>
      <c r="O154">
        <v>2</v>
      </c>
      <c r="P154">
        <v>2</v>
      </c>
      <c r="Q154">
        <v>2</v>
      </c>
      <c r="R154">
        <v>0</v>
      </c>
      <c r="AG154" s="1"/>
      <c r="AH154" s="1"/>
      <c r="AI154" s="1"/>
      <c r="AJ154" s="1"/>
      <c r="AK154" s="1"/>
      <c r="AL154" s="1"/>
      <c r="AM154" s="1"/>
      <c r="AN154" s="1"/>
      <c r="AO154" s="1"/>
      <c r="AP154" s="1"/>
    </row>
    <row r="155" spans="14:42" x14ac:dyDescent="0.25">
      <c r="N155">
        <v>2122</v>
      </c>
      <c r="O155">
        <v>2</v>
      </c>
      <c r="P155">
        <v>2</v>
      </c>
      <c r="Q155">
        <v>2</v>
      </c>
      <c r="R155">
        <v>0</v>
      </c>
      <c r="AG155" s="1"/>
      <c r="AH155" s="1"/>
      <c r="AI155" s="1"/>
      <c r="AJ155" s="1"/>
      <c r="AK155" s="1"/>
      <c r="AL155" s="1"/>
      <c r="AM155" s="1"/>
      <c r="AN155" s="1"/>
      <c r="AO155" s="1"/>
      <c r="AP155" s="1"/>
    </row>
    <row r="156" spans="14:42" x14ac:dyDescent="0.25">
      <c r="N156">
        <v>2123</v>
      </c>
      <c r="O156">
        <v>2</v>
      </c>
      <c r="P156">
        <v>2</v>
      </c>
      <c r="Q156">
        <v>2</v>
      </c>
      <c r="R156">
        <v>0</v>
      </c>
      <c r="AG156" s="1"/>
      <c r="AH156" s="1"/>
      <c r="AI156" s="1"/>
      <c r="AJ156" s="1"/>
      <c r="AK156" s="1"/>
      <c r="AL156" s="1"/>
      <c r="AM156" s="1"/>
      <c r="AN156" s="1"/>
      <c r="AO156" s="1"/>
      <c r="AP156" s="1"/>
    </row>
    <row r="157" spans="14:42" x14ac:dyDescent="0.25">
      <c r="N157">
        <v>2124</v>
      </c>
      <c r="O157">
        <v>2</v>
      </c>
      <c r="P157">
        <v>2</v>
      </c>
      <c r="Q157">
        <v>2</v>
      </c>
      <c r="R157">
        <v>0</v>
      </c>
      <c r="AG157" s="1"/>
      <c r="AH157" s="1"/>
      <c r="AI157" s="1"/>
      <c r="AJ157" s="1"/>
      <c r="AK157" s="1"/>
      <c r="AL157" s="1"/>
      <c r="AM157" s="1"/>
      <c r="AN157" s="1"/>
      <c r="AO157" s="1"/>
      <c r="AP157" s="1"/>
    </row>
    <row r="158" spans="14:42" x14ac:dyDescent="0.25">
      <c r="N158">
        <v>2125</v>
      </c>
      <c r="O158">
        <v>2</v>
      </c>
      <c r="P158">
        <v>2</v>
      </c>
      <c r="Q158">
        <v>2</v>
      </c>
      <c r="R158">
        <v>0</v>
      </c>
      <c r="AG158" s="1"/>
      <c r="AH158" s="1"/>
      <c r="AI158" s="1"/>
      <c r="AJ158" s="1"/>
      <c r="AK158" s="1"/>
      <c r="AL158" s="1"/>
      <c r="AM158" s="1"/>
      <c r="AN158" s="1"/>
      <c r="AO158" s="1"/>
      <c r="AP158" s="1"/>
    </row>
    <row r="159" spans="14:42" x14ac:dyDescent="0.25">
      <c r="N159">
        <v>2126</v>
      </c>
      <c r="O159">
        <v>2</v>
      </c>
      <c r="P159">
        <v>2</v>
      </c>
      <c r="Q159">
        <v>2</v>
      </c>
      <c r="R159">
        <v>0</v>
      </c>
      <c r="AG159" s="1"/>
      <c r="AH159" s="1"/>
      <c r="AI159" s="1"/>
      <c r="AJ159" s="1"/>
      <c r="AK159" s="1"/>
      <c r="AL159" s="1"/>
      <c r="AM159" s="1"/>
      <c r="AN159" s="1"/>
      <c r="AO159" s="1"/>
      <c r="AP159" s="1"/>
    </row>
    <row r="160" spans="14:42" x14ac:dyDescent="0.25">
      <c r="N160">
        <v>2127</v>
      </c>
      <c r="O160">
        <v>2</v>
      </c>
      <c r="P160">
        <v>2</v>
      </c>
      <c r="Q160">
        <v>2</v>
      </c>
      <c r="R160">
        <v>0</v>
      </c>
      <c r="AG160" s="1"/>
      <c r="AH160" s="1"/>
      <c r="AI160" s="1"/>
      <c r="AJ160" s="1"/>
      <c r="AK160" s="1"/>
      <c r="AL160" s="1"/>
      <c r="AM160" s="1"/>
      <c r="AN160" s="1"/>
      <c r="AO160" s="1"/>
      <c r="AP160" s="1"/>
    </row>
    <row r="161" spans="14:42" x14ac:dyDescent="0.25">
      <c r="N161">
        <v>2128</v>
      </c>
      <c r="O161">
        <v>2</v>
      </c>
      <c r="P161">
        <v>2</v>
      </c>
      <c r="Q161">
        <v>2</v>
      </c>
      <c r="R161">
        <v>0</v>
      </c>
      <c r="AG161" s="1"/>
      <c r="AH161" s="1"/>
      <c r="AI161" s="1"/>
      <c r="AJ161" s="1"/>
      <c r="AK161" s="1"/>
      <c r="AL161" s="1"/>
      <c r="AM161" s="1"/>
      <c r="AN161" s="1"/>
      <c r="AO161" s="1"/>
      <c r="AP161" s="1"/>
    </row>
    <row r="162" spans="14:42" x14ac:dyDescent="0.25">
      <c r="N162">
        <v>2129</v>
      </c>
      <c r="O162">
        <v>2</v>
      </c>
      <c r="P162">
        <v>2</v>
      </c>
      <c r="Q162">
        <v>2</v>
      </c>
      <c r="R162">
        <v>0</v>
      </c>
      <c r="AG162" s="1"/>
      <c r="AH162" s="1"/>
      <c r="AI162" s="1"/>
      <c r="AJ162" s="1"/>
      <c r="AK162" s="1"/>
      <c r="AL162" s="1"/>
      <c r="AM162" s="1"/>
      <c r="AN162" s="1"/>
      <c r="AO162" s="1"/>
      <c r="AP162" s="1"/>
    </row>
    <row r="163" spans="14:42" x14ac:dyDescent="0.25">
      <c r="N163">
        <v>2130</v>
      </c>
      <c r="O163">
        <v>2</v>
      </c>
      <c r="P163">
        <v>2</v>
      </c>
      <c r="Q163">
        <v>2</v>
      </c>
      <c r="R163">
        <v>0</v>
      </c>
      <c r="AG163" s="1"/>
      <c r="AH163" s="1"/>
      <c r="AI163" s="1"/>
      <c r="AJ163" s="1"/>
      <c r="AK163" s="1"/>
      <c r="AL163" s="1"/>
      <c r="AM163" s="1"/>
      <c r="AN163" s="1"/>
      <c r="AO163" s="1"/>
      <c r="AP163" s="1"/>
    </row>
    <row r="164" spans="14:42" x14ac:dyDescent="0.25">
      <c r="N164">
        <v>2131</v>
      </c>
      <c r="O164">
        <v>2</v>
      </c>
      <c r="P164">
        <v>2</v>
      </c>
      <c r="Q164">
        <v>2</v>
      </c>
      <c r="R164">
        <v>0</v>
      </c>
      <c r="AG164" s="1"/>
      <c r="AH164" s="1"/>
      <c r="AI164" s="1"/>
      <c r="AJ164" s="1"/>
      <c r="AK164" s="1"/>
      <c r="AL164" s="1"/>
      <c r="AM164" s="1"/>
      <c r="AN164" s="1"/>
      <c r="AO164" s="1"/>
      <c r="AP164" s="1"/>
    </row>
    <row r="165" spans="14:42" x14ac:dyDescent="0.25">
      <c r="N165">
        <v>2132</v>
      </c>
      <c r="O165">
        <v>2</v>
      </c>
      <c r="P165">
        <v>2</v>
      </c>
      <c r="Q165">
        <v>2</v>
      </c>
      <c r="R165">
        <v>0</v>
      </c>
      <c r="AG165" s="1"/>
      <c r="AH165" s="1"/>
      <c r="AI165" s="1"/>
      <c r="AJ165" s="1"/>
      <c r="AK165" s="1"/>
      <c r="AL165" s="1"/>
      <c r="AM165" s="1"/>
      <c r="AN165" s="1"/>
      <c r="AO165" s="1"/>
      <c r="AP165" s="1"/>
    </row>
    <row r="166" spans="14:42" x14ac:dyDescent="0.25">
      <c r="N166">
        <v>2133</v>
      </c>
      <c r="O166">
        <v>2</v>
      </c>
      <c r="P166">
        <v>2</v>
      </c>
      <c r="Q166">
        <v>2</v>
      </c>
      <c r="R166">
        <v>0</v>
      </c>
      <c r="AG166" s="1"/>
      <c r="AH166" s="1"/>
      <c r="AI166" s="1"/>
      <c r="AJ166" s="1"/>
      <c r="AK166" s="1"/>
      <c r="AL166" s="1"/>
      <c r="AM166" s="1"/>
      <c r="AN166" s="1"/>
      <c r="AO166" s="1"/>
      <c r="AP166" s="1"/>
    </row>
    <row r="167" spans="14:42" x14ac:dyDescent="0.25">
      <c r="N167">
        <v>2134</v>
      </c>
      <c r="O167">
        <v>2</v>
      </c>
      <c r="P167">
        <v>2</v>
      </c>
      <c r="Q167">
        <v>2</v>
      </c>
      <c r="R167">
        <v>0</v>
      </c>
      <c r="AG167" s="1"/>
      <c r="AH167" s="1"/>
      <c r="AI167" s="1"/>
      <c r="AJ167" s="1"/>
      <c r="AK167" s="1"/>
      <c r="AL167" s="1"/>
      <c r="AM167" s="1"/>
      <c r="AN167" s="1"/>
      <c r="AO167" s="1"/>
      <c r="AP167" s="1"/>
    </row>
    <row r="168" spans="14:42" x14ac:dyDescent="0.25">
      <c r="N168">
        <v>2135</v>
      </c>
      <c r="O168">
        <v>2</v>
      </c>
      <c r="P168">
        <v>2</v>
      </c>
      <c r="Q168">
        <v>2</v>
      </c>
      <c r="R168">
        <v>0</v>
      </c>
      <c r="AG168" s="1"/>
      <c r="AH168" s="1"/>
      <c r="AI168" s="1"/>
      <c r="AJ168" s="1"/>
      <c r="AK168" s="1"/>
      <c r="AL168" s="1"/>
      <c r="AM168" s="1"/>
      <c r="AN168" s="1"/>
      <c r="AO168" s="1"/>
      <c r="AP168" s="1"/>
    </row>
    <row r="169" spans="14:42" x14ac:dyDescent="0.25">
      <c r="N169">
        <v>2136</v>
      </c>
      <c r="O169">
        <v>2</v>
      </c>
      <c r="P169">
        <v>2</v>
      </c>
      <c r="Q169">
        <v>2</v>
      </c>
      <c r="R169">
        <v>0</v>
      </c>
      <c r="AG169" s="1"/>
      <c r="AH169" s="1"/>
      <c r="AI169" s="1"/>
      <c r="AJ169" s="1"/>
      <c r="AK169" s="1"/>
      <c r="AL169" s="1"/>
      <c r="AM169" s="1"/>
      <c r="AN169" s="1"/>
      <c r="AO169" s="1"/>
      <c r="AP169" s="1"/>
    </row>
    <row r="170" spans="14:42" x14ac:dyDescent="0.25">
      <c r="N170">
        <v>2137</v>
      </c>
      <c r="O170">
        <v>2</v>
      </c>
      <c r="P170">
        <v>2</v>
      </c>
      <c r="Q170">
        <v>2</v>
      </c>
      <c r="R170">
        <v>0</v>
      </c>
      <c r="AG170" s="1"/>
      <c r="AH170" s="1"/>
      <c r="AI170" s="1"/>
      <c r="AJ170" s="1"/>
      <c r="AK170" s="1"/>
      <c r="AL170" s="1"/>
      <c r="AM170" s="1"/>
      <c r="AN170" s="1"/>
      <c r="AO170" s="1"/>
      <c r="AP170" s="1"/>
    </row>
    <row r="171" spans="14:42" x14ac:dyDescent="0.25">
      <c r="N171">
        <v>2138</v>
      </c>
      <c r="O171">
        <v>2</v>
      </c>
      <c r="P171">
        <v>2</v>
      </c>
      <c r="Q171">
        <v>2</v>
      </c>
      <c r="R171">
        <v>0</v>
      </c>
      <c r="AG171" s="1"/>
      <c r="AH171" s="1"/>
      <c r="AI171" s="1"/>
      <c r="AJ171" s="1"/>
      <c r="AK171" s="1"/>
      <c r="AL171" s="1"/>
      <c r="AM171" s="1"/>
      <c r="AN171" s="1"/>
      <c r="AO171" s="1"/>
      <c r="AP171" s="1"/>
    </row>
    <row r="172" spans="14:42" x14ac:dyDescent="0.25">
      <c r="N172">
        <v>2139</v>
      </c>
      <c r="O172">
        <v>2</v>
      </c>
      <c r="P172">
        <v>2</v>
      </c>
      <c r="Q172">
        <v>2</v>
      </c>
      <c r="R172">
        <v>0</v>
      </c>
      <c r="AG172" s="1"/>
      <c r="AH172" s="1"/>
      <c r="AI172" s="1"/>
      <c r="AJ172" s="1"/>
      <c r="AK172" s="1"/>
      <c r="AL172" s="1"/>
      <c r="AM172" s="1"/>
      <c r="AN172" s="1"/>
      <c r="AO172" s="1"/>
      <c r="AP172" s="1"/>
    </row>
    <row r="173" spans="14:42" x14ac:dyDescent="0.25">
      <c r="N173">
        <v>2140</v>
      </c>
      <c r="O173">
        <v>2</v>
      </c>
      <c r="P173">
        <v>2</v>
      </c>
      <c r="Q173">
        <v>2</v>
      </c>
      <c r="R173">
        <v>0</v>
      </c>
      <c r="AG173" s="1"/>
      <c r="AH173" s="1"/>
      <c r="AI173" s="1"/>
      <c r="AJ173" s="1"/>
      <c r="AK173" s="1"/>
      <c r="AL173" s="1"/>
      <c r="AM173" s="1"/>
      <c r="AN173" s="1"/>
      <c r="AO173" s="1"/>
      <c r="AP173" s="1"/>
    </row>
    <row r="174" spans="14:42" x14ac:dyDescent="0.25">
      <c r="N174">
        <v>2141</v>
      </c>
      <c r="O174">
        <v>2</v>
      </c>
      <c r="P174">
        <v>2</v>
      </c>
      <c r="Q174">
        <v>2</v>
      </c>
      <c r="R174">
        <v>0</v>
      </c>
      <c r="AG174" s="1"/>
      <c r="AH174" s="1"/>
      <c r="AI174" s="1"/>
      <c r="AJ174" s="1"/>
      <c r="AK174" s="1"/>
      <c r="AL174" s="1"/>
      <c r="AM174" s="1"/>
      <c r="AN174" s="1"/>
      <c r="AO174" s="1"/>
      <c r="AP174" s="1"/>
    </row>
    <row r="175" spans="14:42" x14ac:dyDescent="0.25">
      <c r="N175">
        <v>2142</v>
      </c>
      <c r="O175">
        <v>2</v>
      </c>
      <c r="P175">
        <v>2</v>
      </c>
      <c r="Q175">
        <v>2</v>
      </c>
      <c r="R175">
        <v>0</v>
      </c>
      <c r="AG175" s="1"/>
      <c r="AH175" s="1"/>
      <c r="AI175" s="1"/>
      <c r="AJ175" s="1"/>
      <c r="AK175" s="1"/>
      <c r="AL175" s="1"/>
      <c r="AM175" s="1"/>
      <c r="AN175" s="1"/>
      <c r="AO175" s="1"/>
      <c r="AP175" s="1"/>
    </row>
    <row r="176" spans="14:42" x14ac:dyDescent="0.25">
      <c r="N176">
        <v>2143</v>
      </c>
      <c r="O176">
        <v>2</v>
      </c>
      <c r="P176">
        <v>2</v>
      </c>
      <c r="Q176">
        <v>2</v>
      </c>
      <c r="R176">
        <v>0</v>
      </c>
      <c r="AG176" s="1"/>
      <c r="AH176" s="1"/>
      <c r="AI176" s="1"/>
      <c r="AJ176" s="1"/>
      <c r="AK176" s="1"/>
      <c r="AL176" s="1"/>
      <c r="AM176" s="1"/>
      <c r="AN176" s="1"/>
      <c r="AO176" s="1"/>
      <c r="AP176" s="1"/>
    </row>
    <row r="177" spans="14:42" x14ac:dyDescent="0.25">
      <c r="N177">
        <v>2144</v>
      </c>
      <c r="O177">
        <v>2</v>
      </c>
      <c r="P177">
        <v>2</v>
      </c>
      <c r="Q177">
        <v>2</v>
      </c>
      <c r="R177">
        <v>0</v>
      </c>
      <c r="AG177" s="1"/>
      <c r="AH177" s="1"/>
      <c r="AI177" s="1"/>
      <c r="AJ177" s="1"/>
      <c r="AK177" s="1"/>
      <c r="AL177" s="1"/>
      <c r="AM177" s="1"/>
      <c r="AN177" s="1"/>
      <c r="AO177" s="1"/>
      <c r="AP177" s="1"/>
    </row>
    <row r="178" spans="14:42" x14ac:dyDescent="0.25">
      <c r="N178">
        <v>2145</v>
      </c>
      <c r="O178">
        <v>2</v>
      </c>
      <c r="P178">
        <v>2</v>
      </c>
      <c r="Q178">
        <v>2</v>
      </c>
      <c r="R178">
        <v>0</v>
      </c>
      <c r="AG178" s="1"/>
      <c r="AH178" s="1"/>
      <c r="AI178" s="1"/>
      <c r="AJ178" s="1"/>
      <c r="AK178" s="1"/>
      <c r="AL178" s="1"/>
      <c r="AM178" s="1"/>
      <c r="AN178" s="1"/>
      <c r="AO178" s="1"/>
      <c r="AP178" s="1"/>
    </row>
    <row r="179" spans="14:42" x14ac:dyDescent="0.25">
      <c r="N179">
        <v>2146</v>
      </c>
      <c r="O179">
        <v>2</v>
      </c>
      <c r="P179">
        <v>2</v>
      </c>
      <c r="Q179">
        <v>2</v>
      </c>
      <c r="R179">
        <v>0</v>
      </c>
      <c r="AG179" s="1"/>
      <c r="AH179" s="1"/>
      <c r="AI179" s="1"/>
      <c r="AJ179" s="1"/>
      <c r="AK179" s="1"/>
      <c r="AL179" s="1"/>
      <c r="AM179" s="1"/>
      <c r="AN179" s="1"/>
      <c r="AO179" s="1"/>
      <c r="AP179" s="1"/>
    </row>
    <row r="180" spans="14:42" x14ac:dyDescent="0.25">
      <c r="N180">
        <v>2147</v>
      </c>
      <c r="O180">
        <v>2</v>
      </c>
      <c r="P180">
        <v>2</v>
      </c>
      <c r="Q180">
        <v>2</v>
      </c>
      <c r="R180">
        <v>0</v>
      </c>
      <c r="AG180" s="1"/>
      <c r="AH180" s="1"/>
      <c r="AI180" s="1"/>
      <c r="AJ180" s="1"/>
      <c r="AK180" s="1"/>
      <c r="AL180" s="1"/>
      <c r="AM180" s="1"/>
      <c r="AN180" s="1"/>
      <c r="AO180" s="1"/>
      <c r="AP180" s="1"/>
    </row>
    <row r="181" spans="14:42" x14ac:dyDescent="0.25">
      <c r="N181">
        <v>2148</v>
      </c>
      <c r="O181">
        <v>2</v>
      </c>
      <c r="P181">
        <v>2</v>
      </c>
      <c r="Q181">
        <v>2</v>
      </c>
      <c r="R181">
        <v>0</v>
      </c>
      <c r="AG181" s="1"/>
      <c r="AH181" s="1"/>
      <c r="AI181" s="1"/>
      <c r="AJ181" s="1"/>
      <c r="AK181" s="1"/>
      <c r="AL181" s="1"/>
      <c r="AM181" s="1"/>
      <c r="AN181" s="1"/>
      <c r="AO181" s="1"/>
      <c r="AP181" s="1"/>
    </row>
    <row r="182" spans="14:42" x14ac:dyDescent="0.25">
      <c r="N182">
        <v>2149</v>
      </c>
      <c r="O182">
        <v>2</v>
      </c>
      <c r="P182">
        <v>2</v>
      </c>
      <c r="Q182">
        <v>2</v>
      </c>
      <c r="R182">
        <v>0</v>
      </c>
      <c r="AG182" s="1"/>
      <c r="AH182" s="1"/>
      <c r="AI182" s="1"/>
      <c r="AJ182" s="1"/>
      <c r="AK182" s="1"/>
      <c r="AL182" s="1"/>
      <c r="AM182" s="1"/>
      <c r="AN182" s="1"/>
      <c r="AO182" s="1"/>
      <c r="AP182" s="1"/>
    </row>
    <row r="183" spans="14:42" x14ac:dyDescent="0.25">
      <c r="N183">
        <v>2150</v>
      </c>
      <c r="O183">
        <v>2</v>
      </c>
      <c r="P183">
        <v>2</v>
      </c>
      <c r="Q183">
        <v>2</v>
      </c>
      <c r="R183">
        <v>0</v>
      </c>
      <c r="AG183" s="1"/>
      <c r="AH183" s="1"/>
      <c r="AI183" s="1"/>
      <c r="AJ183" s="1"/>
      <c r="AK183" s="1"/>
      <c r="AL183" s="1"/>
      <c r="AM183" s="1"/>
      <c r="AN183" s="1"/>
      <c r="AO183" s="1"/>
      <c r="AP183" s="1"/>
    </row>
    <row r="184" spans="14:42" x14ac:dyDescent="0.25">
      <c r="N184">
        <v>2151</v>
      </c>
      <c r="O184">
        <v>2</v>
      </c>
      <c r="P184">
        <v>2</v>
      </c>
      <c r="Q184">
        <v>2</v>
      </c>
      <c r="R184">
        <v>0</v>
      </c>
      <c r="AG184" s="1"/>
      <c r="AH184" s="1"/>
      <c r="AI184" s="1"/>
      <c r="AJ184" s="1"/>
      <c r="AK184" s="1"/>
      <c r="AL184" s="1"/>
      <c r="AM184" s="1"/>
      <c r="AN184" s="1"/>
      <c r="AO184" s="1"/>
      <c r="AP184" s="1"/>
    </row>
    <row r="185" spans="14:42" x14ac:dyDescent="0.25">
      <c r="N185">
        <v>2152</v>
      </c>
      <c r="O185">
        <v>2</v>
      </c>
      <c r="P185">
        <v>2</v>
      </c>
      <c r="Q185">
        <v>2</v>
      </c>
      <c r="R185">
        <v>0</v>
      </c>
      <c r="AG185" s="1"/>
      <c r="AH185" s="1"/>
      <c r="AI185" s="1"/>
      <c r="AJ185" s="1"/>
      <c r="AK185" s="1"/>
      <c r="AL185" s="1"/>
      <c r="AM185" s="1"/>
      <c r="AN185" s="1"/>
      <c r="AO185" s="1"/>
      <c r="AP185" s="1"/>
    </row>
    <row r="186" spans="14:42" x14ac:dyDescent="0.25">
      <c r="N186">
        <v>2153</v>
      </c>
      <c r="O186">
        <v>2</v>
      </c>
      <c r="P186">
        <v>2</v>
      </c>
      <c r="Q186">
        <v>2</v>
      </c>
      <c r="R186">
        <v>0</v>
      </c>
      <c r="AG186" s="1"/>
      <c r="AH186" s="1"/>
      <c r="AI186" s="1"/>
      <c r="AJ186" s="1"/>
      <c r="AK186" s="1"/>
      <c r="AL186" s="1"/>
      <c r="AM186" s="1"/>
      <c r="AN186" s="1"/>
      <c r="AO186" s="1"/>
      <c r="AP186" s="1"/>
    </row>
    <row r="187" spans="14:42" x14ac:dyDescent="0.25">
      <c r="N187">
        <v>2154</v>
      </c>
      <c r="O187">
        <v>2</v>
      </c>
      <c r="P187">
        <v>2</v>
      </c>
      <c r="Q187">
        <v>2</v>
      </c>
      <c r="R187">
        <v>0</v>
      </c>
      <c r="AG187" s="1"/>
      <c r="AH187" s="1"/>
      <c r="AI187" s="1"/>
      <c r="AJ187" s="1"/>
      <c r="AK187" s="1"/>
      <c r="AL187" s="1"/>
      <c r="AM187" s="1"/>
      <c r="AN187" s="1"/>
      <c r="AO187" s="1"/>
      <c r="AP187" s="1"/>
    </row>
    <row r="188" spans="14:42" x14ac:dyDescent="0.25">
      <c r="N188">
        <v>2155</v>
      </c>
      <c r="O188">
        <v>2</v>
      </c>
      <c r="P188">
        <v>2</v>
      </c>
      <c r="Q188">
        <v>2</v>
      </c>
      <c r="R188">
        <v>0</v>
      </c>
      <c r="AG188" s="1"/>
      <c r="AH188" s="1"/>
      <c r="AI188" s="1"/>
      <c r="AJ188" s="1"/>
      <c r="AK188" s="1"/>
      <c r="AL188" s="1"/>
      <c r="AM188" s="1"/>
      <c r="AN188" s="1"/>
      <c r="AO188" s="1"/>
      <c r="AP188" s="1"/>
    </row>
    <row r="189" spans="14:42" x14ac:dyDescent="0.25">
      <c r="N189">
        <v>2156</v>
      </c>
      <c r="O189">
        <v>2</v>
      </c>
      <c r="P189">
        <v>2</v>
      </c>
      <c r="Q189">
        <v>2</v>
      </c>
      <c r="R189">
        <v>0</v>
      </c>
      <c r="AG189" s="1"/>
      <c r="AH189" s="1"/>
      <c r="AI189" s="1"/>
      <c r="AJ189" s="1"/>
      <c r="AK189" s="1"/>
      <c r="AL189" s="1"/>
      <c r="AM189" s="1"/>
      <c r="AN189" s="1"/>
      <c r="AO189" s="1"/>
      <c r="AP189" s="1"/>
    </row>
    <row r="190" spans="14:42" x14ac:dyDescent="0.25">
      <c r="N190">
        <v>2157</v>
      </c>
      <c r="O190">
        <v>2</v>
      </c>
      <c r="P190">
        <v>2</v>
      </c>
      <c r="Q190">
        <v>2</v>
      </c>
      <c r="R190">
        <v>0</v>
      </c>
      <c r="AG190" s="1"/>
      <c r="AH190" s="1"/>
      <c r="AI190" s="1"/>
      <c r="AJ190" s="1"/>
      <c r="AK190" s="1"/>
      <c r="AL190" s="1"/>
      <c r="AM190" s="1"/>
      <c r="AN190" s="1"/>
      <c r="AO190" s="1"/>
      <c r="AP190" s="1"/>
    </row>
    <row r="191" spans="14:42" x14ac:dyDescent="0.25">
      <c r="N191">
        <v>2158</v>
      </c>
      <c r="O191">
        <v>2</v>
      </c>
      <c r="P191">
        <v>2</v>
      </c>
      <c r="Q191">
        <v>2</v>
      </c>
      <c r="R191">
        <v>0</v>
      </c>
      <c r="AG191" s="1"/>
      <c r="AH191" s="1"/>
      <c r="AI191" s="1"/>
      <c r="AJ191" s="1"/>
      <c r="AK191" s="1"/>
      <c r="AL191" s="1"/>
      <c r="AM191" s="1"/>
      <c r="AN191" s="1"/>
      <c r="AO191" s="1"/>
      <c r="AP191" s="1"/>
    </row>
    <row r="192" spans="14:42" x14ac:dyDescent="0.25">
      <c r="N192">
        <v>2159</v>
      </c>
      <c r="O192">
        <v>2</v>
      </c>
      <c r="P192">
        <v>2</v>
      </c>
      <c r="Q192">
        <v>2</v>
      </c>
      <c r="R192">
        <v>0</v>
      </c>
      <c r="AG192" s="1"/>
      <c r="AH192" s="1"/>
      <c r="AI192" s="1"/>
      <c r="AJ192" s="1"/>
      <c r="AK192" s="1"/>
      <c r="AL192" s="1"/>
      <c r="AM192" s="1"/>
      <c r="AN192" s="1"/>
      <c r="AO192" s="1"/>
      <c r="AP192" s="1"/>
    </row>
    <row r="193" spans="14:42" x14ac:dyDescent="0.25">
      <c r="N193">
        <v>2160</v>
      </c>
      <c r="O193">
        <v>2</v>
      </c>
      <c r="P193">
        <v>2</v>
      </c>
      <c r="Q193">
        <v>2</v>
      </c>
      <c r="R193">
        <v>0</v>
      </c>
      <c r="AG193" s="1"/>
      <c r="AH193" s="1"/>
      <c r="AI193" s="1"/>
      <c r="AJ193" s="1"/>
      <c r="AK193" s="1"/>
      <c r="AL193" s="1"/>
      <c r="AM193" s="1"/>
      <c r="AN193" s="1"/>
      <c r="AO193" s="1"/>
      <c r="AP193" s="1"/>
    </row>
    <row r="194" spans="14:42" x14ac:dyDescent="0.25">
      <c r="N194">
        <v>2161</v>
      </c>
      <c r="O194">
        <v>2</v>
      </c>
      <c r="P194">
        <v>2</v>
      </c>
      <c r="Q194">
        <v>2</v>
      </c>
      <c r="R194">
        <v>0</v>
      </c>
      <c r="AG194" s="1"/>
      <c r="AH194" s="1"/>
      <c r="AI194" s="1"/>
      <c r="AJ194" s="1"/>
      <c r="AK194" s="1"/>
      <c r="AL194" s="1"/>
      <c r="AM194" s="1"/>
      <c r="AN194" s="1"/>
      <c r="AO194" s="1"/>
      <c r="AP194" s="1"/>
    </row>
    <row r="195" spans="14:42" x14ac:dyDescent="0.25">
      <c r="N195">
        <v>2162</v>
      </c>
      <c r="O195">
        <v>2</v>
      </c>
      <c r="P195">
        <v>2</v>
      </c>
      <c r="Q195">
        <v>2</v>
      </c>
      <c r="R195">
        <v>0</v>
      </c>
      <c r="AG195" s="1"/>
      <c r="AH195" s="1"/>
      <c r="AI195" s="1"/>
      <c r="AJ195" s="1"/>
      <c r="AK195" s="1"/>
      <c r="AL195" s="1"/>
      <c r="AM195" s="1"/>
      <c r="AN195" s="1"/>
      <c r="AO195" s="1"/>
      <c r="AP195" s="1"/>
    </row>
    <row r="196" spans="14:42" x14ac:dyDescent="0.25">
      <c r="N196">
        <v>2163</v>
      </c>
      <c r="O196">
        <v>2</v>
      </c>
      <c r="P196">
        <v>2</v>
      </c>
      <c r="Q196">
        <v>2</v>
      </c>
      <c r="R196">
        <v>0</v>
      </c>
      <c r="AG196" s="1"/>
      <c r="AH196" s="1"/>
      <c r="AI196" s="1"/>
      <c r="AJ196" s="1"/>
      <c r="AK196" s="1"/>
      <c r="AL196" s="1"/>
      <c r="AM196" s="1"/>
      <c r="AN196" s="1"/>
      <c r="AO196" s="1"/>
      <c r="AP196" s="1"/>
    </row>
    <row r="197" spans="14:42" x14ac:dyDescent="0.25">
      <c r="N197">
        <v>2164</v>
      </c>
      <c r="O197">
        <v>2</v>
      </c>
      <c r="P197">
        <v>2</v>
      </c>
      <c r="Q197">
        <v>2</v>
      </c>
      <c r="R197">
        <v>0</v>
      </c>
      <c r="AG197" s="1"/>
      <c r="AH197" s="1"/>
      <c r="AI197" s="1"/>
      <c r="AJ197" s="1"/>
      <c r="AK197" s="1"/>
      <c r="AL197" s="1"/>
      <c r="AM197" s="1"/>
      <c r="AN197" s="1"/>
      <c r="AO197" s="1"/>
      <c r="AP197" s="1"/>
    </row>
    <row r="198" spans="14:42" x14ac:dyDescent="0.25">
      <c r="N198">
        <v>2165</v>
      </c>
      <c r="O198">
        <v>2</v>
      </c>
      <c r="P198">
        <v>2</v>
      </c>
      <c r="Q198">
        <v>2</v>
      </c>
      <c r="R198">
        <v>0</v>
      </c>
      <c r="AG198" s="1"/>
      <c r="AH198" s="1"/>
      <c r="AI198" s="1"/>
      <c r="AJ198" s="1"/>
      <c r="AK198" s="1"/>
      <c r="AL198" s="1"/>
      <c r="AM198" s="1"/>
      <c r="AN198" s="1"/>
      <c r="AO198" s="1"/>
      <c r="AP198" s="1"/>
    </row>
    <row r="199" spans="14:42" x14ac:dyDescent="0.25">
      <c r="N199">
        <v>2166</v>
      </c>
      <c r="O199">
        <v>2</v>
      </c>
      <c r="P199">
        <v>2</v>
      </c>
      <c r="Q199">
        <v>2</v>
      </c>
      <c r="R199">
        <v>0</v>
      </c>
      <c r="AG199" s="1"/>
      <c r="AH199" s="1"/>
      <c r="AI199" s="1"/>
      <c r="AJ199" s="1"/>
      <c r="AK199" s="1"/>
      <c r="AL199" s="1"/>
      <c r="AM199" s="1"/>
      <c r="AN199" s="1"/>
      <c r="AO199" s="1"/>
      <c r="AP199" s="1"/>
    </row>
    <row r="200" spans="14:42" x14ac:dyDescent="0.25">
      <c r="N200">
        <v>2167</v>
      </c>
      <c r="O200">
        <v>2</v>
      </c>
      <c r="P200">
        <v>2</v>
      </c>
      <c r="Q200">
        <v>2</v>
      </c>
      <c r="R200">
        <v>0</v>
      </c>
      <c r="AG200" s="1"/>
      <c r="AH200" s="1"/>
      <c r="AI200" s="1"/>
      <c r="AJ200" s="1"/>
      <c r="AK200" s="1"/>
      <c r="AL200" s="1"/>
      <c r="AM200" s="1"/>
      <c r="AN200" s="1"/>
      <c r="AO200" s="1"/>
      <c r="AP200" s="1"/>
    </row>
    <row r="201" spans="14:42" x14ac:dyDescent="0.25">
      <c r="N201">
        <v>2168</v>
      </c>
      <c r="O201">
        <v>2</v>
      </c>
      <c r="P201">
        <v>2</v>
      </c>
      <c r="Q201">
        <v>2</v>
      </c>
      <c r="R201">
        <v>0</v>
      </c>
      <c r="AG201" s="1"/>
      <c r="AH201" s="1"/>
      <c r="AI201" s="1"/>
      <c r="AJ201" s="1"/>
      <c r="AK201" s="1"/>
      <c r="AL201" s="1"/>
      <c r="AM201" s="1"/>
      <c r="AN201" s="1"/>
      <c r="AO201" s="1"/>
      <c r="AP201" s="1"/>
    </row>
    <row r="202" spans="14:42" x14ac:dyDescent="0.25">
      <c r="N202">
        <v>2169</v>
      </c>
      <c r="O202">
        <v>2</v>
      </c>
      <c r="P202">
        <v>2</v>
      </c>
      <c r="Q202">
        <v>2</v>
      </c>
      <c r="R202">
        <v>0</v>
      </c>
      <c r="AG202" s="1"/>
      <c r="AH202" s="1"/>
      <c r="AI202" s="1"/>
      <c r="AJ202" s="1"/>
      <c r="AK202" s="1"/>
      <c r="AL202" s="1"/>
      <c r="AM202" s="1"/>
      <c r="AN202" s="1"/>
      <c r="AO202" s="1"/>
      <c r="AP202" s="1"/>
    </row>
    <row r="203" spans="14:42" x14ac:dyDescent="0.25">
      <c r="N203">
        <v>2170</v>
      </c>
      <c r="O203">
        <v>2</v>
      </c>
      <c r="P203">
        <v>2</v>
      </c>
      <c r="Q203">
        <v>2</v>
      </c>
      <c r="R203">
        <v>0</v>
      </c>
      <c r="AG203" s="1"/>
      <c r="AH203" s="1"/>
      <c r="AI203" s="1"/>
      <c r="AJ203" s="1"/>
      <c r="AK203" s="1"/>
      <c r="AL203" s="1"/>
      <c r="AM203" s="1"/>
      <c r="AN203" s="1"/>
      <c r="AO203" s="1"/>
      <c r="AP203" s="1"/>
    </row>
    <row r="204" spans="14:42" x14ac:dyDescent="0.25">
      <c r="N204">
        <v>2171</v>
      </c>
      <c r="O204">
        <v>2</v>
      </c>
      <c r="P204">
        <v>2</v>
      </c>
      <c r="Q204">
        <v>2</v>
      </c>
      <c r="R204">
        <v>0</v>
      </c>
      <c r="AG204" s="1"/>
      <c r="AH204" s="1"/>
      <c r="AI204" s="1"/>
      <c r="AJ204" s="1"/>
      <c r="AK204" s="1"/>
      <c r="AL204" s="1"/>
      <c r="AM204" s="1"/>
      <c r="AN204" s="1"/>
      <c r="AO204" s="1"/>
      <c r="AP204" s="1"/>
    </row>
    <row r="205" spans="14:42" x14ac:dyDescent="0.25">
      <c r="N205">
        <v>2172</v>
      </c>
      <c r="O205">
        <v>2</v>
      </c>
      <c r="P205">
        <v>2</v>
      </c>
      <c r="Q205">
        <v>2</v>
      </c>
      <c r="R205">
        <v>0</v>
      </c>
      <c r="AG205" s="1"/>
      <c r="AH205" s="1"/>
      <c r="AI205" s="1"/>
      <c r="AJ205" s="1"/>
      <c r="AK205" s="1"/>
      <c r="AL205" s="1"/>
      <c r="AM205" s="1"/>
      <c r="AN205" s="1"/>
      <c r="AO205" s="1"/>
      <c r="AP205" s="1"/>
    </row>
    <row r="206" spans="14:42" x14ac:dyDescent="0.25">
      <c r="N206">
        <v>2173</v>
      </c>
      <c r="O206">
        <v>2</v>
      </c>
      <c r="P206">
        <v>2</v>
      </c>
      <c r="Q206">
        <v>2</v>
      </c>
      <c r="R206">
        <v>0</v>
      </c>
      <c r="AG206" s="1"/>
      <c r="AH206" s="1"/>
      <c r="AI206" s="1"/>
      <c r="AJ206" s="1"/>
      <c r="AK206" s="1"/>
      <c r="AL206" s="1"/>
      <c r="AM206" s="1"/>
      <c r="AN206" s="1"/>
      <c r="AO206" s="1"/>
      <c r="AP206" s="1"/>
    </row>
    <row r="207" spans="14:42" x14ac:dyDescent="0.25">
      <c r="N207">
        <v>2174</v>
      </c>
      <c r="O207">
        <v>2</v>
      </c>
      <c r="P207">
        <v>2</v>
      </c>
      <c r="Q207">
        <v>2</v>
      </c>
      <c r="R207">
        <v>0</v>
      </c>
      <c r="AG207" s="1"/>
      <c r="AH207" s="1"/>
      <c r="AI207" s="1"/>
      <c r="AJ207" s="1"/>
      <c r="AK207" s="1"/>
      <c r="AL207" s="1"/>
      <c r="AM207" s="1"/>
      <c r="AN207" s="1"/>
      <c r="AO207" s="1"/>
      <c r="AP207" s="1"/>
    </row>
    <row r="208" spans="14:42" x14ac:dyDescent="0.25">
      <c r="N208">
        <v>2175</v>
      </c>
      <c r="O208">
        <v>2</v>
      </c>
      <c r="P208">
        <v>2</v>
      </c>
      <c r="Q208">
        <v>2</v>
      </c>
      <c r="R208">
        <v>0</v>
      </c>
      <c r="AG208" s="1"/>
      <c r="AH208" s="1"/>
      <c r="AI208" s="1"/>
      <c r="AJ208" s="1"/>
      <c r="AK208" s="1"/>
      <c r="AL208" s="1"/>
      <c r="AM208" s="1"/>
      <c r="AN208" s="1"/>
      <c r="AO208" s="1"/>
      <c r="AP208" s="1"/>
    </row>
    <row r="209" spans="14:42" x14ac:dyDescent="0.25">
      <c r="N209">
        <v>2176</v>
      </c>
      <c r="O209">
        <v>2</v>
      </c>
      <c r="P209">
        <v>2</v>
      </c>
      <c r="Q209">
        <v>2</v>
      </c>
      <c r="R209">
        <v>0</v>
      </c>
      <c r="AG209" s="1"/>
      <c r="AH209" s="1"/>
      <c r="AI209" s="1"/>
      <c r="AJ209" s="1"/>
      <c r="AK209" s="1"/>
      <c r="AL209" s="1"/>
      <c r="AM209" s="1"/>
      <c r="AN209" s="1"/>
      <c r="AO209" s="1"/>
      <c r="AP209" s="1"/>
    </row>
    <row r="210" spans="14:42" x14ac:dyDescent="0.25">
      <c r="N210">
        <v>2177</v>
      </c>
      <c r="O210">
        <v>2</v>
      </c>
      <c r="P210">
        <v>2</v>
      </c>
      <c r="Q210">
        <v>2</v>
      </c>
      <c r="R210">
        <v>0</v>
      </c>
      <c r="AG210" s="1"/>
      <c r="AH210" s="1"/>
      <c r="AI210" s="1"/>
      <c r="AJ210" s="1"/>
      <c r="AK210" s="1"/>
      <c r="AL210" s="1"/>
      <c r="AM210" s="1"/>
      <c r="AN210" s="1"/>
      <c r="AO210" s="1"/>
      <c r="AP210" s="1"/>
    </row>
    <row r="211" spans="14:42" x14ac:dyDescent="0.25">
      <c r="N211">
        <v>2178</v>
      </c>
      <c r="O211">
        <v>2</v>
      </c>
      <c r="P211">
        <v>2</v>
      </c>
      <c r="Q211">
        <v>2</v>
      </c>
      <c r="R211">
        <v>0</v>
      </c>
      <c r="AG211" s="1"/>
      <c r="AH211" s="1"/>
      <c r="AI211" s="1"/>
      <c r="AJ211" s="1"/>
      <c r="AK211" s="1"/>
      <c r="AL211" s="1"/>
      <c r="AM211" s="1"/>
      <c r="AN211" s="1"/>
      <c r="AO211" s="1"/>
      <c r="AP211" s="1"/>
    </row>
    <row r="212" spans="14:42" x14ac:dyDescent="0.25">
      <c r="N212">
        <v>2179</v>
      </c>
      <c r="O212">
        <v>2</v>
      </c>
      <c r="P212">
        <v>2</v>
      </c>
      <c r="Q212">
        <v>2</v>
      </c>
      <c r="R212">
        <v>0</v>
      </c>
      <c r="AG212" s="1"/>
      <c r="AH212" s="1"/>
      <c r="AI212" s="1"/>
      <c r="AJ212" s="1"/>
      <c r="AK212" s="1"/>
      <c r="AL212" s="1"/>
      <c r="AM212" s="1"/>
      <c r="AN212" s="1"/>
      <c r="AO212" s="1"/>
      <c r="AP212" s="1"/>
    </row>
    <row r="213" spans="14:42" x14ac:dyDescent="0.25">
      <c r="N213">
        <v>2180</v>
      </c>
      <c r="O213">
        <v>2</v>
      </c>
      <c r="P213">
        <v>2</v>
      </c>
      <c r="Q213">
        <v>2</v>
      </c>
      <c r="R213">
        <v>0</v>
      </c>
      <c r="AG213" s="1"/>
      <c r="AH213" s="1"/>
      <c r="AI213" s="1"/>
      <c r="AJ213" s="1"/>
      <c r="AK213" s="1"/>
      <c r="AL213" s="1"/>
      <c r="AM213" s="1"/>
      <c r="AN213" s="1"/>
      <c r="AO213" s="1"/>
      <c r="AP213" s="1"/>
    </row>
    <row r="214" spans="14:42" x14ac:dyDescent="0.25">
      <c r="N214">
        <v>2181</v>
      </c>
      <c r="O214">
        <v>2</v>
      </c>
      <c r="P214">
        <v>2</v>
      </c>
      <c r="Q214">
        <v>2</v>
      </c>
      <c r="R214">
        <v>0</v>
      </c>
      <c r="AG214" s="1"/>
      <c r="AH214" s="1"/>
      <c r="AI214" s="1"/>
      <c r="AJ214" s="1"/>
      <c r="AK214" s="1"/>
      <c r="AL214" s="1"/>
      <c r="AM214" s="1"/>
      <c r="AN214" s="1"/>
      <c r="AO214" s="1"/>
      <c r="AP214" s="1"/>
    </row>
    <row r="215" spans="14:42" x14ac:dyDescent="0.25">
      <c r="N215">
        <v>2182</v>
      </c>
      <c r="O215">
        <v>2</v>
      </c>
      <c r="P215">
        <v>2</v>
      </c>
      <c r="Q215">
        <v>2</v>
      </c>
      <c r="R215">
        <v>0</v>
      </c>
      <c r="AG215" s="1"/>
      <c r="AH215" s="1"/>
      <c r="AI215" s="1"/>
      <c r="AJ215" s="1"/>
      <c r="AK215" s="1"/>
      <c r="AL215" s="1"/>
      <c r="AM215" s="1"/>
      <c r="AN215" s="1"/>
      <c r="AO215" s="1"/>
      <c r="AP215" s="1"/>
    </row>
    <row r="216" spans="14:42" x14ac:dyDescent="0.25">
      <c r="N216">
        <v>2183</v>
      </c>
      <c r="O216">
        <v>2</v>
      </c>
      <c r="P216">
        <v>2</v>
      </c>
      <c r="Q216">
        <v>2</v>
      </c>
      <c r="R216">
        <v>0</v>
      </c>
      <c r="AG216" s="1"/>
      <c r="AH216" s="1"/>
      <c r="AI216" s="1"/>
      <c r="AJ216" s="1"/>
      <c r="AK216" s="1"/>
      <c r="AL216" s="1"/>
      <c r="AM216" s="1"/>
      <c r="AN216" s="1"/>
      <c r="AO216" s="1"/>
      <c r="AP216" s="1"/>
    </row>
    <row r="217" spans="14:42" x14ac:dyDescent="0.25">
      <c r="N217">
        <v>2184</v>
      </c>
      <c r="O217">
        <v>2</v>
      </c>
      <c r="P217">
        <v>2</v>
      </c>
      <c r="Q217">
        <v>2</v>
      </c>
      <c r="R217">
        <v>0</v>
      </c>
      <c r="AG217" s="1"/>
      <c r="AH217" s="1"/>
      <c r="AI217" s="1"/>
      <c r="AJ217" s="1"/>
      <c r="AK217" s="1"/>
      <c r="AL217" s="1"/>
      <c r="AM217" s="1"/>
      <c r="AN217" s="1"/>
      <c r="AO217" s="1"/>
      <c r="AP217" s="1"/>
    </row>
    <row r="218" spans="14:42" x14ac:dyDescent="0.25">
      <c r="N218">
        <v>2185</v>
      </c>
      <c r="O218">
        <v>2</v>
      </c>
      <c r="P218">
        <v>2</v>
      </c>
      <c r="Q218">
        <v>2</v>
      </c>
      <c r="R218">
        <v>0</v>
      </c>
      <c r="AG218" s="1"/>
      <c r="AH218" s="1"/>
      <c r="AI218" s="1"/>
      <c r="AJ218" s="1"/>
      <c r="AK218" s="1"/>
      <c r="AL218" s="1"/>
      <c r="AM218" s="1"/>
      <c r="AN218" s="1"/>
      <c r="AO218" s="1"/>
      <c r="AP218" s="1"/>
    </row>
    <row r="219" spans="14:42" x14ac:dyDescent="0.25">
      <c r="N219">
        <v>2186</v>
      </c>
      <c r="O219">
        <v>2</v>
      </c>
      <c r="P219">
        <v>2</v>
      </c>
      <c r="Q219">
        <v>2</v>
      </c>
      <c r="R219">
        <v>0</v>
      </c>
      <c r="AG219" s="1"/>
      <c r="AH219" s="1"/>
      <c r="AI219" s="1"/>
      <c r="AJ219" s="1"/>
      <c r="AK219" s="1"/>
      <c r="AL219" s="1"/>
      <c r="AM219" s="1"/>
      <c r="AN219" s="1"/>
      <c r="AO219" s="1"/>
      <c r="AP219" s="1"/>
    </row>
    <row r="220" spans="14:42" x14ac:dyDescent="0.25">
      <c r="N220">
        <v>2187</v>
      </c>
      <c r="O220">
        <v>2</v>
      </c>
      <c r="P220">
        <v>2</v>
      </c>
      <c r="Q220">
        <v>2</v>
      </c>
      <c r="R220">
        <v>0</v>
      </c>
      <c r="AG220" s="1"/>
      <c r="AH220" s="1"/>
      <c r="AI220" s="1"/>
      <c r="AJ220" s="1"/>
      <c r="AK220" s="1"/>
      <c r="AL220" s="1"/>
      <c r="AM220" s="1"/>
      <c r="AN220" s="1"/>
      <c r="AO220" s="1"/>
      <c r="AP220" s="1"/>
    </row>
    <row r="221" spans="14:42" x14ac:dyDescent="0.25">
      <c r="N221">
        <v>2188</v>
      </c>
      <c r="O221">
        <v>2</v>
      </c>
      <c r="P221">
        <v>2</v>
      </c>
      <c r="Q221">
        <v>2</v>
      </c>
      <c r="R221">
        <v>0</v>
      </c>
      <c r="AG221" s="1"/>
      <c r="AH221" s="1"/>
      <c r="AI221" s="1"/>
      <c r="AJ221" s="1"/>
      <c r="AK221" s="1"/>
      <c r="AL221" s="1"/>
      <c r="AM221" s="1"/>
      <c r="AN221" s="1"/>
      <c r="AO221" s="1"/>
      <c r="AP221" s="1"/>
    </row>
    <row r="222" spans="14:42" x14ac:dyDescent="0.25">
      <c r="N222">
        <v>2189</v>
      </c>
      <c r="O222">
        <v>2</v>
      </c>
      <c r="P222">
        <v>2</v>
      </c>
      <c r="Q222">
        <v>2</v>
      </c>
      <c r="R222">
        <v>0</v>
      </c>
      <c r="AG222" s="1"/>
      <c r="AH222" s="1"/>
      <c r="AI222" s="1"/>
      <c r="AJ222" s="1"/>
      <c r="AK222" s="1"/>
      <c r="AL222" s="1"/>
      <c r="AM222" s="1"/>
      <c r="AN222" s="1"/>
      <c r="AO222" s="1"/>
      <c r="AP222" s="1"/>
    </row>
    <row r="223" spans="14:42" x14ac:dyDescent="0.25">
      <c r="N223">
        <v>2190</v>
      </c>
      <c r="O223">
        <v>2</v>
      </c>
      <c r="P223">
        <v>2</v>
      </c>
      <c r="Q223">
        <v>2</v>
      </c>
      <c r="R223">
        <v>0</v>
      </c>
      <c r="AG223" s="1"/>
      <c r="AH223" s="1"/>
      <c r="AI223" s="1"/>
      <c r="AJ223" s="1"/>
      <c r="AK223" s="1"/>
      <c r="AL223" s="1"/>
      <c r="AM223" s="1"/>
      <c r="AN223" s="1"/>
      <c r="AO223" s="1"/>
      <c r="AP223" s="1"/>
    </row>
    <row r="224" spans="14:42" x14ac:dyDescent="0.25">
      <c r="N224">
        <v>2191</v>
      </c>
      <c r="O224">
        <v>2</v>
      </c>
      <c r="P224">
        <v>2</v>
      </c>
      <c r="Q224">
        <v>2</v>
      </c>
      <c r="R224">
        <v>0</v>
      </c>
      <c r="AG224" s="1"/>
      <c r="AH224" s="1"/>
      <c r="AI224" s="1"/>
      <c r="AJ224" s="1"/>
      <c r="AK224" s="1"/>
      <c r="AL224" s="1"/>
      <c r="AM224" s="1"/>
      <c r="AN224" s="1"/>
      <c r="AO224" s="1"/>
      <c r="AP224" s="1"/>
    </row>
    <row r="225" spans="14:42" x14ac:dyDescent="0.25">
      <c r="N225">
        <v>2192</v>
      </c>
      <c r="O225">
        <v>2</v>
      </c>
      <c r="P225">
        <v>2</v>
      </c>
      <c r="Q225">
        <v>2</v>
      </c>
      <c r="R225">
        <v>0</v>
      </c>
      <c r="AG225" s="1"/>
      <c r="AH225" s="1"/>
      <c r="AI225" s="1"/>
      <c r="AJ225" s="1"/>
      <c r="AK225" s="1"/>
      <c r="AL225" s="1"/>
      <c r="AM225" s="1"/>
      <c r="AN225" s="1"/>
      <c r="AO225" s="1"/>
      <c r="AP225" s="1"/>
    </row>
    <row r="226" spans="14:42" x14ac:dyDescent="0.25">
      <c r="N226">
        <v>2193</v>
      </c>
      <c r="O226">
        <v>2</v>
      </c>
      <c r="P226">
        <v>2</v>
      </c>
      <c r="Q226">
        <v>2</v>
      </c>
      <c r="R226">
        <v>0</v>
      </c>
      <c r="AG226" s="1"/>
      <c r="AH226" s="1"/>
      <c r="AI226" s="1"/>
      <c r="AJ226" s="1"/>
      <c r="AK226" s="1"/>
      <c r="AL226" s="1"/>
      <c r="AM226" s="1"/>
      <c r="AN226" s="1"/>
      <c r="AO226" s="1"/>
      <c r="AP226" s="1"/>
    </row>
    <row r="227" spans="14:42" x14ac:dyDescent="0.25">
      <c r="N227">
        <v>2194</v>
      </c>
      <c r="O227">
        <v>2</v>
      </c>
      <c r="P227">
        <v>2</v>
      </c>
      <c r="Q227">
        <v>2</v>
      </c>
      <c r="R227">
        <v>0</v>
      </c>
      <c r="AG227" s="1"/>
      <c r="AH227" s="1"/>
      <c r="AI227" s="1"/>
      <c r="AJ227" s="1"/>
      <c r="AK227" s="1"/>
      <c r="AL227" s="1"/>
      <c r="AM227" s="1"/>
      <c r="AN227" s="1"/>
      <c r="AO227" s="1"/>
      <c r="AP227" s="1"/>
    </row>
    <row r="228" spans="14:42" x14ac:dyDescent="0.25">
      <c r="N228">
        <v>2195</v>
      </c>
      <c r="O228">
        <v>2</v>
      </c>
      <c r="P228">
        <v>2</v>
      </c>
      <c r="Q228">
        <v>2</v>
      </c>
      <c r="R228">
        <v>0</v>
      </c>
      <c r="AG228" s="1"/>
      <c r="AH228" s="1"/>
      <c r="AI228" s="1"/>
      <c r="AJ228" s="1"/>
      <c r="AK228" s="1"/>
      <c r="AL228" s="1"/>
      <c r="AM228" s="1"/>
      <c r="AN228" s="1"/>
      <c r="AO228" s="1"/>
      <c r="AP228" s="1"/>
    </row>
    <row r="229" spans="14:42" x14ac:dyDescent="0.25">
      <c r="N229">
        <v>2196</v>
      </c>
      <c r="O229">
        <v>2</v>
      </c>
      <c r="P229">
        <v>2</v>
      </c>
      <c r="Q229">
        <v>2</v>
      </c>
      <c r="R229">
        <v>0</v>
      </c>
      <c r="AG229" s="1"/>
      <c r="AH229" s="1"/>
      <c r="AI229" s="1"/>
      <c r="AJ229" s="1"/>
      <c r="AK229" s="1"/>
      <c r="AL229" s="1"/>
      <c r="AM229" s="1"/>
      <c r="AN229" s="1"/>
      <c r="AO229" s="1"/>
      <c r="AP229" s="1"/>
    </row>
    <row r="230" spans="14:42" x14ac:dyDescent="0.25">
      <c r="N230">
        <v>2197</v>
      </c>
      <c r="O230">
        <v>2</v>
      </c>
      <c r="P230">
        <v>2</v>
      </c>
      <c r="Q230">
        <v>2</v>
      </c>
      <c r="R230">
        <v>0</v>
      </c>
      <c r="AG230" s="1"/>
      <c r="AH230" s="1"/>
      <c r="AI230" s="1"/>
      <c r="AJ230" s="1"/>
      <c r="AK230" s="1"/>
      <c r="AL230" s="1"/>
      <c r="AM230" s="1"/>
      <c r="AN230" s="1"/>
      <c r="AO230" s="1"/>
      <c r="AP230" s="1"/>
    </row>
    <row r="231" spans="14:42" x14ac:dyDescent="0.25">
      <c r="N231">
        <v>2198</v>
      </c>
      <c r="O231">
        <v>2</v>
      </c>
      <c r="P231">
        <v>2</v>
      </c>
      <c r="Q231">
        <v>2</v>
      </c>
      <c r="R231">
        <v>0</v>
      </c>
      <c r="AG231" s="1"/>
      <c r="AH231" s="1"/>
      <c r="AI231" s="1"/>
      <c r="AJ231" s="1"/>
      <c r="AK231" s="1"/>
      <c r="AL231" s="1"/>
      <c r="AM231" s="1"/>
      <c r="AN231" s="1"/>
      <c r="AO231" s="1"/>
      <c r="AP231" s="1"/>
    </row>
    <row r="232" spans="14:42" x14ac:dyDescent="0.25">
      <c r="N232">
        <v>2199</v>
      </c>
      <c r="O232">
        <v>2</v>
      </c>
      <c r="P232">
        <v>2</v>
      </c>
      <c r="Q232">
        <v>2</v>
      </c>
      <c r="R232">
        <v>0</v>
      </c>
      <c r="AG232" s="1"/>
      <c r="AH232" s="1"/>
      <c r="AI232" s="1"/>
      <c r="AJ232" s="1"/>
      <c r="AK232" s="1"/>
      <c r="AL232" s="1"/>
      <c r="AM232" s="1"/>
      <c r="AN232" s="1"/>
      <c r="AO232" s="1"/>
      <c r="AP232" s="1"/>
    </row>
    <row r="233" spans="14:42" x14ac:dyDescent="0.25">
      <c r="N233">
        <v>2200</v>
      </c>
      <c r="O233">
        <v>2</v>
      </c>
      <c r="P233">
        <v>2</v>
      </c>
      <c r="Q233">
        <v>2</v>
      </c>
      <c r="R233">
        <v>0</v>
      </c>
      <c r="AG233" s="1"/>
      <c r="AH233" s="1"/>
      <c r="AI233" s="1"/>
      <c r="AJ233" s="1"/>
      <c r="AK233" s="1"/>
      <c r="AL233" s="1"/>
      <c r="AM233" s="1"/>
      <c r="AN233" s="1"/>
      <c r="AO233" s="1"/>
      <c r="AP233" s="1"/>
    </row>
    <row r="234" spans="14:42" x14ac:dyDescent="0.25">
      <c r="N234">
        <v>2201</v>
      </c>
      <c r="O234">
        <v>2</v>
      </c>
      <c r="P234">
        <v>2</v>
      </c>
      <c r="Q234">
        <v>2</v>
      </c>
      <c r="R234">
        <v>0</v>
      </c>
      <c r="AG234" s="1"/>
      <c r="AH234" s="1"/>
      <c r="AI234" s="1"/>
      <c r="AJ234" s="1"/>
      <c r="AK234" s="1"/>
      <c r="AL234" s="1"/>
      <c r="AM234" s="1"/>
      <c r="AN234" s="1"/>
      <c r="AO234" s="1"/>
      <c r="AP234" s="1"/>
    </row>
    <row r="235" spans="14:42" x14ac:dyDescent="0.25">
      <c r="N235">
        <v>2202</v>
      </c>
      <c r="O235">
        <v>2</v>
      </c>
      <c r="P235">
        <v>2</v>
      </c>
      <c r="Q235">
        <v>2</v>
      </c>
      <c r="R235">
        <v>0</v>
      </c>
      <c r="AG235" s="1"/>
      <c r="AH235" s="1"/>
      <c r="AI235" s="1"/>
      <c r="AJ235" s="1"/>
      <c r="AK235" s="1"/>
      <c r="AL235" s="1"/>
      <c r="AM235" s="1"/>
      <c r="AN235" s="1"/>
      <c r="AO235" s="1"/>
      <c r="AP235" s="1"/>
    </row>
    <row r="236" spans="14:42" x14ac:dyDescent="0.25">
      <c r="N236">
        <v>2203</v>
      </c>
      <c r="O236">
        <v>2</v>
      </c>
      <c r="P236">
        <v>2</v>
      </c>
      <c r="Q236">
        <v>2</v>
      </c>
      <c r="R236">
        <v>0</v>
      </c>
      <c r="AG236" s="1"/>
      <c r="AH236" s="1"/>
      <c r="AI236" s="1"/>
      <c r="AJ236" s="1"/>
      <c r="AK236" s="1"/>
      <c r="AL236" s="1"/>
      <c r="AM236" s="1"/>
      <c r="AN236" s="1"/>
      <c r="AO236" s="1"/>
      <c r="AP236" s="1"/>
    </row>
    <row r="237" spans="14:42" x14ac:dyDescent="0.25">
      <c r="N237">
        <v>2204</v>
      </c>
      <c r="O237">
        <v>2</v>
      </c>
      <c r="P237">
        <v>2</v>
      </c>
      <c r="Q237">
        <v>2</v>
      </c>
      <c r="R237">
        <v>0</v>
      </c>
      <c r="AG237" s="1"/>
      <c r="AH237" s="1"/>
      <c r="AI237" s="1"/>
      <c r="AJ237" s="1"/>
      <c r="AK237" s="1"/>
      <c r="AL237" s="1"/>
      <c r="AM237" s="1"/>
      <c r="AN237" s="1"/>
      <c r="AO237" s="1"/>
      <c r="AP237" s="1"/>
    </row>
    <row r="238" spans="14:42" x14ac:dyDescent="0.25">
      <c r="N238">
        <v>2205</v>
      </c>
      <c r="O238">
        <v>2</v>
      </c>
      <c r="P238">
        <v>2</v>
      </c>
      <c r="Q238">
        <v>2</v>
      </c>
      <c r="R238">
        <v>0</v>
      </c>
      <c r="AG238" s="1"/>
      <c r="AH238" s="1"/>
      <c r="AI238" s="1"/>
      <c r="AJ238" s="1"/>
      <c r="AK238" s="1"/>
      <c r="AL238" s="1"/>
      <c r="AM238" s="1"/>
      <c r="AN238" s="1"/>
      <c r="AO238" s="1"/>
      <c r="AP238" s="1"/>
    </row>
    <row r="239" spans="14:42" x14ac:dyDescent="0.25">
      <c r="N239">
        <v>2206</v>
      </c>
      <c r="O239">
        <v>2</v>
      </c>
      <c r="P239">
        <v>2</v>
      </c>
      <c r="Q239">
        <v>2</v>
      </c>
      <c r="R239">
        <v>0</v>
      </c>
      <c r="AG239" s="1"/>
      <c r="AH239" s="1"/>
      <c r="AI239" s="1"/>
      <c r="AJ239" s="1"/>
      <c r="AK239" s="1"/>
      <c r="AL239" s="1"/>
      <c r="AM239" s="1"/>
      <c r="AN239" s="1"/>
      <c r="AO239" s="1"/>
      <c r="AP239" s="1"/>
    </row>
    <row r="240" spans="14:42" x14ac:dyDescent="0.25">
      <c r="N240">
        <v>2207</v>
      </c>
      <c r="O240">
        <v>2</v>
      </c>
      <c r="P240">
        <v>2</v>
      </c>
      <c r="Q240">
        <v>2</v>
      </c>
      <c r="R240">
        <v>0</v>
      </c>
      <c r="AG240" s="1"/>
      <c r="AH240" s="1"/>
      <c r="AI240" s="1"/>
      <c r="AJ240" s="1"/>
      <c r="AK240" s="1"/>
      <c r="AL240" s="1"/>
      <c r="AM240" s="1"/>
      <c r="AN240" s="1"/>
      <c r="AO240" s="1"/>
      <c r="AP240" s="1"/>
    </row>
    <row r="241" spans="14:42" x14ac:dyDescent="0.25">
      <c r="N241">
        <v>2208</v>
      </c>
      <c r="O241">
        <v>2</v>
      </c>
      <c r="P241">
        <v>2</v>
      </c>
      <c r="Q241">
        <v>2</v>
      </c>
      <c r="R241">
        <v>0</v>
      </c>
      <c r="AG241" s="1"/>
      <c r="AH241" s="1"/>
      <c r="AI241" s="1"/>
      <c r="AJ241" s="1"/>
      <c r="AK241" s="1"/>
      <c r="AL241" s="1"/>
      <c r="AM241" s="1"/>
      <c r="AN241" s="1"/>
      <c r="AO241" s="1"/>
      <c r="AP241" s="1"/>
    </row>
    <row r="242" spans="14:42" x14ac:dyDescent="0.25">
      <c r="N242">
        <v>2209</v>
      </c>
      <c r="O242">
        <v>2</v>
      </c>
      <c r="P242">
        <v>2</v>
      </c>
      <c r="Q242">
        <v>2</v>
      </c>
      <c r="R242">
        <v>0</v>
      </c>
      <c r="AG242" s="1"/>
      <c r="AH242" s="1"/>
      <c r="AI242" s="1"/>
      <c r="AJ242" s="1"/>
      <c r="AK242" s="1"/>
      <c r="AL242" s="1"/>
      <c r="AM242" s="1"/>
      <c r="AN242" s="1"/>
      <c r="AO242" s="1"/>
      <c r="AP242" s="1"/>
    </row>
    <row r="243" spans="14:42" x14ac:dyDescent="0.25">
      <c r="N243">
        <v>2210</v>
      </c>
      <c r="O243">
        <v>2</v>
      </c>
      <c r="P243">
        <v>2</v>
      </c>
      <c r="Q243">
        <v>2</v>
      </c>
      <c r="R243">
        <v>0</v>
      </c>
      <c r="AG243" s="1"/>
      <c r="AH243" s="1"/>
      <c r="AI243" s="1"/>
      <c r="AJ243" s="1"/>
      <c r="AK243" s="1"/>
      <c r="AL243" s="1"/>
      <c r="AM243" s="1"/>
      <c r="AN243" s="1"/>
      <c r="AO243" s="1"/>
      <c r="AP243" s="1"/>
    </row>
    <row r="244" spans="14:42" x14ac:dyDescent="0.25">
      <c r="N244">
        <v>2211</v>
      </c>
      <c r="O244">
        <v>2</v>
      </c>
      <c r="P244">
        <v>2</v>
      </c>
      <c r="Q244">
        <v>2</v>
      </c>
      <c r="R244">
        <v>0</v>
      </c>
      <c r="AG244" s="1"/>
      <c r="AH244" s="1"/>
      <c r="AI244" s="1"/>
      <c r="AJ244" s="1"/>
      <c r="AK244" s="1"/>
      <c r="AL244" s="1"/>
      <c r="AM244" s="1"/>
      <c r="AN244" s="1"/>
      <c r="AO244" s="1"/>
      <c r="AP244" s="1"/>
    </row>
    <row r="245" spans="14:42" x14ac:dyDescent="0.25">
      <c r="N245">
        <v>2212</v>
      </c>
      <c r="O245">
        <v>2</v>
      </c>
      <c r="P245">
        <v>2</v>
      </c>
      <c r="Q245">
        <v>2</v>
      </c>
      <c r="R245">
        <v>0</v>
      </c>
      <c r="AG245" s="1"/>
      <c r="AH245" s="1"/>
      <c r="AI245" s="1"/>
      <c r="AJ245" s="1"/>
      <c r="AK245" s="1"/>
      <c r="AL245" s="1"/>
      <c r="AM245" s="1"/>
      <c r="AN245" s="1"/>
      <c r="AO245" s="1"/>
      <c r="AP245" s="1"/>
    </row>
    <row r="246" spans="14:42" x14ac:dyDescent="0.25">
      <c r="N246">
        <v>2213</v>
      </c>
      <c r="O246">
        <v>2</v>
      </c>
      <c r="P246">
        <v>2</v>
      </c>
      <c r="Q246">
        <v>2</v>
      </c>
      <c r="R246">
        <v>0</v>
      </c>
      <c r="AG246" s="1"/>
      <c r="AH246" s="1"/>
      <c r="AI246" s="1"/>
      <c r="AJ246" s="1"/>
      <c r="AK246" s="1"/>
      <c r="AL246" s="1"/>
      <c r="AM246" s="1"/>
      <c r="AN246" s="1"/>
      <c r="AO246" s="1"/>
      <c r="AP246" s="1"/>
    </row>
    <row r="247" spans="14:42" x14ac:dyDescent="0.25">
      <c r="N247">
        <v>2214</v>
      </c>
      <c r="O247">
        <v>2</v>
      </c>
      <c r="P247">
        <v>2</v>
      </c>
      <c r="Q247">
        <v>2</v>
      </c>
      <c r="R247">
        <v>0</v>
      </c>
      <c r="AG247" s="1"/>
      <c r="AH247" s="1"/>
      <c r="AI247" s="1"/>
      <c r="AJ247" s="1"/>
      <c r="AK247" s="1"/>
      <c r="AL247" s="1"/>
      <c r="AM247" s="1"/>
      <c r="AN247" s="1"/>
      <c r="AO247" s="1"/>
      <c r="AP247" s="1"/>
    </row>
    <row r="248" spans="14:42" x14ac:dyDescent="0.25">
      <c r="N248">
        <v>2215</v>
      </c>
      <c r="O248">
        <v>2</v>
      </c>
      <c r="P248">
        <v>2</v>
      </c>
      <c r="Q248">
        <v>2</v>
      </c>
      <c r="R248">
        <v>0</v>
      </c>
      <c r="AG248" s="1"/>
      <c r="AH248" s="1"/>
      <c r="AI248" s="1"/>
      <c r="AJ248" s="1"/>
      <c r="AK248" s="1"/>
      <c r="AL248" s="1"/>
      <c r="AM248" s="1"/>
      <c r="AN248" s="1"/>
      <c r="AO248" s="1"/>
      <c r="AP248" s="1"/>
    </row>
    <row r="249" spans="14:42" x14ac:dyDescent="0.25">
      <c r="N249">
        <v>2216</v>
      </c>
      <c r="O249">
        <v>2</v>
      </c>
      <c r="P249">
        <v>2</v>
      </c>
      <c r="Q249">
        <v>2</v>
      </c>
      <c r="R249">
        <v>0</v>
      </c>
      <c r="AG249" s="1"/>
      <c r="AH249" s="1"/>
      <c r="AI249" s="1"/>
      <c r="AJ249" s="1"/>
      <c r="AK249" s="1"/>
      <c r="AL249" s="1"/>
      <c r="AM249" s="1"/>
      <c r="AN249" s="1"/>
      <c r="AO249" s="1"/>
      <c r="AP249" s="1"/>
    </row>
    <row r="250" spans="14:42" x14ac:dyDescent="0.25">
      <c r="N250">
        <v>2217</v>
      </c>
      <c r="O250">
        <v>2</v>
      </c>
      <c r="P250">
        <v>2</v>
      </c>
      <c r="Q250">
        <v>2</v>
      </c>
      <c r="R250">
        <v>0</v>
      </c>
      <c r="AG250" s="1"/>
      <c r="AH250" s="1"/>
      <c r="AI250" s="1"/>
      <c r="AJ250" s="1"/>
      <c r="AK250" s="1"/>
      <c r="AL250" s="1"/>
      <c r="AM250" s="1"/>
      <c r="AN250" s="1"/>
      <c r="AO250" s="1"/>
      <c r="AP250" s="1"/>
    </row>
    <row r="251" spans="14:42" x14ac:dyDescent="0.25">
      <c r="N251">
        <v>2218</v>
      </c>
      <c r="O251">
        <v>2</v>
      </c>
      <c r="P251">
        <v>2</v>
      </c>
      <c r="Q251">
        <v>2</v>
      </c>
      <c r="R251">
        <v>0</v>
      </c>
      <c r="AG251" s="1"/>
      <c r="AH251" s="1"/>
      <c r="AI251" s="1"/>
      <c r="AJ251" s="1"/>
      <c r="AK251" s="1"/>
      <c r="AL251" s="1"/>
      <c r="AM251" s="1"/>
      <c r="AN251" s="1"/>
      <c r="AO251" s="1"/>
      <c r="AP251" s="1"/>
    </row>
    <row r="252" spans="14:42" x14ac:dyDescent="0.25">
      <c r="N252">
        <v>2219</v>
      </c>
      <c r="O252">
        <v>2</v>
      </c>
      <c r="P252">
        <v>2</v>
      </c>
      <c r="Q252">
        <v>2</v>
      </c>
      <c r="R252">
        <v>0</v>
      </c>
      <c r="AG252" s="1"/>
      <c r="AH252" s="1"/>
      <c r="AI252" s="1"/>
      <c r="AJ252" s="1"/>
      <c r="AK252" s="1"/>
      <c r="AL252" s="1"/>
      <c r="AM252" s="1"/>
      <c r="AN252" s="1"/>
      <c r="AO252" s="1"/>
      <c r="AP252" s="1"/>
    </row>
    <row r="253" spans="14:42" x14ac:dyDescent="0.25">
      <c r="N253">
        <v>2220</v>
      </c>
      <c r="O253">
        <v>2</v>
      </c>
      <c r="P253">
        <v>2</v>
      </c>
      <c r="Q253">
        <v>2</v>
      </c>
      <c r="R253">
        <v>0</v>
      </c>
      <c r="AG253" s="1"/>
      <c r="AH253" s="1"/>
      <c r="AI253" s="1"/>
      <c r="AJ253" s="1"/>
      <c r="AK253" s="1"/>
      <c r="AL253" s="1"/>
      <c r="AM253" s="1"/>
      <c r="AN253" s="1"/>
      <c r="AO253" s="1"/>
      <c r="AP253" s="1"/>
    </row>
    <row r="254" spans="14:42" x14ac:dyDescent="0.25">
      <c r="N254">
        <v>2221</v>
      </c>
      <c r="O254">
        <v>2</v>
      </c>
      <c r="P254">
        <v>2</v>
      </c>
      <c r="Q254">
        <v>2</v>
      </c>
      <c r="R254">
        <v>0</v>
      </c>
      <c r="AG254" s="1"/>
      <c r="AH254" s="1"/>
      <c r="AI254" s="1"/>
      <c r="AJ254" s="1"/>
      <c r="AK254" s="1"/>
      <c r="AL254" s="1"/>
      <c r="AM254" s="1"/>
      <c r="AN254" s="1"/>
      <c r="AO254" s="1"/>
      <c r="AP254" s="1"/>
    </row>
    <row r="255" spans="14:42" x14ac:dyDescent="0.25">
      <c r="N255">
        <v>2222</v>
      </c>
      <c r="O255">
        <v>2</v>
      </c>
      <c r="P255">
        <v>2</v>
      </c>
      <c r="Q255">
        <v>2</v>
      </c>
      <c r="R255">
        <v>0</v>
      </c>
      <c r="AG255" s="1"/>
      <c r="AH255" s="1"/>
      <c r="AI255" s="1"/>
      <c r="AJ255" s="1"/>
      <c r="AK255" s="1"/>
      <c r="AL255" s="1"/>
      <c r="AM255" s="1"/>
      <c r="AN255" s="1"/>
      <c r="AO255" s="1"/>
      <c r="AP255" s="1"/>
    </row>
    <row r="256" spans="14:42" x14ac:dyDescent="0.25">
      <c r="N256">
        <v>2223</v>
      </c>
      <c r="O256">
        <v>2</v>
      </c>
      <c r="P256">
        <v>2</v>
      </c>
      <c r="Q256">
        <v>2</v>
      </c>
      <c r="R256">
        <v>0</v>
      </c>
      <c r="AG256" s="1"/>
      <c r="AH256" s="1"/>
      <c r="AI256" s="1"/>
      <c r="AJ256" s="1"/>
      <c r="AK256" s="1"/>
      <c r="AL256" s="1"/>
      <c r="AM256" s="1"/>
      <c r="AN256" s="1"/>
      <c r="AO256" s="1"/>
      <c r="AP256" s="1"/>
    </row>
    <row r="257" spans="14:42" x14ac:dyDescent="0.25">
      <c r="N257">
        <v>2224</v>
      </c>
      <c r="O257">
        <v>2</v>
      </c>
      <c r="P257">
        <v>2</v>
      </c>
      <c r="Q257">
        <v>2</v>
      </c>
      <c r="R257">
        <v>0</v>
      </c>
      <c r="AG257" s="1"/>
      <c r="AH257" s="1"/>
      <c r="AI257" s="1"/>
      <c r="AJ257" s="1"/>
      <c r="AK257" s="1"/>
      <c r="AL257" s="1"/>
      <c r="AM257" s="1"/>
      <c r="AN257" s="1"/>
      <c r="AO257" s="1"/>
      <c r="AP257" s="1"/>
    </row>
    <row r="258" spans="14:42" x14ac:dyDescent="0.25">
      <c r="N258">
        <v>2225</v>
      </c>
      <c r="O258">
        <v>2</v>
      </c>
      <c r="P258">
        <v>2</v>
      </c>
      <c r="Q258">
        <v>2</v>
      </c>
      <c r="R258">
        <v>0</v>
      </c>
      <c r="AG258" s="1"/>
      <c r="AH258" s="1"/>
      <c r="AI258" s="1"/>
      <c r="AJ258" s="1"/>
      <c r="AK258" s="1"/>
      <c r="AL258" s="1"/>
      <c r="AM258" s="1"/>
      <c r="AN258" s="1"/>
      <c r="AO258" s="1"/>
      <c r="AP258" s="1"/>
    </row>
    <row r="259" spans="14:42" x14ac:dyDescent="0.25">
      <c r="N259">
        <v>2226</v>
      </c>
      <c r="O259">
        <v>2</v>
      </c>
      <c r="P259">
        <v>2</v>
      </c>
      <c r="Q259">
        <v>2</v>
      </c>
      <c r="R259">
        <v>0</v>
      </c>
      <c r="AG259" s="1"/>
      <c r="AH259" s="1"/>
      <c r="AI259" s="1"/>
      <c r="AJ259" s="1"/>
      <c r="AK259" s="1"/>
      <c r="AL259" s="1"/>
      <c r="AM259" s="1"/>
      <c r="AN259" s="1"/>
      <c r="AO259" s="1"/>
      <c r="AP259" s="1"/>
    </row>
    <row r="260" spans="14:42" x14ac:dyDescent="0.25">
      <c r="N260">
        <v>2227</v>
      </c>
      <c r="O260">
        <v>2</v>
      </c>
      <c r="P260">
        <v>2</v>
      </c>
      <c r="Q260">
        <v>2</v>
      </c>
      <c r="R260">
        <v>0</v>
      </c>
      <c r="AG260" s="1"/>
      <c r="AH260" s="1"/>
      <c r="AI260" s="1"/>
      <c r="AJ260" s="1"/>
      <c r="AK260" s="1"/>
      <c r="AL260" s="1"/>
      <c r="AM260" s="1"/>
      <c r="AN260" s="1"/>
      <c r="AO260" s="1"/>
      <c r="AP260" s="1"/>
    </row>
    <row r="261" spans="14:42" x14ac:dyDescent="0.25">
      <c r="N261">
        <v>2228</v>
      </c>
      <c r="O261">
        <v>2</v>
      </c>
      <c r="P261">
        <v>2</v>
      </c>
      <c r="Q261">
        <v>2</v>
      </c>
      <c r="R261">
        <v>0</v>
      </c>
      <c r="AG261" s="1"/>
      <c r="AH261" s="1"/>
      <c r="AI261" s="1"/>
      <c r="AJ261" s="1"/>
      <c r="AK261" s="1"/>
      <c r="AL261" s="1"/>
      <c r="AM261" s="1"/>
      <c r="AN261" s="1"/>
      <c r="AO261" s="1"/>
      <c r="AP261" s="1"/>
    </row>
    <row r="262" spans="14:42" x14ac:dyDescent="0.25">
      <c r="N262">
        <v>2229</v>
      </c>
      <c r="O262">
        <v>2</v>
      </c>
      <c r="P262">
        <v>2</v>
      </c>
      <c r="Q262">
        <v>2</v>
      </c>
      <c r="R262">
        <v>0</v>
      </c>
      <c r="AG262" s="1"/>
      <c r="AH262" s="1"/>
      <c r="AI262" s="1"/>
      <c r="AJ262" s="1"/>
      <c r="AK262" s="1"/>
      <c r="AL262" s="1"/>
      <c r="AM262" s="1"/>
      <c r="AN262" s="1"/>
      <c r="AO262" s="1"/>
      <c r="AP262" s="1"/>
    </row>
    <row r="263" spans="14:42" x14ac:dyDescent="0.25">
      <c r="N263">
        <v>2230</v>
      </c>
      <c r="O263">
        <v>2</v>
      </c>
      <c r="P263">
        <v>2</v>
      </c>
      <c r="Q263">
        <v>2</v>
      </c>
      <c r="R263">
        <v>0</v>
      </c>
      <c r="AG263" s="1"/>
      <c r="AH263" s="1"/>
      <c r="AI263" s="1"/>
      <c r="AJ263" s="1"/>
      <c r="AK263" s="1"/>
      <c r="AL263" s="1"/>
      <c r="AM263" s="1"/>
      <c r="AN263" s="1"/>
      <c r="AO263" s="1"/>
      <c r="AP263" s="1"/>
    </row>
    <row r="264" spans="14:42" x14ac:dyDescent="0.25">
      <c r="N264">
        <v>2231</v>
      </c>
      <c r="O264">
        <v>2</v>
      </c>
      <c r="P264">
        <v>2</v>
      </c>
      <c r="Q264">
        <v>2</v>
      </c>
      <c r="R264">
        <v>0</v>
      </c>
      <c r="AG264" s="1"/>
      <c r="AH264" s="1"/>
      <c r="AI264" s="1"/>
      <c r="AJ264" s="1"/>
      <c r="AK264" s="1"/>
      <c r="AL264" s="1"/>
      <c r="AM264" s="1"/>
      <c r="AN264" s="1"/>
      <c r="AO264" s="1"/>
      <c r="AP264" s="1"/>
    </row>
    <row r="265" spans="14:42" x14ac:dyDescent="0.25">
      <c r="N265">
        <v>2232</v>
      </c>
      <c r="O265">
        <v>2</v>
      </c>
      <c r="P265">
        <v>2</v>
      </c>
      <c r="Q265">
        <v>2</v>
      </c>
      <c r="R265">
        <v>0</v>
      </c>
      <c r="AG265" s="1"/>
      <c r="AH265" s="1"/>
      <c r="AI265" s="1"/>
      <c r="AJ265" s="1"/>
      <c r="AK265" s="1"/>
      <c r="AL265" s="1"/>
      <c r="AM265" s="1"/>
      <c r="AN265" s="1"/>
      <c r="AO265" s="1"/>
      <c r="AP265" s="1"/>
    </row>
    <row r="266" spans="14:42" x14ac:dyDescent="0.25">
      <c r="N266">
        <v>2233</v>
      </c>
      <c r="O266">
        <v>2</v>
      </c>
      <c r="P266">
        <v>2</v>
      </c>
      <c r="Q266">
        <v>2</v>
      </c>
      <c r="R266">
        <v>0</v>
      </c>
      <c r="AG266" s="1"/>
      <c r="AH266" s="1"/>
      <c r="AI266" s="1"/>
      <c r="AJ266" s="1"/>
      <c r="AK266" s="1"/>
      <c r="AL266" s="1"/>
      <c r="AM266" s="1"/>
      <c r="AN266" s="1"/>
      <c r="AO266" s="1"/>
      <c r="AP266" s="1"/>
    </row>
    <row r="267" spans="14:42" x14ac:dyDescent="0.25">
      <c r="N267">
        <v>2234</v>
      </c>
      <c r="O267">
        <v>2</v>
      </c>
      <c r="P267">
        <v>2</v>
      </c>
      <c r="Q267">
        <v>2</v>
      </c>
      <c r="R267">
        <v>0</v>
      </c>
      <c r="AG267" s="1"/>
      <c r="AH267" s="1"/>
      <c r="AI267" s="1"/>
      <c r="AJ267" s="1"/>
      <c r="AK267" s="1"/>
      <c r="AL267" s="1"/>
      <c r="AM267" s="1"/>
      <c r="AN267" s="1"/>
      <c r="AO267" s="1"/>
      <c r="AP267" s="1"/>
    </row>
    <row r="268" spans="14:42" x14ac:dyDescent="0.25">
      <c r="N268">
        <v>2235</v>
      </c>
      <c r="O268">
        <v>2</v>
      </c>
      <c r="P268">
        <v>2</v>
      </c>
      <c r="Q268">
        <v>2</v>
      </c>
      <c r="R268">
        <v>0</v>
      </c>
      <c r="AG268" s="1"/>
      <c r="AH268" s="1"/>
      <c r="AI268" s="1"/>
      <c r="AJ268" s="1"/>
      <c r="AK268" s="1"/>
      <c r="AL268" s="1"/>
      <c r="AM268" s="1"/>
      <c r="AN268" s="1"/>
      <c r="AO268" s="1"/>
      <c r="AP268" s="1"/>
    </row>
    <row r="269" spans="14:42" x14ac:dyDescent="0.25">
      <c r="N269">
        <v>2236</v>
      </c>
      <c r="O269">
        <v>2</v>
      </c>
      <c r="P269">
        <v>2</v>
      </c>
      <c r="Q269">
        <v>2</v>
      </c>
      <c r="R269">
        <v>0</v>
      </c>
      <c r="AG269" s="1"/>
      <c r="AH269" s="1"/>
      <c r="AI269" s="1"/>
      <c r="AJ269" s="1"/>
      <c r="AK269" s="1"/>
      <c r="AL269" s="1"/>
      <c r="AM269" s="1"/>
      <c r="AN269" s="1"/>
      <c r="AO269" s="1"/>
      <c r="AP269" s="1"/>
    </row>
    <row r="270" spans="14:42" x14ac:dyDescent="0.25">
      <c r="N270">
        <v>2237</v>
      </c>
      <c r="O270">
        <v>2</v>
      </c>
      <c r="P270">
        <v>2</v>
      </c>
      <c r="Q270">
        <v>2</v>
      </c>
      <c r="R270">
        <v>0</v>
      </c>
      <c r="AG270" s="1"/>
      <c r="AH270" s="1"/>
      <c r="AI270" s="1"/>
      <c r="AJ270" s="1"/>
      <c r="AK270" s="1"/>
      <c r="AL270" s="1"/>
      <c r="AM270" s="1"/>
      <c r="AN270" s="1"/>
      <c r="AO270" s="1"/>
      <c r="AP270" s="1"/>
    </row>
    <row r="271" spans="14:42" x14ac:dyDescent="0.25">
      <c r="N271">
        <v>2238</v>
      </c>
      <c r="O271">
        <v>2</v>
      </c>
      <c r="P271">
        <v>2</v>
      </c>
      <c r="Q271">
        <v>2</v>
      </c>
      <c r="R271">
        <v>0</v>
      </c>
      <c r="AG271" s="1"/>
      <c r="AH271" s="1"/>
      <c r="AI271" s="1"/>
      <c r="AJ271" s="1"/>
      <c r="AK271" s="1"/>
      <c r="AL271" s="1"/>
      <c r="AM271" s="1"/>
      <c r="AN271" s="1"/>
      <c r="AO271" s="1"/>
      <c r="AP271" s="1"/>
    </row>
    <row r="272" spans="14:42" x14ac:dyDescent="0.25">
      <c r="N272">
        <v>2239</v>
      </c>
      <c r="O272">
        <v>2</v>
      </c>
      <c r="P272">
        <v>2</v>
      </c>
      <c r="Q272">
        <v>2</v>
      </c>
      <c r="R272">
        <v>0</v>
      </c>
      <c r="AG272" s="1"/>
      <c r="AH272" s="1"/>
      <c r="AI272" s="1"/>
      <c r="AJ272" s="1"/>
      <c r="AK272" s="1"/>
      <c r="AL272" s="1"/>
      <c r="AM272" s="1"/>
      <c r="AN272" s="1"/>
      <c r="AO272" s="1"/>
      <c r="AP272" s="1"/>
    </row>
    <row r="273" spans="14:42" x14ac:dyDescent="0.25">
      <c r="N273">
        <v>2240</v>
      </c>
      <c r="O273">
        <v>2</v>
      </c>
      <c r="P273">
        <v>2</v>
      </c>
      <c r="Q273">
        <v>2</v>
      </c>
      <c r="R273">
        <v>0</v>
      </c>
      <c r="AG273" s="1"/>
      <c r="AH273" s="1"/>
      <c r="AI273" s="1"/>
      <c r="AJ273" s="1"/>
      <c r="AK273" s="1"/>
      <c r="AL273" s="1"/>
      <c r="AM273" s="1"/>
      <c r="AN273" s="1"/>
      <c r="AO273" s="1"/>
      <c r="AP273" s="1"/>
    </row>
    <row r="274" spans="14:42" x14ac:dyDescent="0.25">
      <c r="N274">
        <v>2241</v>
      </c>
      <c r="O274">
        <v>2</v>
      </c>
      <c r="P274">
        <v>2</v>
      </c>
      <c r="Q274">
        <v>2</v>
      </c>
      <c r="R274">
        <v>0</v>
      </c>
      <c r="AG274" s="1"/>
      <c r="AH274" s="1"/>
      <c r="AI274" s="1"/>
      <c r="AJ274" s="1"/>
      <c r="AK274" s="1"/>
      <c r="AL274" s="1"/>
      <c r="AM274" s="1"/>
      <c r="AN274" s="1"/>
      <c r="AO274" s="1"/>
      <c r="AP274" s="1"/>
    </row>
    <row r="275" spans="14:42" x14ac:dyDescent="0.25">
      <c r="N275">
        <v>2242</v>
      </c>
      <c r="O275">
        <v>2</v>
      </c>
      <c r="P275">
        <v>2</v>
      </c>
      <c r="Q275">
        <v>2</v>
      </c>
      <c r="R275">
        <v>0</v>
      </c>
      <c r="AG275" s="1"/>
      <c r="AH275" s="1"/>
      <c r="AI275" s="1"/>
      <c r="AJ275" s="1"/>
      <c r="AK275" s="1"/>
      <c r="AL275" s="1"/>
      <c r="AM275" s="1"/>
      <c r="AN275" s="1"/>
      <c r="AO275" s="1"/>
      <c r="AP275" s="1"/>
    </row>
    <row r="276" spans="14:42" x14ac:dyDescent="0.25">
      <c r="N276">
        <v>2243</v>
      </c>
      <c r="O276">
        <v>2</v>
      </c>
      <c r="P276">
        <v>2</v>
      </c>
      <c r="Q276">
        <v>2</v>
      </c>
      <c r="R276">
        <v>0</v>
      </c>
      <c r="AG276" s="1"/>
      <c r="AH276" s="1"/>
      <c r="AI276" s="1"/>
      <c r="AJ276" s="1"/>
      <c r="AK276" s="1"/>
      <c r="AL276" s="1"/>
      <c r="AM276" s="1"/>
      <c r="AN276" s="1"/>
      <c r="AO276" s="1"/>
      <c r="AP276" s="1"/>
    </row>
    <row r="277" spans="14:42" x14ac:dyDescent="0.25">
      <c r="N277">
        <v>2244</v>
      </c>
      <c r="O277">
        <v>2</v>
      </c>
      <c r="P277">
        <v>2</v>
      </c>
      <c r="Q277">
        <v>2</v>
      </c>
      <c r="R277">
        <v>0</v>
      </c>
      <c r="AG277" s="1"/>
      <c r="AH277" s="1"/>
      <c r="AI277" s="1"/>
      <c r="AJ277" s="1"/>
      <c r="AK277" s="1"/>
      <c r="AL277" s="1"/>
      <c r="AM277" s="1"/>
      <c r="AN277" s="1"/>
      <c r="AO277" s="1"/>
      <c r="AP277" s="1"/>
    </row>
    <row r="278" spans="14:42" x14ac:dyDescent="0.25">
      <c r="N278">
        <v>2245</v>
      </c>
      <c r="O278">
        <v>2</v>
      </c>
      <c r="P278">
        <v>2</v>
      </c>
      <c r="Q278">
        <v>2</v>
      </c>
      <c r="R278">
        <v>0</v>
      </c>
      <c r="AG278" s="1"/>
      <c r="AH278" s="1"/>
      <c r="AI278" s="1"/>
      <c r="AJ278" s="1"/>
      <c r="AK278" s="1"/>
      <c r="AL278" s="1"/>
      <c r="AM278" s="1"/>
      <c r="AN278" s="1"/>
      <c r="AO278" s="1"/>
      <c r="AP278" s="1"/>
    </row>
    <row r="279" spans="14:42" x14ac:dyDescent="0.25">
      <c r="N279">
        <v>2246</v>
      </c>
      <c r="O279">
        <v>2</v>
      </c>
      <c r="P279">
        <v>2</v>
      </c>
      <c r="Q279">
        <v>2</v>
      </c>
      <c r="R279">
        <v>0</v>
      </c>
      <c r="AG279" s="1"/>
      <c r="AH279" s="1"/>
      <c r="AI279" s="1"/>
      <c r="AJ279" s="1"/>
      <c r="AK279" s="1"/>
      <c r="AL279" s="1"/>
      <c r="AM279" s="1"/>
      <c r="AN279" s="1"/>
      <c r="AO279" s="1"/>
      <c r="AP279" s="1"/>
    </row>
    <row r="280" spans="14:42" x14ac:dyDescent="0.25">
      <c r="N280">
        <v>2247</v>
      </c>
      <c r="O280">
        <v>2</v>
      </c>
      <c r="P280">
        <v>2</v>
      </c>
      <c r="Q280">
        <v>2</v>
      </c>
      <c r="R280">
        <v>0</v>
      </c>
      <c r="AG280" s="1"/>
      <c r="AH280" s="1"/>
      <c r="AI280" s="1"/>
      <c r="AJ280" s="1"/>
      <c r="AK280" s="1"/>
      <c r="AL280" s="1"/>
      <c r="AM280" s="1"/>
      <c r="AN280" s="1"/>
      <c r="AO280" s="1"/>
      <c r="AP280" s="1"/>
    </row>
    <row r="281" spans="14:42" x14ac:dyDescent="0.25">
      <c r="N281">
        <v>2248</v>
      </c>
      <c r="O281">
        <v>2</v>
      </c>
      <c r="P281">
        <v>2</v>
      </c>
      <c r="Q281">
        <v>2</v>
      </c>
      <c r="R281">
        <v>0</v>
      </c>
      <c r="AG281" s="1"/>
      <c r="AH281" s="1"/>
      <c r="AI281" s="1"/>
      <c r="AJ281" s="1"/>
      <c r="AK281" s="1"/>
      <c r="AL281" s="1"/>
      <c r="AM281" s="1"/>
      <c r="AN281" s="1"/>
      <c r="AO281" s="1"/>
      <c r="AP281" s="1"/>
    </row>
    <row r="282" spans="14:42" x14ac:dyDescent="0.25">
      <c r="N282">
        <v>2249</v>
      </c>
      <c r="O282">
        <v>2</v>
      </c>
      <c r="P282">
        <v>2</v>
      </c>
      <c r="Q282">
        <v>2</v>
      </c>
      <c r="R282">
        <v>0</v>
      </c>
      <c r="AG282" s="1"/>
      <c r="AH282" s="1"/>
      <c r="AI282" s="1"/>
      <c r="AJ282" s="1"/>
      <c r="AK282" s="1"/>
      <c r="AL282" s="1"/>
      <c r="AM282" s="1"/>
      <c r="AN282" s="1"/>
      <c r="AO282" s="1"/>
      <c r="AP282" s="1"/>
    </row>
    <row r="283" spans="14:42" x14ac:dyDescent="0.25">
      <c r="N283">
        <v>2250</v>
      </c>
      <c r="O283">
        <v>2</v>
      </c>
      <c r="P283">
        <v>2</v>
      </c>
      <c r="Q283">
        <v>2</v>
      </c>
      <c r="R283">
        <v>0</v>
      </c>
      <c r="AG283" s="1"/>
      <c r="AH283" s="1"/>
      <c r="AI283" s="1"/>
      <c r="AJ283" s="1"/>
      <c r="AK283" s="1"/>
      <c r="AL283" s="1"/>
      <c r="AM283" s="1"/>
      <c r="AN283" s="1"/>
      <c r="AO283" s="1"/>
      <c r="AP283" s="1"/>
    </row>
    <row r="284" spans="14:42" x14ac:dyDescent="0.25">
      <c r="N284">
        <v>2251</v>
      </c>
      <c r="O284">
        <v>2</v>
      </c>
      <c r="P284">
        <v>2</v>
      </c>
      <c r="Q284">
        <v>2</v>
      </c>
      <c r="R284">
        <v>0</v>
      </c>
      <c r="AG284" s="1"/>
      <c r="AH284" s="1"/>
      <c r="AI284" s="1"/>
      <c r="AJ284" s="1"/>
      <c r="AK284" s="1"/>
      <c r="AL284" s="1"/>
      <c r="AM284" s="1"/>
      <c r="AN284" s="1"/>
      <c r="AO284" s="1"/>
      <c r="AP284" s="1"/>
    </row>
    <row r="285" spans="14:42" x14ac:dyDescent="0.25">
      <c r="N285">
        <v>2252</v>
      </c>
      <c r="O285">
        <v>2</v>
      </c>
      <c r="P285">
        <v>2</v>
      </c>
      <c r="Q285">
        <v>2</v>
      </c>
      <c r="R285">
        <v>0</v>
      </c>
      <c r="AG285" s="1"/>
      <c r="AH285" s="1"/>
      <c r="AI285" s="1"/>
      <c r="AJ285" s="1"/>
      <c r="AK285" s="1"/>
      <c r="AL285" s="1"/>
      <c r="AM285" s="1"/>
      <c r="AN285" s="1"/>
      <c r="AO285" s="1"/>
      <c r="AP285" s="1"/>
    </row>
    <row r="286" spans="14:42" x14ac:dyDescent="0.25">
      <c r="N286">
        <v>2253</v>
      </c>
      <c r="O286">
        <v>2</v>
      </c>
      <c r="P286">
        <v>2</v>
      </c>
      <c r="Q286">
        <v>2</v>
      </c>
      <c r="R286">
        <v>0</v>
      </c>
      <c r="AG286" s="1"/>
      <c r="AH286" s="1"/>
      <c r="AI286" s="1"/>
      <c r="AJ286" s="1"/>
      <c r="AK286" s="1"/>
      <c r="AL286" s="1"/>
      <c r="AM286" s="1"/>
      <c r="AN286" s="1"/>
      <c r="AO286" s="1"/>
      <c r="AP286" s="1"/>
    </row>
    <row r="287" spans="14:42" x14ac:dyDescent="0.25">
      <c r="N287">
        <v>2254</v>
      </c>
      <c r="O287">
        <v>2</v>
      </c>
      <c r="P287">
        <v>2</v>
      </c>
      <c r="Q287">
        <v>2</v>
      </c>
      <c r="R287">
        <v>0</v>
      </c>
      <c r="AG287" s="1"/>
      <c r="AH287" s="1"/>
      <c r="AI287" s="1"/>
      <c r="AJ287" s="1"/>
      <c r="AK287" s="1"/>
      <c r="AL287" s="1"/>
      <c r="AM287" s="1"/>
      <c r="AN287" s="1"/>
      <c r="AO287" s="1"/>
      <c r="AP287" s="1"/>
    </row>
    <row r="288" spans="14:42" x14ac:dyDescent="0.25">
      <c r="N288">
        <v>2255</v>
      </c>
      <c r="O288">
        <v>2</v>
      </c>
      <c r="P288">
        <v>2</v>
      </c>
      <c r="Q288">
        <v>2</v>
      </c>
      <c r="R288">
        <v>0</v>
      </c>
      <c r="AG288" s="1"/>
      <c r="AH288" s="1"/>
      <c r="AI288" s="1"/>
      <c r="AJ288" s="1"/>
      <c r="AK288" s="1"/>
      <c r="AL288" s="1"/>
      <c r="AM288" s="1"/>
      <c r="AN288" s="1"/>
      <c r="AO288" s="1"/>
      <c r="AP288" s="1"/>
    </row>
    <row r="289" spans="14:42" x14ac:dyDescent="0.25">
      <c r="N289">
        <v>2256</v>
      </c>
      <c r="O289">
        <v>2</v>
      </c>
      <c r="P289">
        <v>2</v>
      </c>
      <c r="Q289">
        <v>2</v>
      </c>
      <c r="R289">
        <v>0</v>
      </c>
      <c r="AG289" s="1"/>
      <c r="AH289" s="1"/>
      <c r="AI289" s="1"/>
      <c r="AJ289" s="1"/>
      <c r="AK289" s="1"/>
      <c r="AL289" s="1"/>
      <c r="AM289" s="1"/>
      <c r="AN289" s="1"/>
      <c r="AO289" s="1"/>
      <c r="AP289" s="1"/>
    </row>
    <row r="290" spans="14:42" x14ac:dyDescent="0.25">
      <c r="N290">
        <v>2257</v>
      </c>
      <c r="O290">
        <v>2</v>
      </c>
      <c r="P290">
        <v>2</v>
      </c>
      <c r="Q290">
        <v>2</v>
      </c>
      <c r="R290">
        <v>0</v>
      </c>
      <c r="AG290" s="1"/>
      <c r="AH290" s="1"/>
      <c r="AI290" s="1"/>
      <c r="AJ290" s="1"/>
      <c r="AK290" s="1"/>
      <c r="AL290" s="1"/>
      <c r="AM290" s="1"/>
      <c r="AN290" s="1"/>
      <c r="AO290" s="1"/>
      <c r="AP290" s="1"/>
    </row>
    <row r="291" spans="14:42" x14ac:dyDescent="0.25">
      <c r="N291">
        <v>2258</v>
      </c>
      <c r="O291">
        <v>2</v>
      </c>
      <c r="P291">
        <v>2</v>
      </c>
      <c r="Q291">
        <v>2</v>
      </c>
      <c r="R291">
        <v>0</v>
      </c>
      <c r="AG291" s="1"/>
      <c r="AH291" s="1"/>
      <c r="AI291" s="1"/>
      <c r="AJ291" s="1"/>
      <c r="AK291" s="1"/>
      <c r="AL291" s="1"/>
      <c r="AM291" s="1"/>
      <c r="AN291" s="1"/>
      <c r="AO291" s="1"/>
      <c r="AP291" s="1"/>
    </row>
    <row r="292" spans="14:42" x14ac:dyDescent="0.25">
      <c r="N292">
        <v>2259</v>
      </c>
      <c r="O292">
        <v>2</v>
      </c>
      <c r="P292">
        <v>2</v>
      </c>
      <c r="Q292">
        <v>2</v>
      </c>
      <c r="R292">
        <v>0</v>
      </c>
      <c r="AG292" s="1"/>
      <c r="AH292" s="1"/>
      <c r="AI292" s="1"/>
      <c r="AJ292" s="1"/>
      <c r="AK292" s="1"/>
      <c r="AL292" s="1"/>
      <c r="AM292" s="1"/>
      <c r="AN292" s="1"/>
      <c r="AO292" s="1"/>
      <c r="AP292" s="1"/>
    </row>
    <row r="293" spans="14:42" x14ac:dyDescent="0.25">
      <c r="N293">
        <v>2260</v>
      </c>
      <c r="O293">
        <v>2</v>
      </c>
      <c r="P293">
        <v>2</v>
      </c>
      <c r="Q293">
        <v>2</v>
      </c>
      <c r="R293">
        <v>0</v>
      </c>
      <c r="AG293" s="1"/>
      <c r="AH293" s="1"/>
      <c r="AI293" s="1"/>
      <c r="AJ293" s="1"/>
      <c r="AK293" s="1"/>
      <c r="AL293" s="1"/>
      <c r="AM293" s="1"/>
      <c r="AN293" s="1"/>
      <c r="AO293" s="1"/>
      <c r="AP293" s="1"/>
    </row>
    <row r="294" spans="14:42" x14ac:dyDescent="0.25">
      <c r="N294">
        <v>2261</v>
      </c>
      <c r="O294">
        <v>2</v>
      </c>
      <c r="P294">
        <v>2</v>
      </c>
      <c r="Q294">
        <v>2</v>
      </c>
      <c r="R294">
        <v>0</v>
      </c>
      <c r="AG294" s="1"/>
      <c r="AH294" s="1"/>
      <c r="AI294" s="1"/>
      <c r="AJ294" s="1"/>
      <c r="AK294" s="1"/>
      <c r="AL294" s="1"/>
      <c r="AM294" s="1"/>
      <c r="AN294" s="1"/>
      <c r="AO294" s="1"/>
      <c r="AP294" s="1"/>
    </row>
    <row r="295" spans="14:42" x14ac:dyDescent="0.25">
      <c r="N295">
        <v>2262</v>
      </c>
      <c r="O295">
        <v>2</v>
      </c>
      <c r="P295">
        <v>2</v>
      </c>
      <c r="Q295">
        <v>2</v>
      </c>
      <c r="R295">
        <v>0</v>
      </c>
      <c r="AG295" s="1"/>
      <c r="AH295" s="1"/>
      <c r="AI295" s="1"/>
      <c r="AJ295" s="1"/>
      <c r="AK295" s="1"/>
      <c r="AL295" s="1"/>
      <c r="AM295" s="1"/>
      <c r="AN295" s="1"/>
      <c r="AO295" s="1"/>
      <c r="AP295" s="1"/>
    </row>
    <row r="296" spans="14:42" x14ac:dyDescent="0.25">
      <c r="N296">
        <v>2263</v>
      </c>
      <c r="O296">
        <v>2</v>
      </c>
      <c r="P296">
        <v>2</v>
      </c>
      <c r="Q296">
        <v>2</v>
      </c>
      <c r="R296">
        <v>0</v>
      </c>
      <c r="AG296" s="1"/>
      <c r="AH296" s="1"/>
      <c r="AI296" s="1"/>
      <c r="AJ296" s="1"/>
      <c r="AK296" s="1"/>
      <c r="AL296" s="1"/>
      <c r="AM296" s="1"/>
      <c r="AN296" s="1"/>
      <c r="AO296" s="1"/>
      <c r="AP296" s="1"/>
    </row>
    <row r="297" spans="14:42" x14ac:dyDescent="0.25">
      <c r="N297">
        <v>2264</v>
      </c>
      <c r="O297">
        <v>2</v>
      </c>
      <c r="P297">
        <v>2</v>
      </c>
      <c r="Q297">
        <v>2</v>
      </c>
      <c r="R297">
        <v>0</v>
      </c>
      <c r="AG297" s="1"/>
      <c r="AH297" s="1"/>
      <c r="AI297" s="1"/>
      <c r="AJ297" s="1"/>
      <c r="AK297" s="1"/>
      <c r="AL297" s="1"/>
      <c r="AM297" s="1"/>
      <c r="AN297" s="1"/>
      <c r="AO297" s="1"/>
      <c r="AP297" s="1"/>
    </row>
    <row r="298" spans="14:42" x14ac:dyDescent="0.25">
      <c r="N298">
        <v>2265</v>
      </c>
      <c r="O298">
        <v>2</v>
      </c>
      <c r="P298">
        <v>2</v>
      </c>
      <c r="Q298">
        <v>2</v>
      </c>
      <c r="R298">
        <v>0</v>
      </c>
      <c r="AG298" s="1"/>
      <c r="AH298" s="1"/>
      <c r="AI298" s="1"/>
      <c r="AJ298" s="1"/>
      <c r="AK298" s="1"/>
      <c r="AL298" s="1"/>
      <c r="AM298" s="1"/>
      <c r="AN298" s="1"/>
      <c r="AO298" s="1"/>
      <c r="AP298" s="1"/>
    </row>
    <row r="299" spans="14:42" x14ac:dyDescent="0.25">
      <c r="N299">
        <v>2266</v>
      </c>
      <c r="O299">
        <v>2</v>
      </c>
      <c r="P299">
        <v>2</v>
      </c>
      <c r="Q299">
        <v>2</v>
      </c>
      <c r="R299">
        <v>0</v>
      </c>
      <c r="AG299" s="1"/>
      <c r="AH299" s="1"/>
      <c r="AI299" s="1"/>
      <c r="AJ299" s="1"/>
      <c r="AK299" s="1"/>
      <c r="AL299" s="1"/>
      <c r="AM299" s="1"/>
      <c r="AN299" s="1"/>
      <c r="AO299" s="1"/>
      <c r="AP299" s="1"/>
    </row>
    <row r="300" spans="14:42" x14ac:dyDescent="0.25">
      <c r="N300">
        <v>2267</v>
      </c>
      <c r="O300">
        <v>2</v>
      </c>
      <c r="P300">
        <v>2</v>
      </c>
      <c r="Q300">
        <v>2</v>
      </c>
      <c r="R300">
        <v>0</v>
      </c>
      <c r="AG300" s="1"/>
      <c r="AH300" s="1"/>
      <c r="AI300" s="1"/>
      <c r="AJ300" s="1"/>
      <c r="AK300" s="1"/>
      <c r="AL300" s="1"/>
      <c r="AM300" s="1"/>
      <c r="AN300" s="1"/>
      <c r="AO300" s="1"/>
      <c r="AP300" s="1"/>
    </row>
    <row r="301" spans="14:42" x14ac:dyDescent="0.25">
      <c r="N301">
        <v>2268</v>
      </c>
      <c r="O301">
        <v>2</v>
      </c>
      <c r="P301">
        <v>2</v>
      </c>
      <c r="Q301">
        <v>2</v>
      </c>
      <c r="R301">
        <v>0</v>
      </c>
      <c r="AG301" s="1"/>
      <c r="AH301" s="1"/>
      <c r="AI301" s="1"/>
      <c r="AJ301" s="1"/>
      <c r="AK301" s="1"/>
      <c r="AL301" s="1"/>
      <c r="AM301" s="1"/>
      <c r="AN301" s="1"/>
      <c r="AO301" s="1"/>
      <c r="AP301" s="1"/>
    </row>
    <row r="302" spans="14:42" x14ac:dyDescent="0.25">
      <c r="N302">
        <v>2269</v>
      </c>
      <c r="O302">
        <v>2</v>
      </c>
      <c r="P302">
        <v>2</v>
      </c>
      <c r="Q302">
        <v>2</v>
      </c>
      <c r="R302">
        <v>0</v>
      </c>
      <c r="AG302" s="1"/>
      <c r="AH302" s="1"/>
      <c r="AI302" s="1"/>
      <c r="AJ302" s="1"/>
      <c r="AK302" s="1"/>
      <c r="AL302" s="1"/>
      <c r="AM302" s="1"/>
      <c r="AN302" s="1"/>
      <c r="AO302" s="1"/>
      <c r="AP302" s="1"/>
    </row>
    <row r="303" spans="14:42" x14ac:dyDescent="0.25">
      <c r="N303">
        <v>2270</v>
      </c>
      <c r="O303">
        <v>2</v>
      </c>
      <c r="P303">
        <v>2</v>
      </c>
      <c r="Q303">
        <v>2</v>
      </c>
      <c r="R303">
        <v>0</v>
      </c>
      <c r="AG303" s="1"/>
      <c r="AH303" s="1"/>
      <c r="AI303" s="1"/>
      <c r="AJ303" s="1"/>
      <c r="AK303" s="1"/>
      <c r="AL303" s="1"/>
      <c r="AM303" s="1"/>
      <c r="AN303" s="1"/>
      <c r="AO303" s="1"/>
      <c r="AP303" s="1"/>
    </row>
    <row r="304" spans="14:42" x14ac:dyDescent="0.25">
      <c r="N304">
        <v>2271</v>
      </c>
      <c r="O304">
        <v>2</v>
      </c>
      <c r="P304">
        <v>2</v>
      </c>
      <c r="Q304">
        <v>2</v>
      </c>
      <c r="R304">
        <v>0</v>
      </c>
      <c r="AG304" s="1"/>
      <c r="AH304" s="1"/>
      <c r="AI304" s="1"/>
      <c r="AJ304" s="1"/>
      <c r="AK304" s="1"/>
      <c r="AL304" s="1"/>
      <c r="AM304" s="1"/>
      <c r="AN304" s="1"/>
      <c r="AO304" s="1"/>
      <c r="AP304" s="1"/>
    </row>
    <row r="305" spans="14:42" x14ac:dyDescent="0.25">
      <c r="N305">
        <v>2272</v>
      </c>
      <c r="O305">
        <v>2</v>
      </c>
      <c r="P305">
        <v>2</v>
      </c>
      <c r="Q305">
        <v>2</v>
      </c>
      <c r="R305">
        <v>0</v>
      </c>
      <c r="AG305" s="1"/>
      <c r="AH305" s="1"/>
      <c r="AI305" s="1"/>
      <c r="AJ305" s="1"/>
      <c r="AK305" s="1"/>
      <c r="AL305" s="1"/>
      <c r="AM305" s="1"/>
      <c r="AN305" s="1"/>
      <c r="AO305" s="1"/>
      <c r="AP305" s="1"/>
    </row>
    <row r="306" spans="14:42" x14ac:dyDescent="0.25">
      <c r="AG306" s="1"/>
      <c r="AH306" s="1"/>
      <c r="AI306" s="1"/>
      <c r="AJ306" s="1"/>
      <c r="AK306" s="1"/>
      <c r="AL306" s="1"/>
      <c r="AM306" s="1"/>
      <c r="AN306" s="1"/>
      <c r="AO306" s="1"/>
      <c r="AP306" s="1"/>
    </row>
    <row r="307" spans="14:42" x14ac:dyDescent="0.25">
      <c r="AG307" s="1"/>
      <c r="AH307" s="1"/>
      <c r="AI307" s="1"/>
      <c r="AJ307" s="1"/>
      <c r="AK307" s="1"/>
      <c r="AL307" s="1"/>
      <c r="AM307" s="1"/>
      <c r="AN307" s="1"/>
      <c r="AO307" s="1"/>
      <c r="AP307" s="1"/>
    </row>
    <row r="308" spans="14:42" x14ac:dyDescent="0.25">
      <c r="AG308" s="1"/>
      <c r="AH308" s="1"/>
      <c r="AI308" s="1"/>
      <c r="AJ308" s="1"/>
      <c r="AK308" s="1"/>
      <c r="AL308" s="1"/>
      <c r="AM308" s="1"/>
      <c r="AN308" s="1"/>
      <c r="AO308" s="1"/>
      <c r="AP308" s="1"/>
    </row>
    <row r="309" spans="14:42" x14ac:dyDescent="0.25">
      <c r="AG309" s="1"/>
      <c r="AH309" s="1"/>
      <c r="AI309" s="1"/>
      <c r="AJ309" s="1"/>
      <c r="AK309" s="1"/>
      <c r="AL309" s="1"/>
      <c r="AM309" s="1"/>
      <c r="AN309" s="1"/>
      <c r="AO309" s="1"/>
      <c r="AP309" s="1"/>
    </row>
    <row r="310" spans="14:42" x14ac:dyDescent="0.25">
      <c r="AG310" s="1"/>
      <c r="AH310" s="1"/>
      <c r="AI310" s="1"/>
      <c r="AJ310" s="1"/>
      <c r="AK310" s="1"/>
      <c r="AL310" s="1"/>
      <c r="AM310" s="1"/>
      <c r="AN310" s="1"/>
      <c r="AO310" s="1"/>
      <c r="AP310" s="1"/>
    </row>
    <row r="311" spans="14:42" x14ac:dyDescent="0.25">
      <c r="AG311" s="1"/>
      <c r="AH311" s="1"/>
      <c r="AI311" s="1"/>
      <c r="AJ311" s="1"/>
      <c r="AK311" s="1"/>
      <c r="AL311" s="1"/>
      <c r="AM311" s="1"/>
      <c r="AN311" s="1"/>
      <c r="AO311" s="1"/>
      <c r="AP311" s="1"/>
    </row>
    <row r="312" spans="14:42" x14ac:dyDescent="0.25">
      <c r="AG312" s="1"/>
      <c r="AH312" s="1"/>
      <c r="AI312" s="1"/>
      <c r="AJ312" s="1"/>
      <c r="AK312" s="1"/>
      <c r="AL312" s="1"/>
      <c r="AM312" s="1"/>
      <c r="AN312" s="1"/>
      <c r="AO312" s="1"/>
      <c r="AP312" s="1"/>
    </row>
    <row r="313" spans="14:42" x14ac:dyDescent="0.25">
      <c r="AG313" s="1"/>
      <c r="AH313" s="1"/>
      <c r="AI313" s="1"/>
      <c r="AJ313" s="1"/>
      <c r="AK313" s="1"/>
      <c r="AL313" s="1"/>
      <c r="AM313" s="1"/>
      <c r="AN313" s="1"/>
      <c r="AO313" s="1"/>
      <c r="AP313" s="1"/>
    </row>
    <row r="314" spans="14:42" x14ac:dyDescent="0.25">
      <c r="AG314" s="1"/>
      <c r="AH314" s="1"/>
      <c r="AI314" s="1"/>
      <c r="AJ314" s="1"/>
      <c r="AK314" s="1"/>
      <c r="AL314" s="1"/>
      <c r="AM314" s="1"/>
      <c r="AN314" s="1"/>
      <c r="AO314" s="1"/>
      <c r="AP314" s="1"/>
    </row>
    <row r="315" spans="14:42" x14ac:dyDescent="0.25">
      <c r="AG315" s="1"/>
      <c r="AH315" s="1"/>
      <c r="AI315" s="1"/>
      <c r="AJ315" s="1"/>
      <c r="AK315" s="1"/>
      <c r="AL315" s="1"/>
      <c r="AM315" s="1"/>
      <c r="AN315" s="1"/>
      <c r="AO315" s="1"/>
      <c r="AP315" s="1"/>
    </row>
    <row r="316" spans="14:42" x14ac:dyDescent="0.25">
      <c r="AG316" s="1"/>
      <c r="AH316" s="1"/>
      <c r="AI316" s="1"/>
      <c r="AJ316" s="1"/>
      <c r="AK316" s="1"/>
      <c r="AL316" s="1"/>
      <c r="AM316" s="1"/>
      <c r="AN316" s="1"/>
      <c r="AO316" s="1"/>
      <c r="AP316" s="1"/>
    </row>
    <row r="317" spans="14:42" x14ac:dyDescent="0.25">
      <c r="AG317" s="1"/>
      <c r="AH317" s="1"/>
      <c r="AI317" s="1"/>
      <c r="AJ317" s="1"/>
      <c r="AK317" s="1"/>
      <c r="AL317" s="1"/>
      <c r="AM317" s="1"/>
      <c r="AN317" s="1"/>
      <c r="AO317" s="1"/>
      <c r="AP317" s="1"/>
    </row>
    <row r="318" spans="14:42" x14ac:dyDescent="0.25">
      <c r="AG318" s="1"/>
      <c r="AH318" s="1"/>
      <c r="AI318" s="1"/>
      <c r="AJ318" s="1"/>
      <c r="AK318" s="1"/>
      <c r="AL318" s="1"/>
      <c r="AM318" s="1"/>
      <c r="AN318" s="1"/>
      <c r="AO318" s="1"/>
      <c r="AP318" s="1"/>
    </row>
    <row r="319" spans="14:42" x14ac:dyDescent="0.25">
      <c r="AG319" s="1"/>
      <c r="AH319" s="1"/>
      <c r="AI319" s="1"/>
      <c r="AJ319" s="1"/>
      <c r="AK319" s="1"/>
      <c r="AL319" s="1"/>
      <c r="AM319" s="1"/>
      <c r="AN319" s="1"/>
      <c r="AO319" s="1"/>
      <c r="AP319" s="1"/>
    </row>
    <row r="320" spans="14:42" x14ac:dyDescent="0.25">
      <c r="AG320" s="1"/>
      <c r="AH320" s="1"/>
      <c r="AI320" s="1"/>
      <c r="AJ320" s="1"/>
      <c r="AK320" s="1"/>
      <c r="AL320" s="1"/>
      <c r="AM320" s="1"/>
      <c r="AN320" s="1"/>
      <c r="AO320" s="1"/>
      <c r="AP320" s="1"/>
    </row>
    <row r="321" spans="33:42" x14ac:dyDescent="0.25">
      <c r="AG321" s="1"/>
      <c r="AH321" s="1"/>
      <c r="AI321" s="1"/>
      <c r="AJ321" s="1"/>
      <c r="AK321" s="1"/>
      <c r="AL321" s="1"/>
      <c r="AM321" s="1"/>
      <c r="AN321" s="1"/>
      <c r="AO321" s="1"/>
      <c r="AP321" s="1"/>
    </row>
    <row r="322" spans="33:42" x14ac:dyDescent="0.25">
      <c r="AG322" s="1"/>
      <c r="AH322" s="1"/>
      <c r="AI322" s="1"/>
      <c r="AJ322" s="1"/>
      <c r="AK322" s="1"/>
      <c r="AL322" s="1"/>
      <c r="AM322" s="1"/>
      <c r="AN322" s="1"/>
      <c r="AO322" s="1"/>
      <c r="AP322" s="1"/>
    </row>
    <row r="323" spans="33:42" x14ac:dyDescent="0.25">
      <c r="AG323" s="1"/>
      <c r="AH323" s="1"/>
      <c r="AI323" s="1"/>
      <c r="AJ323" s="1"/>
      <c r="AK323" s="1"/>
      <c r="AL323" s="1"/>
      <c r="AM323" s="1"/>
      <c r="AN323" s="1"/>
      <c r="AO323" s="1"/>
      <c r="AP323" s="1"/>
    </row>
    <row r="324" spans="33:42" x14ac:dyDescent="0.25">
      <c r="AG324" s="1"/>
      <c r="AH324" s="1"/>
      <c r="AI324" s="1"/>
      <c r="AJ324" s="1"/>
      <c r="AK324" s="1"/>
      <c r="AL324" s="1"/>
      <c r="AM324" s="1"/>
      <c r="AN324" s="1"/>
      <c r="AO324" s="1"/>
      <c r="AP324" s="1"/>
    </row>
    <row r="325" spans="33:42" x14ac:dyDescent="0.25">
      <c r="AG325" s="1"/>
      <c r="AH325" s="1"/>
      <c r="AI325" s="1"/>
      <c r="AJ325" s="1"/>
      <c r="AK325" s="1"/>
      <c r="AL325" s="1"/>
      <c r="AM325" s="1"/>
      <c r="AN325" s="1"/>
      <c r="AO325" s="1"/>
      <c r="AP325" s="1"/>
    </row>
    <row r="326" spans="33:42" x14ac:dyDescent="0.25">
      <c r="AG326" s="1"/>
      <c r="AH326" s="1"/>
      <c r="AI326" s="1"/>
      <c r="AJ326" s="1"/>
      <c r="AK326" s="1"/>
      <c r="AL326" s="1"/>
      <c r="AM326" s="1"/>
      <c r="AN326" s="1"/>
      <c r="AO326" s="1"/>
      <c r="AP326" s="1"/>
    </row>
    <row r="327" spans="33:42" x14ac:dyDescent="0.25">
      <c r="AG327" s="1"/>
      <c r="AH327" s="1"/>
      <c r="AI327" s="1"/>
      <c r="AJ327" s="1"/>
      <c r="AK327" s="1"/>
      <c r="AL327" s="1"/>
      <c r="AM327" s="1"/>
      <c r="AN327" s="1"/>
      <c r="AO327" s="1"/>
      <c r="AP327" s="1"/>
    </row>
    <row r="328" spans="33:42" x14ac:dyDescent="0.25">
      <c r="AG328" s="1"/>
      <c r="AH328" s="1"/>
      <c r="AI328" s="1"/>
      <c r="AJ328" s="1"/>
      <c r="AK328" s="1"/>
      <c r="AL328" s="1"/>
      <c r="AM328" s="1"/>
      <c r="AN328" s="1"/>
      <c r="AO328" s="1"/>
      <c r="AP328" s="1"/>
    </row>
    <row r="329" spans="33:42" x14ac:dyDescent="0.25">
      <c r="AG329" s="1"/>
      <c r="AH329" s="1"/>
      <c r="AI329" s="1"/>
      <c r="AJ329" s="1"/>
      <c r="AK329" s="1"/>
      <c r="AL329" s="1"/>
      <c r="AM329" s="1"/>
      <c r="AN329" s="1"/>
      <c r="AO329" s="1"/>
      <c r="AP329" s="1"/>
    </row>
    <row r="330" spans="33:42" x14ac:dyDescent="0.25">
      <c r="AG330" s="1"/>
      <c r="AH330" s="1"/>
      <c r="AI330" s="1"/>
      <c r="AJ330" s="1"/>
      <c r="AK330" s="1"/>
      <c r="AL330" s="1"/>
      <c r="AM330" s="1"/>
      <c r="AN330" s="1"/>
      <c r="AO330" s="1"/>
      <c r="AP330" s="1"/>
    </row>
    <row r="331" spans="33:42" x14ac:dyDescent="0.25">
      <c r="AG331" s="1"/>
      <c r="AH331" s="1"/>
      <c r="AI331" s="1"/>
      <c r="AJ331" s="1"/>
      <c r="AK331" s="1"/>
      <c r="AL331" s="1"/>
      <c r="AM331" s="1"/>
      <c r="AN331" s="1"/>
      <c r="AO331" s="1"/>
      <c r="AP331" s="1"/>
    </row>
    <row r="332" spans="33:42" x14ac:dyDescent="0.25">
      <c r="AG332" s="1"/>
      <c r="AH332" s="1"/>
      <c r="AI332" s="1"/>
      <c r="AJ332" s="1"/>
      <c r="AK332" s="1"/>
      <c r="AL332" s="1"/>
      <c r="AM332" s="1"/>
      <c r="AN332" s="1"/>
      <c r="AO332" s="1"/>
      <c r="AP332" s="1"/>
    </row>
    <row r="333" spans="33:42" x14ac:dyDescent="0.25">
      <c r="AG333" s="1"/>
      <c r="AH333" s="1"/>
      <c r="AI333" s="1"/>
      <c r="AJ333" s="1"/>
      <c r="AK333" s="1"/>
      <c r="AL333" s="1"/>
      <c r="AM333" s="1"/>
      <c r="AN333" s="1"/>
      <c r="AO333" s="1"/>
      <c r="AP333" s="1"/>
    </row>
    <row r="334" spans="33:42" x14ac:dyDescent="0.25">
      <c r="AG334" s="1"/>
      <c r="AH334" s="1"/>
      <c r="AI334" s="1"/>
      <c r="AJ334" s="1"/>
      <c r="AK334" s="1"/>
      <c r="AL334" s="1"/>
      <c r="AM334" s="1"/>
      <c r="AN334" s="1"/>
      <c r="AO334" s="1"/>
      <c r="AP334" s="1"/>
    </row>
    <row r="335" spans="33:42" x14ac:dyDescent="0.25">
      <c r="AG335" s="1"/>
      <c r="AH335" s="1"/>
      <c r="AI335" s="1"/>
      <c r="AJ335" s="1"/>
      <c r="AK335" s="1"/>
      <c r="AL335" s="1"/>
      <c r="AM335" s="1"/>
      <c r="AN335" s="1"/>
      <c r="AO335" s="1"/>
      <c r="AP335" s="1"/>
    </row>
    <row r="336" spans="33:42" x14ac:dyDescent="0.25">
      <c r="AG336" s="1"/>
      <c r="AH336" s="1"/>
      <c r="AI336" s="1"/>
      <c r="AJ336" s="1"/>
      <c r="AK336" s="1"/>
      <c r="AL336" s="1"/>
      <c r="AM336" s="1"/>
      <c r="AN336" s="1"/>
      <c r="AO336" s="1"/>
      <c r="AP336" s="1"/>
    </row>
    <row r="337" spans="33:42" x14ac:dyDescent="0.25">
      <c r="AG337" s="1"/>
      <c r="AH337" s="1"/>
      <c r="AI337" s="1"/>
      <c r="AJ337" s="1"/>
      <c r="AK337" s="1"/>
      <c r="AL337" s="1"/>
      <c r="AM337" s="1"/>
      <c r="AN337" s="1"/>
      <c r="AO337" s="1"/>
      <c r="AP337" s="1"/>
    </row>
    <row r="338" spans="33:42" x14ac:dyDescent="0.25">
      <c r="AG338" s="1"/>
      <c r="AH338" s="1"/>
      <c r="AI338" s="1"/>
      <c r="AJ338" s="1"/>
      <c r="AK338" s="1"/>
      <c r="AL338" s="1"/>
      <c r="AM338" s="1"/>
      <c r="AN338" s="1"/>
      <c r="AO338" s="1"/>
      <c r="AP338" s="1"/>
    </row>
    <row r="339" spans="33:42" x14ac:dyDescent="0.25">
      <c r="AG339" s="1"/>
      <c r="AH339" s="1"/>
      <c r="AI339" s="1"/>
      <c r="AJ339" s="1"/>
      <c r="AK339" s="1"/>
      <c r="AL339" s="1"/>
      <c r="AM339" s="1"/>
      <c r="AN339" s="1"/>
      <c r="AO339" s="1"/>
      <c r="AP339" s="1"/>
    </row>
    <row r="340" spans="33:42" x14ac:dyDescent="0.25">
      <c r="AG340" s="1"/>
      <c r="AH340" s="1"/>
      <c r="AI340" s="1"/>
      <c r="AJ340" s="1"/>
      <c r="AK340" s="1"/>
      <c r="AL340" s="1"/>
      <c r="AM340" s="1"/>
      <c r="AN340" s="1"/>
      <c r="AO340" s="1"/>
      <c r="AP340" s="1"/>
    </row>
    <row r="341" spans="33:42" x14ac:dyDescent="0.25">
      <c r="AG341" s="1"/>
      <c r="AH341" s="1"/>
      <c r="AI341" s="1"/>
      <c r="AJ341" s="1"/>
      <c r="AK341" s="1"/>
      <c r="AL341" s="1"/>
      <c r="AM341" s="1"/>
      <c r="AN341" s="1"/>
      <c r="AO341" s="1"/>
      <c r="AP341" s="1"/>
    </row>
    <row r="342" spans="33:42" x14ac:dyDescent="0.25">
      <c r="AG342" s="1"/>
      <c r="AH342" s="1"/>
      <c r="AI342" s="1"/>
      <c r="AJ342" s="1"/>
      <c r="AK342" s="1"/>
      <c r="AL342" s="1"/>
      <c r="AM342" s="1"/>
      <c r="AN342" s="1"/>
      <c r="AO342" s="1"/>
      <c r="AP342" s="1"/>
    </row>
    <row r="343" spans="33:42" x14ac:dyDescent="0.25">
      <c r="AG343" s="1"/>
      <c r="AH343" s="1"/>
      <c r="AI343" s="1"/>
      <c r="AJ343" s="1"/>
      <c r="AK343" s="1"/>
      <c r="AL343" s="1"/>
      <c r="AM343" s="1"/>
      <c r="AN343" s="1"/>
      <c r="AO343" s="1"/>
      <c r="AP343" s="1"/>
    </row>
    <row r="344" spans="33:42" x14ac:dyDescent="0.25">
      <c r="AG344" s="1"/>
      <c r="AH344" s="1"/>
      <c r="AI344" s="1"/>
      <c r="AJ344" s="1"/>
      <c r="AK344" s="1"/>
      <c r="AL344" s="1"/>
      <c r="AM344" s="1"/>
      <c r="AN344" s="1"/>
      <c r="AO344" s="1"/>
      <c r="AP344" s="1"/>
    </row>
    <row r="345" spans="33:42" x14ac:dyDescent="0.25">
      <c r="AG345" s="1"/>
      <c r="AH345" s="1"/>
      <c r="AI345" s="1"/>
      <c r="AJ345" s="1"/>
      <c r="AK345" s="1"/>
      <c r="AL345" s="1"/>
      <c r="AM345" s="1"/>
      <c r="AN345" s="1"/>
      <c r="AO345" s="1"/>
      <c r="AP345" s="1"/>
    </row>
    <row r="346" spans="33:42" x14ac:dyDescent="0.25">
      <c r="AG346" s="1"/>
      <c r="AH346" s="1"/>
      <c r="AI346" s="1"/>
      <c r="AJ346" s="1"/>
      <c r="AK346" s="1"/>
      <c r="AL346" s="1"/>
      <c r="AM346" s="1"/>
      <c r="AN346" s="1"/>
      <c r="AO346" s="1"/>
      <c r="AP346" s="1"/>
    </row>
    <row r="347" spans="33:42" x14ac:dyDescent="0.25">
      <c r="AG347" s="1"/>
      <c r="AH347" s="1"/>
      <c r="AI347" s="1"/>
      <c r="AJ347" s="1"/>
      <c r="AK347" s="1"/>
      <c r="AL347" s="1"/>
      <c r="AM347" s="1"/>
      <c r="AN347" s="1"/>
      <c r="AO347" s="1"/>
      <c r="AP347" s="1"/>
    </row>
    <row r="348" spans="33:42" x14ac:dyDescent="0.25">
      <c r="AG348" s="1"/>
      <c r="AH348" s="1"/>
      <c r="AI348" s="1"/>
      <c r="AJ348" s="1"/>
      <c r="AK348" s="1"/>
      <c r="AL348" s="1"/>
      <c r="AM348" s="1"/>
      <c r="AN348" s="1"/>
      <c r="AO348" s="1"/>
      <c r="AP348" s="1"/>
    </row>
    <row r="349" spans="33:42" x14ac:dyDescent="0.25">
      <c r="AG349" s="1"/>
      <c r="AH349" s="1"/>
      <c r="AI349" s="1"/>
      <c r="AJ349" s="1"/>
      <c r="AK349" s="1"/>
      <c r="AL349" s="1"/>
      <c r="AM349" s="1"/>
      <c r="AN349" s="1"/>
      <c r="AO349" s="1"/>
      <c r="AP349" s="1"/>
    </row>
    <row r="350" spans="33:42" x14ac:dyDescent="0.25">
      <c r="AG350" s="1"/>
      <c r="AH350" s="1"/>
      <c r="AI350" s="1"/>
      <c r="AJ350" s="1"/>
      <c r="AK350" s="1"/>
      <c r="AL350" s="1"/>
      <c r="AM350" s="1"/>
      <c r="AN350" s="1"/>
      <c r="AO350" s="1"/>
      <c r="AP350" s="1"/>
    </row>
    <row r="351" spans="33:42" x14ac:dyDescent="0.25">
      <c r="AG351" s="1"/>
      <c r="AH351" s="1"/>
      <c r="AI351" s="1"/>
      <c r="AJ351" s="1"/>
      <c r="AK351" s="1"/>
      <c r="AL351" s="1"/>
      <c r="AM351" s="1"/>
      <c r="AN351" s="1"/>
      <c r="AO351" s="1"/>
      <c r="AP351" s="1"/>
    </row>
    <row r="352" spans="33:42" x14ac:dyDescent="0.25">
      <c r="AG352" s="1"/>
      <c r="AH352" s="1"/>
      <c r="AI352" s="1"/>
      <c r="AJ352" s="1"/>
      <c r="AK352" s="1"/>
      <c r="AL352" s="1"/>
      <c r="AM352" s="1"/>
      <c r="AN352" s="1"/>
      <c r="AO352" s="1"/>
      <c r="AP352" s="1"/>
    </row>
    <row r="353" spans="33:42" x14ac:dyDescent="0.25">
      <c r="AG353" s="1"/>
      <c r="AH353" s="1"/>
      <c r="AI353" s="1"/>
      <c r="AJ353" s="1"/>
      <c r="AK353" s="1"/>
      <c r="AL353" s="1"/>
      <c r="AM353" s="1"/>
      <c r="AN353" s="1"/>
      <c r="AO353" s="1"/>
      <c r="AP353" s="1"/>
    </row>
    <row r="354" spans="33:42" x14ac:dyDescent="0.25">
      <c r="AG354" s="1"/>
      <c r="AH354" s="1"/>
      <c r="AI354" s="1"/>
      <c r="AJ354" s="1"/>
      <c r="AK354" s="1"/>
      <c r="AL354" s="1"/>
      <c r="AM354" s="1"/>
      <c r="AN354" s="1"/>
      <c r="AO354" s="1"/>
      <c r="AP354" s="1"/>
    </row>
    <row r="355" spans="33:42" x14ac:dyDescent="0.25">
      <c r="AG355" s="1"/>
      <c r="AH355" s="1"/>
      <c r="AI355" s="1"/>
      <c r="AJ355" s="1"/>
      <c r="AK355" s="1"/>
      <c r="AL355" s="1"/>
      <c r="AM355" s="1"/>
      <c r="AN355" s="1"/>
      <c r="AO355" s="1"/>
      <c r="AP355" s="1"/>
    </row>
  </sheetData>
  <mergeCells count="1">
    <mergeCell ref="A1:W1"/>
  </mergeCells>
  <pageMargins left="0.7" right="0.7" top="0.75" bottom="0.75" header="0.3" footer="0.3"/>
  <pageSetup paperSize="9" orientation="portrait" horizontalDpi="300" verticalDpi="300"/>
  <headerFooter scaleWithDoc="0" alignWithMargins="0">
    <oddHeader>&amp;C&amp;"Aptos"&amp;12&amp;KFF0000 OFFICIAL&amp;1#_x000D_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U3"/>
  <sheetViews>
    <sheetView workbookViewId="0">
      <selection activeCell="E4" sqref="E4"/>
    </sheetView>
  </sheetViews>
  <sheetFormatPr defaultColWidth="11.42578125" defaultRowHeight="15" x14ac:dyDescent="0.25"/>
  <cols>
    <col min="1" max="1" width="12.42578125" customWidth="1"/>
    <col min="8" max="8" width="14.7109375" customWidth="1"/>
  </cols>
  <sheetData>
    <row r="1" spans="1:21" ht="19.5" customHeight="1" x14ac:dyDescent="0.25">
      <c r="A1" s="10" t="s">
        <v>257</v>
      </c>
      <c r="B1" s="11"/>
      <c r="C1" s="11"/>
      <c r="D1" s="11"/>
      <c r="E1" s="11"/>
      <c r="F1" s="11"/>
      <c r="G1" s="11"/>
      <c r="H1" s="11"/>
      <c r="I1" s="11"/>
      <c r="J1" s="11"/>
      <c r="K1" s="11"/>
      <c r="L1" s="11"/>
      <c r="M1" s="11"/>
      <c r="N1" s="11"/>
      <c r="O1" s="11"/>
      <c r="P1" s="11"/>
      <c r="Q1" s="11"/>
      <c r="R1" s="11"/>
      <c r="S1" s="11"/>
      <c r="T1" s="11"/>
      <c r="U1" s="11"/>
    </row>
    <row r="2" spans="1:21" x14ac:dyDescent="0.25">
      <c r="A2" t="s">
        <v>11</v>
      </c>
      <c r="B2" t="s">
        <v>45</v>
      </c>
      <c r="C2" t="s">
        <v>46</v>
      </c>
      <c r="D2" t="s">
        <v>47</v>
      </c>
      <c r="E2" t="s">
        <v>48</v>
      </c>
      <c r="F2" t="s">
        <v>106</v>
      </c>
      <c r="G2" t="s">
        <v>107</v>
      </c>
      <c r="H2" t="s">
        <v>115</v>
      </c>
    </row>
    <row r="3" spans="1:21" x14ac:dyDescent="0.25">
      <c r="A3">
        <v>1</v>
      </c>
      <c r="B3">
        <v>0</v>
      </c>
      <c r="C3">
        <v>5</v>
      </c>
      <c r="D3">
        <v>0</v>
      </c>
      <c r="E3" s="9">
        <v>3</v>
      </c>
      <c r="F3">
        <v>2</v>
      </c>
      <c r="G3">
        <v>0.5</v>
      </c>
      <c r="H3">
        <v>5</v>
      </c>
    </row>
  </sheetData>
  <mergeCells count="1">
    <mergeCell ref="A1:U1"/>
  </mergeCells>
  <pageMargins left="0.7" right="0.7" top="0.75" bottom="0.75" header="0.3" footer="0.3"/>
  <pageSetup paperSize="9" orientation="portrait" horizontalDpi="300" verticalDpi="300"/>
  <headerFooter scaleWithDoc="0" alignWithMargins="0">
    <oddHeader>&amp;C&amp;"Aptos"&amp;12&amp;KFF0000 OFFICIAL&amp;1#_x000D_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4"/>
  <sheetViews>
    <sheetView workbookViewId="0">
      <pane ySplit="2" topLeftCell="A3" activePane="bottomLeft" state="frozen"/>
      <selection pane="bottomLeft" activeCell="F4" sqref="F4"/>
    </sheetView>
  </sheetViews>
  <sheetFormatPr defaultColWidth="11.42578125" defaultRowHeight="15" x14ac:dyDescent="0.25"/>
  <cols>
    <col min="3" max="5" width="10" customWidth="1"/>
    <col min="6" max="6" width="17.28515625" customWidth="1"/>
    <col min="7" max="8" width="10" customWidth="1"/>
  </cols>
  <sheetData>
    <row r="1" spans="1:21" ht="33" customHeight="1" x14ac:dyDescent="0.25">
      <c r="A1" s="10" t="s">
        <v>315</v>
      </c>
      <c r="B1" s="11"/>
      <c r="C1" s="11"/>
      <c r="D1" s="11"/>
      <c r="E1" s="11"/>
      <c r="F1" s="11"/>
      <c r="G1" s="11"/>
      <c r="H1" s="11"/>
      <c r="I1" s="11"/>
      <c r="J1" s="11"/>
      <c r="K1" s="11"/>
      <c r="L1" s="11"/>
      <c r="M1" s="11"/>
      <c r="N1" s="11"/>
      <c r="O1" s="11"/>
      <c r="P1" s="11"/>
      <c r="Q1" s="11"/>
      <c r="R1" s="11"/>
      <c r="S1" s="11"/>
      <c r="T1" s="11"/>
      <c r="U1" s="11"/>
    </row>
    <row r="2" spans="1:21" x14ac:dyDescent="0.25">
      <c r="A2" t="s">
        <v>34</v>
      </c>
      <c r="B2" t="s">
        <v>16</v>
      </c>
      <c r="C2" t="s">
        <v>13</v>
      </c>
      <c r="D2" t="s">
        <v>6</v>
      </c>
      <c r="E2" t="s">
        <v>43</v>
      </c>
      <c r="F2" t="s">
        <v>116</v>
      </c>
      <c r="G2" t="s">
        <v>117</v>
      </c>
    </row>
    <row r="3" spans="1:21" x14ac:dyDescent="0.25">
      <c r="A3">
        <v>999</v>
      </c>
      <c r="B3" s="2" t="str">
        <f>MID(F3,6,1)</f>
        <v>1</v>
      </c>
      <c r="C3" s="2" t="str">
        <f>MID(F3,9,1)</f>
        <v>1</v>
      </c>
      <c r="D3" s="2">
        <v>1</v>
      </c>
      <c r="E3" s="2" t="str">
        <f>RIGHT(G3,1)</f>
        <v>1</v>
      </c>
      <c r="F3" t="s">
        <v>334</v>
      </c>
      <c r="G3">
        <v>1</v>
      </c>
    </row>
    <row r="4" spans="1:21" x14ac:dyDescent="0.25">
      <c r="A4">
        <v>999</v>
      </c>
      <c r="B4" s="2" t="str">
        <f t="shared" ref="B4" si="0">MID(F4,6,1)</f>
        <v>2</v>
      </c>
      <c r="C4" s="2" t="str">
        <f t="shared" ref="C4" si="1">MID(F4,9,1)</f>
        <v>1</v>
      </c>
      <c r="D4" s="2" t="str">
        <f t="shared" ref="D4" si="2">MID(F4,13,1)</f>
        <v>1</v>
      </c>
      <c r="E4">
        <v>1</v>
      </c>
      <c r="F4" t="s">
        <v>178</v>
      </c>
      <c r="G4">
        <v>1</v>
      </c>
    </row>
  </sheetData>
  <mergeCells count="1">
    <mergeCell ref="A1:U1"/>
  </mergeCells>
  <pageMargins left="0.7" right="0.7" top="0.75" bottom="0.75" header="0.3" footer="0.3"/>
  <pageSetup paperSize="9" orientation="portrait" horizontalDpi="300" verticalDpi="300"/>
  <headerFooter scaleWithDoc="0" alignWithMargins="0">
    <oddHeader>&amp;C&amp;"Aptos"&amp;12&amp;KFF0000 OFFICIAL&amp;1#_x000D_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O87"/>
  <sheetViews>
    <sheetView topLeftCell="AD66" zoomScaleNormal="100" workbookViewId="0">
      <selection activeCell="AP29" sqref="AP29"/>
    </sheetView>
  </sheetViews>
  <sheetFormatPr defaultColWidth="11.42578125" defaultRowHeight="15" x14ac:dyDescent="0.25"/>
  <cols>
    <col min="37" max="37" width="12" bestFit="1" customWidth="1"/>
  </cols>
  <sheetData>
    <row r="1" spans="1:41" ht="22.5" customHeight="1" x14ac:dyDescent="0.25">
      <c r="A1" s="10" t="s">
        <v>316</v>
      </c>
      <c r="B1" s="11"/>
      <c r="C1" s="11"/>
      <c r="D1" s="11"/>
      <c r="E1" s="11"/>
      <c r="F1" s="11"/>
      <c r="G1" s="11"/>
      <c r="H1" s="11"/>
      <c r="I1" s="11"/>
      <c r="J1" s="11"/>
      <c r="K1" s="11"/>
      <c r="L1" s="11"/>
      <c r="M1" s="11"/>
      <c r="N1" s="11"/>
      <c r="O1" s="11"/>
      <c r="P1" s="11"/>
      <c r="Q1" s="11"/>
      <c r="R1" s="11"/>
      <c r="S1" s="11"/>
      <c r="T1" s="11"/>
      <c r="U1" s="11"/>
    </row>
    <row r="3" spans="1:41" x14ac:dyDescent="0.25">
      <c r="A3" t="s">
        <v>335</v>
      </c>
    </row>
    <row r="4" spans="1:41" x14ac:dyDescent="0.25">
      <c r="A4">
        <v>1.1180500160453291E-3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row>
    <row r="5" spans="1:41" x14ac:dyDescent="0.25">
      <c r="A5">
        <v>4.8476613707829581E-2</v>
      </c>
      <c r="B5">
        <v>1.1725585629315664E-3</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row>
    <row r="6" spans="1:41" x14ac:dyDescent="0.25">
      <c r="A6">
        <v>0.36433780145507444</v>
      </c>
      <c r="B6">
        <v>4.9933523151304192E-2</v>
      </c>
      <c r="C6">
        <v>1.249469697710062E-3</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row>
    <row r="7" spans="1:41" x14ac:dyDescent="0.25">
      <c r="A7">
        <v>0.47465395863585058</v>
      </c>
      <c r="B7">
        <v>0.36859614786487732</v>
      </c>
      <c r="C7">
        <v>5.1940707532375327E-2</v>
      </c>
      <c r="D7">
        <v>1.3592286746411475E-3</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row>
    <row r="8" spans="1:41" x14ac:dyDescent="0.25">
      <c r="A8">
        <v>0.1071891672222422</v>
      </c>
      <c r="B8">
        <v>0.47163963038714196</v>
      </c>
      <c r="C8">
        <v>0.37427507846499025</v>
      </c>
      <c r="D8">
        <v>5.471497066074562E-2</v>
      </c>
      <c r="E8">
        <v>1.5181197450394388E-3</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row>
    <row r="9" spans="1:41" x14ac:dyDescent="0.25">
      <c r="A9">
        <v>4.1959045672628117E-3</v>
      </c>
      <c r="B9">
        <v>0.1046093983050583</v>
      </c>
      <c r="C9">
        <v>0.46749274395448176</v>
      </c>
      <c r="D9">
        <v>0.38178664185206379</v>
      </c>
      <c r="E9">
        <v>5.8563613675473469E-2</v>
      </c>
      <c r="F9">
        <v>1.7521968001875908E-3</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row>
    <row r="10" spans="1:41" x14ac:dyDescent="0.25">
      <c r="A10">
        <v>2.8470901750461252E-5</v>
      </c>
      <c r="B10">
        <v>4.0219070874687015E-3</v>
      </c>
      <c r="C10">
        <v>0.1012184667804443</v>
      </c>
      <c r="D10">
        <v>0.46178115208658604</v>
      </c>
      <c r="E10">
        <v>0.39160715748626812</v>
      </c>
      <c r="F10">
        <v>6.3923017444076316E-2</v>
      </c>
      <c r="G10">
        <v>2.1041977536124115E-3</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row>
    <row r="11" spans="1:41" x14ac:dyDescent="0.25">
      <c r="A11">
        <v>3.348711695647974E-8</v>
      </c>
      <c r="B11">
        <v>2.6803670990472522E-5</v>
      </c>
      <c r="C11">
        <v>3.7987923091482591E-3</v>
      </c>
      <c r="D11">
        <v>9.6817216482859805E-2</v>
      </c>
      <c r="E11">
        <v>0.45391474466381893</v>
      </c>
      <c r="F11">
        <v>0.40423374714773253</v>
      </c>
      <c r="G11">
        <v>7.1410010013569294E-2</v>
      </c>
      <c r="H11">
        <v>2.6456972404927275E-3</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row>
    <row r="12" spans="1:41" x14ac:dyDescent="0.25">
      <c r="A12">
        <v>6.8273978469391306E-12</v>
      </c>
      <c r="B12">
        <v>3.096402710529956E-8</v>
      </c>
      <c r="C12">
        <v>2.4713386498494263E-5</v>
      </c>
      <c r="D12">
        <v>3.518599993116506E-3</v>
      </c>
      <c r="E12">
        <v>9.1200847751428241E-2</v>
      </c>
      <c r="F12">
        <v>0.44310717571482983</v>
      </c>
      <c r="G12">
        <v>0.4200805277768595</v>
      </c>
      <c r="H12">
        <v>8.1882130237657627E-2</v>
      </c>
      <c r="I12">
        <v>3.4980153758482338E-3</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row>
    <row r="13" spans="1:41" x14ac:dyDescent="0.25">
      <c r="A13">
        <v>0</v>
      </c>
      <c r="B13">
        <v>6.2004258054924781E-12</v>
      </c>
      <c r="C13">
        <v>2.7868903901889029E-8</v>
      </c>
      <c r="D13">
        <v>2.2166040284751908E-5</v>
      </c>
      <c r="E13">
        <v>3.1763209267193439E-3</v>
      </c>
      <c r="F13">
        <v>8.4194924984594979E-2</v>
      </c>
      <c r="G13">
        <v>0.42835804069718425</v>
      </c>
      <c r="H13">
        <v>0.43927757846762072</v>
      </c>
      <c r="I13">
        <v>9.6487841707300598E-2</v>
      </c>
      <c r="J13">
        <v>4.8662801563293338E-3</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row>
    <row r="14" spans="1:41" x14ac:dyDescent="0.25">
      <c r="A14">
        <v>0</v>
      </c>
      <c r="B14">
        <v>0</v>
      </c>
      <c r="C14">
        <v>5.447640380084009E-12</v>
      </c>
      <c r="D14">
        <v>2.4205120802946864E-8</v>
      </c>
      <c r="E14">
        <v>1.9175680812549964E-5</v>
      </c>
      <c r="F14">
        <v>2.7730899771836537E-3</v>
      </c>
      <c r="G14">
        <v>7.5715049665502271E-2</v>
      </c>
      <c r="H14">
        <v>0.40849792626041648</v>
      </c>
      <c r="I14">
        <v>0.46134347803126519</v>
      </c>
      <c r="J14">
        <v>0.11665704120380281</v>
      </c>
      <c r="K14">
        <v>7.0890703030674967E-3</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row>
    <row r="15" spans="1:41" x14ac:dyDescent="0.25">
      <c r="A15">
        <v>0</v>
      </c>
      <c r="B15">
        <v>0</v>
      </c>
      <c r="C15">
        <v>0</v>
      </c>
      <c r="D15">
        <v>4.5817069334732966E-12</v>
      </c>
      <c r="E15">
        <v>2.006680007519932E-8</v>
      </c>
      <c r="F15">
        <v>1.5832260374311731E-5</v>
      </c>
      <c r="G15">
        <v>2.3198420445359959E-3</v>
      </c>
      <c r="H15">
        <v>6.584784877684334E-2</v>
      </c>
      <c r="I15">
        <v>0.38236408647595754</v>
      </c>
      <c r="J15">
        <v>0.48475882240927087</v>
      </c>
      <c r="K15">
        <v>0.14393962827432746</v>
      </c>
      <c r="L15">
        <v>1.0696195963635446E-2</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row>
    <row r="16" spans="1:41" x14ac:dyDescent="0.25">
      <c r="A16">
        <v>0</v>
      </c>
      <c r="B16">
        <v>0</v>
      </c>
      <c r="C16">
        <v>0</v>
      </c>
      <c r="D16">
        <v>0</v>
      </c>
      <c r="E16">
        <v>3.6400418028578506E-12</v>
      </c>
      <c r="F16">
        <v>1.5668333307723346E-8</v>
      </c>
      <c r="G16">
        <v>1.2320704301269434E-5</v>
      </c>
      <c r="H16">
        <v>1.8399000957681237E-3</v>
      </c>
      <c r="I16">
        <v>5.4932671347383222E-2</v>
      </c>
      <c r="J16">
        <v>0.3491736012268023</v>
      </c>
      <c r="K16">
        <v>0.50660839924026857</v>
      </c>
      <c r="L16">
        <v>0.17958455144348934</v>
      </c>
      <c r="M16">
        <v>1.6445564533687774E-2</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row>
    <row r="17" spans="1:41" x14ac:dyDescent="0.25">
      <c r="A17">
        <v>0</v>
      </c>
      <c r="B17">
        <v>0</v>
      </c>
      <c r="C17">
        <v>0</v>
      </c>
      <c r="D17">
        <v>0</v>
      </c>
      <c r="E17">
        <v>0</v>
      </c>
      <c r="F17">
        <v>2.6878411291003915E-12</v>
      </c>
      <c r="G17">
        <v>1.1342624879845714E-8</v>
      </c>
      <c r="H17">
        <v>8.9114383777549644E-6</v>
      </c>
      <c r="I17">
        <v>1.3679973599481604E-3</v>
      </c>
      <c r="J17">
        <v>4.3597139768539767E-2</v>
      </c>
      <c r="K17">
        <v>0.30907601951603758</v>
      </c>
      <c r="L17">
        <v>0.52264826508715667</v>
      </c>
      <c r="M17">
        <v>0.2238533272974553</v>
      </c>
      <c r="N17">
        <v>2.5288648612529257E-2</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row>
    <row r="18" spans="1:41" x14ac:dyDescent="0.25">
      <c r="A18">
        <v>0</v>
      </c>
      <c r="B18">
        <v>0</v>
      </c>
      <c r="C18">
        <v>0</v>
      </c>
      <c r="D18">
        <v>0</v>
      </c>
      <c r="E18">
        <v>0</v>
      </c>
      <c r="F18">
        <v>0</v>
      </c>
      <c r="G18">
        <v>1.8100581194628295E-12</v>
      </c>
      <c r="H18">
        <v>7.4817344591055092E-9</v>
      </c>
      <c r="I18">
        <v>5.9052829975865992E-6</v>
      </c>
      <c r="J18">
        <v>9.4357300896742377E-4</v>
      </c>
      <c r="K18">
        <v>3.2685802387485578E-2</v>
      </c>
      <c r="L18">
        <v>0.26366407962834537</v>
      </c>
      <c r="M18">
        <v>0.52817669818460111</v>
      </c>
      <c r="N18">
        <v>0.27533676566470389</v>
      </c>
      <c r="O18">
        <v>3.8233374310296407E-2</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row>
    <row r="19" spans="1:41" x14ac:dyDescent="0.25">
      <c r="A19">
        <v>0</v>
      </c>
      <c r="B19">
        <v>0</v>
      </c>
      <c r="C19">
        <v>0</v>
      </c>
      <c r="D19">
        <v>0</v>
      </c>
      <c r="E19">
        <v>0</v>
      </c>
      <c r="F19">
        <v>0</v>
      </c>
      <c r="G19">
        <v>0</v>
      </c>
      <c r="H19">
        <v>1.0888240065367553E-12</v>
      </c>
      <c r="I19">
        <v>4.418726143692298E-9</v>
      </c>
      <c r="J19">
        <v>3.5399239859335822E-6</v>
      </c>
      <c r="K19">
        <v>5.9917530625930087E-4</v>
      </c>
      <c r="L19">
        <v>2.3056497662650159E-2</v>
      </c>
      <c r="M19">
        <v>0.21602093238018491</v>
      </c>
      <c r="N19">
        <v>0.51964135519564802</v>
      </c>
      <c r="O19">
        <v>0.33080163110756</v>
      </c>
      <c r="P19">
        <v>5.6163504733345269E-2</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row>
    <row r="20" spans="1:41" x14ac:dyDescent="0.25">
      <c r="A20">
        <v>0</v>
      </c>
      <c r="B20">
        <v>0</v>
      </c>
      <c r="C20">
        <v>0</v>
      </c>
      <c r="D20">
        <v>0</v>
      </c>
      <c r="E20">
        <v>0</v>
      </c>
      <c r="F20">
        <v>0</v>
      </c>
      <c r="G20">
        <v>0</v>
      </c>
      <c r="H20">
        <v>0</v>
      </c>
      <c r="I20">
        <v>5.7313162528880491E-13</v>
      </c>
      <c r="J20">
        <v>2.302042191093932E-9</v>
      </c>
      <c r="K20">
        <v>1.9039238664022043E-6</v>
      </c>
      <c r="L20">
        <v>3.4949150443267364E-4</v>
      </c>
      <c r="M20">
        <v>1.5314871271811067E-2</v>
      </c>
      <c r="N20">
        <v>0.16999812154007476</v>
      </c>
      <c r="O20">
        <v>0.49612780980328686</v>
      </c>
      <c r="P20">
        <v>0.38590307925812573</v>
      </c>
      <c r="Q20">
        <v>7.9763404213937267E-2</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row>
    <row r="21" spans="1:41" x14ac:dyDescent="0.25">
      <c r="A21">
        <v>0</v>
      </c>
      <c r="B21">
        <v>0</v>
      </c>
      <c r="C21">
        <v>0</v>
      </c>
      <c r="D21">
        <v>0</v>
      </c>
      <c r="E21">
        <v>0</v>
      </c>
      <c r="F21">
        <v>0</v>
      </c>
      <c r="G21">
        <v>0</v>
      </c>
      <c r="H21">
        <v>0</v>
      </c>
      <c r="I21">
        <v>0</v>
      </c>
      <c r="J21">
        <v>2.5949771449029505E-13</v>
      </c>
      <c r="K21">
        <v>1.0486876776063124E-9</v>
      </c>
      <c r="L21">
        <v>9.1829204990353557E-7</v>
      </c>
      <c r="M21">
        <v>1.88205270310794E-4</v>
      </c>
      <c r="N21">
        <v>9.6401868992086037E-3</v>
      </c>
      <c r="O21">
        <v>0.12897941902377835</v>
      </c>
      <c r="P21">
        <v>0.45962453403026116</v>
      </c>
      <c r="Q21">
        <v>0.4363934571736191</v>
      </c>
      <c r="R21">
        <v>0.10963924762958933</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row>
    <row r="22" spans="1:41" x14ac:dyDescent="0.25">
      <c r="A22">
        <v>0</v>
      </c>
      <c r="B22">
        <v>0</v>
      </c>
      <c r="C22">
        <v>0</v>
      </c>
      <c r="D22">
        <v>0</v>
      </c>
      <c r="E22">
        <v>0</v>
      </c>
      <c r="F22">
        <v>0</v>
      </c>
      <c r="G22">
        <v>0</v>
      </c>
      <c r="H22">
        <v>0</v>
      </c>
      <c r="I22">
        <v>0</v>
      </c>
      <c r="J22">
        <v>0</v>
      </c>
      <c r="K22">
        <v>0</v>
      </c>
      <c r="L22">
        <v>4.1824036146654438E-10</v>
      </c>
      <c r="M22">
        <v>4.0091391166584419E-7</v>
      </c>
      <c r="N22">
        <v>9.4760577947692207E-5</v>
      </c>
      <c r="O22">
        <v>5.8123020691990034E-3</v>
      </c>
      <c r="P22">
        <v>9.4891885640617762E-2</v>
      </c>
      <c r="Q22">
        <v>0.41386023107432751</v>
      </c>
      <c r="R22">
        <v>0.47896652423134101</v>
      </c>
      <c r="S22">
        <v>0.14651276911681238</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row>
    <row r="23" spans="1:41" x14ac:dyDescent="0.25">
      <c r="A23">
        <v>0</v>
      </c>
      <c r="B23">
        <v>0</v>
      </c>
      <c r="C23">
        <v>0</v>
      </c>
      <c r="D23">
        <v>0</v>
      </c>
      <c r="E23">
        <v>0</v>
      </c>
      <c r="F23">
        <v>0</v>
      </c>
      <c r="G23">
        <v>0</v>
      </c>
      <c r="H23">
        <v>0</v>
      </c>
      <c r="I23">
        <v>0</v>
      </c>
      <c r="J23">
        <v>0</v>
      </c>
      <c r="K23">
        <v>0</v>
      </c>
      <c r="L23">
        <v>0</v>
      </c>
      <c r="M23">
        <v>1.480373791463745E-10</v>
      </c>
      <c r="N23">
        <v>1.6146219915483304E-7</v>
      </c>
      <c r="O23">
        <v>4.54021953311545E-5</v>
      </c>
      <c r="P23">
        <v>3.3959076129792304E-3</v>
      </c>
      <c r="Q23">
        <v>6.8034637757355951E-2</v>
      </c>
      <c r="R23">
        <v>0.36269802503377935</v>
      </c>
      <c r="S23">
        <v>0.51124408026971391</v>
      </c>
      <c r="T23">
        <v>0.19118771748189489</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row>
    <row r="24" spans="1:41" x14ac:dyDescent="0.25">
      <c r="A24">
        <v>0</v>
      </c>
      <c r="B24">
        <v>0</v>
      </c>
      <c r="C24">
        <v>0</v>
      </c>
      <c r="D24">
        <v>0</v>
      </c>
      <c r="E24">
        <v>0</v>
      </c>
      <c r="F24">
        <v>0</v>
      </c>
      <c r="G24">
        <v>0</v>
      </c>
      <c r="H24">
        <v>0</v>
      </c>
      <c r="I24">
        <v>0</v>
      </c>
      <c r="J24">
        <v>0</v>
      </c>
      <c r="K24">
        <v>0</v>
      </c>
      <c r="L24">
        <v>0</v>
      </c>
      <c r="M24">
        <v>0</v>
      </c>
      <c r="N24">
        <v>4.7688640468328462E-11</v>
      </c>
      <c r="O24">
        <v>6.147611925474125E-8</v>
      </c>
      <c r="P24">
        <v>2.1066072376721096E-5</v>
      </c>
      <c r="Q24">
        <v>1.938685549762207E-3</v>
      </c>
      <c r="R24">
        <v>4.7608679542709288E-2</v>
      </c>
      <c r="S24">
        <v>0.30923028702845334</v>
      </c>
      <c r="T24">
        <v>0.53125335978516364</v>
      </c>
      <c r="U24">
        <v>0.24403865318255999</v>
      </c>
      <c r="V24">
        <v>0</v>
      </c>
      <c r="W24">
        <v>0</v>
      </c>
      <c r="X24">
        <v>0</v>
      </c>
      <c r="Y24">
        <v>0</v>
      </c>
      <c r="Z24">
        <v>0</v>
      </c>
      <c r="AA24">
        <v>0</v>
      </c>
      <c r="AB24">
        <v>0</v>
      </c>
      <c r="AC24">
        <v>0</v>
      </c>
      <c r="AD24">
        <v>0</v>
      </c>
      <c r="AE24">
        <v>0</v>
      </c>
      <c r="AF24">
        <v>0</v>
      </c>
      <c r="AG24">
        <v>0</v>
      </c>
      <c r="AH24">
        <v>0</v>
      </c>
      <c r="AI24">
        <v>0</v>
      </c>
      <c r="AJ24">
        <v>0</v>
      </c>
      <c r="AK24">
        <v>0</v>
      </c>
      <c r="AL24">
        <v>0</v>
      </c>
      <c r="AM24">
        <v>0</v>
      </c>
      <c r="AN24">
        <v>0</v>
      </c>
      <c r="AO24">
        <v>0</v>
      </c>
    </row>
    <row r="25" spans="1:41" x14ac:dyDescent="0.25">
      <c r="A25">
        <v>0</v>
      </c>
      <c r="B25">
        <v>0</v>
      </c>
      <c r="C25">
        <v>0</v>
      </c>
      <c r="D25">
        <v>0</v>
      </c>
      <c r="E25">
        <v>0</v>
      </c>
      <c r="F25">
        <v>0</v>
      </c>
      <c r="G25">
        <v>0</v>
      </c>
      <c r="H25">
        <v>0</v>
      </c>
      <c r="I25">
        <v>0</v>
      </c>
      <c r="J25">
        <v>0</v>
      </c>
      <c r="K25">
        <v>0</v>
      </c>
      <c r="L25">
        <v>0</v>
      </c>
      <c r="M25">
        <v>0</v>
      </c>
      <c r="N25">
        <v>0</v>
      </c>
      <c r="O25">
        <v>1.4429023860430333E-11</v>
      </c>
      <c r="P25">
        <v>2.2652294172437443E-8</v>
      </c>
      <c r="Q25">
        <v>9.5760319257506423E-6</v>
      </c>
      <c r="R25">
        <v>1.0832482528373695E-3</v>
      </c>
      <c r="S25">
        <v>3.242176625277414E-2</v>
      </c>
      <c r="T25">
        <v>0.25588469261618252</v>
      </c>
      <c r="U25">
        <v>0.53723604842002926</v>
      </c>
      <c r="V25">
        <v>0.30410526072286426</v>
      </c>
      <c r="W25">
        <v>0</v>
      </c>
      <c r="X25">
        <v>0</v>
      </c>
      <c r="Y25">
        <v>0</v>
      </c>
      <c r="Z25">
        <v>0</v>
      </c>
      <c r="AA25">
        <v>0</v>
      </c>
      <c r="AB25">
        <v>0</v>
      </c>
      <c r="AC25">
        <v>0</v>
      </c>
      <c r="AD25">
        <v>0</v>
      </c>
      <c r="AE25">
        <v>0</v>
      </c>
      <c r="AF25">
        <v>0</v>
      </c>
      <c r="AG25">
        <v>0</v>
      </c>
      <c r="AH25">
        <v>0</v>
      </c>
      <c r="AI25">
        <v>0</v>
      </c>
      <c r="AJ25">
        <v>0</v>
      </c>
      <c r="AK25">
        <v>0</v>
      </c>
      <c r="AL25">
        <v>0</v>
      </c>
      <c r="AM25">
        <v>0</v>
      </c>
      <c r="AN25">
        <v>0</v>
      </c>
      <c r="AO25">
        <v>0</v>
      </c>
    </row>
    <row r="26" spans="1:41" x14ac:dyDescent="0.25">
      <c r="A26">
        <v>0</v>
      </c>
      <c r="B26">
        <v>0</v>
      </c>
      <c r="C26">
        <v>0</v>
      </c>
      <c r="D26">
        <v>0</v>
      </c>
      <c r="E26">
        <v>0</v>
      </c>
      <c r="F26">
        <v>0</v>
      </c>
      <c r="G26">
        <v>0</v>
      </c>
      <c r="H26">
        <v>0</v>
      </c>
      <c r="I26">
        <v>0</v>
      </c>
      <c r="J26">
        <v>0</v>
      </c>
      <c r="K26">
        <v>0</v>
      </c>
      <c r="L26">
        <v>0</v>
      </c>
      <c r="M26">
        <v>0</v>
      </c>
      <c r="N26">
        <v>0</v>
      </c>
      <c r="O26">
        <v>0</v>
      </c>
      <c r="P26">
        <v>0</v>
      </c>
      <c r="Q26">
        <v>8.1990722411656567E-9</v>
      </c>
      <c r="R26">
        <v>4.2723888586126699E-6</v>
      </c>
      <c r="S26">
        <v>5.8924001621980381E-4</v>
      </c>
      <c r="T26">
        <v>2.1364259233016117E-2</v>
      </c>
      <c r="U26">
        <v>0.20500883994124508</v>
      </c>
      <c r="V26">
        <v>0.52837697890025503</v>
      </c>
      <c r="W26">
        <v>0.36839875910488273</v>
      </c>
      <c r="X26">
        <v>0</v>
      </c>
      <c r="Y26">
        <v>0</v>
      </c>
      <c r="Z26">
        <v>0</v>
      </c>
      <c r="AA26">
        <v>0</v>
      </c>
      <c r="AB26">
        <v>0</v>
      </c>
      <c r="AC26">
        <v>0</v>
      </c>
      <c r="AD26">
        <v>0</v>
      </c>
      <c r="AE26">
        <v>0</v>
      </c>
      <c r="AF26">
        <v>0</v>
      </c>
      <c r="AG26">
        <v>0</v>
      </c>
      <c r="AH26">
        <v>0</v>
      </c>
      <c r="AI26">
        <v>0</v>
      </c>
      <c r="AJ26">
        <v>0</v>
      </c>
      <c r="AK26">
        <v>0</v>
      </c>
      <c r="AL26">
        <v>0</v>
      </c>
      <c r="AM26">
        <v>0</v>
      </c>
      <c r="AN26">
        <v>0</v>
      </c>
      <c r="AO26">
        <v>0</v>
      </c>
    </row>
    <row r="27" spans="1:41" x14ac:dyDescent="0.25">
      <c r="A27">
        <v>0</v>
      </c>
      <c r="B27">
        <v>0</v>
      </c>
      <c r="C27">
        <v>0</v>
      </c>
      <c r="D27">
        <v>0</v>
      </c>
      <c r="E27">
        <v>0</v>
      </c>
      <c r="F27">
        <v>0</v>
      </c>
      <c r="G27">
        <v>0</v>
      </c>
      <c r="H27">
        <v>0</v>
      </c>
      <c r="I27">
        <v>0</v>
      </c>
      <c r="J27">
        <v>0</v>
      </c>
      <c r="K27">
        <v>0</v>
      </c>
      <c r="L27">
        <v>0</v>
      </c>
      <c r="M27">
        <v>0</v>
      </c>
      <c r="N27">
        <v>0</v>
      </c>
      <c r="O27">
        <v>0</v>
      </c>
      <c r="P27">
        <v>0</v>
      </c>
      <c r="Q27">
        <v>0</v>
      </c>
      <c r="R27">
        <v>2.9208850513744097E-9</v>
      </c>
      <c r="S27">
        <v>1.8563023343132937E-6</v>
      </c>
      <c r="T27">
        <v>3.0919487526539336E-4</v>
      </c>
      <c r="U27">
        <v>1.356066370365693E-2</v>
      </c>
      <c r="V27">
        <v>0.15913465146080125</v>
      </c>
      <c r="W27">
        <v>0.50608129358735432</v>
      </c>
      <c r="X27">
        <v>0.43224990891020154</v>
      </c>
      <c r="Y27">
        <v>0</v>
      </c>
      <c r="Z27">
        <v>0</v>
      </c>
      <c r="AA27">
        <v>0</v>
      </c>
      <c r="AB27">
        <v>0</v>
      </c>
      <c r="AC27">
        <v>0</v>
      </c>
      <c r="AD27">
        <v>0</v>
      </c>
      <c r="AE27">
        <v>0</v>
      </c>
      <c r="AF27">
        <v>0</v>
      </c>
      <c r="AG27">
        <v>0</v>
      </c>
      <c r="AH27">
        <v>0</v>
      </c>
      <c r="AI27">
        <v>0</v>
      </c>
      <c r="AJ27">
        <v>0</v>
      </c>
      <c r="AK27">
        <v>0</v>
      </c>
      <c r="AL27">
        <v>0</v>
      </c>
      <c r="AM27">
        <v>0</v>
      </c>
      <c r="AN27">
        <v>0</v>
      </c>
      <c r="AO27">
        <v>0</v>
      </c>
    </row>
    <row r="28" spans="1:41" x14ac:dyDescent="0.25">
      <c r="A28">
        <v>0</v>
      </c>
      <c r="B28">
        <v>0</v>
      </c>
      <c r="C28">
        <v>0</v>
      </c>
      <c r="D28">
        <v>0</v>
      </c>
      <c r="E28">
        <v>0</v>
      </c>
      <c r="F28">
        <v>0</v>
      </c>
      <c r="G28">
        <v>0</v>
      </c>
      <c r="H28">
        <v>0</v>
      </c>
      <c r="I28">
        <v>0</v>
      </c>
      <c r="J28">
        <v>0</v>
      </c>
      <c r="K28">
        <v>0</v>
      </c>
      <c r="L28">
        <v>0</v>
      </c>
      <c r="M28">
        <v>0</v>
      </c>
      <c r="N28">
        <v>0</v>
      </c>
      <c r="O28">
        <v>0</v>
      </c>
      <c r="P28">
        <v>0</v>
      </c>
      <c r="Q28">
        <v>0</v>
      </c>
      <c r="R28">
        <v>0</v>
      </c>
      <c r="S28">
        <v>1.0136921991308225E-9</v>
      </c>
      <c r="T28">
        <v>7.756711714455844E-7</v>
      </c>
      <c r="U28">
        <v>1.5548561620896625E-4</v>
      </c>
      <c r="V28">
        <v>8.3078097533458971E-3</v>
      </c>
      <c r="W28">
        <v>0.12051006654074994</v>
      </c>
      <c r="X28">
        <v>0.47447512279146253</v>
      </c>
      <c r="Y28">
        <v>0.49081880344230483</v>
      </c>
      <c r="Z28">
        <v>0</v>
      </c>
      <c r="AA28">
        <v>0</v>
      </c>
      <c r="AB28">
        <v>0</v>
      </c>
      <c r="AC28">
        <v>0</v>
      </c>
      <c r="AD28">
        <v>0</v>
      </c>
      <c r="AE28">
        <v>0</v>
      </c>
      <c r="AF28">
        <v>0</v>
      </c>
      <c r="AG28">
        <v>0</v>
      </c>
      <c r="AH28">
        <v>0</v>
      </c>
      <c r="AI28">
        <v>0</v>
      </c>
      <c r="AJ28">
        <v>0</v>
      </c>
      <c r="AK28">
        <v>0</v>
      </c>
      <c r="AL28">
        <v>0</v>
      </c>
      <c r="AM28">
        <v>0</v>
      </c>
      <c r="AN28">
        <v>0</v>
      </c>
      <c r="AO28">
        <v>0</v>
      </c>
    </row>
    <row r="29" spans="1:41" x14ac:dyDescent="0.25">
      <c r="A29">
        <v>0</v>
      </c>
      <c r="B29">
        <v>0</v>
      </c>
      <c r="C29">
        <v>0</v>
      </c>
      <c r="D29">
        <v>0</v>
      </c>
      <c r="E29">
        <v>0</v>
      </c>
      <c r="F29">
        <v>0</v>
      </c>
      <c r="G29">
        <v>0</v>
      </c>
      <c r="H29">
        <v>0</v>
      </c>
      <c r="I29">
        <v>0</v>
      </c>
      <c r="J29">
        <v>0</v>
      </c>
      <c r="K29">
        <v>0</v>
      </c>
      <c r="L29">
        <v>0</v>
      </c>
      <c r="M29">
        <v>0</v>
      </c>
      <c r="N29">
        <v>0</v>
      </c>
      <c r="O29">
        <v>0</v>
      </c>
      <c r="P29">
        <v>0</v>
      </c>
      <c r="Q29">
        <v>0</v>
      </c>
      <c r="R29">
        <v>0</v>
      </c>
      <c r="S29">
        <v>0</v>
      </c>
      <c r="T29">
        <v>3.3730589401614296E-10</v>
      </c>
      <c r="U29">
        <v>3.0902983359445475E-7</v>
      </c>
      <c r="V29">
        <v>7.5181198341430476E-5</v>
      </c>
      <c r="W29">
        <v>4.9742462753724062E-3</v>
      </c>
      <c r="X29">
        <v>9.0280280319876741E-2</v>
      </c>
      <c r="Y29">
        <v>0.43921233459942011</v>
      </c>
      <c r="Z29">
        <v>0.54074372379032243</v>
      </c>
      <c r="AA29">
        <v>0</v>
      </c>
      <c r="AB29">
        <v>0</v>
      </c>
      <c r="AC29">
        <v>0</v>
      </c>
      <c r="AD29">
        <v>0</v>
      </c>
      <c r="AE29">
        <v>0</v>
      </c>
      <c r="AF29">
        <v>0</v>
      </c>
      <c r="AG29">
        <v>0</v>
      </c>
      <c r="AH29">
        <v>0</v>
      </c>
      <c r="AI29">
        <v>0</v>
      </c>
      <c r="AJ29">
        <v>0</v>
      </c>
      <c r="AK29">
        <v>0</v>
      </c>
      <c r="AL29">
        <v>0</v>
      </c>
      <c r="AM29">
        <v>0</v>
      </c>
      <c r="AN29">
        <v>0</v>
      </c>
      <c r="AO29">
        <v>0</v>
      </c>
    </row>
    <row r="30" spans="1:41" x14ac:dyDescent="0.25">
      <c r="A30">
        <v>0</v>
      </c>
      <c r="B30">
        <v>0</v>
      </c>
      <c r="C30">
        <v>0</v>
      </c>
      <c r="D30">
        <v>0</v>
      </c>
      <c r="E30">
        <v>0</v>
      </c>
      <c r="F30">
        <v>0</v>
      </c>
      <c r="G30">
        <v>0</v>
      </c>
      <c r="H30">
        <v>0</v>
      </c>
      <c r="I30">
        <v>0</v>
      </c>
      <c r="J30">
        <v>0</v>
      </c>
      <c r="K30">
        <v>0</v>
      </c>
      <c r="L30">
        <v>0</v>
      </c>
      <c r="M30">
        <v>0</v>
      </c>
      <c r="N30">
        <v>0</v>
      </c>
      <c r="O30">
        <v>0</v>
      </c>
      <c r="P30">
        <v>0</v>
      </c>
      <c r="Q30">
        <v>0</v>
      </c>
      <c r="R30">
        <v>0</v>
      </c>
      <c r="S30">
        <v>0</v>
      </c>
      <c r="T30">
        <v>0</v>
      </c>
      <c r="U30">
        <v>1.0646614092787798E-10</v>
      </c>
      <c r="V30">
        <v>1.1793232496360163E-7</v>
      </c>
      <c r="W30">
        <v>3.5590341580086193E-5</v>
      </c>
      <c r="X30">
        <v>2.9776473814990506E-3</v>
      </c>
      <c r="Y30">
        <v>6.8128492526058917E-2</v>
      </c>
      <c r="Z30">
        <v>0.40538508599850942</v>
      </c>
      <c r="AA30">
        <v>0.58080769163441215</v>
      </c>
      <c r="AB30">
        <v>0</v>
      </c>
      <c r="AC30">
        <v>0</v>
      </c>
      <c r="AD30">
        <v>0</v>
      </c>
      <c r="AE30">
        <v>0</v>
      </c>
      <c r="AF30">
        <v>0</v>
      </c>
      <c r="AG30">
        <v>0</v>
      </c>
      <c r="AH30">
        <v>0</v>
      </c>
      <c r="AI30">
        <v>0</v>
      </c>
      <c r="AJ30">
        <v>0</v>
      </c>
      <c r="AK30">
        <v>0</v>
      </c>
      <c r="AL30">
        <v>0</v>
      </c>
      <c r="AM30">
        <v>0</v>
      </c>
      <c r="AN30">
        <v>0</v>
      </c>
      <c r="AO30">
        <v>0</v>
      </c>
    </row>
    <row r="31" spans="1:41" x14ac:dyDescent="0.25">
      <c r="A31">
        <v>0</v>
      </c>
      <c r="B31">
        <v>0</v>
      </c>
      <c r="C31">
        <v>0</v>
      </c>
      <c r="D31">
        <v>0</v>
      </c>
      <c r="E31">
        <v>0</v>
      </c>
      <c r="F31">
        <v>0</v>
      </c>
      <c r="G31">
        <v>0</v>
      </c>
      <c r="H31">
        <v>0</v>
      </c>
      <c r="I31">
        <v>0</v>
      </c>
      <c r="J31">
        <v>0</v>
      </c>
      <c r="K31">
        <v>0</v>
      </c>
      <c r="L31">
        <v>0</v>
      </c>
      <c r="M31">
        <v>0</v>
      </c>
      <c r="N31">
        <v>0</v>
      </c>
      <c r="O31">
        <v>0</v>
      </c>
      <c r="P31">
        <v>0</v>
      </c>
      <c r="Q31">
        <v>0</v>
      </c>
      <c r="R31">
        <v>0</v>
      </c>
      <c r="S31">
        <v>0</v>
      </c>
      <c r="T31">
        <v>0</v>
      </c>
      <c r="U31">
        <v>0</v>
      </c>
      <c r="V31">
        <v>3.2066930662022026E-11</v>
      </c>
      <c r="W31">
        <v>4.4140570762897383E-8</v>
      </c>
      <c r="X31">
        <v>1.7023723220456304E-5</v>
      </c>
      <c r="Y31">
        <v>1.8318248506013735E-3</v>
      </c>
      <c r="Z31">
        <v>5.2679902476482979E-2</v>
      </c>
      <c r="AA31">
        <v>0.37614250688243783</v>
      </c>
      <c r="AB31">
        <v>0.61153112166358625</v>
      </c>
      <c r="AC31">
        <v>0</v>
      </c>
      <c r="AD31">
        <v>0</v>
      </c>
      <c r="AE31">
        <v>0</v>
      </c>
      <c r="AF31">
        <v>0</v>
      </c>
      <c r="AG31">
        <v>0</v>
      </c>
      <c r="AH31">
        <v>0</v>
      </c>
      <c r="AI31">
        <v>0</v>
      </c>
      <c r="AJ31">
        <v>0</v>
      </c>
      <c r="AK31">
        <v>0</v>
      </c>
      <c r="AL31">
        <v>0</v>
      </c>
      <c r="AM31">
        <v>0</v>
      </c>
      <c r="AN31">
        <v>0</v>
      </c>
      <c r="AO31">
        <v>0</v>
      </c>
    </row>
    <row r="32" spans="1:41" x14ac:dyDescent="0.25">
      <c r="A32">
        <v>0</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9.4895288063971277E-12</v>
      </c>
      <c r="X32">
        <v>1.6870841625146719E-8</v>
      </c>
      <c r="Y32">
        <v>8.5376830643334396E-6</v>
      </c>
      <c r="Z32">
        <v>1.1866511736806299E-3</v>
      </c>
      <c r="AA32">
        <v>4.2225362425353852E-2</v>
      </c>
      <c r="AB32">
        <v>0.35261295151089167</v>
      </c>
      <c r="AC32">
        <v>0.63434977489616784</v>
      </c>
      <c r="AD32">
        <v>0</v>
      </c>
      <c r="AE32">
        <v>0</v>
      </c>
      <c r="AF32">
        <v>0</v>
      </c>
      <c r="AG32">
        <v>0</v>
      </c>
      <c r="AH32">
        <v>0</v>
      </c>
      <c r="AI32">
        <v>0</v>
      </c>
      <c r="AJ32">
        <v>0</v>
      </c>
      <c r="AK32">
        <v>0</v>
      </c>
      <c r="AL32">
        <v>0</v>
      </c>
      <c r="AM32">
        <v>0</v>
      </c>
      <c r="AN32">
        <v>0</v>
      </c>
      <c r="AO32">
        <v>0</v>
      </c>
    </row>
    <row r="33" spans="1:41" x14ac:dyDescent="0.25">
      <c r="A33">
        <v>0</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2.8981433489769374E-12</v>
      </c>
      <c r="Y33">
        <v>6.8975844591493032E-9</v>
      </c>
      <c r="Z33">
        <v>4.6334245936411583E-6</v>
      </c>
      <c r="AA33">
        <v>8.2166591695260788E-4</v>
      </c>
      <c r="AB33">
        <v>3.5243487049299582E-2</v>
      </c>
      <c r="AC33">
        <v>0.33457547962978712</v>
      </c>
      <c r="AD33">
        <v>0.65093553561258377</v>
      </c>
      <c r="AE33">
        <v>0</v>
      </c>
      <c r="AF33">
        <v>0</v>
      </c>
      <c r="AG33">
        <v>0</v>
      </c>
      <c r="AH33">
        <v>0</v>
      </c>
      <c r="AI33">
        <v>0</v>
      </c>
      <c r="AJ33">
        <v>0</v>
      </c>
      <c r="AK33">
        <v>0</v>
      </c>
      <c r="AL33">
        <v>0</v>
      </c>
      <c r="AM33">
        <v>0</v>
      </c>
      <c r="AN33">
        <v>0</v>
      </c>
      <c r="AO33">
        <v>0</v>
      </c>
    </row>
    <row r="34" spans="1:41" x14ac:dyDescent="0.25">
      <c r="A34">
        <v>0</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9.6595065365277517E-13</v>
      </c>
      <c r="Z34">
        <v>3.136043235453663E-9</v>
      </c>
      <c r="AA34">
        <v>2.7715203705681792E-6</v>
      </c>
      <c r="AB34">
        <v>6.1060506014784413E-4</v>
      </c>
      <c r="AC34">
        <v>3.0588652372373158E-2</v>
      </c>
      <c r="AD34">
        <v>0.32118517243196076</v>
      </c>
      <c r="AE34">
        <v>0.65093553561258377</v>
      </c>
      <c r="AF34">
        <v>0</v>
      </c>
      <c r="AG34">
        <v>0</v>
      </c>
      <c r="AH34">
        <v>0</v>
      </c>
      <c r="AI34">
        <v>0</v>
      </c>
      <c r="AJ34">
        <v>0</v>
      </c>
      <c r="AK34">
        <v>0</v>
      </c>
      <c r="AL34">
        <v>0</v>
      </c>
      <c r="AM34">
        <v>0</v>
      </c>
      <c r="AN34">
        <v>0</v>
      </c>
      <c r="AO34">
        <v>0</v>
      </c>
    </row>
    <row r="35" spans="1:41" x14ac:dyDescent="0.25">
      <c r="A35">
        <v>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3.6792805031323338E-13</v>
      </c>
      <c r="AA35">
        <v>1.6204729762525686E-9</v>
      </c>
      <c r="AB35">
        <v>1.8337614641600792E-6</v>
      </c>
      <c r="AC35">
        <v>4.8476080079966214E-4</v>
      </c>
      <c r="AD35">
        <v>2.7470964656344792E-2</v>
      </c>
      <c r="AE35">
        <v>0.32118517243196076</v>
      </c>
      <c r="AF35">
        <v>0.65093553561258377</v>
      </c>
      <c r="AG35">
        <v>0</v>
      </c>
      <c r="AH35">
        <v>0</v>
      </c>
      <c r="AI35">
        <v>0</v>
      </c>
      <c r="AJ35">
        <v>0</v>
      </c>
      <c r="AK35">
        <v>0</v>
      </c>
      <c r="AL35">
        <v>0</v>
      </c>
      <c r="AM35">
        <v>0</v>
      </c>
      <c r="AN35">
        <v>0</v>
      </c>
      <c r="AO35">
        <v>0</v>
      </c>
    </row>
    <row r="36" spans="1:41" x14ac:dyDescent="0.25">
      <c r="A36">
        <v>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9.5461048569256034E-10</v>
      </c>
      <c r="AC36">
        <v>1.3316667623264556E-6</v>
      </c>
      <c r="AD36">
        <v>4.0728015386583044E-4</v>
      </c>
      <c r="AE36">
        <v>2.7470964656344792E-2</v>
      </c>
      <c r="AF36">
        <v>0.32118517243196076</v>
      </c>
      <c r="AG36">
        <v>0.65093553561258377</v>
      </c>
      <c r="AH36">
        <v>0</v>
      </c>
      <c r="AI36">
        <v>0</v>
      </c>
      <c r="AJ36">
        <v>0</v>
      </c>
      <c r="AK36">
        <v>0</v>
      </c>
      <c r="AL36">
        <v>0</v>
      </c>
      <c r="AM36">
        <v>0</v>
      </c>
      <c r="AN36">
        <v>0</v>
      </c>
      <c r="AO36">
        <v>0</v>
      </c>
    </row>
    <row r="37" spans="1:41" x14ac:dyDescent="0.25">
      <c r="A37">
        <v>0</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6.3410991164545808E-10</v>
      </c>
      <c r="AD37">
        <v>1.0466789779083405E-6</v>
      </c>
      <c r="AE37">
        <v>4.0728015386583044E-4</v>
      </c>
      <c r="AF37">
        <v>2.7470964656344792E-2</v>
      </c>
      <c r="AG37">
        <v>0.32118517243196076</v>
      </c>
      <c r="AH37">
        <v>0.65093553561258377</v>
      </c>
      <c r="AI37">
        <v>0</v>
      </c>
      <c r="AJ37">
        <v>0</v>
      </c>
      <c r="AK37">
        <v>0</v>
      </c>
      <c r="AL37">
        <v>0</v>
      </c>
      <c r="AM37">
        <v>0</v>
      </c>
      <c r="AN37">
        <v>0</v>
      </c>
      <c r="AO37">
        <v>0</v>
      </c>
    </row>
    <row r="38" spans="1:41" x14ac:dyDescent="0.25">
      <c r="A38">
        <v>0</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4.6626699073896471E-10</v>
      </c>
      <c r="AE38">
        <v>1.0466789779083405E-6</v>
      </c>
      <c r="AF38">
        <v>4.0728015386583044E-4</v>
      </c>
      <c r="AG38">
        <v>2.7470964656344792E-2</v>
      </c>
      <c r="AH38">
        <v>0.32118517243196076</v>
      </c>
      <c r="AI38">
        <v>0.65093553561258377</v>
      </c>
      <c r="AJ38">
        <v>0</v>
      </c>
      <c r="AK38">
        <v>0</v>
      </c>
      <c r="AL38">
        <v>0</v>
      </c>
      <c r="AM38">
        <v>0</v>
      </c>
      <c r="AN38">
        <v>0</v>
      </c>
      <c r="AO38">
        <v>0</v>
      </c>
    </row>
    <row r="39" spans="1:41" x14ac:dyDescent="0.25">
      <c r="A39">
        <v>0</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4.6626699073896471E-10</v>
      </c>
      <c r="AF39">
        <v>1.0466789779083405E-6</v>
      </c>
      <c r="AG39">
        <v>4.0728015386583044E-4</v>
      </c>
      <c r="AH39">
        <v>2.7470964656344792E-2</v>
      </c>
      <c r="AI39">
        <v>0.32118517243196076</v>
      </c>
      <c r="AJ39">
        <v>0.65093553561258377</v>
      </c>
      <c r="AK39">
        <v>0</v>
      </c>
      <c r="AL39">
        <v>0</v>
      </c>
      <c r="AM39">
        <v>0</v>
      </c>
      <c r="AN39">
        <v>0</v>
      </c>
      <c r="AO39">
        <v>0</v>
      </c>
    </row>
    <row r="40" spans="1:41" x14ac:dyDescent="0.25">
      <c r="A40">
        <v>0</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4.6626699073896471E-10</v>
      </c>
      <c r="AG40">
        <v>1.0466789779083405E-6</v>
      </c>
      <c r="AH40">
        <v>4.0728015386583044E-4</v>
      </c>
      <c r="AI40">
        <v>2.7470964656344792E-2</v>
      </c>
      <c r="AJ40">
        <v>0.32118517243196076</v>
      </c>
      <c r="AK40">
        <v>0.65093553561258377</v>
      </c>
      <c r="AL40">
        <v>0</v>
      </c>
      <c r="AM40">
        <v>0</v>
      </c>
      <c r="AN40">
        <v>0</v>
      </c>
      <c r="AO40">
        <v>0</v>
      </c>
    </row>
    <row r="41" spans="1:41" x14ac:dyDescent="0.25">
      <c r="A41">
        <v>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4.6626699073896471E-10</v>
      </c>
      <c r="AH41">
        <v>1.0466789779083405E-6</v>
      </c>
      <c r="AI41">
        <v>4.0728015386583044E-4</v>
      </c>
      <c r="AJ41">
        <v>2.7470964656344792E-2</v>
      </c>
      <c r="AK41">
        <v>0.32118517243196076</v>
      </c>
      <c r="AL41">
        <v>0.65093553561258377</v>
      </c>
      <c r="AM41">
        <v>0</v>
      </c>
      <c r="AN41">
        <v>0</v>
      </c>
      <c r="AO41">
        <v>0</v>
      </c>
    </row>
    <row r="42" spans="1:41" x14ac:dyDescent="0.25">
      <c r="A42">
        <v>0</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4.6626699073896471E-10</v>
      </c>
      <c r="AI42">
        <v>1.0466789779083405E-6</v>
      </c>
      <c r="AJ42">
        <v>4.0728015386583044E-4</v>
      </c>
      <c r="AK42">
        <v>2.7470964656344792E-2</v>
      </c>
      <c r="AL42">
        <v>0.32118517243196076</v>
      </c>
      <c r="AM42">
        <v>0.65093553561258377</v>
      </c>
      <c r="AN42">
        <v>0</v>
      </c>
      <c r="AO42">
        <v>0</v>
      </c>
    </row>
    <row r="43" spans="1:41" x14ac:dyDescent="0.25">
      <c r="A43">
        <v>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4.6626699073896471E-10</v>
      </c>
      <c r="AJ43">
        <v>1.0466789779083405E-6</v>
      </c>
      <c r="AK43">
        <v>4.0728015386583044E-4</v>
      </c>
      <c r="AL43">
        <v>2.7470964656344792E-2</v>
      </c>
      <c r="AM43">
        <v>0.32118517243196076</v>
      </c>
      <c r="AN43">
        <v>0.65093553561258377</v>
      </c>
      <c r="AO43">
        <v>0</v>
      </c>
    </row>
    <row r="44" spans="1:41" x14ac:dyDescent="0.25">
      <c r="A44">
        <v>0</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4.6626691396767228E-10</v>
      </c>
      <c r="AK44">
        <v>1.0471452448479468E-6</v>
      </c>
      <c r="AL44">
        <v>4.0832729911066679E-4</v>
      </c>
      <c r="AM44">
        <v>2.7879291955455465E-2</v>
      </c>
      <c r="AN44">
        <v>0.34906446438741623</v>
      </c>
      <c r="AO44">
        <v>1</v>
      </c>
    </row>
    <row r="46" spans="1:41" x14ac:dyDescent="0.25">
      <c r="A46" t="s">
        <v>317</v>
      </c>
    </row>
    <row r="47" spans="1:41" x14ac:dyDescent="0.25">
      <c r="A47">
        <v>0.15307271504047792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row>
    <row r="48" spans="1:41" x14ac:dyDescent="0.25">
      <c r="A48">
        <v>0.19948096340392329</v>
      </c>
      <c r="B48">
        <v>0.15307271509291839</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row>
    <row r="49" spans="1:41" x14ac:dyDescent="0.25">
      <c r="A49">
        <v>0.21152541059593205</v>
      </c>
      <c r="B49">
        <v>0.1994809634436186</v>
      </c>
      <c r="C49">
        <v>0.15307271524709687</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row>
    <row r="50" spans="1:41" x14ac:dyDescent="0.25">
      <c r="A50">
        <v>0.18250764220815685</v>
      </c>
      <c r="B50">
        <v>0.21152541060765206</v>
      </c>
      <c r="C50">
        <v>0.19948096356032591</v>
      </c>
      <c r="D50">
        <v>0.15307271570039199</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row>
    <row r="51" spans="1:41" x14ac:dyDescent="0.25">
      <c r="A51">
        <v>0.12813181570527035</v>
      </c>
      <c r="B51">
        <v>0.18250764219206145</v>
      </c>
      <c r="C51">
        <v>0.21152541064210784</v>
      </c>
      <c r="D51">
        <v>0.19948096390345563</v>
      </c>
      <c r="E51">
        <v>0.15307271703311062</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row>
    <row r="52" spans="1:41" x14ac:dyDescent="0.25">
      <c r="A52">
        <v>7.3196501552975551E-2</v>
      </c>
      <c r="B52">
        <v>0.1281318156755723</v>
      </c>
      <c r="C52">
        <v>0.18250764214474241</v>
      </c>
      <c r="D52">
        <v>0.21152541074340905</v>
      </c>
      <c r="E52">
        <v>0.19948096491227754</v>
      </c>
      <c r="F52">
        <v>0.15307272095139335</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row>
    <row r="53" spans="1:41" x14ac:dyDescent="0.25">
      <c r="A53">
        <v>3.4023664427293203E-2</v>
      </c>
      <c r="B53">
        <v>7.3196501525499988E-2</v>
      </c>
      <c r="C53">
        <v>0.12813181558825784</v>
      </c>
      <c r="D53">
        <v>0.18250764200561834</v>
      </c>
      <c r="E53">
        <v>0.21152541104124289</v>
      </c>
      <c r="F53">
        <v>0.19948096787828329</v>
      </c>
      <c r="G53">
        <v>0.15307273247141556</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row>
    <row r="54" spans="1:41" x14ac:dyDescent="0.25">
      <c r="A54">
        <v>1.2868539689936006E-2</v>
      </c>
      <c r="B54">
        <v>3.4023664409636438E-2</v>
      </c>
      <c r="C54">
        <v>7.3196501444719578E-2</v>
      </c>
      <c r="D54">
        <v>0.12813181533154785</v>
      </c>
      <c r="E54">
        <v>0.18250764159658728</v>
      </c>
      <c r="F54">
        <v>0.21152541191689531</v>
      </c>
      <c r="G54">
        <v>0.19948097659854347</v>
      </c>
      <c r="H54">
        <v>0.15307276634107997</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row>
    <row r="55" spans="1:41" x14ac:dyDescent="0.25">
      <c r="A55">
        <v>3.9603618148931225E-3</v>
      </c>
      <c r="B55">
        <v>1.2868539681409958E-2</v>
      </c>
      <c r="C55">
        <v>3.4023664357723839E-2</v>
      </c>
      <c r="D55">
        <v>7.3196501207220391E-2</v>
      </c>
      <c r="E55">
        <v>0.12813181457680217</v>
      </c>
      <c r="F55">
        <v>0.18250764039400674</v>
      </c>
      <c r="G55">
        <v>0.2115254144913721</v>
      </c>
      <c r="H55">
        <v>0.19948100223671036</v>
      </c>
      <c r="I55">
        <v>0.15307286592036362</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row>
    <row r="56" spans="1:41" x14ac:dyDescent="0.25">
      <c r="A56">
        <v>9.9174011551712436E-4</v>
      </c>
      <c r="B56">
        <v>3.9603618117005105E-3</v>
      </c>
      <c r="C56">
        <v>1.2868539656342803E-2</v>
      </c>
      <c r="D56">
        <v>3.4023664205097698E-2</v>
      </c>
      <c r="E56">
        <v>7.3196500508955778E-2</v>
      </c>
      <c r="F56">
        <v>0.1281318123577995</v>
      </c>
      <c r="G56">
        <v>0.1825076368583339</v>
      </c>
      <c r="H56">
        <v>0.21152542206051136</v>
      </c>
      <c r="I56">
        <v>0.19948107761476716</v>
      </c>
      <c r="J56">
        <v>0.15307315869164967</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row>
    <row r="57" spans="1:41" x14ac:dyDescent="0.25">
      <c r="A57">
        <v>2.0207766494642317E-4</v>
      </c>
      <c r="B57">
        <v>9.9174011457523891E-4</v>
      </c>
      <c r="C57">
        <v>3.9603618023140268E-3</v>
      </c>
      <c r="D57">
        <v>1.2868539582643597E-2</v>
      </c>
      <c r="E57">
        <v>3.4023663756366652E-2</v>
      </c>
      <c r="F57">
        <v>7.3196498456010894E-2</v>
      </c>
      <c r="G57">
        <v>0.12813180583378012</v>
      </c>
      <c r="H57">
        <v>0.18250762646321184</v>
      </c>
      <c r="I57">
        <v>0.21152544431429179</v>
      </c>
      <c r="J57">
        <v>0.19948129923222427</v>
      </c>
      <c r="K57">
        <v>0.15307401947116053</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row>
    <row r="58" spans="1:41" x14ac:dyDescent="0.25">
      <c r="A58">
        <v>3.3503961979542276E-5</v>
      </c>
      <c r="B58">
        <v>2.0207766472548697E-4</v>
      </c>
      <c r="C58">
        <v>9.917401118060287E-4</v>
      </c>
      <c r="D58">
        <v>3.960361774717128E-3</v>
      </c>
      <c r="E58">
        <v>1.2868539365963147E-2</v>
      </c>
      <c r="F58">
        <v>3.4023662437066567E-2</v>
      </c>
      <c r="G58">
        <v>7.3196492420212339E-2</v>
      </c>
      <c r="H58">
        <v>0.12813178665270805</v>
      </c>
      <c r="I58">
        <v>0.18250759590077328</v>
      </c>
      <c r="J58">
        <v>0.21152550974193449</v>
      </c>
      <c r="K58">
        <v>0.19948195080972267</v>
      </c>
      <c r="L58">
        <v>0.15307655032236198</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row>
    <row r="59" spans="1:41" x14ac:dyDescent="0.25">
      <c r="A59">
        <v>4.5199271749011552E-6</v>
      </c>
      <c r="B59">
        <v>3.3503961938100769E-5</v>
      </c>
      <c r="C59">
        <v>2.0207766407592053E-4</v>
      </c>
      <c r="D59">
        <v>9.917401036643621E-4</v>
      </c>
      <c r="E59">
        <v>3.9603616935803823E-3</v>
      </c>
      <c r="F59">
        <v>1.2868538728907888E-2</v>
      </c>
      <c r="G59">
        <v>3.4023658558235026E-2</v>
      </c>
      <c r="H59">
        <v>7.3196474674547721E-2</v>
      </c>
      <c r="I59">
        <v>0.12813173025896979</v>
      </c>
      <c r="J59">
        <v>0.18250750604452767</v>
      </c>
      <c r="K59">
        <v>0.21152570210369023</v>
      </c>
      <c r="L59">
        <v>0.19948386655105252</v>
      </c>
      <c r="M59">
        <v>0.15308399203603226</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row>
    <row r="60" spans="1:41" x14ac:dyDescent="0.25">
      <c r="A60">
        <v>4.9616271564944776E-7</v>
      </c>
      <c r="B60">
        <v>4.5199271686613701E-6</v>
      </c>
      <c r="C60">
        <v>3.3503961816260081E-5</v>
      </c>
      <c r="D60">
        <v>2.0207766216615033E-4</v>
      </c>
      <c r="E60">
        <v>9.9174007972731661E-4</v>
      </c>
      <c r="F60">
        <v>3.9603614550328447E-3</v>
      </c>
      <c r="G60">
        <v>1.2868536855921939E-2</v>
      </c>
      <c r="H60">
        <v>3.4023647154202218E-2</v>
      </c>
      <c r="I60">
        <v>7.319642250102304E-2</v>
      </c>
      <c r="J60">
        <v>0.12813156445680787</v>
      </c>
      <c r="K60">
        <v>0.18250724185598263</v>
      </c>
      <c r="L60">
        <v>0.21152626765999863</v>
      </c>
      <c r="M60">
        <v>0.19948949944716274</v>
      </c>
      <c r="N60">
        <v>0.15310587772893103</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row>
    <row r="61" spans="1:41" x14ac:dyDescent="0.25">
      <c r="A61">
        <v>4.431739581531823E-8</v>
      </c>
      <c r="B61">
        <v>4.9616271489324936E-7</v>
      </c>
      <c r="C61">
        <v>4.5199271503160248E-6</v>
      </c>
      <c r="D61">
        <v>3.350396145804011E-5</v>
      </c>
      <c r="E61">
        <v>2.0207765655129805E-4</v>
      </c>
      <c r="F61">
        <v>9.9174000935077652E-4</v>
      </c>
      <c r="G61">
        <v>3.9603607536868295E-3</v>
      </c>
      <c r="H61">
        <v>1.2868531349214599E-2</v>
      </c>
      <c r="I61">
        <v>3.4023613625539288E-2</v>
      </c>
      <c r="J61">
        <v>7.3196269106777206E-2</v>
      </c>
      <c r="K61">
        <v>0.12813107698097861</v>
      </c>
      <c r="L61">
        <v>0.18250646508072299</v>
      </c>
      <c r="M61">
        <v>0.21152793042365811</v>
      </c>
      <c r="N61">
        <v>0.19950606421493744</v>
      </c>
      <c r="O61">
        <v>0.15317025112461807</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row>
    <row r="62" spans="1:41" x14ac:dyDescent="0.25">
      <c r="A62">
        <v>3.2209334892436401E-9</v>
      </c>
      <c r="B62">
        <v>4.4317395741410714E-8</v>
      </c>
      <c r="C62">
        <v>4.9616271266997739E-7</v>
      </c>
      <c r="D62">
        <v>4.5199270963794154E-6</v>
      </c>
      <c r="E62">
        <v>3.350396040484902E-5</v>
      </c>
      <c r="F62">
        <v>2.020776400432509E-4</v>
      </c>
      <c r="G62">
        <v>9.9173980243894987E-4</v>
      </c>
      <c r="H62">
        <v>3.9603586916815373E-3</v>
      </c>
      <c r="I62">
        <v>1.2868515159108548E-2</v>
      </c>
      <c r="J62">
        <v>3.4023515048714911E-2</v>
      </c>
      <c r="K62">
        <v>7.3195818112762781E-2</v>
      </c>
      <c r="L62">
        <v>0.12812964371700911</v>
      </c>
      <c r="M62">
        <v>0.18250418094739515</v>
      </c>
      <c r="N62">
        <v>0.21153281881420166</v>
      </c>
      <c r="O62">
        <v>0.19955477579850883</v>
      </c>
      <c r="P62">
        <v>0.15335920160619601</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row>
    <row r="63" spans="1:41" x14ac:dyDescent="0.25">
      <c r="A63">
        <v>1.9047882330932558E-10</v>
      </c>
      <c r="B63">
        <v>3.2209334834096362E-9</v>
      </c>
      <c r="C63">
        <v>4.4317395524117838E-8</v>
      </c>
      <c r="D63">
        <v>4.9616270613339894E-7</v>
      </c>
      <c r="E63">
        <v>4.5199269378021803E-6</v>
      </c>
      <c r="F63">
        <v>3.350395730839571E-5</v>
      </c>
      <c r="G63">
        <v>2.0207759150846986E-4</v>
      </c>
      <c r="H63">
        <v>9.9173919410406718E-4</v>
      </c>
      <c r="I63">
        <v>3.9603526292425126E-3</v>
      </c>
      <c r="J63">
        <v>1.2868467558993572E-2</v>
      </c>
      <c r="K63">
        <v>3.4023225223862794E-2</v>
      </c>
      <c r="L63">
        <v>7.3194492122355764E-2</v>
      </c>
      <c r="M63">
        <v>0.12812542939379426</v>
      </c>
      <c r="N63">
        <v>0.18249746253311863</v>
      </c>
      <c r="O63">
        <v>0.21154718246515786</v>
      </c>
      <c r="P63">
        <v>0.19969765941847459</v>
      </c>
      <c r="Q63">
        <v>0.15391157965149213</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row>
    <row r="64" spans="1:41" x14ac:dyDescent="0.25">
      <c r="A64">
        <v>0</v>
      </c>
      <c r="B64">
        <v>1.9047882293696488E-10</v>
      </c>
      <c r="C64">
        <v>3.2209334662573E-9</v>
      </c>
      <c r="D64">
        <v>4.4317394885262031E-8</v>
      </c>
      <c r="E64">
        <v>4.9616268691540859E-7</v>
      </c>
      <c r="F64">
        <v>4.5199264715742821E-6</v>
      </c>
      <c r="G64">
        <v>3.3503948204612959E-5</v>
      </c>
      <c r="H64">
        <v>2.0207744881290966E-4</v>
      </c>
      <c r="I64">
        <v>9.917374055575304E-4</v>
      </c>
      <c r="J64">
        <v>3.960334805231878E-3</v>
      </c>
      <c r="K64">
        <v>1.2868327610577086E-2</v>
      </c>
      <c r="L64">
        <v>3.4022373100346857E-2</v>
      </c>
      <c r="M64">
        <v>7.3190593315083069E-2</v>
      </c>
      <c r="N64">
        <v>0.12811303568182414</v>
      </c>
      <c r="O64">
        <v>0.18247769359693358</v>
      </c>
      <c r="P64">
        <v>0.21158921558814506</v>
      </c>
      <c r="Q64">
        <v>0.2001145462247215</v>
      </c>
      <c r="R64">
        <v>0.15551426429829038</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row>
    <row r="65" spans="1:41" x14ac:dyDescent="0.25">
      <c r="A65">
        <v>0</v>
      </c>
      <c r="B65">
        <v>0</v>
      </c>
      <c r="C65">
        <v>1.9047882184219977E-10</v>
      </c>
      <c r="D65">
        <v>3.2209334158282427E-9</v>
      </c>
      <c r="E65">
        <v>4.4317393006982875E-8</v>
      </c>
      <c r="F65">
        <v>4.9616263041322595E-7</v>
      </c>
      <c r="G65">
        <v>4.5199251008327322E-6</v>
      </c>
      <c r="H65">
        <v>3.3503921438873649E-5</v>
      </c>
      <c r="I65">
        <v>2.0207702927819662E-4</v>
      </c>
      <c r="J65">
        <v>9.9173214710399386E-4</v>
      </c>
      <c r="K65">
        <v>3.9602824012061845E-3</v>
      </c>
      <c r="L65">
        <v>1.2867916145930511E-2</v>
      </c>
      <c r="M65">
        <v>3.4019867648459733E-2</v>
      </c>
      <c r="N65">
        <v>7.3179128287006373E-2</v>
      </c>
      <c r="O65">
        <v>0.12807658489159135</v>
      </c>
      <c r="P65">
        <v>0.18241960056161258</v>
      </c>
      <c r="Q65">
        <v>0.21171100774021934</v>
      </c>
      <c r="R65">
        <v>0.20131722906276273</v>
      </c>
      <c r="S65">
        <v>0.16005174879241205</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row>
    <row r="66" spans="1:41" x14ac:dyDescent="0.25">
      <c r="A66">
        <v>0</v>
      </c>
      <c r="B66">
        <v>0</v>
      </c>
      <c r="C66">
        <v>0</v>
      </c>
      <c r="D66">
        <v>1.9047881862351543E-10</v>
      </c>
      <c r="E66">
        <v>3.2209332675633847E-9</v>
      </c>
      <c r="F66">
        <v>4.4317387484714214E-8</v>
      </c>
      <c r="G66">
        <v>4.9616246429298129E-7</v>
      </c>
      <c r="H66">
        <v>4.5199210707597463E-6</v>
      </c>
      <c r="I66">
        <v>3.3503842745783641E-5</v>
      </c>
      <c r="J66">
        <v>2.0207579581712145E-4</v>
      </c>
      <c r="K66">
        <v>9.9171668685385473E-4</v>
      </c>
      <c r="L66">
        <v>3.9601283280669775E-3</v>
      </c>
      <c r="M66">
        <v>1.2866706358647971E-2</v>
      </c>
      <c r="N66">
        <v>3.4012500383592381E-2</v>
      </c>
      <c r="O66">
        <v>7.314541571714421E-2</v>
      </c>
      <c r="P66">
        <v>0.127969622963403</v>
      </c>
      <c r="Q66">
        <v>0.18224920327249927</v>
      </c>
      <c r="R66">
        <v>0.21205527299036792</v>
      </c>
      <c r="S66">
        <v>0.20466731155916942</v>
      </c>
      <c r="T66">
        <v>0.17203269112135222</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row>
    <row r="67" spans="1:41" x14ac:dyDescent="0.25">
      <c r="A67">
        <v>0</v>
      </c>
      <c r="B67">
        <v>0</v>
      </c>
      <c r="C67">
        <v>0</v>
      </c>
      <c r="D67">
        <v>0</v>
      </c>
      <c r="E67">
        <v>1.9047880916036592E-10</v>
      </c>
      <c r="F67">
        <v>3.2209328316546428E-9</v>
      </c>
      <c r="G67">
        <v>4.4317371248870941E-8</v>
      </c>
      <c r="H67">
        <v>4.9616197588824315E-7</v>
      </c>
      <c r="I67">
        <v>4.5199092220738692E-6</v>
      </c>
      <c r="J67">
        <v>3.3503611382785843E-5</v>
      </c>
      <c r="K67">
        <v>2.0207216935457032E-4</v>
      </c>
      <c r="L67">
        <v>9.916712323823876E-4</v>
      </c>
      <c r="M67">
        <v>3.9596753295467928E-3</v>
      </c>
      <c r="N67">
        <v>1.2863149156347863E-2</v>
      </c>
      <c r="O67">
        <v>3.3990840556867151E-2</v>
      </c>
      <c r="P67">
        <v>7.3046548225717392E-2</v>
      </c>
      <c r="Q67">
        <v>0.12765718265917139</v>
      </c>
      <c r="R67">
        <v>0.18175008650259047</v>
      </c>
      <c r="S67">
        <v>0.21295800221621347</v>
      </c>
      <c r="T67">
        <v>0.21313376966830716</v>
      </c>
      <c r="U67">
        <v>0.17203269112135222</v>
      </c>
      <c r="V67">
        <v>0</v>
      </c>
      <c r="W67">
        <v>0</v>
      </c>
      <c r="X67">
        <v>0</v>
      </c>
      <c r="Y67">
        <v>0</v>
      </c>
      <c r="Z67">
        <v>0</v>
      </c>
      <c r="AA67">
        <v>0</v>
      </c>
      <c r="AB67">
        <v>0</v>
      </c>
      <c r="AC67">
        <v>0</v>
      </c>
      <c r="AD67">
        <v>0</v>
      </c>
      <c r="AE67">
        <v>0</v>
      </c>
      <c r="AF67">
        <v>0</v>
      </c>
      <c r="AG67">
        <v>0</v>
      </c>
      <c r="AH67">
        <v>0</v>
      </c>
      <c r="AI67">
        <v>0</v>
      </c>
      <c r="AJ67">
        <v>0</v>
      </c>
      <c r="AK67">
        <v>0</v>
      </c>
      <c r="AL67">
        <v>0</v>
      </c>
      <c r="AM67">
        <v>0</v>
      </c>
      <c r="AN67">
        <v>0</v>
      </c>
      <c r="AO67">
        <v>0</v>
      </c>
    </row>
    <row r="68" spans="1:41" x14ac:dyDescent="0.25">
      <c r="A68">
        <v>0</v>
      </c>
      <c r="B68">
        <v>0</v>
      </c>
      <c r="C68">
        <v>0</v>
      </c>
      <c r="D68">
        <v>0</v>
      </c>
      <c r="E68">
        <v>0</v>
      </c>
      <c r="F68">
        <v>1.9047878133806376E-10</v>
      </c>
      <c r="G68">
        <v>3.2209315500534082E-9</v>
      </c>
      <c r="H68">
        <v>4.4317323514398741E-8</v>
      </c>
      <c r="I68">
        <v>4.9616053994572204E-7</v>
      </c>
      <c r="J68">
        <v>4.5198743861569253E-6</v>
      </c>
      <c r="K68">
        <v>3.3502931160380646E-5</v>
      </c>
      <c r="L68">
        <v>2.0206150729382976E-4</v>
      </c>
      <c r="M68">
        <v>9.915375912824501E-4</v>
      </c>
      <c r="N68">
        <v>3.9583434136050248E-3</v>
      </c>
      <c r="O68">
        <v>1.2852692412164102E-2</v>
      </c>
      <c r="P68">
        <v>3.3927348861502622E-2</v>
      </c>
      <c r="Q68">
        <v>7.2758257688452788E-2</v>
      </c>
      <c r="R68">
        <v>0.1267528095130703</v>
      </c>
      <c r="S68">
        <v>0.18030047097388124</v>
      </c>
      <c r="T68">
        <v>0.21485772236255804</v>
      </c>
      <c r="U68">
        <v>0.21313376966830716</v>
      </c>
      <c r="V68">
        <v>0.17203269112135222</v>
      </c>
      <c r="W68">
        <v>0</v>
      </c>
      <c r="X68">
        <v>0</v>
      </c>
      <c r="Y68">
        <v>0</v>
      </c>
      <c r="Z68">
        <v>0</v>
      </c>
      <c r="AA68">
        <v>0</v>
      </c>
      <c r="AB68">
        <v>0</v>
      </c>
      <c r="AC68">
        <v>0</v>
      </c>
      <c r="AD68">
        <v>0</v>
      </c>
      <c r="AE68">
        <v>0</v>
      </c>
      <c r="AF68">
        <v>0</v>
      </c>
      <c r="AG68">
        <v>0</v>
      </c>
      <c r="AH68">
        <v>0</v>
      </c>
      <c r="AI68">
        <v>0</v>
      </c>
      <c r="AJ68">
        <v>0</v>
      </c>
      <c r="AK68">
        <v>0</v>
      </c>
      <c r="AL68">
        <v>0</v>
      </c>
      <c r="AM68">
        <v>0</v>
      </c>
      <c r="AN68">
        <v>0</v>
      </c>
      <c r="AO68">
        <v>0</v>
      </c>
    </row>
    <row r="69" spans="1:41" x14ac:dyDescent="0.25">
      <c r="A69">
        <v>0</v>
      </c>
      <c r="B69">
        <v>0</v>
      </c>
      <c r="C69">
        <v>0</v>
      </c>
      <c r="D69">
        <v>0</v>
      </c>
      <c r="E69">
        <v>0</v>
      </c>
      <c r="F69">
        <v>0</v>
      </c>
      <c r="G69">
        <v>1.9047869953861708E-10</v>
      </c>
      <c r="H69">
        <v>3.2209277820598555E-9</v>
      </c>
      <c r="I69">
        <v>4.4317183171890528E-8</v>
      </c>
      <c r="J69">
        <v>4.9615631818243719E-7</v>
      </c>
      <c r="K69">
        <v>4.519771966441491E-6</v>
      </c>
      <c r="L69">
        <v>3.350093126730592E-5</v>
      </c>
      <c r="M69">
        <v>2.0203016012748889E-4</v>
      </c>
      <c r="N69">
        <v>9.9114467394874166E-4</v>
      </c>
      <c r="O69">
        <v>3.9544286337425865E-3</v>
      </c>
      <c r="P69">
        <v>1.2822053027255777E-2</v>
      </c>
      <c r="Q69">
        <v>3.374246016566259E-2</v>
      </c>
      <c r="R69">
        <v>7.1927999325256717E-2</v>
      </c>
      <c r="S69">
        <v>0.12421017578913099</v>
      </c>
      <c r="T69">
        <v>0.17624105624197287</v>
      </c>
      <c r="U69">
        <v>0.21485772236255804</v>
      </c>
      <c r="V69">
        <v>0.21313376966830716</v>
      </c>
      <c r="W69">
        <v>0.17203269112135222</v>
      </c>
      <c r="X69">
        <v>0</v>
      </c>
      <c r="Y69">
        <v>0</v>
      </c>
      <c r="Z69">
        <v>0</v>
      </c>
      <c r="AA69">
        <v>0</v>
      </c>
      <c r="AB69">
        <v>0</v>
      </c>
      <c r="AC69">
        <v>0</v>
      </c>
      <c r="AD69">
        <v>0</v>
      </c>
      <c r="AE69">
        <v>0</v>
      </c>
      <c r="AF69">
        <v>0</v>
      </c>
      <c r="AG69">
        <v>0</v>
      </c>
      <c r="AH69">
        <v>0</v>
      </c>
      <c r="AI69">
        <v>0</v>
      </c>
      <c r="AJ69">
        <v>0</v>
      </c>
      <c r="AK69">
        <v>0</v>
      </c>
      <c r="AL69">
        <v>0</v>
      </c>
      <c r="AM69">
        <v>0</v>
      </c>
      <c r="AN69">
        <v>0</v>
      </c>
      <c r="AO69">
        <v>0</v>
      </c>
    </row>
    <row r="70" spans="1:41" x14ac:dyDescent="0.25">
      <c r="A70">
        <v>0</v>
      </c>
      <c r="B70">
        <v>0</v>
      </c>
      <c r="C70">
        <v>0</v>
      </c>
      <c r="D70">
        <v>0</v>
      </c>
      <c r="E70">
        <v>0</v>
      </c>
      <c r="F70">
        <v>0</v>
      </c>
      <c r="G70">
        <v>0</v>
      </c>
      <c r="H70">
        <v>1.9047845904276867E-10</v>
      </c>
      <c r="I70">
        <v>3.2209167039113093E-9</v>
      </c>
      <c r="J70">
        <v>4.4316770556125753E-8</v>
      </c>
      <c r="K70">
        <v>4.9614390596169868E-7</v>
      </c>
      <c r="L70">
        <v>4.51947084802567E-6</v>
      </c>
      <c r="M70">
        <v>3.3495051532968089E-5</v>
      </c>
      <c r="N70">
        <v>2.019380004535389E-4</v>
      </c>
      <c r="O70">
        <v>9.899899553083237E-4</v>
      </c>
      <c r="P70">
        <v>3.9429623561023216E-3</v>
      </c>
      <c r="Q70">
        <v>1.2732937728348872E-2</v>
      </c>
      <c r="R70">
        <v>3.3212057783408647E-2</v>
      </c>
      <c r="S70">
        <v>6.9626555345414731E-2</v>
      </c>
      <c r="T70">
        <v>0.11763068453883135</v>
      </c>
      <c r="U70">
        <v>0.17624105624197287</v>
      </c>
      <c r="V70">
        <v>0.21485772236255804</v>
      </c>
      <c r="W70">
        <v>0.21313376966830716</v>
      </c>
      <c r="X70">
        <v>0.17203269112135222</v>
      </c>
      <c r="Y70">
        <v>0</v>
      </c>
      <c r="Z70">
        <v>0</v>
      </c>
      <c r="AA70">
        <v>0</v>
      </c>
      <c r="AB70">
        <v>0</v>
      </c>
      <c r="AC70">
        <v>0</v>
      </c>
      <c r="AD70">
        <v>0</v>
      </c>
      <c r="AE70">
        <v>0</v>
      </c>
      <c r="AF70">
        <v>0</v>
      </c>
      <c r="AG70">
        <v>0</v>
      </c>
      <c r="AH70">
        <v>0</v>
      </c>
      <c r="AI70">
        <v>0</v>
      </c>
      <c r="AJ70">
        <v>0</v>
      </c>
      <c r="AK70">
        <v>0</v>
      </c>
      <c r="AL70">
        <v>0</v>
      </c>
      <c r="AM70">
        <v>0</v>
      </c>
      <c r="AN70">
        <v>0</v>
      </c>
      <c r="AO70">
        <v>0</v>
      </c>
    </row>
    <row r="71" spans="1:41" x14ac:dyDescent="0.25">
      <c r="A71">
        <v>0</v>
      </c>
      <c r="B71">
        <v>0</v>
      </c>
      <c r="C71">
        <v>0</v>
      </c>
      <c r="D71">
        <v>0</v>
      </c>
      <c r="E71">
        <v>0</v>
      </c>
      <c r="F71">
        <v>0</v>
      </c>
      <c r="G71">
        <v>0</v>
      </c>
      <c r="H71">
        <v>0</v>
      </c>
      <c r="I71">
        <v>1.9047775196931462E-10</v>
      </c>
      <c r="J71">
        <v>3.2208841334786966E-9</v>
      </c>
      <c r="K71">
        <v>4.4315557444610035E-8</v>
      </c>
      <c r="L71">
        <v>4.9610741366772941E-7</v>
      </c>
      <c r="M71">
        <v>4.518585565088378E-6</v>
      </c>
      <c r="N71">
        <v>3.347776602733784E-5</v>
      </c>
      <c r="O71">
        <v>2.0166719244769292E-4</v>
      </c>
      <c r="P71">
        <v>9.8660908690424449E-4</v>
      </c>
      <c r="Q71">
        <v>3.9096502184271338E-3</v>
      </c>
      <c r="R71">
        <v>1.2478173134901783E-2</v>
      </c>
      <c r="S71">
        <v>3.1757774535023833E-2</v>
      </c>
      <c r="T71">
        <v>6.3883923334490555E-2</v>
      </c>
      <c r="U71">
        <v>0.11763068453883135</v>
      </c>
      <c r="V71">
        <v>0.17624105624197287</v>
      </c>
      <c r="W71">
        <v>0.21485772236255804</v>
      </c>
      <c r="X71">
        <v>0.21313376966830716</v>
      </c>
      <c r="Y71">
        <v>0.17203269112135222</v>
      </c>
      <c r="Z71">
        <v>0</v>
      </c>
      <c r="AA71">
        <v>0</v>
      </c>
      <c r="AB71">
        <v>0</v>
      </c>
      <c r="AC71">
        <v>0</v>
      </c>
      <c r="AD71">
        <v>0</v>
      </c>
      <c r="AE71">
        <v>0</v>
      </c>
      <c r="AF71">
        <v>0</v>
      </c>
      <c r="AG71">
        <v>0</v>
      </c>
      <c r="AH71">
        <v>0</v>
      </c>
      <c r="AI71">
        <v>0</v>
      </c>
      <c r="AJ71">
        <v>0</v>
      </c>
      <c r="AK71">
        <v>0</v>
      </c>
      <c r="AL71">
        <v>0</v>
      </c>
      <c r="AM71">
        <v>0</v>
      </c>
      <c r="AN71">
        <v>0</v>
      </c>
      <c r="AO71">
        <v>0</v>
      </c>
    </row>
    <row r="72" spans="1:41" x14ac:dyDescent="0.25">
      <c r="A72">
        <v>0</v>
      </c>
      <c r="B72">
        <v>0</v>
      </c>
      <c r="C72">
        <v>0</v>
      </c>
      <c r="D72">
        <v>0</v>
      </c>
      <c r="E72">
        <v>0</v>
      </c>
      <c r="F72">
        <v>0</v>
      </c>
      <c r="G72">
        <v>0</v>
      </c>
      <c r="H72">
        <v>0</v>
      </c>
      <c r="I72">
        <v>0</v>
      </c>
      <c r="J72">
        <v>1.9047567313135315E-10</v>
      </c>
      <c r="K72">
        <v>3.2207883748902438E-9</v>
      </c>
      <c r="L72">
        <v>4.4311990878055188E-8</v>
      </c>
      <c r="M72">
        <v>4.9600012846337544E-7</v>
      </c>
      <c r="N72">
        <v>4.5159830791501889E-6</v>
      </c>
      <c r="O72">
        <v>3.3426979447114465E-5</v>
      </c>
      <c r="P72">
        <v>2.0087459281247576E-4</v>
      </c>
      <c r="Q72">
        <v>9.7679766291435812E-4</v>
      </c>
      <c r="R72">
        <v>3.8147286192479965E-3</v>
      </c>
      <c r="S72">
        <v>1.1786439479255836E-2</v>
      </c>
      <c r="T72">
        <v>2.8230589912495378E-2</v>
      </c>
      <c r="U72">
        <v>6.3883923334490555E-2</v>
      </c>
      <c r="V72">
        <v>0.11763068453883135</v>
      </c>
      <c r="W72">
        <v>0.17624105624197287</v>
      </c>
      <c r="X72">
        <v>0.21485772236255804</v>
      </c>
      <c r="Y72">
        <v>0.21313376966830716</v>
      </c>
      <c r="Z72">
        <v>0.17203269112135222</v>
      </c>
      <c r="AA72">
        <v>0</v>
      </c>
      <c r="AB72">
        <v>0</v>
      </c>
      <c r="AC72">
        <v>0</v>
      </c>
      <c r="AD72">
        <v>0</v>
      </c>
      <c r="AE72">
        <v>0</v>
      </c>
      <c r="AF72">
        <v>0</v>
      </c>
      <c r="AG72">
        <v>0</v>
      </c>
      <c r="AH72">
        <v>0</v>
      </c>
      <c r="AI72">
        <v>0</v>
      </c>
      <c r="AJ72">
        <v>0</v>
      </c>
      <c r="AK72">
        <v>0</v>
      </c>
      <c r="AL72">
        <v>0</v>
      </c>
      <c r="AM72">
        <v>0</v>
      </c>
      <c r="AN72">
        <v>0</v>
      </c>
      <c r="AO72">
        <v>0</v>
      </c>
    </row>
    <row r="73" spans="1:41" x14ac:dyDescent="0.25">
      <c r="A73">
        <v>0</v>
      </c>
      <c r="B73">
        <v>0</v>
      </c>
      <c r="C73">
        <v>0</v>
      </c>
      <c r="D73">
        <v>0</v>
      </c>
      <c r="E73">
        <v>0</v>
      </c>
      <c r="F73">
        <v>0</v>
      </c>
      <c r="G73">
        <v>0</v>
      </c>
      <c r="H73">
        <v>0</v>
      </c>
      <c r="I73">
        <v>0</v>
      </c>
      <c r="J73">
        <v>0</v>
      </c>
      <c r="K73">
        <v>1.9046956126078059E-10</v>
      </c>
      <c r="L73">
        <v>3.2205068444991243E-9</v>
      </c>
      <c r="M73">
        <v>4.4301505528271407E-8</v>
      </c>
      <c r="N73">
        <v>4.956847528072506E-7</v>
      </c>
      <c r="O73">
        <v>4.5083376460968752E-6</v>
      </c>
      <c r="P73">
        <v>3.3278391436081216E-5</v>
      </c>
      <c r="Q73">
        <v>1.9857690488844817E-4</v>
      </c>
      <c r="R73">
        <v>9.4892897118315552E-4</v>
      </c>
      <c r="S73">
        <v>3.5593657574139216E-3</v>
      </c>
      <c r="T73">
        <v>1.0150927943548013E-2</v>
      </c>
      <c r="U73">
        <v>2.8230589912495378E-2</v>
      </c>
      <c r="V73">
        <v>6.3883923334490555E-2</v>
      </c>
      <c r="W73">
        <v>0.11763068453883135</v>
      </c>
      <c r="X73">
        <v>0.17624105624197287</v>
      </c>
      <c r="Y73">
        <v>0.21485772236255804</v>
      </c>
      <c r="Z73">
        <v>0.21313376966830716</v>
      </c>
      <c r="AA73">
        <v>0.17203269112135222</v>
      </c>
      <c r="AB73">
        <v>0</v>
      </c>
      <c r="AC73">
        <v>0</v>
      </c>
      <c r="AD73">
        <v>0</v>
      </c>
      <c r="AE73">
        <v>0</v>
      </c>
      <c r="AF73">
        <v>0</v>
      </c>
      <c r="AG73">
        <v>0</v>
      </c>
      <c r="AH73">
        <v>0</v>
      </c>
      <c r="AI73">
        <v>0</v>
      </c>
      <c r="AJ73">
        <v>0</v>
      </c>
      <c r="AK73">
        <v>0</v>
      </c>
      <c r="AL73">
        <v>0</v>
      </c>
      <c r="AM73">
        <v>0</v>
      </c>
      <c r="AN73">
        <v>0</v>
      </c>
      <c r="AO73">
        <v>0</v>
      </c>
    </row>
    <row r="74" spans="1:41" x14ac:dyDescent="0.25">
      <c r="A74">
        <v>0</v>
      </c>
      <c r="B74">
        <v>0</v>
      </c>
      <c r="C74">
        <v>0</v>
      </c>
      <c r="D74">
        <v>0</v>
      </c>
      <c r="E74">
        <v>0</v>
      </c>
      <c r="F74">
        <v>0</v>
      </c>
      <c r="G74">
        <v>0</v>
      </c>
      <c r="H74">
        <v>0</v>
      </c>
      <c r="I74">
        <v>0</v>
      </c>
      <c r="J74">
        <v>0</v>
      </c>
      <c r="K74">
        <v>0</v>
      </c>
      <c r="L74">
        <v>1.9045159243722264E-10</v>
      </c>
      <c r="M74">
        <v>3.2196791847796306E-9</v>
      </c>
      <c r="N74">
        <v>4.4270684055681086E-8</v>
      </c>
      <c r="O74">
        <v>4.9475837307943019E-7</v>
      </c>
      <c r="P74">
        <v>4.4859771825574302E-6</v>
      </c>
      <c r="Q74">
        <v>3.2848102015902651E-5</v>
      </c>
      <c r="R74">
        <v>1.9207072802752205E-4</v>
      </c>
      <c r="S74">
        <v>8.7462124744190357E-4</v>
      </c>
      <c r="T74">
        <v>2.9699487464474256E-3</v>
      </c>
      <c r="U74">
        <v>1.0150927943548013E-2</v>
      </c>
      <c r="V74">
        <v>2.8230589912495378E-2</v>
      </c>
      <c r="W74">
        <v>6.3883923334490555E-2</v>
      </c>
      <c r="X74">
        <v>0.11763068453883135</v>
      </c>
      <c r="Y74">
        <v>0.17624105624197287</v>
      </c>
      <c r="Z74">
        <v>0.21485772236255804</v>
      </c>
      <c r="AA74">
        <v>0.21313376966830716</v>
      </c>
      <c r="AB74">
        <v>0.17203269112135222</v>
      </c>
      <c r="AC74">
        <v>0</v>
      </c>
      <c r="AD74">
        <v>0</v>
      </c>
      <c r="AE74">
        <v>0</v>
      </c>
      <c r="AF74">
        <v>0</v>
      </c>
      <c r="AG74">
        <v>0</v>
      </c>
      <c r="AH74">
        <v>0</v>
      </c>
      <c r="AI74">
        <v>0</v>
      </c>
      <c r="AJ74">
        <v>0</v>
      </c>
      <c r="AK74">
        <v>0</v>
      </c>
      <c r="AL74">
        <v>0</v>
      </c>
      <c r="AM74">
        <v>0</v>
      </c>
      <c r="AN74">
        <v>0</v>
      </c>
      <c r="AO74">
        <v>0</v>
      </c>
    </row>
    <row r="75" spans="1:41" x14ac:dyDescent="0.25">
      <c r="A75">
        <v>0</v>
      </c>
      <c r="B75">
        <v>0</v>
      </c>
      <c r="C75">
        <v>0</v>
      </c>
      <c r="D75">
        <v>0</v>
      </c>
      <c r="E75">
        <v>0</v>
      </c>
      <c r="F75">
        <v>0</v>
      </c>
      <c r="G75">
        <v>0</v>
      </c>
      <c r="H75">
        <v>0</v>
      </c>
      <c r="I75">
        <v>0</v>
      </c>
      <c r="J75">
        <v>0</v>
      </c>
      <c r="K75">
        <v>0</v>
      </c>
      <c r="L75">
        <v>0</v>
      </c>
      <c r="M75">
        <v>1.9039876735958327E-10</v>
      </c>
      <c r="N75">
        <v>3.2172463955846343E-9</v>
      </c>
      <c r="O75">
        <v>4.4180160478782079E-8</v>
      </c>
      <c r="P75">
        <v>4.9204997351794691E-7</v>
      </c>
      <c r="Q75">
        <v>4.4212924476229874E-6</v>
      </c>
      <c r="R75">
        <v>3.1633414868956091E-5</v>
      </c>
      <c r="S75">
        <v>1.7487384021012273E-4</v>
      </c>
      <c r="T75">
        <v>7.0704911385745077E-4</v>
      </c>
      <c r="U75">
        <v>2.9699487464474256E-3</v>
      </c>
      <c r="V75">
        <v>1.0150927943548013E-2</v>
      </c>
      <c r="W75">
        <v>2.8230589912495378E-2</v>
      </c>
      <c r="X75">
        <v>6.3883923334490555E-2</v>
      </c>
      <c r="Y75">
        <v>0.11763068453883135</v>
      </c>
      <c r="Z75">
        <v>0.17624105624197287</v>
      </c>
      <c r="AA75">
        <v>0.21485772236255804</v>
      </c>
      <c r="AB75">
        <v>0.21313376966830716</v>
      </c>
      <c r="AC75">
        <v>0.17203269112135222</v>
      </c>
      <c r="AD75">
        <v>0</v>
      </c>
      <c r="AE75">
        <v>0</v>
      </c>
      <c r="AF75">
        <v>0</v>
      </c>
      <c r="AG75">
        <v>0</v>
      </c>
      <c r="AH75">
        <v>0</v>
      </c>
      <c r="AI75">
        <v>0</v>
      </c>
      <c r="AJ75">
        <v>0</v>
      </c>
      <c r="AK75">
        <v>0</v>
      </c>
      <c r="AL75">
        <v>0</v>
      </c>
      <c r="AM75">
        <v>0</v>
      </c>
      <c r="AN75">
        <v>0</v>
      </c>
      <c r="AO75">
        <v>0</v>
      </c>
    </row>
    <row r="76" spans="1:41" x14ac:dyDescent="0.25">
      <c r="A76">
        <v>0</v>
      </c>
      <c r="B76">
        <v>0</v>
      </c>
      <c r="C76">
        <v>0</v>
      </c>
      <c r="D76">
        <v>0</v>
      </c>
      <c r="E76">
        <v>0</v>
      </c>
      <c r="F76">
        <v>0</v>
      </c>
      <c r="G76">
        <v>0</v>
      </c>
      <c r="H76">
        <v>0</v>
      </c>
      <c r="I76">
        <v>0</v>
      </c>
      <c r="J76">
        <v>0</v>
      </c>
      <c r="K76">
        <v>0</v>
      </c>
      <c r="L76">
        <v>0</v>
      </c>
      <c r="M76">
        <v>0</v>
      </c>
      <c r="N76">
        <v>1.9024350182822966E-10</v>
      </c>
      <c r="O76">
        <v>3.2101020829615573E-9</v>
      </c>
      <c r="P76">
        <v>4.391559622133606E-8</v>
      </c>
      <c r="Q76">
        <v>4.8422323187856984E-7</v>
      </c>
      <c r="R76">
        <v>4.2392437616524845E-6</v>
      </c>
      <c r="S76">
        <v>2.8450315631691516E-5</v>
      </c>
      <c r="T76">
        <v>1.3696437753092281E-4</v>
      </c>
      <c r="U76">
        <v>7.0704911385745077E-4</v>
      </c>
      <c r="V76">
        <v>2.9699487464474256E-3</v>
      </c>
      <c r="W76">
        <v>1.0150927943548013E-2</v>
      </c>
      <c r="X76">
        <v>2.8230589912495378E-2</v>
      </c>
      <c r="Y76">
        <v>6.3883923334490555E-2</v>
      </c>
      <c r="Z76">
        <v>0.11763068453883135</v>
      </c>
      <c r="AA76">
        <v>0.17624105624197287</v>
      </c>
      <c r="AB76">
        <v>0.21485772236255804</v>
      </c>
      <c r="AC76">
        <v>0.21313376966830716</v>
      </c>
      <c r="AD76">
        <v>0.17203269112135222</v>
      </c>
      <c r="AE76">
        <v>0</v>
      </c>
      <c r="AF76">
        <v>0</v>
      </c>
      <c r="AG76">
        <v>0</v>
      </c>
      <c r="AH76">
        <v>0</v>
      </c>
      <c r="AI76">
        <v>0</v>
      </c>
      <c r="AJ76">
        <v>0</v>
      </c>
      <c r="AK76">
        <v>0</v>
      </c>
      <c r="AL76">
        <v>0</v>
      </c>
      <c r="AM76">
        <v>0</v>
      </c>
      <c r="AN76">
        <v>0</v>
      </c>
      <c r="AO76">
        <v>0</v>
      </c>
    </row>
    <row r="77" spans="1:41" x14ac:dyDescent="0.25">
      <c r="A77">
        <v>0</v>
      </c>
      <c r="B77">
        <v>0</v>
      </c>
      <c r="C77">
        <v>0</v>
      </c>
      <c r="D77">
        <v>0</v>
      </c>
      <c r="E77">
        <v>0</v>
      </c>
      <c r="F77">
        <v>0</v>
      </c>
      <c r="G77">
        <v>0</v>
      </c>
      <c r="H77">
        <v>0</v>
      </c>
      <c r="I77">
        <v>0</v>
      </c>
      <c r="J77">
        <v>0</v>
      </c>
      <c r="K77">
        <v>0</v>
      </c>
      <c r="L77">
        <v>0</v>
      </c>
      <c r="M77">
        <v>0</v>
      </c>
      <c r="N77">
        <v>0</v>
      </c>
      <c r="O77">
        <v>1.8978759212410052E-10</v>
      </c>
      <c r="P77">
        <v>3.1892294952843256E-9</v>
      </c>
      <c r="Q77">
        <v>4.3151850025498603E-8</v>
      </c>
      <c r="R77">
        <v>4.6226192174683514E-7</v>
      </c>
      <c r="S77">
        <v>3.7662292211385192E-6</v>
      </c>
      <c r="T77">
        <v>2.1588531015541564E-5</v>
      </c>
      <c r="U77">
        <v>1.3696437753092281E-4</v>
      </c>
      <c r="V77">
        <v>7.0704911385745077E-4</v>
      </c>
      <c r="W77">
        <v>2.9699487464474256E-3</v>
      </c>
      <c r="X77">
        <v>1.0150927943548013E-2</v>
      </c>
      <c r="Y77">
        <v>2.8230589912495378E-2</v>
      </c>
      <c r="Z77">
        <v>6.3883923334490555E-2</v>
      </c>
      <c r="AA77">
        <v>0.11763068453883135</v>
      </c>
      <c r="AB77">
        <v>0.17624105624197287</v>
      </c>
      <c r="AC77">
        <v>0.21485772236255804</v>
      </c>
      <c r="AD77">
        <v>0.21313376966830716</v>
      </c>
      <c r="AE77">
        <v>0.17203269112135222</v>
      </c>
      <c r="AF77">
        <v>0</v>
      </c>
      <c r="AG77">
        <v>0</v>
      </c>
      <c r="AH77">
        <v>0</v>
      </c>
      <c r="AI77">
        <v>0</v>
      </c>
      <c r="AJ77">
        <v>0</v>
      </c>
      <c r="AK77">
        <v>0</v>
      </c>
      <c r="AL77">
        <v>0</v>
      </c>
      <c r="AM77">
        <v>0</v>
      </c>
      <c r="AN77">
        <v>0</v>
      </c>
      <c r="AO77">
        <v>0</v>
      </c>
    </row>
    <row r="78" spans="1:41" x14ac:dyDescent="0.25">
      <c r="A78">
        <v>0</v>
      </c>
      <c r="B78">
        <v>0</v>
      </c>
      <c r="C78">
        <v>0</v>
      </c>
      <c r="D78">
        <v>0</v>
      </c>
      <c r="E78">
        <v>0</v>
      </c>
      <c r="F78">
        <v>0</v>
      </c>
      <c r="G78">
        <v>0</v>
      </c>
      <c r="H78">
        <v>0</v>
      </c>
      <c r="I78">
        <v>0</v>
      </c>
      <c r="J78">
        <v>0</v>
      </c>
      <c r="K78">
        <v>0</v>
      </c>
      <c r="L78">
        <v>0</v>
      </c>
      <c r="M78">
        <v>0</v>
      </c>
      <c r="N78">
        <v>0</v>
      </c>
      <c r="O78">
        <v>0</v>
      </c>
      <c r="P78">
        <v>1.8845609101081354E-10</v>
      </c>
      <c r="Q78">
        <v>3.1290365452826972E-9</v>
      </c>
      <c r="R78">
        <v>4.1015241136844586E-8</v>
      </c>
      <c r="S78">
        <v>4.0568021379914339E-7</v>
      </c>
      <c r="T78">
        <v>2.7688279723574842E-6</v>
      </c>
      <c r="U78">
        <v>2.1588531015541564E-5</v>
      </c>
      <c r="V78">
        <v>1.3696437753092281E-4</v>
      </c>
      <c r="W78">
        <v>7.0704911385745077E-4</v>
      </c>
      <c r="X78">
        <v>2.9699487464474256E-3</v>
      </c>
      <c r="Y78">
        <v>1.0150927943548013E-2</v>
      </c>
      <c r="Z78">
        <v>2.8230589912495378E-2</v>
      </c>
      <c r="AA78">
        <v>6.3883923334490555E-2</v>
      </c>
      <c r="AB78">
        <v>0.11763068453883135</v>
      </c>
      <c r="AC78">
        <v>0.17624105624197287</v>
      </c>
      <c r="AD78">
        <v>0.21485772236255804</v>
      </c>
      <c r="AE78">
        <v>0.21313376966830716</v>
      </c>
      <c r="AF78">
        <v>0.17203269112135222</v>
      </c>
      <c r="AG78">
        <v>0</v>
      </c>
      <c r="AH78">
        <v>0</v>
      </c>
      <c r="AI78">
        <v>0</v>
      </c>
      <c r="AJ78">
        <v>0</v>
      </c>
      <c r="AK78">
        <v>0</v>
      </c>
      <c r="AL78">
        <v>0</v>
      </c>
      <c r="AM78">
        <v>0</v>
      </c>
      <c r="AN78">
        <v>0</v>
      </c>
      <c r="AO78">
        <v>0</v>
      </c>
    </row>
    <row r="79" spans="1:41" x14ac:dyDescent="0.25">
      <c r="A79">
        <v>0</v>
      </c>
      <c r="B79">
        <v>0</v>
      </c>
      <c r="C79">
        <v>0</v>
      </c>
      <c r="D79">
        <v>0</v>
      </c>
      <c r="E79">
        <v>0</v>
      </c>
      <c r="F79">
        <v>0</v>
      </c>
      <c r="G79">
        <v>0</v>
      </c>
      <c r="H79">
        <v>0</v>
      </c>
      <c r="I79">
        <v>0</v>
      </c>
      <c r="J79">
        <v>0</v>
      </c>
      <c r="K79">
        <v>0</v>
      </c>
      <c r="L79">
        <v>0</v>
      </c>
      <c r="M79">
        <v>0</v>
      </c>
      <c r="N79">
        <v>0</v>
      </c>
      <c r="O79">
        <v>0</v>
      </c>
      <c r="P79">
        <v>0</v>
      </c>
      <c r="Q79">
        <v>1.8462022218666017E-10</v>
      </c>
      <c r="R79">
        <v>2.9611461030172454E-9</v>
      </c>
      <c r="S79">
        <v>3.5556444131159121E-8</v>
      </c>
      <c r="T79">
        <v>2.8895237854877025E-7</v>
      </c>
      <c r="U79">
        <v>2.7688279723574842E-6</v>
      </c>
      <c r="V79">
        <v>2.1588531015541564E-5</v>
      </c>
      <c r="W79">
        <v>1.3696437753092281E-4</v>
      </c>
      <c r="X79">
        <v>7.0704911385745077E-4</v>
      </c>
      <c r="Y79">
        <v>2.9699487464474256E-3</v>
      </c>
      <c r="Z79">
        <v>1.0150927943548013E-2</v>
      </c>
      <c r="AA79">
        <v>2.8230589912495378E-2</v>
      </c>
      <c r="AB79">
        <v>6.3883923334490555E-2</v>
      </c>
      <c r="AC79">
        <v>0.11763068453883135</v>
      </c>
      <c r="AD79">
        <v>0.17624105624197287</v>
      </c>
      <c r="AE79">
        <v>0.21485772236255804</v>
      </c>
      <c r="AF79">
        <v>0.21313376966830716</v>
      </c>
      <c r="AG79">
        <v>0.17203269112135222</v>
      </c>
      <c r="AH79">
        <v>0</v>
      </c>
      <c r="AI79">
        <v>0</v>
      </c>
      <c r="AJ79">
        <v>0</v>
      </c>
      <c r="AK79">
        <v>0</v>
      </c>
      <c r="AL79">
        <v>0</v>
      </c>
      <c r="AM79">
        <v>0</v>
      </c>
      <c r="AN79">
        <v>0</v>
      </c>
      <c r="AO79">
        <v>0</v>
      </c>
    </row>
    <row r="80" spans="1:41" x14ac:dyDescent="0.25">
      <c r="A80">
        <v>0</v>
      </c>
      <c r="B80">
        <v>0</v>
      </c>
      <c r="C80">
        <v>0</v>
      </c>
      <c r="D80">
        <v>0</v>
      </c>
      <c r="E80">
        <v>0</v>
      </c>
      <c r="F80">
        <v>0</v>
      </c>
      <c r="G80">
        <v>0</v>
      </c>
      <c r="H80">
        <v>0</v>
      </c>
      <c r="I80">
        <v>0</v>
      </c>
      <c r="J80">
        <v>0</v>
      </c>
      <c r="K80">
        <v>0</v>
      </c>
      <c r="L80">
        <v>0</v>
      </c>
      <c r="M80">
        <v>0</v>
      </c>
      <c r="N80">
        <v>0</v>
      </c>
      <c r="O80">
        <v>0</v>
      </c>
      <c r="P80">
        <v>0</v>
      </c>
      <c r="Q80">
        <v>0</v>
      </c>
      <c r="R80">
        <v>1.7395295910086342E-10</v>
      </c>
      <c r="S80">
        <v>2.535772199403849E-9</v>
      </c>
      <c r="T80">
        <v>2.4536577896099145E-8</v>
      </c>
      <c r="U80">
        <v>2.8895237854877025E-7</v>
      </c>
      <c r="V80">
        <v>2.7688279723574842E-6</v>
      </c>
      <c r="W80">
        <v>2.1588531015541564E-5</v>
      </c>
      <c r="X80">
        <v>1.3696437753092281E-4</v>
      </c>
      <c r="Y80">
        <v>7.0704911385745077E-4</v>
      </c>
      <c r="Z80">
        <v>2.9699487464474256E-3</v>
      </c>
      <c r="AA80">
        <v>1.0150927943548013E-2</v>
      </c>
      <c r="AB80">
        <v>2.8230589912495378E-2</v>
      </c>
      <c r="AC80">
        <v>6.3883923334490555E-2</v>
      </c>
      <c r="AD80">
        <v>0.11763068453883135</v>
      </c>
      <c r="AE80">
        <v>0.17624105624197287</v>
      </c>
      <c r="AF80">
        <v>0.21485772236255804</v>
      </c>
      <c r="AG80">
        <v>0.21313376966830716</v>
      </c>
      <c r="AH80">
        <v>0.17203269112135222</v>
      </c>
      <c r="AI80">
        <v>0</v>
      </c>
      <c r="AJ80">
        <v>0</v>
      </c>
      <c r="AK80">
        <v>0</v>
      </c>
      <c r="AL80">
        <v>0</v>
      </c>
      <c r="AM80">
        <v>0</v>
      </c>
      <c r="AN80">
        <v>0</v>
      </c>
      <c r="AO80">
        <v>0</v>
      </c>
    </row>
    <row r="81" spans="1:41" x14ac:dyDescent="0.25">
      <c r="A81">
        <v>0</v>
      </c>
      <c r="B81">
        <v>0</v>
      </c>
      <c r="C81">
        <v>0</v>
      </c>
      <c r="D81">
        <v>0</v>
      </c>
      <c r="E81">
        <v>0</v>
      </c>
      <c r="F81">
        <v>0</v>
      </c>
      <c r="G81">
        <v>0</v>
      </c>
      <c r="H81">
        <v>0</v>
      </c>
      <c r="I81">
        <v>0</v>
      </c>
      <c r="J81">
        <v>0</v>
      </c>
      <c r="K81">
        <v>0</v>
      </c>
      <c r="L81">
        <v>0</v>
      </c>
      <c r="M81">
        <v>0</v>
      </c>
      <c r="N81">
        <v>0</v>
      </c>
      <c r="O81">
        <v>0</v>
      </c>
      <c r="P81">
        <v>0</v>
      </c>
      <c r="Q81">
        <v>0</v>
      </c>
      <c r="R81">
        <v>0</v>
      </c>
      <c r="S81">
        <v>1.4714976341560116E-10</v>
      </c>
      <c r="T81">
        <v>1.6953490524096953E-9</v>
      </c>
      <c r="U81">
        <v>2.4536577896099145E-8</v>
      </c>
      <c r="V81">
        <v>2.8895237854877025E-7</v>
      </c>
      <c r="W81">
        <v>2.7688279723574842E-6</v>
      </c>
      <c r="X81">
        <v>2.1588531015541564E-5</v>
      </c>
      <c r="Y81">
        <v>1.3696437753092281E-4</v>
      </c>
      <c r="Z81">
        <v>7.0704911385745077E-4</v>
      </c>
      <c r="AA81">
        <v>2.9699487464474256E-3</v>
      </c>
      <c r="AB81">
        <v>1.0150927943548013E-2</v>
      </c>
      <c r="AC81">
        <v>2.8230589912495378E-2</v>
      </c>
      <c r="AD81">
        <v>6.3883923334490555E-2</v>
      </c>
      <c r="AE81">
        <v>0.11763068453883135</v>
      </c>
      <c r="AF81">
        <v>0.17624105624197287</v>
      </c>
      <c r="AG81">
        <v>0.21485772236255804</v>
      </c>
      <c r="AH81">
        <v>0.21313376966830716</v>
      </c>
      <c r="AI81">
        <v>0.17203269112135222</v>
      </c>
      <c r="AJ81">
        <v>0</v>
      </c>
      <c r="AK81">
        <v>0</v>
      </c>
      <c r="AL81">
        <v>0</v>
      </c>
      <c r="AM81">
        <v>0</v>
      </c>
      <c r="AN81">
        <v>0</v>
      </c>
      <c r="AO81">
        <v>0</v>
      </c>
    </row>
    <row r="82" spans="1:41" x14ac:dyDescent="0.25">
      <c r="A82">
        <v>0</v>
      </c>
      <c r="B82">
        <v>0</v>
      </c>
      <c r="C82">
        <v>0</v>
      </c>
      <c r="D82">
        <v>0</v>
      </c>
      <c r="E82">
        <v>0</v>
      </c>
      <c r="F82">
        <v>0</v>
      </c>
      <c r="G82">
        <v>0</v>
      </c>
      <c r="H82">
        <v>0</v>
      </c>
      <c r="I82">
        <v>0</v>
      </c>
      <c r="J82">
        <v>0</v>
      </c>
      <c r="K82">
        <v>0</v>
      </c>
      <c r="L82">
        <v>0</v>
      </c>
      <c r="M82">
        <v>0</v>
      </c>
      <c r="N82">
        <v>0</v>
      </c>
      <c r="O82">
        <v>0</v>
      </c>
      <c r="P82">
        <v>0</v>
      </c>
      <c r="Q82">
        <v>0</v>
      </c>
      <c r="R82">
        <v>0</v>
      </c>
      <c r="S82">
        <v>0</v>
      </c>
      <c r="T82">
        <v>9.5315094328274586E-11</v>
      </c>
      <c r="U82">
        <v>1.6953490524096953E-9</v>
      </c>
      <c r="V82">
        <v>2.4536577896099145E-8</v>
      </c>
      <c r="W82">
        <v>2.8895237854877025E-7</v>
      </c>
      <c r="X82">
        <v>2.7688279723574842E-6</v>
      </c>
      <c r="Y82">
        <v>2.1588531015541564E-5</v>
      </c>
      <c r="Z82">
        <v>1.3696437753092281E-4</v>
      </c>
      <c r="AA82">
        <v>7.0704911385745077E-4</v>
      </c>
      <c r="AB82">
        <v>2.9699487464474256E-3</v>
      </c>
      <c r="AC82">
        <v>1.0150927943548013E-2</v>
      </c>
      <c r="AD82">
        <v>2.8230589912495378E-2</v>
      </c>
      <c r="AE82">
        <v>6.3883923334490555E-2</v>
      </c>
      <c r="AF82">
        <v>0.11763068453883135</v>
      </c>
      <c r="AG82">
        <v>0.17624105624197287</v>
      </c>
      <c r="AH82">
        <v>0.21485772236255804</v>
      </c>
      <c r="AI82">
        <v>0.21313376966830716</v>
      </c>
      <c r="AJ82">
        <v>0.17203269112135222</v>
      </c>
      <c r="AK82">
        <v>0</v>
      </c>
      <c r="AL82">
        <v>0</v>
      </c>
      <c r="AM82">
        <v>0</v>
      </c>
      <c r="AN82">
        <v>0</v>
      </c>
      <c r="AO82">
        <v>0</v>
      </c>
    </row>
    <row r="83" spans="1:41" x14ac:dyDescent="0.25">
      <c r="A83">
        <v>0</v>
      </c>
      <c r="B83">
        <v>0</v>
      </c>
      <c r="C83">
        <v>0</v>
      </c>
      <c r="D83">
        <v>0</v>
      </c>
      <c r="E83">
        <v>0</v>
      </c>
      <c r="F83">
        <v>0</v>
      </c>
      <c r="G83">
        <v>0</v>
      </c>
      <c r="H83">
        <v>0</v>
      </c>
      <c r="I83">
        <v>0</v>
      </c>
      <c r="J83">
        <v>0</v>
      </c>
      <c r="K83">
        <v>0</v>
      </c>
      <c r="L83">
        <v>0</v>
      </c>
      <c r="M83">
        <v>0</v>
      </c>
      <c r="N83">
        <v>0</v>
      </c>
      <c r="O83">
        <v>0</v>
      </c>
      <c r="P83">
        <v>0</v>
      </c>
      <c r="Q83">
        <v>0</v>
      </c>
      <c r="R83">
        <v>0</v>
      </c>
      <c r="S83">
        <v>0</v>
      </c>
      <c r="T83">
        <v>0</v>
      </c>
      <c r="U83">
        <v>9.5315094328274586E-11</v>
      </c>
      <c r="V83">
        <v>1.6953490524096953E-9</v>
      </c>
      <c r="W83">
        <v>2.4536577896099145E-8</v>
      </c>
      <c r="X83">
        <v>2.8895237854877025E-7</v>
      </c>
      <c r="Y83">
        <v>2.7688279723574842E-6</v>
      </c>
      <c r="Z83">
        <v>2.1588531015541564E-5</v>
      </c>
      <c r="AA83">
        <v>1.3696437753092281E-4</v>
      </c>
      <c r="AB83">
        <v>7.0704911385745077E-4</v>
      </c>
      <c r="AC83">
        <v>2.9699487464474256E-3</v>
      </c>
      <c r="AD83">
        <v>1.0150927943548013E-2</v>
      </c>
      <c r="AE83">
        <v>2.8230589912495378E-2</v>
      </c>
      <c r="AF83">
        <v>6.3883923334490555E-2</v>
      </c>
      <c r="AG83">
        <v>0.11763068453883135</v>
      </c>
      <c r="AH83">
        <v>0.17624105624197287</v>
      </c>
      <c r="AI83">
        <v>0.21485772236255804</v>
      </c>
      <c r="AJ83">
        <v>0.21313376966830716</v>
      </c>
      <c r="AK83">
        <v>0.17203269112135222</v>
      </c>
      <c r="AL83">
        <v>0</v>
      </c>
      <c r="AM83">
        <v>0</v>
      </c>
      <c r="AN83">
        <v>0</v>
      </c>
      <c r="AO83">
        <v>0</v>
      </c>
    </row>
    <row r="84" spans="1:41" x14ac:dyDescent="0.25">
      <c r="A84">
        <v>0</v>
      </c>
      <c r="B84">
        <v>0</v>
      </c>
      <c r="C84">
        <v>0</v>
      </c>
      <c r="D84">
        <v>0</v>
      </c>
      <c r="E84">
        <v>0</v>
      </c>
      <c r="F84">
        <v>0</v>
      </c>
      <c r="G84">
        <v>0</v>
      </c>
      <c r="H84">
        <v>0</v>
      </c>
      <c r="I84">
        <v>0</v>
      </c>
      <c r="J84">
        <v>0</v>
      </c>
      <c r="K84">
        <v>0</v>
      </c>
      <c r="L84">
        <v>0</v>
      </c>
      <c r="M84">
        <v>0</v>
      </c>
      <c r="N84">
        <v>0</v>
      </c>
      <c r="O84">
        <v>0</v>
      </c>
      <c r="P84">
        <v>0</v>
      </c>
      <c r="Q84">
        <v>0</v>
      </c>
      <c r="R84">
        <v>0</v>
      </c>
      <c r="S84">
        <v>0</v>
      </c>
      <c r="T84">
        <v>0</v>
      </c>
      <c r="U84">
        <v>0</v>
      </c>
      <c r="V84">
        <v>9.5315094328274586E-11</v>
      </c>
      <c r="W84">
        <v>1.6953490524096953E-9</v>
      </c>
      <c r="X84">
        <v>2.4536577896099145E-8</v>
      </c>
      <c r="Y84">
        <v>2.8895237854877025E-7</v>
      </c>
      <c r="Z84">
        <v>2.7688279723574842E-6</v>
      </c>
      <c r="AA84">
        <v>2.1588531015541564E-5</v>
      </c>
      <c r="AB84">
        <v>1.3696437753092281E-4</v>
      </c>
      <c r="AC84">
        <v>7.0704911385745077E-4</v>
      </c>
      <c r="AD84">
        <v>2.9699487464474256E-3</v>
      </c>
      <c r="AE84">
        <v>1.0150927943548013E-2</v>
      </c>
      <c r="AF84">
        <v>2.8230589912495378E-2</v>
      </c>
      <c r="AG84">
        <v>6.3883923334490555E-2</v>
      </c>
      <c r="AH84">
        <v>0.11763068453883135</v>
      </c>
      <c r="AI84">
        <v>0.17624105624197287</v>
      </c>
      <c r="AJ84">
        <v>0.21485772236255804</v>
      </c>
      <c r="AK84">
        <v>0.21313376966830716</v>
      </c>
      <c r="AL84">
        <v>0.17203269112135222</v>
      </c>
      <c r="AM84">
        <v>0</v>
      </c>
      <c r="AN84">
        <v>0</v>
      </c>
      <c r="AO84">
        <v>0</v>
      </c>
    </row>
    <row r="85" spans="1:41" x14ac:dyDescent="0.25">
      <c r="A85">
        <v>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9.5315094328274586E-11</v>
      </c>
      <c r="X85">
        <v>1.6953490524096953E-9</v>
      </c>
      <c r="Y85">
        <v>2.4536577896099145E-8</v>
      </c>
      <c r="Z85">
        <v>2.8895237854877025E-7</v>
      </c>
      <c r="AA85">
        <v>2.7688279723574842E-6</v>
      </c>
      <c r="AB85">
        <v>2.1588531015541564E-5</v>
      </c>
      <c r="AC85">
        <v>1.3696437753092281E-4</v>
      </c>
      <c r="AD85">
        <v>7.0704911385745077E-4</v>
      </c>
      <c r="AE85">
        <v>2.9699487464474256E-3</v>
      </c>
      <c r="AF85">
        <v>1.0150927943548013E-2</v>
      </c>
      <c r="AG85">
        <v>2.8230589912495378E-2</v>
      </c>
      <c r="AH85">
        <v>6.3883923334490555E-2</v>
      </c>
      <c r="AI85">
        <v>0.11763068453883135</v>
      </c>
      <c r="AJ85">
        <v>0.17624105624197287</v>
      </c>
      <c r="AK85">
        <v>0.21485772236255804</v>
      </c>
      <c r="AL85">
        <v>0.21313376966830716</v>
      </c>
      <c r="AM85">
        <v>0.17203269112135222</v>
      </c>
      <c r="AN85">
        <v>0</v>
      </c>
      <c r="AO85">
        <v>0</v>
      </c>
    </row>
    <row r="86" spans="1:41" x14ac:dyDescent="0.25">
      <c r="A86">
        <v>0</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9.5315094328274586E-11</v>
      </c>
      <c r="Y86">
        <v>1.6953490524096953E-9</v>
      </c>
      <c r="Z86">
        <v>2.4536577896099145E-8</v>
      </c>
      <c r="AA86">
        <v>2.8895237854877025E-7</v>
      </c>
      <c r="AB86">
        <v>2.7688279723574842E-6</v>
      </c>
      <c r="AC86">
        <v>2.1588531015541564E-5</v>
      </c>
      <c r="AD86">
        <v>1.3696437753092281E-4</v>
      </c>
      <c r="AE86">
        <v>7.0704911385745077E-4</v>
      </c>
      <c r="AF86">
        <v>2.9699487464474256E-3</v>
      </c>
      <c r="AG86">
        <v>1.0150927943548013E-2</v>
      </c>
      <c r="AH86">
        <v>2.8230589912495378E-2</v>
      </c>
      <c r="AI86">
        <v>6.3883923334490555E-2</v>
      </c>
      <c r="AJ86">
        <v>0.11763068453883135</v>
      </c>
      <c r="AK86">
        <v>0.17624105624197287</v>
      </c>
      <c r="AL86">
        <v>0.21485772236255804</v>
      </c>
      <c r="AM86">
        <v>0.21313376966830716</v>
      </c>
      <c r="AN86">
        <v>0.17203269112135222</v>
      </c>
      <c r="AO86">
        <v>0</v>
      </c>
    </row>
    <row r="87" spans="1:41" x14ac:dyDescent="0.25">
      <c r="A87">
        <v>0</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9.5315311199328789E-11</v>
      </c>
      <c r="Z87">
        <v>1.7906643945408973E-9</v>
      </c>
      <c r="AA87">
        <v>2.6327242275137053E-8</v>
      </c>
      <c r="AB87">
        <v>3.1527962085498018E-7</v>
      </c>
      <c r="AC87">
        <v>3.0841075931986595E-6</v>
      </c>
      <c r="AD87">
        <v>2.4672638608724817E-5</v>
      </c>
      <c r="AE87">
        <v>1.6163701613969295E-4</v>
      </c>
      <c r="AF87">
        <v>8.6868612999713157E-4</v>
      </c>
      <c r="AG87">
        <v>3.8386348764445355E-3</v>
      </c>
      <c r="AH87">
        <v>1.3989562819992529E-2</v>
      </c>
      <c r="AI87">
        <v>4.2220152732487914E-2</v>
      </c>
      <c r="AJ87">
        <v>0.10610407606697847</v>
      </c>
      <c r="AK87">
        <v>0.22373476060580977</v>
      </c>
      <c r="AL87">
        <v>0.39997581684778261</v>
      </c>
      <c r="AM87">
        <v>0.61483353921034056</v>
      </c>
      <c r="AN87">
        <v>0.82796730887864778</v>
      </c>
      <c r="AO87">
        <v>1</v>
      </c>
    </row>
  </sheetData>
  <mergeCells count="1">
    <mergeCell ref="A1:U1"/>
  </mergeCells>
  <pageMargins left="0.7" right="0.7" top="0.75" bottom="0.75" header="0.3" footer="0.3"/>
  <pageSetup paperSize="9" orientation="portrait" horizontalDpi="300" verticalDpi="300"/>
  <headerFooter scaleWithDoc="0" alignWithMargins="0">
    <oddHeader>&amp;C&amp;"Aptos"&amp;12&amp;KFF0000 OFFICIAL&amp;1#_x000D_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418"/>
  <sheetViews>
    <sheetView workbookViewId="0">
      <selection activeCell="A2" sqref="A2"/>
    </sheetView>
  </sheetViews>
  <sheetFormatPr defaultColWidth="11.42578125" defaultRowHeight="15" x14ac:dyDescent="0.25"/>
  <sheetData>
    <row r="1" spans="1:21" ht="22.5" customHeight="1" x14ac:dyDescent="0.25">
      <c r="A1" s="10" t="s">
        <v>182</v>
      </c>
      <c r="B1" s="11"/>
      <c r="C1" s="11"/>
      <c r="D1" s="11"/>
      <c r="E1" s="11"/>
      <c r="F1" s="11"/>
      <c r="G1" s="11"/>
      <c r="H1" s="11"/>
      <c r="I1" s="11"/>
      <c r="J1" s="11"/>
      <c r="K1" s="11"/>
      <c r="L1" s="11"/>
      <c r="M1" s="11"/>
      <c r="N1" s="11"/>
      <c r="O1" s="11"/>
      <c r="P1" s="11"/>
      <c r="Q1" s="11"/>
      <c r="R1" s="11"/>
      <c r="S1" s="11"/>
      <c r="T1" s="11"/>
      <c r="U1" s="11"/>
    </row>
    <row r="2" spans="1:21" x14ac:dyDescent="0.25">
      <c r="A2" t="s">
        <v>13</v>
      </c>
      <c r="B2" t="s">
        <v>34</v>
      </c>
      <c r="C2" t="s">
        <v>179</v>
      </c>
      <c r="D2" t="s">
        <v>180</v>
      </c>
      <c r="E2" t="s">
        <v>181</v>
      </c>
    </row>
    <row r="3" spans="1:21" x14ac:dyDescent="0.25">
      <c r="A3">
        <v>1</v>
      </c>
      <c r="B3">
        <v>1973</v>
      </c>
      <c r="C3">
        <v>70.438185893221998</v>
      </c>
      <c r="D3">
        <v>11.925076424672399</v>
      </c>
      <c r="E3">
        <v>0.169298460394051</v>
      </c>
    </row>
    <row r="4" spans="1:21" x14ac:dyDescent="0.25">
      <c r="A4">
        <v>1</v>
      </c>
      <c r="B4">
        <v>1974</v>
      </c>
      <c r="C4">
        <v>137.229324302045</v>
      </c>
      <c r="D4">
        <v>16.644875546429098</v>
      </c>
      <c r="E4">
        <v>0.12129241057686301</v>
      </c>
    </row>
    <row r="5" spans="1:21" x14ac:dyDescent="0.25">
      <c r="A5">
        <v>1</v>
      </c>
      <c r="B5">
        <v>1975</v>
      </c>
      <c r="C5">
        <v>45.868136996480601</v>
      </c>
      <c r="D5">
        <v>9.6001669914427801</v>
      </c>
      <c r="E5">
        <v>0.20929925695869001</v>
      </c>
    </row>
    <row r="6" spans="1:21" x14ac:dyDescent="0.25">
      <c r="A6">
        <v>1</v>
      </c>
      <c r="B6">
        <v>1976</v>
      </c>
      <c r="C6">
        <v>34.915137563644002</v>
      </c>
      <c r="D6">
        <v>8.3958364224404392</v>
      </c>
      <c r="E6">
        <v>0.24046407971718101</v>
      </c>
    </row>
    <row r="7" spans="1:21" x14ac:dyDescent="0.25">
      <c r="A7">
        <v>1</v>
      </c>
      <c r="B7">
        <v>1977</v>
      </c>
      <c r="C7">
        <v>41.462111658762304</v>
      </c>
      <c r="D7">
        <v>9.1491931943670295</v>
      </c>
      <c r="E7">
        <v>0.220663946633155</v>
      </c>
    </row>
    <row r="8" spans="1:21" x14ac:dyDescent="0.25">
      <c r="A8">
        <v>1</v>
      </c>
      <c r="B8">
        <v>1978</v>
      </c>
      <c r="C8">
        <v>38.315032772441299</v>
      </c>
      <c r="D8">
        <v>8.3445281759991605</v>
      </c>
      <c r="E8">
        <v>0.217787316679554</v>
      </c>
    </row>
    <row r="9" spans="1:21" x14ac:dyDescent="0.25">
      <c r="A9">
        <v>1</v>
      </c>
      <c r="B9">
        <v>1979</v>
      </c>
      <c r="C9">
        <v>56.9126930953068</v>
      </c>
      <c r="D9">
        <v>10.719182330547</v>
      </c>
      <c r="E9">
        <v>0.188344317366892</v>
      </c>
    </row>
    <row r="10" spans="1:21" x14ac:dyDescent="0.25">
      <c r="A10">
        <v>1</v>
      </c>
      <c r="B10">
        <v>1980</v>
      </c>
      <c r="C10">
        <v>24.714083926990298</v>
      </c>
      <c r="D10">
        <v>7.0636528683734898</v>
      </c>
      <c r="E10">
        <v>0.28581487742943501</v>
      </c>
    </row>
    <row r="11" spans="1:21" x14ac:dyDescent="0.25">
      <c r="A11">
        <v>1</v>
      </c>
      <c r="B11">
        <v>1981</v>
      </c>
      <c r="C11">
        <v>64.500277396277099</v>
      </c>
      <c r="D11">
        <v>11.391009526301501</v>
      </c>
      <c r="E11">
        <v>0.17660403933331001</v>
      </c>
    </row>
    <row r="12" spans="1:21" x14ac:dyDescent="0.25">
      <c r="A12">
        <v>1</v>
      </c>
      <c r="B12">
        <v>1982</v>
      </c>
      <c r="C12">
        <v>10.438623501628101</v>
      </c>
      <c r="D12">
        <v>2.65065275562046</v>
      </c>
      <c r="E12">
        <v>0.25392742205972202</v>
      </c>
    </row>
    <row r="13" spans="1:21" x14ac:dyDescent="0.25">
      <c r="A13">
        <v>1</v>
      </c>
      <c r="B13">
        <v>1983</v>
      </c>
      <c r="C13">
        <v>28.785248278701101</v>
      </c>
      <c r="D13">
        <v>4.4016571349404998</v>
      </c>
      <c r="E13">
        <v>0.15291364147091299</v>
      </c>
    </row>
    <row r="14" spans="1:21" x14ac:dyDescent="0.25">
      <c r="A14">
        <v>1</v>
      </c>
      <c r="B14">
        <v>1984</v>
      </c>
      <c r="C14">
        <v>92.291271030289494</v>
      </c>
      <c r="D14">
        <v>7.8594391228576104</v>
      </c>
      <c r="E14">
        <v>8.5159073389272005E-2</v>
      </c>
    </row>
    <row r="15" spans="1:21" x14ac:dyDescent="0.25">
      <c r="A15">
        <v>1</v>
      </c>
      <c r="B15">
        <v>1985</v>
      </c>
      <c r="C15">
        <v>53.9950714490137</v>
      </c>
      <c r="D15">
        <v>6.02848633222942</v>
      </c>
      <c r="E15">
        <v>0.111648825910379</v>
      </c>
    </row>
    <row r="16" spans="1:21" x14ac:dyDescent="0.25">
      <c r="A16">
        <v>1</v>
      </c>
      <c r="B16">
        <v>1986</v>
      </c>
      <c r="C16">
        <v>13.738218147972599</v>
      </c>
      <c r="D16">
        <v>2.8759654486445898</v>
      </c>
      <c r="E16">
        <v>0.20934049944963301</v>
      </c>
    </row>
    <row r="17" spans="1:5" x14ac:dyDescent="0.25">
      <c r="A17">
        <v>1</v>
      </c>
      <c r="B17">
        <v>1987</v>
      </c>
      <c r="C17">
        <v>25.294151131764899</v>
      </c>
      <c r="D17">
        <v>4.12611449596419</v>
      </c>
      <c r="E17">
        <v>0.163125240869718</v>
      </c>
    </row>
    <row r="18" spans="1:5" x14ac:dyDescent="0.25">
      <c r="A18">
        <v>1</v>
      </c>
      <c r="B18">
        <v>1988</v>
      </c>
      <c r="C18">
        <v>79.496697594262002</v>
      </c>
      <c r="D18">
        <v>7.31485572029852</v>
      </c>
      <c r="E18">
        <v>9.2014586035162493E-2</v>
      </c>
    </row>
    <row r="19" spans="1:5" x14ac:dyDescent="0.25">
      <c r="A19">
        <v>1</v>
      </c>
      <c r="B19">
        <v>1989</v>
      </c>
      <c r="C19">
        <v>57.883673387774898</v>
      </c>
      <c r="D19">
        <v>6.0588782685138103</v>
      </c>
      <c r="E19">
        <v>0.10467335457313</v>
      </c>
    </row>
    <row r="20" spans="1:5" x14ac:dyDescent="0.25">
      <c r="A20">
        <v>1</v>
      </c>
      <c r="B20">
        <v>1990</v>
      </c>
      <c r="C20">
        <v>25.912391491953201</v>
      </c>
      <c r="D20">
        <v>3.6301959944232598</v>
      </c>
      <c r="E20">
        <v>0.14009498102676399</v>
      </c>
    </row>
    <row r="21" spans="1:5" x14ac:dyDescent="0.25">
      <c r="A21">
        <v>1</v>
      </c>
      <c r="B21">
        <v>1991</v>
      </c>
      <c r="C21">
        <v>31.802061280689301</v>
      </c>
      <c r="D21">
        <v>4.0044353969823803</v>
      </c>
      <c r="E21">
        <v>0.12591747942495601</v>
      </c>
    </row>
    <row r="22" spans="1:5" x14ac:dyDescent="0.25">
      <c r="A22">
        <v>1</v>
      </c>
      <c r="B22">
        <v>1992</v>
      </c>
      <c r="C22">
        <v>26.278404359592798</v>
      </c>
      <c r="D22">
        <v>3.6252482905336998</v>
      </c>
      <c r="E22">
        <v>0.13795541924562599</v>
      </c>
    </row>
    <row r="23" spans="1:5" x14ac:dyDescent="0.25">
      <c r="A23">
        <v>1</v>
      </c>
      <c r="B23">
        <v>1993</v>
      </c>
      <c r="C23">
        <v>20.822263927275198</v>
      </c>
      <c r="D23">
        <v>3.7356787266048901</v>
      </c>
      <c r="E23">
        <v>0.17940790394609801</v>
      </c>
    </row>
    <row r="24" spans="1:5" x14ac:dyDescent="0.25">
      <c r="A24">
        <v>1</v>
      </c>
      <c r="B24">
        <v>1994</v>
      </c>
      <c r="C24">
        <v>57.806134359374902</v>
      </c>
      <c r="D24">
        <v>6.26054812299465</v>
      </c>
      <c r="E24">
        <v>0.10830248713870801</v>
      </c>
    </row>
    <row r="25" spans="1:5" x14ac:dyDescent="0.25">
      <c r="A25">
        <v>1</v>
      </c>
      <c r="B25">
        <v>1995</v>
      </c>
      <c r="C25">
        <v>146.13482610896099</v>
      </c>
      <c r="D25">
        <v>9.9104072102914493</v>
      </c>
      <c r="E25">
        <v>6.7816874828331805E-2</v>
      </c>
    </row>
    <row r="26" spans="1:5" x14ac:dyDescent="0.25">
      <c r="A26">
        <v>1</v>
      </c>
      <c r="B26">
        <v>1996</v>
      </c>
      <c r="C26">
        <v>138.273142821319</v>
      </c>
      <c r="D26">
        <v>9.6401447076447599</v>
      </c>
      <c r="E26">
        <v>6.9718128270954596E-2</v>
      </c>
    </row>
    <row r="27" spans="1:5" x14ac:dyDescent="0.25">
      <c r="A27">
        <v>1</v>
      </c>
      <c r="B27">
        <v>1997</v>
      </c>
      <c r="C27">
        <v>32.329452154423301</v>
      </c>
      <c r="D27">
        <v>4.4245968293172098</v>
      </c>
      <c r="E27">
        <v>0.13685962905226201</v>
      </c>
    </row>
    <row r="28" spans="1:5" x14ac:dyDescent="0.25">
      <c r="A28">
        <v>1</v>
      </c>
      <c r="B28">
        <v>1998</v>
      </c>
      <c r="C28">
        <v>34.9071300869523</v>
      </c>
      <c r="D28">
        <v>4.8107387535842703</v>
      </c>
      <c r="E28">
        <v>0.13781536154937099</v>
      </c>
    </row>
    <row r="29" spans="1:5" x14ac:dyDescent="0.25">
      <c r="A29">
        <v>1</v>
      </c>
      <c r="B29">
        <v>1999</v>
      </c>
      <c r="C29">
        <v>146.04540668597801</v>
      </c>
      <c r="D29">
        <v>9.9073746734128108</v>
      </c>
      <c r="E29">
        <v>6.7837632817273993E-2</v>
      </c>
    </row>
    <row r="30" spans="1:5" x14ac:dyDescent="0.25">
      <c r="A30">
        <v>1</v>
      </c>
      <c r="B30">
        <v>2000</v>
      </c>
      <c r="C30">
        <v>149.54887357693599</v>
      </c>
      <c r="D30">
        <v>9.96823568097909</v>
      </c>
      <c r="E30">
        <v>6.6655371201113603E-2</v>
      </c>
    </row>
    <row r="31" spans="1:5" x14ac:dyDescent="0.25">
      <c r="A31">
        <v>1</v>
      </c>
      <c r="B31">
        <v>2001</v>
      </c>
      <c r="C31">
        <v>104.07748685921899</v>
      </c>
      <c r="D31">
        <v>8.3635957741040396</v>
      </c>
      <c r="E31">
        <v>8.0359317144322304E-2</v>
      </c>
    </row>
    <row r="32" spans="1:5" x14ac:dyDescent="0.25">
      <c r="A32">
        <v>1</v>
      </c>
      <c r="B32">
        <v>2002</v>
      </c>
      <c r="C32">
        <v>13.8313366111413</v>
      </c>
      <c r="D32">
        <v>3.0489247903124399</v>
      </c>
      <c r="E32">
        <v>0.22043601974494001</v>
      </c>
    </row>
    <row r="33" spans="1:5" x14ac:dyDescent="0.25">
      <c r="A33">
        <v>1</v>
      </c>
      <c r="B33">
        <v>2003</v>
      </c>
      <c r="C33">
        <v>33.222958750412197</v>
      </c>
      <c r="D33">
        <v>4.7183945007400299</v>
      </c>
      <c r="E33">
        <v>0.14202210393682899</v>
      </c>
    </row>
    <row r="34" spans="1:5" x14ac:dyDescent="0.25">
      <c r="A34">
        <v>1</v>
      </c>
      <c r="B34">
        <v>2004</v>
      </c>
      <c r="C34">
        <v>38.578243459382399</v>
      </c>
      <c r="D34">
        <v>5.0919702878599997</v>
      </c>
      <c r="E34">
        <v>0.131990724077967</v>
      </c>
    </row>
    <row r="35" spans="1:5" x14ac:dyDescent="0.25">
      <c r="A35">
        <v>1</v>
      </c>
      <c r="B35">
        <v>2005</v>
      </c>
      <c r="C35">
        <v>44.372164301103403</v>
      </c>
      <c r="D35">
        <v>5.1917474304419704</v>
      </c>
      <c r="E35">
        <v>0.11700460214677599</v>
      </c>
    </row>
    <row r="36" spans="1:5" x14ac:dyDescent="0.25">
      <c r="A36">
        <v>1</v>
      </c>
      <c r="B36">
        <v>2006</v>
      </c>
      <c r="C36">
        <v>13.0862480841226</v>
      </c>
      <c r="D36">
        <v>2.9656658120688002</v>
      </c>
      <c r="E36">
        <v>0.22662460569328599</v>
      </c>
    </row>
    <row r="37" spans="1:5" x14ac:dyDescent="0.25">
      <c r="A37">
        <v>1</v>
      </c>
      <c r="B37">
        <v>2007</v>
      </c>
      <c r="C37">
        <v>4.4793026466973496</v>
      </c>
      <c r="D37">
        <v>1.7350813412289099</v>
      </c>
      <c r="E37">
        <v>0.38735523765249602</v>
      </c>
    </row>
    <row r="38" spans="1:5" x14ac:dyDescent="0.25">
      <c r="A38">
        <v>1</v>
      </c>
      <c r="B38">
        <v>2008</v>
      </c>
      <c r="C38">
        <v>1.0823392104673999</v>
      </c>
      <c r="D38">
        <v>0.849606771282156</v>
      </c>
      <c r="E38">
        <v>0.78497273596441097</v>
      </c>
    </row>
    <row r="39" spans="1:5" x14ac:dyDescent="0.25">
      <c r="A39">
        <v>1</v>
      </c>
      <c r="B39">
        <v>2009</v>
      </c>
      <c r="C39">
        <v>2.6063078226121101</v>
      </c>
      <c r="D39">
        <v>1.3235108009268399</v>
      </c>
      <c r="E39">
        <v>0.507810623689257</v>
      </c>
    </row>
    <row r="40" spans="1:5" x14ac:dyDescent="0.25">
      <c r="A40">
        <v>1</v>
      </c>
      <c r="B40">
        <v>2010</v>
      </c>
      <c r="C40">
        <v>21.145807077572101</v>
      </c>
      <c r="D40">
        <v>3.7698734255234498</v>
      </c>
      <c r="E40">
        <v>0.17827994985927501</v>
      </c>
    </row>
    <row r="41" spans="1:5" x14ac:dyDescent="0.25">
      <c r="A41">
        <v>1</v>
      </c>
      <c r="B41">
        <v>2011</v>
      </c>
      <c r="C41">
        <v>13.2507498721519</v>
      </c>
      <c r="D41">
        <v>2.9452836075575202</v>
      </c>
      <c r="E41">
        <v>0.222272975942849</v>
      </c>
    </row>
    <row r="42" spans="1:5" x14ac:dyDescent="0.25">
      <c r="A42">
        <v>1</v>
      </c>
      <c r="B42">
        <v>2012</v>
      </c>
      <c r="C42">
        <v>18.9752562881581</v>
      </c>
      <c r="D42">
        <v>3.5711530334879402</v>
      </c>
      <c r="E42">
        <v>0.18820051646504499</v>
      </c>
    </row>
    <row r="43" spans="1:5" x14ac:dyDescent="0.25">
      <c r="A43">
        <v>1</v>
      </c>
      <c r="B43">
        <v>2013</v>
      </c>
      <c r="C43">
        <v>80.7909154417557</v>
      </c>
      <c r="D43">
        <v>7.3517605843577698</v>
      </c>
      <c r="E43">
        <v>9.0997367020278996E-2</v>
      </c>
    </row>
    <row r="44" spans="1:5" x14ac:dyDescent="0.25">
      <c r="A44">
        <v>1</v>
      </c>
      <c r="B44">
        <v>2014</v>
      </c>
      <c r="C44">
        <v>13.9391477689548</v>
      </c>
      <c r="D44">
        <v>3.0607844557873101</v>
      </c>
      <c r="E44">
        <v>0.21958189313440499</v>
      </c>
    </row>
    <row r="45" spans="1:5" x14ac:dyDescent="0.25">
      <c r="A45">
        <v>1</v>
      </c>
      <c r="B45">
        <v>2015</v>
      </c>
      <c r="C45">
        <v>23.925711224353801</v>
      </c>
      <c r="D45">
        <v>4.0100248542968897</v>
      </c>
      <c r="E45">
        <v>0.16760316199984501</v>
      </c>
    </row>
    <row r="46" spans="1:5" x14ac:dyDescent="0.25">
      <c r="A46">
        <v>1</v>
      </c>
      <c r="B46">
        <v>2016</v>
      </c>
      <c r="C46">
        <v>42.798694916579798</v>
      </c>
      <c r="D46">
        <v>5.0380105243574098</v>
      </c>
      <c r="E46">
        <v>0.11771411567986199</v>
      </c>
    </row>
    <row r="47" spans="1:5" x14ac:dyDescent="0.25">
      <c r="A47">
        <v>1</v>
      </c>
      <c r="B47">
        <v>2017</v>
      </c>
      <c r="C47">
        <v>21.928443384275901</v>
      </c>
      <c r="D47">
        <v>3.8390037648664199</v>
      </c>
      <c r="E47">
        <v>0.17506959785477699</v>
      </c>
    </row>
    <row r="48" spans="1:5" x14ac:dyDescent="0.25">
      <c r="A48">
        <v>1</v>
      </c>
      <c r="B48">
        <v>2018</v>
      </c>
      <c r="C48">
        <v>17.223577566234901</v>
      </c>
      <c r="D48">
        <v>3.4023290923071499</v>
      </c>
      <c r="E48">
        <v>0.19753904664830299</v>
      </c>
    </row>
    <row r="49" spans="1:5" x14ac:dyDescent="0.25">
      <c r="A49">
        <v>1</v>
      </c>
      <c r="B49">
        <v>2019</v>
      </c>
      <c r="C49">
        <v>37.917771195700603</v>
      </c>
      <c r="D49">
        <v>5.0129441825037597</v>
      </c>
      <c r="E49">
        <v>0.132205665692507</v>
      </c>
    </row>
    <row r="50" spans="1:5" x14ac:dyDescent="0.25">
      <c r="A50">
        <v>1</v>
      </c>
      <c r="B50">
        <v>2020</v>
      </c>
      <c r="C50">
        <v>23.762363659978</v>
      </c>
      <c r="D50">
        <v>3.99631262575494</v>
      </c>
      <c r="E50">
        <v>0.168178245352157</v>
      </c>
    </row>
    <row r="51" spans="1:5" x14ac:dyDescent="0.25">
      <c r="A51">
        <v>1</v>
      </c>
      <c r="B51">
        <v>2021</v>
      </c>
      <c r="C51">
        <v>32.749135175127599</v>
      </c>
      <c r="D51">
        <v>4.6915306074084002</v>
      </c>
      <c r="E51">
        <v>0.143256625932874</v>
      </c>
    </row>
    <row r="52" spans="1:5" x14ac:dyDescent="0.25">
      <c r="A52">
        <v>1</v>
      </c>
      <c r="B52">
        <v>2022</v>
      </c>
      <c r="C52">
        <v>14.0428600965313</v>
      </c>
      <c r="D52">
        <v>3.0682895230353</v>
      </c>
      <c r="E52">
        <v>0.21849463014968001</v>
      </c>
    </row>
    <row r="53" spans="1:5" x14ac:dyDescent="0.25">
      <c r="A53">
        <v>1</v>
      </c>
      <c r="B53">
        <v>2023</v>
      </c>
      <c r="C53">
        <v>29.807919660843702</v>
      </c>
      <c r="D53">
        <v>4.4759009748517196</v>
      </c>
      <c r="E53">
        <v>0.15015811320544301</v>
      </c>
    </row>
    <row r="54" spans="1:5" x14ac:dyDescent="0.25">
      <c r="A54">
        <v>1</v>
      </c>
      <c r="B54">
        <v>2024</v>
      </c>
      <c r="C54">
        <v>20.984035502423701</v>
      </c>
      <c r="D54">
        <v>4.4759009748517196</v>
      </c>
      <c r="E54">
        <v>0.213300295566825</v>
      </c>
    </row>
    <row r="55" spans="1:5" x14ac:dyDescent="0.25">
      <c r="A55">
        <v>2</v>
      </c>
      <c r="B55">
        <v>1973</v>
      </c>
      <c r="C55">
        <v>70.438185893221998</v>
      </c>
      <c r="D55">
        <v>11.925076424672399</v>
      </c>
      <c r="E55">
        <v>0.169298460394051</v>
      </c>
    </row>
    <row r="56" spans="1:5" x14ac:dyDescent="0.25">
      <c r="A56">
        <v>2</v>
      </c>
      <c r="B56">
        <v>1974</v>
      </c>
      <c r="C56">
        <v>137.229324302045</v>
      </c>
      <c r="D56">
        <v>16.644875546429098</v>
      </c>
      <c r="E56">
        <v>0.12129241057686301</v>
      </c>
    </row>
    <row r="57" spans="1:5" x14ac:dyDescent="0.25">
      <c r="A57">
        <v>2</v>
      </c>
      <c r="B57">
        <v>1975</v>
      </c>
      <c r="C57">
        <v>45.868136996480601</v>
      </c>
      <c r="D57">
        <v>9.6001669914427801</v>
      </c>
      <c r="E57">
        <v>0.20929925695869001</v>
      </c>
    </row>
    <row r="58" spans="1:5" x14ac:dyDescent="0.25">
      <c r="A58">
        <v>2</v>
      </c>
      <c r="B58">
        <v>1976</v>
      </c>
      <c r="C58">
        <v>34.915137563644002</v>
      </c>
      <c r="D58">
        <v>8.3958364224404392</v>
      </c>
      <c r="E58">
        <v>0.24046407971718101</v>
      </c>
    </row>
    <row r="59" spans="1:5" x14ac:dyDescent="0.25">
      <c r="A59">
        <v>2</v>
      </c>
      <c r="B59">
        <v>1977</v>
      </c>
      <c r="C59">
        <v>41.462111658762304</v>
      </c>
      <c r="D59">
        <v>9.1491931943670295</v>
      </c>
      <c r="E59">
        <v>0.220663946633155</v>
      </c>
    </row>
    <row r="60" spans="1:5" x14ac:dyDescent="0.25">
      <c r="A60">
        <v>2</v>
      </c>
      <c r="B60">
        <v>1978</v>
      </c>
      <c r="C60">
        <v>38.315032772441299</v>
      </c>
      <c r="D60">
        <v>8.3445281759991605</v>
      </c>
      <c r="E60">
        <v>0.217787316679554</v>
      </c>
    </row>
    <row r="61" spans="1:5" x14ac:dyDescent="0.25">
      <c r="A61">
        <v>2</v>
      </c>
      <c r="B61">
        <v>1979</v>
      </c>
      <c r="C61">
        <v>56.9126930953068</v>
      </c>
      <c r="D61">
        <v>10.719182330547</v>
      </c>
      <c r="E61">
        <v>0.188344317366892</v>
      </c>
    </row>
    <row r="62" spans="1:5" x14ac:dyDescent="0.25">
      <c r="A62">
        <v>2</v>
      </c>
      <c r="B62">
        <v>1980</v>
      </c>
      <c r="C62">
        <v>24.714083926990298</v>
      </c>
      <c r="D62">
        <v>7.0636528683734898</v>
      </c>
      <c r="E62">
        <v>0.28581487742943501</v>
      </c>
    </row>
    <row r="63" spans="1:5" x14ac:dyDescent="0.25">
      <c r="A63">
        <v>2</v>
      </c>
      <c r="B63">
        <v>1981</v>
      </c>
      <c r="C63">
        <v>64.500277396277099</v>
      </c>
      <c r="D63">
        <v>11.391009526301501</v>
      </c>
      <c r="E63">
        <v>0.17660403933331001</v>
      </c>
    </row>
    <row r="64" spans="1:5" x14ac:dyDescent="0.25">
      <c r="A64">
        <v>2</v>
      </c>
      <c r="B64">
        <v>1982</v>
      </c>
      <c r="C64">
        <v>10.438623501628101</v>
      </c>
      <c r="D64">
        <v>2.65065275562046</v>
      </c>
      <c r="E64">
        <v>0.25392742205972202</v>
      </c>
    </row>
    <row r="65" spans="1:5" x14ac:dyDescent="0.25">
      <c r="A65">
        <v>2</v>
      </c>
      <c r="B65">
        <v>1983</v>
      </c>
      <c r="C65">
        <v>28.785248278701101</v>
      </c>
      <c r="D65">
        <v>4.4016571349404998</v>
      </c>
      <c r="E65">
        <v>0.15291364147091299</v>
      </c>
    </row>
    <row r="66" spans="1:5" x14ac:dyDescent="0.25">
      <c r="A66">
        <v>2</v>
      </c>
      <c r="B66">
        <v>1984</v>
      </c>
      <c r="C66">
        <v>92.291271030289494</v>
      </c>
      <c r="D66">
        <v>7.8594391228576104</v>
      </c>
      <c r="E66">
        <v>8.5159073389272005E-2</v>
      </c>
    </row>
    <row r="67" spans="1:5" x14ac:dyDescent="0.25">
      <c r="A67">
        <v>2</v>
      </c>
      <c r="B67">
        <v>1985</v>
      </c>
      <c r="C67">
        <v>53.9950714490137</v>
      </c>
      <c r="D67">
        <v>6.02848633222942</v>
      </c>
      <c r="E67">
        <v>0.111648825910379</v>
      </c>
    </row>
    <row r="68" spans="1:5" x14ac:dyDescent="0.25">
      <c r="A68">
        <v>2</v>
      </c>
      <c r="B68">
        <v>1986</v>
      </c>
      <c r="C68">
        <v>13.738218147972599</v>
      </c>
      <c r="D68">
        <v>2.8759654486445898</v>
      </c>
      <c r="E68">
        <v>0.20934049944963301</v>
      </c>
    </row>
    <row r="69" spans="1:5" x14ac:dyDescent="0.25">
      <c r="A69">
        <v>2</v>
      </c>
      <c r="B69">
        <v>1987</v>
      </c>
      <c r="C69">
        <v>25.294151131764899</v>
      </c>
      <c r="D69">
        <v>4.12611449596419</v>
      </c>
      <c r="E69">
        <v>0.163125240869718</v>
      </c>
    </row>
    <row r="70" spans="1:5" x14ac:dyDescent="0.25">
      <c r="A70">
        <v>2</v>
      </c>
      <c r="B70">
        <v>1988</v>
      </c>
      <c r="C70">
        <v>79.496697594262002</v>
      </c>
      <c r="D70">
        <v>7.31485572029852</v>
      </c>
      <c r="E70">
        <v>9.2014586035162493E-2</v>
      </c>
    </row>
    <row r="71" spans="1:5" x14ac:dyDescent="0.25">
      <c r="A71">
        <v>2</v>
      </c>
      <c r="B71">
        <v>1989</v>
      </c>
      <c r="C71">
        <v>57.883673387774898</v>
      </c>
      <c r="D71">
        <v>6.0588782685138103</v>
      </c>
      <c r="E71">
        <v>0.10467335457313</v>
      </c>
    </row>
    <row r="72" spans="1:5" x14ac:dyDescent="0.25">
      <c r="A72">
        <v>2</v>
      </c>
      <c r="B72">
        <v>1990</v>
      </c>
      <c r="C72">
        <v>25.912391491953201</v>
      </c>
      <c r="D72">
        <v>3.6301959944232598</v>
      </c>
      <c r="E72">
        <v>0.14009498102676399</v>
      </c>
    </row>
    <row r="73" spans="1:5" x14ac:dyDescent="0.25">
      <c r="A73">
        <v>2</v>
      </c>
      <c r="B73">
        <v>1991</v>
      </c>
      <c r="C73">
        <v>31.802061280689301</v>
      </c>
      <c r="D73">
        <v>4.0044353969823803</v>
      </c>
      <c r="E73">
        <v>0.12591747942495601</v>
      </c>
    </row>
    <row r="74" spans="1:5" x14ac:dyDescent="0.25">
      <c r="A74">
        <v>2</v>
      </c>
      <c r="B74">
        <v>1992</v>
      </c>
      <c r="C74">
        <v>26.278404359592798</v>
      </c>
      <c r="D74">
        <v>3.6252482905336998</v>
      </c>
      <c r="E74">
        <v>0.13795541924562599</v>
      </c>
    </row>
    <row r="75" spans="1:5" x14ac:dyDescent="0.25">
      <c r="A75">
        <v>2</v>
      </c>
      <c r="B75">
        <v>1993</v>
      </c>
      <c r="C75">
        <v>20.822263927275198</v>
      </c>
      <c r="D75">
        <v>3.7356787266048901</v>
      </c>
      <c r="E75">
        <v>0.17940790394609801</v>
      </c>
    </row>
    <row r="76" spans="1:5" x14ac:dyDescent="0.25">
      <c r="A76">
        <v>2</v>
      </c>
      <c r="B76">
        <v>1994</v>
      </c>
      <c r="C76">
        <v>57.806134359374902</v>
      </c>
      <c r="D76">
        <v>6.26054812299465</v>
      </c>
      <c r="E76">
        <v>0.10830248713870801</v>
      </c>
    </row>
    <row r="77" spans="1:5" x14ac:dyDescent="0.25">
      <c r="A77">
        <v>2</v>
      </c>
      <c r="B77">
        <v>1995</v>
      </c>
      <c r="C77">
        <v>146.13482610896099</v>
      </c>
      <c r="D77">
        <v>9.9104072102914493</v>
      </c>
      <c r="E77">
        <v>6.7816874828331805E-2</v>
      </c>
    </row>
    <row r="78" spans="1:5" x14ac:dyDescent="0.25">
      <c r="A78">
        <v>2</v>
      </c>
      <c r="B78">
        <v>1996</v>
      </c>
      <c r="C78">
        <v>138.273142821319</v>
      </c>
      <c r="D78">
        <v>9.6401447076447599</v>
      </c>
      <c r="E78">
        <v>6.9718128270954596E-2</v>
      </c>
    </row>
    <row r="79" spans="1:5" x14ac:dyDescent="0.25">
      <c r="A79">
        <v>2</v>
      </c>
      <c r="B79">
        <v>1997</v>
      </c>
      <c r="C79">
        <v>32.329452154423301</v>
      </c>
      <c r="D79">
        <v>4.4245968293172098</v>
      </c>
      <c r="E79">
        <v>0.13685962905226201</v>
      </c>
    </row>
    <row r="80" spans="1:5" x14ac:dyDescent="0.25">
      <c r="A80">
        <v>2</v>
      </c>
      <c r="B80">
        <v>1998</v>
      </c>
      <c r="C80">
        <v>34.9071300869523</v>
      </c>
      <c r="D80">
        <v>4.8107387535842703</v>
      </c>
      <c r="E80">
        <v>0.13781536154937099</v>
      </c>
    </row>
    <row r="81" spans="1:5" x14ac:dyDescent="0.25">
      <c r="A81">
        <v>2</v>
      </c>
      <c r="B81">
        <v>1999</v>
      </c>
      <c r="C81">
        <v>146.04540668597801</v>
      </c>
      <c r="D81">
        <v>9.9073746734128108</v>
      </c>
      <c r="E81">
        <v>6.7837632817273993E-2</v>
      </c>
    </row>
    <row r="82" spans="1:5" x14ac:dyDescent="0.25">
      <c r="A82">
        <v>2</v>
      </c>
      <c r="B82">
        <v>2000</v>
      </c>
      <c r="C82">
        <v>149.54887357693599</v>
      </c>
      <c r="D82">
        <v>9.96823568097909</v>
      </c>
      <c r="E82">
        <v>6.6655371201113603E-2</v>
      </c>
    </row>
    <row r="83" spans="1:5" x14ac:dyDescent="0.25">
      <c r="A83">
        <v>2</v>
      </c>
      <c r="B83">
        <v>2001</v>
      </c>
      <c r="C83">
        <v>104.07748685921899</v>
      </c>
      <c r="D83">
        <v>8.3635957741040396</v>
      </c>
      <c r="E83">
        <v>8.0359317144322304E-2</v>
      </c>
    </row>
    <row r="84" spans="1:5" x14ac:dyDescent="0.25">
      <c r="A84">
        <v>2</v>
      </c>
      <c r="B84">
        <v>2002</v>
      </c>
      <c r="C84">
        <v>13.8313366111413</v>
      </c>
      <c r="D84">
        <v>3.0489247903124399</v>
      </c>
      <c r="E84">
        <v>0.22043601974494001</v>
      </c>
    </row>
    <row r="85" spans="1:5" x14ac:dyDescent="0.25">
      <c r="A85">
        <v>2</v>
      </c>
      <c r="B85">
        <v>2003</v>
      </c>
      <c r="C85">
        <v>33.222958750412197</v>
      </c>
      <c r="D85">
        <v>4.7183945007400299</v>
      </c>
      <c r="E85">
        <v>0.14202210393682899</v>
      </c>
    </row>
    <row r="86" spans="1:5" x14ac:dyDescent="0.25">
      <c r="A86">
        <v>2</v>
      </c>
      <c r="B86">
        <v>2004</v>
      </c>
      <c r="C86">
        <v>38.578243459382399</v>
      </c>
      <c r="D86">
        <v>5.0919702878599997</v>
      </c>
      <c r="E86">
        <v>0.131990724077967</v>
      </c>
    </row>
    <row r="87" spans="1:5" x14ac:dyDescent="0.25">
      <c r="A87">
        <v>2</v>
      </c>
      <c r="B87">
        <v>2005</v>
      </c>
      <c r="C87">
        <v>44.372164301103403</v>
      </c>
      <c r="D87">
        <v>5.1917474304419704</v>
      </c>
      <c r="E87">
        <v>0.11700460214677599</v>
      </c>
    </row>
    <row r="88" spans="1:5" x14ac:dyDescent="0.25">
      <c r="A88">
        <v>2</v>
      </c>
      <c r="B88">
        <v>2006</v>
      </c>
      <c r="C88">
        <v>13.0862480841226</v>
      </c>
      <c r="D88">
        <v>2.9656658120688002</v>
      </c>
      <c r="E88">
        <v>0.22662460569328599</v>
      </c>
    </row>
    <row r="89" spans="1:5" x14ac:dyDescent="0.25">
      <c r="A89">
        <v>2</v>
      </c>
      <c r="B89">
        <v>2007</v>
      </c>
      <c r="C89">
        <v>4.4793026466973496</v>
      </c>
      <c r="D89">
        <v>1.7350813412289099</v>
      </c>
      <c r="E89">
        <v>0.38735523765249602</v>
      </c>
    </row>
    <row r="90" spans="1:5" x14ac:dyDescent="0.25">
      <c r="A90">
        <v>2</v>
      </c>
      <c r="B90">
        <v>2008</v>
      </c>
      <c r="C90">
        <v>1.0823392104673999</v>
      </c>
      <c r="D90">
        <v>0.849606771282156</v>
      </c>
      <c r="E90">
        <v>0.78497273596441097</v>
      </c>
    </row>
    <row r="91" spans="1:5" x14ac:dyDescent="0.25">
      <c r="A91">
        <v>2</v>
      </c>
      <c r="B91">
        <v>2009</v>
      </c>
      <c r="C91">
        <v>2.6063078226121101</v>
      </c>
      <c r="D91">
        <v>1.3235108009268399</v>
      </c>
      <c r="E91">
        <v>0.507810623689257</v>
      </c>
    </row>
    <row r="92" spans="1:5" x14ac:dyDescent="0.25">
      <c r="A92">
        <v>2</v>
      </c>
      <c r="B92">
        <v>2010</v>
      </c>
      <c r="C92">
        <v>21.145807077572101</v>
      </c>
      <c r="D92">
        <v>3.7698734255234498</v>
      </c>
      <c r="E92">
        <v>0.17827994985927501</v>
      </c>
    </row>
    <row r="93" spans="1:5" x14ac:dyDescent="0.25">
      <c r="A93">
        <v>2</v>
      </c>
      <c r="B93">
        <v>2011</v>
      </c>
      <c r="C93">
        <v>13.2507498721519</v>
      </c>
      <c r="D93">
        <v>2.9452836075575202</v>
      </c>
      <c r="E93">
        <v>0.222272975942849</v>
      </c>
    </row>
    <row r="94" spans="1:5" x14ac:dyDescent="0.25">
      <c r="A94">
        <v>2</v>
      </c>
      <c r="B94">
        <v>2012</v>
      </c>
      <c r="C94">
        <v>18.9752562881581</v>
      </c>
      <c r="D94">
        <v>3.5711530334879402</v>
      </c>
      <c r="E94">
        <v>0.18820051646504499</v>
      </c>
    </row>
    <row r="95" spans="1:5" x14ac:dyDescent="0.25">
      <c r="A95">
        <v>2</v>
      </c>
      <c r="B95">
        <v>2013</v>
      </c>
      <c r="C95">
        <v>80.7909154417557</v>
      </c>
      <c r="D95">
        <v>7.3517605843577698</v>
      </c>
      <c r="E95">
        <v>9.0997367020278996E-2</v>
      </c>
    </row>
    <row r="96" spans="1:5" x14ac:dyDescent="0.25">
      <c r="A96">
        <v>2</v>
      </c>
      <c r="B96">
        <v>2014</v>
      </c>
      <c r="C96">
        <v>13.9391477689548</v>
      </c>
      <c r="D96">
        <v>3.0607844557873101</v>
      </c>
      <c r="E96">
        <v>0.21958189313440499</v>
      </c>
    </row>
    <row r="97" spans="1:5" x14ac:dyDescent="0.25">
      <c r="A97">
        <v>2</v>
      </c>
      <c r="B97">
        <v>2015</v>
      </c>
      <c r="C97">
        <v>23.925711224353801</v>
      </c>
      <c r="D97">
        <v>4.0100248542968897</v>
      </c>
      <c r="E97">
        <v>0.16760316199984501</v>
      </c>
    </row>
    <row r="98" spans="1:5" x14ac:dyDescent="0.25">
      <c r="A98">
        <v>2</v>
      </c>
      <c r="B98">
        <v>2016</v>
      </c>
      <c r="C98">
        <v>42.798694916579798</v>
      </c>
      <c r="D98">
        <v>5.0380105243574098</v>
      </c>
      <c r="E98">
        <v>0.11771411567986199</v>
      </c>
    </row>
    <row r="99" spans="1:5" x14ac:dyDescent="0.25">
      <c r="A99">
        <v>2</v>
      </c>
      <c r="B99">
        <v>2017</v>
      </c>
      <c r="C99">
        <v>21.928443384275901</v>
      </c>
      <c r="D99">
        <v>3.8390037648664199</v>
      </c>
      <c r="E99">
        <v>0.17506959785477699</v>
      </c>
    </row>
    <row r="100" spans="1:5" x14ac:dyDescent="0.25">
      <c r="A100">
        <v>2</v>
      </c>
      <c r="B100">
        <v>2018</v>
      </c>
      <c r="C100">
        <v>17.223577566234901</v>
      </c>
      <c r="D100">
        <v>3.4023290923071499</v>
      </c>
      <c r="E100">
        <v>0.19753904664830299</v>
      </c>
    </row>
    <row r="101" spans="1:5" x14ac:dyDescent="0.25">
      <c r="A101">
        <v>2</v>
      </c>
      <c r="B101">
        <v>2019</v>
      </c>
      <c r="C101">
        <v>37.917771195700603</v>
      </c>
      <c r="D101">
        <v>5.0129441825037597</v>
      </c>
      <c r="E101">
        <v>0.132205665692507</v>
      </c>
    </row>
    <row r="102" spans="1:5" x14ac:dyDescent="0.25">
      <c r="A102">
        <v>2</v>
      </c>
      <c r="B102">
        <v>2020</v>
      </c>
      <c r="C102">
        <v>23.762363659978</v>
      </c>
      <c r="D102">
        <v>3.99631262575494</v>
      </c>
      <c r="E102">
        <v>0.168178245352157</v>
      </c>
    </row>
    <row r="103" spans="1:5" x14ac:dyDescent="0.25">
      <c r="A103">
        <v>2</v>
      </c>
      <c r="B103">
        <v>2021</v>
      </c>
      <c r="C103">
        <v>32.749135175127599</v>
      </c>
      <c r="D103">
        <v>4.6915306074084002</v>
      </c>
      <c r="E103">
        <v>0.143256625932874</v>
      </c>
    </row>
    <row r="104" spans="1:5" x14ac:dyDescent="0.25">
      <c r="A104">
        <v>2</v>
      </c>
      <c r="B104">
        <v>2022</v>
      </c>
      <c r="C104">
        <v>14.0428600965313</v>
      </c>
      <c r="D104">
        <v>3.0682895230353</v>
      </c>
      <c r="E104">
        <v>0.21849463014968001</v>
      </c>
    </row>
    <row r="105" spans="1:5" x14ac:dyDescent="0.25">
      <c r="A105">
        <v>2</v>
      </c>
      <c r="B105">
        <v>2023</v>
      </c>
      <c r="C105">
        <v>29.807919660843702</v>
      </c>
      <c r="D105">
        <v>4.4759009748517196</v>
      </c>
      <c r="E105">
        <v>0.15015811320544301</v>
      </c>
    </row>
    <row r="106" spans="1:5" x14ac:dyDescent="0.25">
      <c r="A106">
        <v>2</v>
      </c>
      <c r="B106">
        <v>2024</v>
      </c>
      <c r="C106">
        <v>20.984035502423701</v>
      </c>
      <c r="D106">
        <v>4.4759009748517196</v>
      </c>
      <c r="E106">
        <v>0.213300295566825</v>
      </c>
    </row>
    <row r="107" spans="1:5" x14ac:dyDescent="0.25">
      <c r="A107">
        <v>3</v>
      </c>
      <c r="B107">
        <v>1973</v>
      </c>
      <c r="C107">
        <v>57.321471563804998</v>
      </c>
      <c r="D107">
        <v>8.8394885727906907</v>
      </c>
      <c r="E107">
        <v>0.15420903078092399</v>
      </c>
    </row>
    <row r="108" spans="1:5" x14ac:dyDescent="0.25">
      <c r="A108">
        <v>3</v>
      </c>
      <c r="B108">
        <v>1974</v>
      </c>
      <c r="C108">
        <v>106.517013596168</v>
      </c>
      <c r="D108">
        <v>12.065731742109101</v>
      </c>
      <c r="E108">
        <v>0.113275159852427</v>
      </c>
    </row>
    <row r="109" spans="1:5" x14ac:dyDescent="0.25">
      <c r="A109">
        <v>3</v>
      </c>
      <c r="B109">
        <v>1975</v>
      </c>
      <c r="C109">
        <v>71.406300156891106</v>
      </c>
      <c r="D109">
        <v>9.8008921369525801</v>
      </c>
      <c r="E109">
        <v>0.137255285813975</v>
      </c>
    </row>
    <row r="110" spans="1:5" x14ac:dyDescent="0.25">
      <c r="A110">
        <v>3</v>
      </c>
      <c r="B110">
        <v>1976</v>
      </c>
      <c r="C110">
        <v>82.167916302335598</v>
      </c>
      <c r="D110">
        <v>10.597302012691401</v>
      </c>
      <c r="E110">
        <v>0.12897128818137299</v>
      </c>
    </row>
    <row r="111" spans="1:5" x14ac:dyDescent="0.25">
      <c r="A111">
        <v>3</v>
      </c>
      <c r="B111">
        <v>1977</v>
      </c>
      <c r="C111">
        <v>70.599921451510397</v>
      </c>
      <c r="D111">
        <v>9.8230483907389594</v>
      </c>
      <c r="E111">
        <v>0.13913681755985599</v>
      </c>
    </row>
    <row r="112" spans="1:5" x14ac:dyDescent="0.25">
      <c r="A112">
        <v>3</v>
      </c>
      <c r="B112">
        <v>1978</v>
      </c>
      <c r="C112">
        <v>113.14037799170499</v>
      </c>
      <c r="D112">
        <v>12.1298347068737</v>
      </c>
      <c r="E112">
        <v>0.10721048419833799</v>
      </c>
    </row>
    <row r="113" spans="1:5" x14ac:dyDescent="0.25">
      <c r="A113">
        <v>3</v>
      </c>
      <c r="B113">
        <v>1979</v>
      </c>
      <c r="C113">
        <v>47.462207765988403</v>
      </c>
      <c r="D113">
        <v>11.395056016010001</v>
      </c>
      <c r="E113">
        <v>0.24008693552969901</v>
      </c>
    </row>
    <row r="114" spans="1:5" x14ac:dyDescent="0.25">
      <c r="A114">
        <v>3</v>
      </c>
      <c r="B114">
        <v>1980</v>
      </c>
      <c r="C114">
        <v>61.519810377030602</v>
      </c>
      <c r="D114">
        <v>12.973285943556901</v>
      </c>
      <c r="E114">
        <v>0.21087981032530401</v>
      </c>
    </row>
    <row r="115" spans="1:5" x14ac:dyDescent="0.25">
      <c r="A115">
        <v>3</v>
      </c>
      <c r="B115">
        <v>1981</v>
      </c>
      <c r="C115">
        <v>49.142007307322402</v>
      </c>
      <c r="D115">
        <v>11.4860550910903</v>
      </c>
      <c r="E115">
        <v>0.23373190719010001</v>
      </c>
    </row>
    <row r="116" spans="1:5" x14ac:dyDescent="0.25">
      <c r="A116">
        <v>3</v>
      </c>
      <c r="B116">
        <v>1982</v>
      </c>
      <c r="C116">
        <v>22.747789268433401</v>
      </c>
      <c r="D116">
        <v>7.8888208669279196</v>
      </c>
      <c r="E116">
        <v>0.34679505660249099</v>
      </c>
    </row>
    <row r="117" spans="1:5" x14ac:dyDescent="0.25">
      <c r="A117">
        <v>3</v>
      </c>
      <c r="B117">
        <v>1983</v>
      </c>
      <c r="C117">
        <v>67.309011823652597</v>
      </c>
      <c r="D117">
        <v>13.569976754052799</v>
      </c>
      <c r="E117">
        <v>0.201607130849071</v>
      </c>
    </row>
    <row r="118" spans="1:5" x14ac:dyDescent="0.25">
      <c r="A118">
        <v>3</v>
      </c>
      <c r="B118">
        <v>1984</v>
      </c>
      <c r="C118">
        <v>77.419443623328306</v>
      </c>
      <c r="D118">
        <v>10.2742108003171</v>
      </c>
      <c r="E118">
        <v>0.132708403980588</v>
      </c>
    </row>
    <row r="119" spans="1:5" x14ac:dyDescent="0.25">
      <c r="A119">
        <v>3</v>
      </c>
      <c r="B119">
        <v>1985</v>
      </c>
      <c r="C119">
        <v>86.8262770851467</v>
      </c>
      <c r="D119">
        <v>10.8935583624353</v>
      </c>
      <c r="E119">
        <v>0.12546384260783799</v>
      </c>
    </row>
    <row r="120" spans="1:5" x14ac:dyDescent="0.25">
      <c r="A120">
        <v>3</v>
      </c>
      <c r="B120">
        <v>1986</v>
      </c>
      <c r="C120">
        <v>29.6487779550563</v>
      </c>
      <c r="D120">
        <v>6.0241294714512597</v>
      </c>
      <c r="E120">
        <v>0.20318306139237999</v>
      </c>
    </row>
    <row r="121" spans="1:5" x14ac:dyDescent="0.25">
      <c r="A121">
        <v>3</v>
      </c>
      <c r="B121">
        <v>1987</v>
      </c>
      <c r="C121">
        <v>41.515469529019498</v>
      </c>
      <c r="D121">
        <v>7.53267363913855</v>
      </c>
      <c r="E121">
        <v>0.18144257368625399</v>
      </c>
    </row>
    <row r="122" spans="1:5" x14ac:dyDescent="0.25">
      <c r="A122">
        <v>3</v>
      </c>
      <c r="B122">
        <v>1988</v>
      </c>
      <c r="C122">
        <v>50.285415052472999</v>
      </c>
      <c r="D122">
        <v>8.2902035533136402</v>
      </c>
      <c r="E122">
        <v>0.16486298352440401</v>
      </c>
    </row>
    <row r="123" spans="1:5" x14ac:dyDescent="0.25">
      <c r="A123">
        <v>3</v>
      </c>
      <c r="B123">
        <v>1989</v>
      </c>
      <c r="C123">
        <v>66.583781533967596</v>
      </c>
      <c r="D123">
        <v>9.1279958456195001</v>
      </c>
      <c r="E123">
        <v>0.13709037899811799</v>
      </c>
    </row>
    <row r="124" spans="1:5" x14ac:dyDescent="0.25">
      <c r="A124">
        <v>3</v>
      </c>
      <c r="B124">
        <v>1990</v>
      </c>
      <c r="C124">
        <v>58.998507585907397</v>
      </c>
      <c r="D124">
        <v>8.9797591317412504</v>
      </c>
      <c r="E124">
        <v>0.152203157319969</v>
      </c>
    </row>
    <row r="125" spans="1:5" x14ac:dyDescent="0.25">
      <c r="A125">
        <v>3</v>
      </c>
      <c r="B125">
        <v>1991</v>
      </c>
      <c r="C125">
        <v>48.014486576948997</v>
      </c>
      <c r="D125">
        <v>8.1008449376070999</v>
      </c>
      <c r="E125">
        <v>0.168716683549756</v>
      </c>
    </row>
    <row r="126" spans="1:5" x14ac:dyDescent="0.25">
      <c r="A126">
        <v>3</v>
      </c>
      <c r="B126">
        <v>1992</v>
      </c>
      <c r="C126">
        <v>35.357486575375098</v>
      </c>
      <c r="D126">
        <v>6.9265589521786302</v>
      </c>
      <c r="E126">
        <v>0.195900773020519</v>
      </c>
    </row>
    <row r="127" spans="1:5" x14ac:dyDescent="0.25">
      <c r="A127">
        <v>3</v>
      </c>
      <c r="B127">
        <v>1993</v>
      </c>
      <c r="C127">
        <v>30.424451524429202</v>
      </c>
      <c r="D127">
        <v>6.4484532173243903</v>
      </c>
      <c r="E127">
        <v>0.211949694874421</v>
      </c>
    </row>
    <row r="128" spans="1:5" x14ac:dyDescent="0.25">
      <c r="A128">
        <v>3</v>
      </c>
      <c r="B128">
        <v>1994</v>
      </c>
      <c r="C128">
        <v>75.787578682751402</v>
      </c>
      <c r="D128">
        <v>10.1590319883025</v>
      </c>
      <c r="E128">
        <v>0.134046134800379</v>
      </c>
    </row>
    <row r="129" spans="1:5" x14ac:dyDescent="0.25">
      <c r="A129">
        <v>3</v>
      </c>
      <c r="B129">
        <v>1995</v>
      </c>
      <c r="C129">
        <v>120.38700343271699</v>
      </c>
      <c r="D129">
        <v>12.827262337196499</v>
      </c>
      <c r="E129">
        <v>0.10655022528545199</v>
      </c>
    </row>
    <row r="130" spans="1:5" x14ac:dyDescent="0.25">
      <c r="A130">
        <v>3</v>
      </c>
      <c r="B130">
        <v>1996</v>
      </c>
      <c r="C130">
        <v>61.198221038519002</v>
      </c>
      <c r="D130">
        <v>9.1456288656452305</v>
      </c>
      <c r="E130">
        <v>0.149442724158417</v>
      </c>
    </row>
    <row r="131" spans="1:5" x14ac:dyDescent="0.25">
      <c r="A131">
        <v>3</v>
      </c>
      <c r="B131">
        <v>1997</v>
      </c>
      <c r="C131">
        <v>33.7780946448813</v>
      </c>
      <c r="D131">
        <v>6.4824607925574398</v>
      </c>
      <c r="E131">
        <v>0.19191315734973799</v>
      </c>
    </row>
    <row r="132" spans="1:5" x14ac:dyDescent="0.25">
      <c r="A132">
        <v>3</v>
      </c>
      <c r="B132">
        <v>1998</v>
      </c>
      <c r="C132">
        <v>20.310851888848799</v>
      </c>
      <c r="D132">
        <v>5.2687579122655297</v>
      </c>
      <c r="E132">
        <v>0.259406052542691</v>
      </c>
    </row>
    <row r="133" spans="1:5" x14ac:dyDescent="0.25">
      <c r="A133">
        <v>3</v>
      </c>
      <c r="B133">
        <v>1999</v>
      </c>
      <c r="C133">
        <v>38.725962199741801</v>
      </c>
      <c r="D133">
        <v>7.2752058012234704</v>
      </c>
      <c r="E133">
        <v>0.18786378408622201</v>
      </c>
    </row>
    <row r="134" spans="1:5" x14ac:dyDescent="0.25">
      <c r="A134">
        <v>3</v>
      </c>
      <c r="B134">
        <v>2000</v>
      </c>
      <c r="C134">
        <v>78.682646192789406</v>
      </c>
      <c r="D134">
        <v>10.2893117448182</v>
      </c>
      <c r="E134">
        <v>0.13076977253163599</v>
      </c>
    </row>
    <row r="135" spans="1:5" x14ac:dyDescent="0.25">
      <c r="A135">
        <v>3</v>
      </c>
      <c r="B135">
        <v>2001</v>
      </c>
      <c r="C135">
        <v>53.355118065298797</v>
      </c>
      <c r="D135">
        <v>8.5394955625456408</v>
      </c>
      <c r="E135">
        <v>0.16005016711039</v>
      </c>
    </row>
    <row r="136" spans="1:5" x14ac:dyDescent="0.25">
      <c r="A136">
        <v>3</v>
      </c>
      <c r="B136">
        <v>2002</v>
      </c>
      <c r="C136">
        <v>38.899794638801602</v>
      </c>
      <c r="D136">
        <v>7.2915159284613003</v>
      </c>
      <c r="E136">
        <v>0.18744355840861401</v>
      </c>
    </row>
    <row r="137" spans="1:5" x14ac:dyDescent="0.25">
      <c r="A137">
        <v>3</v>
      </c>
      <c r="B137">
        <v>2003</v>
      </c>
      <c r="C137">
        <v>72.699832318044102</v>
      </c>
      <c r="D137">
        <v>9.9597575709611892</v>
      </c>
      <c r="E137">
        <v>0.136998356851632</v>
      </c>
    </row>
    <row r="138" spans="1:5" x14ac:dyDescent="0.25">
      <c r="A138">
        <v>3</v>
      </c>
      <c r="B138">
        <v>2004</v>
      </c>
      <c r="C138">
        <v>39.444748577376899</v>
      </c>
      <c r="D138">
        <v>7.3424123469540596</v>
      </c>
      <c r="E138">
        <v>0.18614422988527399</v>
      </c>
    </row>
    <row r="139" spans="1:5" x14ac:dyDescent="0.25">
      <c r="A139">
        <v>3</v>
      </c>
      <c r="B139">
        <v>2005</v>
      </c>
      <c r="C139">
        <v>53.255027956747497</v>
      </c>
      <c r="D139">
        <v>8.0166946174053102</v>
      </c>
      <c r="E139">
        <v>0.150534042042308</v>
      </c>
    </row>
    <row r="140" spans="1:5" x14ac:dyDescent="0.25">
      <c r="A140">
        <v>3</v>
      </c>
      <c r="B140">
        <v>2006</v>
      </c>
      <c r="C140">
        <v>15.6970887359145</v>
      </c>
      <c r="D140">
        <v>4.6318419444283396</v>
      </c>
      <c r="E140">
        <v>0.29507649618051901</v>
      </c>
    </row>
    <row r="141" spans="1:5" x14ac:dyDescent="0.25">
      <c r="A141">
        <v>3</v>
      </c>
      <c r="B141">
        <v>2007</v>
      </c>
      <c r="C141">
        <v>15.7457538429002</v>
      </c>
      <c r="D141">
        <v>4.6390163527207902</v>
      </c>
      <c r="E141">
        <v>0.29462014959750898</v>
      </c>
    </row>
    <row r="142" spans="1:5" x14ac:dyDescent="0.25">
      <c r="A142">
        <v>3</v>
      </c>
      <c r="B142">
        <v>2008</v>
      </c>
      <c r="C142">
        <v>1.38483101731923</v>
      </c>
      <c r="D142">
        <v>1.351204829229</v>
      </c>
      <c r="E142">
        <v>0.97571820123200104</v>
      </c>
    </row>
    <row r="143" spans="1:5" x14ac:dyDescent="0.25">
      <c r="A143">
        <v>3</v>
      </c>
      <c r="B143">
        <v>2009</v>
      </c>
      <c r="C143">
        <v>6.4873302732458402</v>
      </c>
      <c r="D143">
        <v>2.9776742059966801</v>
      </c>
      <c r="E143">
        <v>0.45899839850558999</v>
      </c>
    </row>
    <row r="144" spans="1:5" x14ac:dyDescent="0.25">
      <c r="A144">
        <v>3</v>
      </c>
      <c r="B144">
        <v>2010</v>
      </c>
      <c r="C144">
        <v>15.863626395299701</v>
      </c>
      <c r="D144">
        <v>4.6563477919644498</v>
      </c>
      <c r="E144">
        <v>0.29352354095681998</v>
      </c>
    </row>
    <row r="145" spans="1:5" x14ac:dyDescent="0.25">
      <c r="A145">
        <v>3</v>
      </c>
      <c r="B145">
        <v>2011</v>
      </c>
      <c r="C145">
        <v>42.686176250449499</v>
      </c>
      <c r="D145">
        <v>7.5595878619031298</v>
      </c>
      <c r="E145">
        <v>0.17709686193369301</v>
      </c>
    </row>
    <row r="146" spans="1:5" x14ac:dyDescent="0.25">
      <c r="A146">
        <v>3</v>
      </c>
      <c r="B146">
        <v>2012</v>
      </c>
      <c r="C146">
        <v>44.306854649839103</v>
      </c>
      <c r="D146">
        <v>7.7817922951363698</v>
      </c>
      <c r="E146">
        <v>0.17563404932795501</v>
      </c>
    </row>
    <row r="147" spans="1:5" x14ac:dyDescent="0.25">
      <c r="A147">
        <v>3</v>
      </c>
      <c r="B147">
        <v>2013</v>
      </c>
      <c r="C147">
        <v>107.339546010815</v>
      </c>
      <c r="D147">
        <v>12.0894901592149</v>
      </c>
      <c r="E147">
        <v>0.11262848231160499</v>
      </c>
    </row>
    <row r="148" spans="1:5" x14ac:dyDescent="0.25">
      <c r="A148">
        <v>3</v>
      </c>
      <c r="B148">
        <v>2014</v>
      </c>
      <c r="C148">
        <v>35.2232749022319</v>
      </c>
      <c r="D148">
        <v>6.9383953239278098</v>
      </c>
      <c r="E148">
        <v>0.196983254486884</v>
      </c>
    </row>
    <row r="149" spans="1:5" x14ac:dyDescent="0.25">
      <c r="A149">
        <v>3</v>
      </c>
      <c r="B149">
        <v>2015</v>
      </c>
      <c r="C149">
        <v>32.189634243816798</v>
      </c>
      <c r="D149">
        <v>6.6328808449565404</v>
      </c>
      <c r="E149">
        <v>0.20605642160195201</v>
      </c>
    </row>
    <row r="150" spans="1:5" x14ac:dyDescent="0.25">
      <c r="A150">
        <v>3</v>
      </c>
      <c r="B150">
        <v>2016</v>
      </c>
      <c r="C150">
        <v>72.1208374173534</v>
      </c>
      <c r="D150">
        <v>9.5787151403579003</v>
      </c>
      <c r="E150">
        <v>0.132814807528193</v>
      </c>
    </row>
    <row r="151" spans="1:5" x14ac:dyDescent="0.25">
      <c r="A151">
        <v>3</v>
      </c>
      <c r="B151">
        <v>2017</v>
      </c>
      <c r="C151">
        <v>35.426704999454799</v>
      </c>
      <c r="D151">
        <v>6.9584026390350697</v>
      </c>
      <c r="E151">
        <v>0.19641687363084301</v>
      </c>
    </row>
    <row r="152" spans="1:5" x14ac:dyDescent="0.25">
      <c r="A152">
        <v>3</v>
      </c>
      <c r="B152">
        <v>2018</v>
      </c>
      <c r="C152">
        <v>58.910355601524302</v>
      </c>
      <c r="D152">
        <v>8.9730481188338196</v>
      </c>
      <c r="E152">
        <v>0.15231699125241099</v>
      </c>
    </row>
    <row r="153" spans="1:5" x14ac:dyDescent="0.25">
      <c r="A153">
        <v>3</v>
      </c>
      <c r="B153">
        <v>2019</v>
      </c>
      <c r="C153">
        <v>47.962448241030003</v>
      </c>
      <c r="D153">
        <v>8.0709851500019294</v>
      </c>
      <c r="E153">
        <v>0.168277171954235</v>
      </c>
    </row>
    <row r="154" spans="1:5" x14ac:dyDescent="0.25">
      <c r="A154">
        <v>3</v>
      </c>
      <c r="B154">
        <v>2020</v>
      </c>
      <c r="C154">
        <v>15.183144858052099</v>
      </c>
      <c r="D154">
        <v>4.5553845270591902</v>
      </c>
      <c r="E154">
        <v>0.300029049952937</v>
      </c>
    </row>
    <row r="155" spans="1:5" x14ac:dyDescent="0.25">
      <c r="A155">
        <v>3</v>
      </c>
      <c r="B155">
        <v>2021</v>
      </c>
      <c r="C155">
        <v>33.2409554699992</v>
      </c>
      <c r="D155">
        <v>6.7403263394765798</v>
      </c>
      <c r="E155">
        <v>0.202771738783498</v>
      </c>
    </row>
    <row r="156" spans="1:5" x14ac:dyDescent="0.25">
      <c r="A156">
        <v>3</v>
      </c>
      <c r="B156">
        <v>2022</v>
      </c>
      <c r="C156">
        <v>22.353641303619</v>
      </c>
      <c r="D156">
        <v>5.5233686919943104</v>
      </c>
      <c r="E156">
        <v>0.24709033382852399</v>
      </c>
    </row>
    <row r="157" spans="1:5" x14ac:dyDescent="0.25">
      <c r="A157">
        <v>3</v>
      </c>
      <c r="B157">
        <v>2023</v>
      </c>
      <c r="C157">
        <v>48.525852735652897</v>
      </c>
      <c r="D157">
        <v>8.1438686887890697</v>
      </c>
      <c r="E157">
        <v>0.16782535967277501</v>
      </c>
    </row>
    <row r="158" spans="1:5" x14ac:dyDescent="0.25">
      <c r="A158">
        <v>3</v>
      </c>
      <c r="B158">
        <v>2024</v>
      </c>
      <c r="C158">
        <v>33.5095250574403</v>
      </c>
      <c r="D158">
        <v>8.1438686887890697</v>
      </c>
      <c r="E158">
        <v>0.24303145672250701</v>
      </c>
    </row>
    <row r="159" spans="1:5" x14ac:dyDescent="0.25">
      <c r="A159">
        <v>4</v>
      </c>
      <c r="B159">
        <v>1973</v>
      </c>
      <c r="C159">
        <v>57.321471563804998</v>
      </c>
      <c r="D159">
        <v>8.8394885727906907</v>
      </c>
      <c r="E159">
        <v>0.15420903078092399</v>
      </c>
    </row>
    <row r="160" spans="1:5" x14ac:dyDescent="0.25">
      <c r="A160">
        <v>4</v>
      </c>
      <c r="B160">
        <v>1974</v>
      </c>
      <c r="C160">
        <v>106.517013596168</v>
      </c>
      <c r="D160">
        <v>12.065731742109101</v>
      </c>
      <c r="E160">
        <v>0.113275159852427</v>
      </c>
    </row>
    <row r="161" spans="1:5" x14ac:dyDescent="0.25">
      <c r="A161">
        <v>4</v>
      </c>
      <c r="B161">
        <v>1975</v>
      </c>
      <c r="C161">
        <v>71.406300156891106</v>
      </c>
      <c r="D161">
        <v>9.8008921369525801</v>
      </c>
      <c r="E161">
        <v>0.137255285813975</v>
      </c>
    </row>
    <row r="162" spans="1:5" x14ac:dyDescent="0.25">
      <c r="A162">
        <v>4</v>
      </c>
      <c r="B162">
        <v>1976</v>
      </c>
      <c r="C162">
        <v>82.167916302335598</v>
      </c>
      <c r="D162">
        <v>10.597302012691401</v>
      </c>
      <c r="E162">
        <v>0.12897128818137299</v>
      </c>
    </row>
    <row r="163" spans="1:5" x14ac:dyDescent="0.25">
      <c r="A163">
        <v>4</v>
      </c>
      <c r="B163">
        <v>1977</v>
      </c>
      <c r="C163">
        <v>70.599921451510397</v>
      </c>
      <c r="D163">
        <v>9.8230483907389594</v>
      </c>
      <c r="E163">
        <v>0.13913681755985599</v>
      </c>
    </row>
    <row r="164" spans="1:5" x14ac:dyDescent="0.25">
      <c r="A164">
        <v>4</v>
      </c>
      <c r="B164">
        <v>1978</v>
      </c>
      <c r="C164">
        <v>113.14037799170499</v>
      </c>
      <c r="D164">
        <v>12.1298347068737</v>
      </c>
      <c r="E164">
        <v>0.10721048419833799</v>
      </c>
    </row>
    <row r="165" spans="1:5" x14ac:dyDescent="0.25">
      <c r="A165">
        <v>4</v>
      </c>
      <c r="B165">
        <v>1979</v>
      </c>
      <c r="C165">
        <v>47.462207765988403</v>
      </c>
      <c r="D165">
        <v>11.395056016010001</v>
      </c>
      <c r="E165">
        <v>0.24008693552969901</v>
      </c>
    </row>
    <row r="166" spans="1:5" x14ac:dyDescent="0.25">
      <c r="A166">
        <v>4</v>
      </c>
      <c r="B166">
        <v>1980</v>
      </c>
      <c r="C166">
        <v>61.519810377030602</v>
      </c>
      <c r="D166">
        <v>12.973285943556901</v>
      </c>
      <c r="E166">
        <v>0.21087981032530401</v>
      </c>
    </row>
    <row r="167" spans="1:5" x14ac:dyDescent="0.25">
      <c r="A167">
        <v>4</v>
      </c>
      <c r="B167">
        <v>1981</v>
      </c>
      <c r="C167">
        <v>49.142007307322402</v>
      </c>
      <c r="D167">
        <v>11.4860550910903</v>
      </c>
      <c r="E167">
        <v>0.23373190719010001</v>
      </c>
    </row>
    <row r="168" spans="1:5" x14ac:dyDescent="0.25">
      <c r="A168">
        <v>4</v>
      </c>
      <c r="B168">
        <v>1982</v>
      </c>
      <c r="C168">
        <v>22.747789268433401</v>
      </c>
      <c r="D168">
        <v>7.8888208669279196</v>
      </c>
      <c r="E168">
        <v>0.34679505660249099</v>
      </c>
    </row>
    <row r="169" spans="1:5" x14ac:dyDescent="0.25">
      <c r="A169">
        <v>4</v>
      </c>
      <c r="B169">
        <v>1983</v>
      </c>
      <c r="C169">
        <v>67.309011823652597</v>
      </c>
      <c r="D169">
        <v>13.569976754052799</v>
      </c>
      <c r="E169">
        <v>0.201607130849071</v>
      </c>
    </row>
    <row r="170" spans="1:5" x14ac:dyDescent="0.25">
      <c r="A170">
        <v>4</v>
      </c>
      <c r="B170">
        <v>1984</v>
      </c>
      <c r="C170">
        <v>77.419443623328306</v>
      </c>
      <c r="D170">
        <v>10.2742108003171</v>
      </c>
      <c r="E170">
        <v>0.132708403980588</v>
      </c>
    </row>
    <row r="171" spans="1:5" x14ac:dyDescent="0.25">
      <c r="A171">
        <v>4</v>
      </c>
      <c r="B171">
        <v>1985</v>
      </c>
      <c r="C171">
        <v>86.8262770851467</v>
      </c>
      <c r="D171">
        <v>10.8935583624353</v>
      </c>
      <c r="E171">
        <v>0.12546384260783799</v>
      </c>
    </row>
    <row r="172" spans="1:5" x14ac:dyDescent="0.25">
      <c r="A172">
        <v>4</v>
      </c>
      <c r="B172">
        <v>1986</v>
      </c>
      <c r="C172">
        <v>29.6487779550563</v>
      </c>
      <c r="D172">
        <v>6.0241294714512597</v>
      </c>
      <c r="E172">
        <v>0.20318306139237999</v>
      </c>
    </row>
    <row r="173" spans="1:5" x14ac:dyDescent="0.25">
      <c r="A173">
        <v>4</v>
      </c>
      <c r="B173">
        <v>1987</v>
      </c>
      <c r="C173">
        <v>41.515469529019498</v>
      </c>
      <c r="D173">
        <v>7.53267363913855</v>
      </c>
      <c r="E173">
        <v>0.18144257368625399</v>
      </c>
    </row>
    <row r="174" spans="1:5" x14ac:dyDescent="0.25">
      <c r="A174">
        <v>4</v>
      </c>
      <c r="B174">
        <v>1988</v>
      </c>
      <c r="C174">
        <v>50.285415052472999</v>
      </c>
      <c r="D174">
        <v>8.2902035533136402</v>
      </c>
      <c r="E174">
        <v>0.16486298352440401</v>
      </c>
    </row>
    <row r="175" spans="1:5" x14ac:dyDescent="0.25">
      <c r="A175">
        <v>4</v>
      </c>
      <c r="B175">
        <v>1989</v>
      </c>
      <c r="C175">
        <v>66.583781533967596</v>
      </c>
      <c r="D175">
        <v>9.1279958456195001</v>
      </c>
      <c r="E175">
        <v>0.13709037899811799</v>
      </c>
    </row>
    <row r="176" spans="1:5" x14ac:dyDescent="0.25">
      <c r="A176">
        <v>4</v>
      </c>
      <c r="B176">
        <v>1990</v>
      </c>
      <c r="C176">
        <v>58.998507585907397</v>
      </c>
      <c r="D176">
        <v>8.9797591317412504</v>
      </c>
      <c r="E176">
        <v>0.152203157319969</v>
      </c>
    </row>
    <row r="177" spans="1:5" x14ac:dyDescent="0.25">
      <c r="A177">
        <v>4</v>
      </c>
      <c r="B177">
        <v>1991</v>
      </c>
      <c r="C177">
        <v>48.014486576948997</v>
      </c>
      <c r="D177">
        <v>8.1008449376070999</v>
      </c>
      <c r="E177">
        <v>0.168716683549756</v>
      </c>
    </row>
    <row r="178" spans="1:5" x14ac:dyDescent="0.25">
      <c r="A178">
        <v>4</v>
      </c>
      <c r="B178">
        <v>1992</v>
      </c>
      <c r="C178">
        <v>35.357486575375098</v>
      </c>
      <c r="D178">
        <v>6.9265589521786302</v>
      </c>
      <c r="E178">
        <v>0.195900773020519</v>
      </c>
    </row>
    <row r="179" spans="1:5" x14ac:dyDescent="0.25">
      <c r="A179">
        <v>4</v>
      </c>
      <c r="B179">
        <v>1993</v>
      </c>
      <c r="C179">
        <v>30.424451524429202</v>
      </c>
      <c r="D179">
        <v>6.4484532173243903</v>
      </c>
      <c r="E179">
        <v>0.211949694874421</v>
      </c>
    </row>
    <row r="180" spans="1:5" x14ac:dyDescent="0.25">
      <c r="A180">
        <v>4</v>
      </c>
      <c r="B180">
        <v>1994</v>
      </c>
      <c r="C180">
        <v>75.787578682751402</v>
      </c>
      <c r="D180">
        <v>10.1590319883025</v>
      </c>
      <c r="E180">
        <v>0.134046134800379</v>
      </c>
    </row>
    <row r="181" spans="1:5" x14ac:dyDescent="0.25">
      <c r="A181">
        <v>4</v>
      </c>
      <c r="B181">
        <v>1995</v>
      </c>
      <c r="C181">
        <v>120.38700343271699</v>
      </c>
      <c r="D181">
        <v>12.827262337196499</v>
      </c>
      <c r="E181">
        <v>0.10655022528545199</v>
      </c>
    </row>
    <row r="182" spans="1:5" x14ac:dyDescent="0.25">
      <c r="A182">
        <v>4</v>
      </c>
      <c r="B182">
        <v>1996</v>
      </c>
      <c r="C182">
        <v>61.198221038519002</v>
      </c>
      <c r="D182">
        <v>9.1456288656452305</v>
      </c>
      <c r="E182">
        <v>0.149442724158417</v>
      </c>
    </row>
    <row r="183" spans="1:5" x14ac:dyDescent="0.25">
      <c r="A183">
        <v>4</v>
      </c>
      <c r="B183">
        <v>1997</v>
      </c>
      <c r="C183">
        <v>33.7780946448813</v>
      </c>
      <c r="D183">
        <v>6.4824607925574398</v>
      </c>
      <c r="E183">
        <v>0.19191315734973799</v>
      </c>
    </row>
    <row r="184" spans="1:5" x14ac:dyDescent="0.25">
      <c r="A184">
        <v>4</v>
      </c>
      <c r="B184">
        <v>1998</v>
      </c>
      <c r="C184">
        <v>20.310851888848799</v>
      </c>
      <c r="D184">
        <v>5.2687579122655297</v>
      </c>
      <c r="E184">
        <v>0.259406052542691</v>
      </c>
    </row>
    <row r="185" spans="1:5" x14ac:dyDescent="0.25">
      <c r="A185">
        <v>4</v>
      </c>
      <c r="B185">
        <v>1999</v>
      </c>
      <c r="C185">
        <v>38.725962199741801</v>
      </c>
      <c r="D185">
        <v>7.2752058012234704</v>
      </c>
      <c r="E185">
        <v>0.18786378408622201</v>
      </c>
    </row>
    <row r="186" spans="1:5" x14ac:dyDescent="0.25">
      <c r="A186">
        <v>4</v>
      </c>
      <c r="B186">
        <v>2000</v>
      </c>
      <c r="C186">
        <v>78.682646192789406</v>
      </c>
      <c r="D186">
        <v>10.2893117448182</v>
      </c>
      <c r="E186">
        <v>0.13076977253163599</v>
      </c>
    </row>
    <row r="187" spans="1:5" x14ac:dyDescent="0.25">
      <c r="A187">
        <v>4</v>
      </c>
      <c r="B187">
        <v>2001</v>
      </c>
      <c r="C187">
        <v>53.355118065298797</v>
      </c>
      <c r="D187">
        <v>8.5394955625456408</v>
      </c>
      <c r="E187">
        <v>0.16005016711039</v>
      </c>
    </row>
    <row r="188" spans="1:5" x14ac:dyDescent="0.25">
      <c r="A188">
        <v>4</v>
      </c>
      <c r="B188">
        <v>2002</v>
      </c>
      <c r="C188">
        <v>38.899794638801602</v>
      </c>
      <c r="D188">
        <v>7.2915159284613003</v>
      </c>
      <c r="E188">
        <v>0.18744355840861401</v>
      </c>
    </row>
    <row r="189" spans="1:5" x14ac:dyDescent="0.25">
      <c r="A189">
        <v>4</v>
      </c>
      <c r="B189">
        <v>2003</v>
      </c>
      <c r="C189">
        <v>72.699832318044102</v>
      </c>
      <c r="D189">
        <v>9.9597575709611892</v>
      </c>
      <c r="E189">
        <v>0.136998356851632</v>
      </c>
    </row>
    <row r="190" spans="1:5" x14ac:dyDescent="0.25">
      <c r="A190">
        <v>4</v>
      </c>
      <c r="B190">
        <v>2004</v>
      </c>
      <c r="C190">
        <v>39.444748577376899</v>
      </c>
      <c r="D190">
        <v>7.3424123469540596</v>
      </c>
      <c r="E190">
        <v>0.18614422988527399</v>
      </c>
    </row>
    <row r="191" spans="1:5" x14ac:dyDescent="0.25">
      <c r="A191">
        <v>4</v>
      </c>
      <c r="B191">
        <v>2005</v>
      </c>
      <c r="C191">
        <v>53.255027956747497</v>
      </c>
      <c r="D191">
        <v>8.0166946174053102</v>
      </c>
      <c r="E191">
        <v>0.150534042042308</v>
      </c>
    </row>
    <row r="192" spans="1:5" x14ac:dyDescent="0.25">
      <c r="A192">
        <v>4</v>
      </c>
      <c r="B192">
        <v>2006</v>
      </c>
      <c r="C192">
        <v>15.6970887359145</v>
      </c>
      <c r="D192">
        <v>4.6318419444283396</v>
      </c>
      <c r="E192">
        <v>0.29507649618051901</v>
      </c>
    </row>
    <row r="193" spans="1:5" x14ac:dyDescent="0.25">
      <c r="A193">
        <v>4</v>
      </c>
      <c r="B193">
        <v>2007</v>
      </c>
      <c r="C193">
        <v>15.7457538429002</v>
      </c>
      <c r="D193">
        <v>4.6390163527207902</v>
      </c>
      <c r="E193">
        <v>0.29462014959750898</v>
      </c>
    </row>
    <row r="194" spans="1:5" x14ac:dyDescent="0.25">
      <c r="A194">
        <v>4</v>
      </c>
      <c r="B194">
        <v>2008</v>
      </c>
      <c r="C194">
        <v>1.38483101731923</v>
      </c>
      <c r="D194">
        <v>1.351204829229</v>
      </c>
      <c r="E194">
        <v>0.97571820123200104</v>
      </c>
    </row>
    <row r="195" spans="1:5" x14ac:dyDescent="0.25">
      <c r="A195">
        <v>4</v>
      </c>
      <c r="B195">
        <v>2009</v>
      </c>
      <c r="C195">
        <v>6.4873302732458402</v>
      </c>
      <c r="D195">
        <v>2.9776742059966801</v>
      </c>
      <c r="E195">
        <v>0.45899839850558999</v>
      </c>
    </row>
    <row r="196" spans="1:5" x14ac:dyDescent="0.25">
      <c r="A196">
        <v>4</v>
      </c>
      <c r="B196">
        <v>2010</v>
      </c>
      <c r="C196">
        <v>15.863626395299701</v>
      </c>
      <c r="D196">
        <v>4.6563477919644498</v>
      </c>
      <c r="E196">
        <v>0.29352354095681998</v>
      </c>
    </row>
    <row r="197" spans="1:5" x14ac:dyDescent="0.25">
      <c r="A197">
        <v>4</v>
      </c>
      <c r="B197">
        <v>2011</v>
      </c>
      <c r="C197">
        <v>42.686176250449499</v>
      </c>
      <c r="D197">
        <v>7.5595878619031298</v>
      </c>
      <c r="E197">
        <v>0.17709686193369301</v>
      </c>
    </row>
    <row r="198" spans="1:5" x14ac:dyDescent="0.25">
      <c r="A198">
        <v>4</v>
      </c>
      <c r="B198">
        <v>2012</v>
      </c>
      <c r="C198">
        <v>44.306854649839103</v>
      </c>
      <c r="D198">
        <v>7.7817922951363698</v>
      </c>
      <c r="E198">
        <v>0.17563404932795501</v>
      </c>
    </row>
    <row r="199" spans="1:5" x14ac:dyDescent="0.25">
      <c r="A199">
        <v>4</v>
      </c>
      <c r="B199">
        <v>2013</v>
      </c>
      <c r="C199">
        <v>107.339546010815</v>
      </c>
      <c r="D199">
        <v>12.0894901592149</v>
      </c>
      <c r="E199">
        <v>0.11262848231160499</v>
      </c>
    </row>
    <row r="200" spans="1:5" x14ac:dyDescent="0.25">
      <c r="A200">
        <v>4</v>
      </c>
      <c r="B200">
        <v>2014</v>
      </c>
      <c r="C200">
        <v>35.2232749022319</v>
      </c>
      <c r="D200">
        <v>6.9383953239278098</v>
      </c>
      <c r="E200">
        <v>0.196983254486884</v>
      </c>
    </row>
    <row r="201" spans="1:5" x14ac:dyDescent="0.25">
      <c r="A201">
        <v>4</v>
      </c>
      <c r="B201">
        <v>2015</v>
      </c>
      <c r="C201">
        <v>32.189634243816798</v>
      </c>
      <c r="D201">
        <v>6.6328808449565404</v>
      </c>
      <c r="E201">
        <v>0.20605642160195201</v>
      </c>
    </row>
    <row r="202" spans="1:5" x14ac:dyDescent="0.25">
      <c r="A202">
        <v>4</v>
      </c>
      <c r="B202">
        <v>2016</v>
      </c>
      <c r="C202">
        <v>72.1208374173534</v>
      </c>
      <c r="D202">
        <v>9.5787151403579003</v>
      </c>
      <c r="E202">
        <v>0.132814807528193</v>
      </c>
    </row>
    <row r="203" spans="1:5" x14ac:dyDescent="0.25">
      <c r="A203">
        <v>4</v>
      </c>
      <c r="B203">
        <v>2017</v>
      </c>
      <c r="C203">
        <v>35.426704999454799</v>
      </c>
      <c r="D203">
        <v>6.9584026390350697</v>
      </c>
      <c r="E203">
        <v>0.19641687363084301</v>
      </c>
    </row>
    <row r="204" spans="1:5" x14ac:dyDescent="0.25">
      <c r="A204">
        <v>4</v>
      </c>
      <c r="B204">
        <v>2018</v>
      </c>
      <c r="C204">
        <v>58.910355601524302</v>
      </c>
      <c r="D204">
        <v>8.9730481188338196</v>
      </c>
      <c r="E204">
        <v>0.15231699125241099</v>
      </c>
    </row>
    <row r="205" spans="1:5" x14ac:dyDescent="0.25">
      <c r="A205">
        <v>4</v>
      </c>
      <c r="B205">
        <v>2019</v>
      </c>
      <c r="C205">
        <v>47.962448241030003</v>
      </c>
      <c r="D205">
        <v>8.0709851500019294</v>
      </c>
      <c r="E205">
        <v>0.168277171954235</v>
      </c>
    </row>
    <row r="206" spans="1:5" x14ac:dyDescent="0.25">
      <c r="A206">
        <v>4</v>
      </c>
      <c r="B206">
        <v>2020</v>
      </c>
      <c r="C206">
        <v>15.183144858052099</v>
      </c>
      <c r="D206">
        <v>4.5553845270591902</v>
      </c>
      <c r="E206">
        <v>0.300029049952937</v>
      </c>
    </row>
    <row r="207" spans="1:5" x14ac:dyDescent="0.25">
      <c r="A207">
        <v>4</v>
      </c>
      <c r="B207">
        <v>2021</v>
      </c>
      <c r="C207">
        <v>33.2409554699992</v>
      </c>
      <c r="D207">
        <v>6.7403263394765798</v>
      </c>
      <c r="E207">
        <v>0.202771738783498</v>
      </c>
    </row>
    <row r="208" spans="1:5" x14ac:dyDescent="0.25">
      <c r="A208">
        <v>4</v>
      </c>
      <c r="B208">
        <v>2022</v>
      </c>
      <c r="C208">
        <v>22.353641303619</v>
      </c>
      <c r="D208">
        <v>5.5233686919943104</v>
      </c>
      <c r="E208">
        <v>0.24709033382852399</v>
      </c>
    </row>
    <row r="209" spans="1:5" x14ac:dyDescent="0.25">
      <c r="A209">
        <v>4</v>
      </c>
      <c r="B209">
        <v>2023</v>
      </c>
      <c r="C209">
        <v>48.525852735652897</v>
      </c>
      <c r="D209">
        <v>8.1438686887890697</v>
      </c>
      <c r="E209">
        <v>0.16782535967277501</v>
      </c>
    </row>
    <row r="210" spans="1:5" x14ac:dyDescent="0.25">
      <c r="A210">
        <v>4</v>
      </c>
      <c r="B210">
        <v>2024</v>
      </c>
      <c r="C210">
        <v>33.5095250574403</v>
      </c>
      <c r="D210">
        <v>8.1438686887890697</v>
      </c>
      <c r="E210">
        <v>0.24303145672250701</v>
      </c>
    </row>
    <row r="211" spans="1:5" x14ac:dyDescent="0.25">
      <c r="A211">
        <v>5</v>
      </c>
      <c r="B211">
        <v>1973</v>
      </c>
      <c r="C211">
        <v>57.321471563804998</v>
      </c>
      <c r="D211">
        <v>8.8394885727906907</v>
      </c>
      <c r="E211">
        <v>0.15420903078092399</v>
      </c>
    </row>
    <row r="212" spans="1:5" x14ac:dyDescent="0.25">
      <c r="A212">
        <v>5</v>
      </c>
      <c r="B212">
        <v>1974</v>
      </c>
      <c r="C212">
        <v>106.517013596168</v>
      </c>
      <c r="D212">
        <v>12.065731742109101</v>
      </c>
      <c r="E212">
        <v>0.113275159852427</v>
      </c>
    </row>
    <row r="213" spans="1:5" x14ac:dyDescent="0.25">
      <c r="A213">
        <v>5</v>
      </c>
      <c r="B213">
        <v>1975</v>
      </c>
      <c r="C213">
        <v>71.406300156891106</v>
      </c>
      <c r="D213">
        <v>9.8008921369525801</v>
      </c>
      <c r="E213">
        <v>0.137255285813975</v>
      </c>
    </row>
    <row r="214" spans="1:5" x14ac:dyDescent="0.25">
      <c r="A214">
        <v>5</v>
      </c>
      <c r="B214">
        <v>1976</v>
      </c>
      <c r="C214">
        <v>82.167916302335598</v>
      </c>
      <c r="D214">
        <v>10.597302012691401</v>
      </c>
      <c r="E214">
        <v>0.12897128818137299</v>
      </c>
    </row>
    <row r="215" spans="1:5" x14ac:dyDescent="0.25">
      <c r="A215">
        <v>5</v>
      </c>
      <c r="B215">
        <v>1977</v>
      </c>
      <c r="C215">
        <v>70.599921451510397</v>
      </c>
      <c r="D215">
        <v>9.8230483907389594</v>
      </c>
      <c r="E215">
        <v>0.13913681755985599</v>
      </c>
    </row>
    <row r="216" spans="1:5" x14ac:dyDescent="0.25">
      <c r="A216">
        <v>5</v>
      </c>
      <c r="B216">
        <v>1978</v>
      </c>
      <c r="C216">
        <v>113.14037799170499</v>
      </c>
      <c r="D216">
        <v>12.1298347068737</v>
      </c>
      <c r="E216">
        <v>0.10721048419833799</v>
      </c>
    </row>
    <row r="217" spans="1:5" x14ac:dyDescent="0.25">
      <c r="A217">
        <v>5</v>
      </c>
      <c r="B217">
        <v>1979</v>
      </c>
      <c r="C217">
        <v>47.462207765988403</v>
      </c>
      <c r="D217">
        <v>11.395056016010001</v>
      </c>
      <c r="E217">
        <v>0.24008693552969901</v>
      </c>
    </row>
    <row r="218" spans="1:5" x14ac:dyDescent="0.25">
      <c r="A218">
        <v>5</v>
      </c>
      <c r="B218">
        <v>1980</v>
      </c>
      <c r="C218">
        <v>61.519810377030602</v>
      </c>
      <c r="D218">
        <v>12.973285943556901</v>
      </c>
      <c r="E218">
        <v>0.21087981032530401</v>
      </c>
    </row>
    <row r="219" spans="1:5" x14ac:dyDescent="0.25">
      <c r="A219">
        <v>5</v>
      </c>
      <c r="B219">
        <v>1981</v>
      </c>
      <c r="C219">
        <v>49.142007307322402</v>
      </c>
      <c r="D219">
        <v>11.4860550910903</v>
      </c>
      <c r="E219">
        <v>0.23373190719010001</v>
      </c>
    </row>
    <row r="220" spans="1:5" x14ac:dyDescent="0.25">
      <c r="A220">
        <v>5</v>
      </c>
      <c r="B220">
        <v>1982</v>
      </c>
      <c r="C220">
        <v>22.747789268433401</v>
      </c>
      <c r="D220">
        <v>7.8888208669279196</v>
      </c>
      <c r="E220">
        <v>0.34679505660249099</v>
      </c>
    </row>
    <row r="221" spans="1:5" x14ac:dyDescent="0.25">
      <c r="A221">
        <v>5</v>
      </c>
      <c r="B221">
        <v>1983</v>
      </c>
      <c r="C221">
        <v>67.309011823652597</v>
      </c>
      <c r="D221">
        <v>13.569976754052799</v>
      </c>
      <c r="E221">
        <v>0.201607130849071</v>
      </c>
    </row>
    <row r="222" spans="1:5" x14ac:dyDescent="0.25">
      <c r="A222">
        <v>5</v>
      </c>
      <c r="B222">
        <v>1984</v>
      </c>
      <c r="C222">
        <v>77.419443623328306</v>
      </c>
      <c r="D222">
        <v>10.2742108003171</v>
      </c>
      <c r="E222">
        <v>0.132708403980588</v>
      </c>
    </row>
    <row r="223" spans="1:5" x14ac:dyDescent="0.25">
      <c r="A223">
        <v>5</v>
      </c>
      <c r="B223">
        <v>1985</v>
      </c>
      <c r="C223">
        <v>86.8262770851467</v>
      </c>
      <c r="D223">
        <v>10.8935583624353</v>
      </c>
      <c r="E223">
        <v>0.12546384260783799</v>
      </c>
    </row>
    <row r="224" spans="1:5" x14ac:dyDescent="0.25">
      <c r="A224">
        <v>5</v>
      </c>
      <c r="B224">
        <v>1986</v>
      </c>
      <c r="C224">
        <v>29.6487779550563</v>
      </c>
      <c r="D224">
        <v>6.0241294714512597</v>
      </c>
      <c r="E224">
        <v>0.20318306139237999</v>
      </c>
    </row>
    <row r="225" spans="1:5" x14ac:dyDescent="0.25">
      <c r="A225">
        <v>5</v>
      </c>
      <c r="B225">
        <v>1987</v>
      </c>
      <c r="C225">
        <v>41.515469529019498</v>
      </c>
      <c r="D225">
        <v>7.53267363913855</v>
      </c>
      <c r="E225">
        <v>0.18144257368625399</v>
      </c>
    </row>
    <row r="226" spans="1:5" x14ac:dyDescent="0.25">
      <c r="A226">
        <v>5</v>
      </c>
      <c r="B226">
        <v>1988</v>
      </c>
      <c r="C226">
        <v>50.285415052472999</v>
      </c>
      <c r="D226">
        <v>8.2902035533136402</v>
      </c>
      <c r="E226">
        <v>0.16486298352440401</v>
      </c>
    </row>
    <row r="227" spans="1:5" x14ac:dyDescent="0.25">
      <c r="A227">
        <v>5</v>
      </c>
      <c r="B227">
        <v>1989</v>
      </c>
      <c r="C227">
        <v>66.583781533967596</v>
      </c>
      <c r="D227">
        <v>9.1279958456195001</v>
      </c>
      <c r="E227">
        <v>0.13709037899811799</v>
      </c>
    </row>
    <row r="228" spans="1:5" x14ac:dyDescent="0.25">
      <c r="A228">
        <v>5</v>
      </c>
      <c r="B228">
        <v>1990</v>
      </c>
      <c r="C228">
        <v>58.998507585907397</v>
      </c>
      <c r="D228">
        <v>8.9797591317412504</v>
      </c>
      <c r="E228">
        <v>0.152203157319969</v>
      </c>
    </row>
    <row r="229" spans="1:5" x14ac:dyDescent="0.25">
      <c r="A229">
        <v>5</v>
      </c>
      <c r="B229">
        <v>1991</v>
      </c>
      <c r="C229">
        <v>48.014486576948997</v>
      </c>
      <c r="D229">
        <v>8.1008449376070999</v>
      </c>
      <c r="E229">
        <v>0.168716683549756</v>
      </c>
    </row>
    <row r="230" spans="1:5" x14ac:dyDescent="0.25">
      <c r="A230">
        <v>5</v>
      </c>
      <c r="B230">
        <v>1992</v>
      </c>
      <c r="C230">
        <v>35.357486575375098</v>
      </c>
      <c r="D230">
        <v>6.9265589521786302</v>
      </c>
      <c r="E230">
        <v>0.195900773020519</v>
      </c>
    </row>
    <row r="231" spans="1:5" x14ac:dyDescent="0.25">
      <c r="A231">
        <v>5</v>
      </c>
      <c r="B231">
        <v>1993</v>
      </c>
      <c r="C231">
        <v>30.424451524429202</v>
      </c>
      <c r="D231">
        <v>6.4484532173243903</v>
      </c>
      <c r="E231">
        <v>0.211949694874421</v>
      </c>
    </row>
    <row r="232" spans="1:5" x14ac:dyDescent="0.25">
      <c r="A232">
        <v>5</v>
      </c>
      <c r="B232">
        <v>1994</v>
      </c>
      <c r="C232">
        <v>75.787578682751402</v>
      </c>
      <c r="D232">
        <v>10.1590319883025</v>
      </c>
      <c r="E232">
        <v>0.134046134800379</v>
      </c>
    </row>
    <row r="233" spans="1:5" x14ac:dyDescent="0.25">
      <c r="A233">
        <v>5</v>
      </c>
      <c r="B233">
        <v>1995</v>
      </c>
      <c r="C233">
        <v>120.38700343271699</v>
      </c>
      <c r="D233">
        <v>12.827262337196499</v>
      </c>
      <c r="E233">
        <v>0.10655022528545199</v>
      </c>
    </row>
    <row r="234" spans="1:5" x14ac:dyDescent="0.25">
      <c r="A234">
        <v>5</v>
      </c>
      <c r="B234">
        <v>1996</v>
      </c>
      <c r="C234">
        <v>61.198221038519002</v>
      </c>
      <c r="D234">
        <v>9.1456288656452305</v>
      </c>
      <c r="E234">
        <v>0.149442724158417</v>
      </c>
    </row>
    <row r="235" spans="1:5" x14ac:dyDescent="0.25">
      <c r="A235">
        <v>5</v>
      </c>
      <c r="B235">
        <v>1997</v>
      </c>
      <c r="C235">
        <v>33.7780946448813</v>
      </c>
      <c r="D235">
        <v>6.4824607925574398</v>
      </c>
      <c r="E235">
        <v>0.19191315734973799</v>
      </c>
    </row>
    <row r="236" spans="1:5" x14ac:dyDescent="0.25">
      <c r="A236">
        <v>5</v>
      </c>
      <c r="B236">
        <v>1998</v>
      </c>
      <c r="C236">
        <v>20.310851888848799</v>
      </c>
      <c r="D236">
        <v>5.2687579122655297</v>
      </c>
      <c r="E236">
        <v>0.259406052542691</v>
      </c>
    </row>
    <row r="237" spans="1:5" x14ac:dyDescent="0.25">
      <c r="A237">
        <v>5</v>
      </c>
      <c r="B237">
        <v>1999</v>
      </c>
      <c r="C237">
        <v>38.725962199741801</v>
      </c>
      <c r="D237">
        <v>7.2752058012234704</v>
      </c>
      <c r="E237">
        <v>0.18786378408622201</v>
      </c>
    </row>
    <row r="238" spans="1:5" x14ac:dyDescent="0.25">
      <c r="A238">
        <v>5</v>
      </c>
      <c r="B238">
        <v>2000</v>
      </c>
      <c r="C238">
        <v>78.682646192789406</v>
      </c>
      <c r="D238">
        <v>10.2893117448182</v>
      </c>
      <c r="E238">
        <v>0.13076977253163599</v>
      </c>
    </row>
    <row r="239" spans="1:5" x14ac:dyDescent="0.25">
      <c r="A239">
        <v>5</v>
      </c>
      <c r="B239">
        <v>2001</v>
      </c>
      <c r="C239">
        <v>53.355118065298797</v>
      </c>
      <c r="D239">
        <v>8.5394955625456408</v>
      </c>
      <c r="E239">
        <v>0.16005016711039</v>
      </c>
    </row>
    <row r="240" spans="1:5" x14ac:dyDescent="0.25">
      <c r="A240">
        <v>5</v>
      </c>
      <c r="B240">
        <v>2002</v>
      </c>
      <c r="C240">
        <v>38.899794638801602</v>
      </c>
      <c r="D240">
        <v>7.2915159284613003</v>
      </c>
      <c r="E240">
        <v>0.18744355840861401</v>
      </c>
    </row>
    <row r="241" spans="1:5" x14ac:dyDescent="0.25">
      <c r="A241">
        <v>5</v>
      </c>
      <c r="B241">
        <v>2003</v>
      </c>
      <c r="C241">
        <v>72.699832318044102</v>
      </c>
      <c r="D241">
        <v>9.9597575709611892</v>
      </c>
      <c r="E241">
        <v>0.136998356851632</v>
      </c>
    </row>
    <row r="242" spans="1:5" x14ac:dyDescent="0.25">
      <c r="A242">
        <v>5</v>
      </c>
      <c r="B242">
        <v>2004</v>
      </c>
      <c r="C242">
        <v>39.444748577376899</v>
      </c>
      <c r="D242">
        <v>7.3424123469540596</v>
      </c>
      <c r="E242">
        <v>0.18614422988527399</v>
      </c>
    </row>
    <row r="243" spans="1:5" x14ac:dyDescent="0.25">
      <c r="A243">
        <v>5</v>
      </c>
      <c r="B243">
        <v>2005</v>
      </c>
      <c r="C243">
        <v>53.255027956747497</v>
      </c>
      <c r="D243">
        <v>8.0166946174053102</v>
      </c>
      <c r="E243">
        <v>0.150534042042308</v>
      </c>
    </row>
    <row r="244" spans="1:5" x14ac:dyDescent="0.25">
      <c r="A244">
        <v>5</v>
      </c>
      <c r="B244">
        <v>2006</v>
      </c>
      <c r="C244">
        <v>15.6970887359145</v>
      </c>
      <c r="D244">
        <v>4.6318419444283396</v>
      </c>
      <c r="E244">
        <v>0.29507649618051901</v>
      </c>
    </row>
    <row r="245" spans="1:5" x14ac:dyDescent="0.25">
      <c r="A245">
        <v>5</v>
      </c>
      <c r="B245">
        <v>2007</v>
      </c>
      <c r="C245">
        <v>15.7457538429002</v>
      </c>
      <c r="D245">
        <v>4.6390163527207902</v>
      </c>
      <c r="E245">
        <v>0.29462014959750898</v>
      </c>
    </row>
    <row r="246" spans="1:5" x14ac:dyDescent="0.25">
      <c r="A246">
        <v>5</v>
      </c>
      <c r="B246">
        <v>2008</v>
      </c>
      <c r="C246">
        <v>1.38483101731923</v>
      </c>
      <c r="D246">
        <v>1.351204829229</v>
      </c>
      <c r="E246">
        <v>0.97571820123200104</v>
      </c>
    </row>
    <row r="247" spans="1:5" x14ac:dyDescent="0.25">
      <c r="A247">
        <v>5</v>
      </c>
      <c r="B247">
        <v>2009</v>
      </c>
      <c r="C247">
        <v>6.4873302732458402</v>
      </c>
      <c r="D247">
        <v>2.9776742059966801</v>
      </c>
      <c r="E247">
        <v>0.45899839850558999</v>
      </c>
    </row>
    <row r="248" spans="1:5" x14ac:dyDescent="0.25">
      <c r="A248">
        <v>5</v>
      </c>
      <c r="B248">
        <v>2010</v>
      </c>
      <c r="C248">
        <v>15.863626395299701</v>
      </c>
      <c r="D248">
        <v>4.6563477919644498</v>
      </c>
      <c r="E248">
        <v>0.29352354095681998</v>
      </c>
    </row>
    <row r="249" spans="1:5" x14ac:dyDescent="0.25">
      <c r="A249">
        <v>5</v>
      </c>
      <c r="B249">
        <v>2011</v>
      </c>
      <c r="C249">
        <v>42.686176250449499</v>
      </c>
      <c r="D249">
        <v>7.5595878619031298</v>
      </c>
      <c r="E249">
        <v>0.17709686193369301</v>
      </c>
    </row>
    <row r="250" spans="1:5" x14ac:dyDescent="0.25">
      <c r="A250">
        <v>5</v>
      </c>
      <c r="B250">
        <v>2012</v>
      </c>
      <c r="C250">
        <v>44.306854649839103</v>
      </c>
      <c r="D250">
        <v>7.7817922951363698</v>
      </c>
      <c r="E250">
        <v>0.17563404932795501</v>
      </c>
    </row>
    <row r="251" spans="1:5" x14ac:dyDescent="0.25">
      <c r="A251">
        <v>5</v>
      </c>
      <c r="B251">
        <v>2013</v>
      </c>
      <c r="C251">
        <v>107.339546010815</v>
      </c>
      <c r="D251">
        <v>12.0894901592149</v>
      </c>
      <c r="E251">
        <v>0.11262848231160499</v>
      </c>
    </row>
    <row r="252" spans="1:5" x14ac:dyDescent="0.25">
      <c r="A252">
        <v>5</v>
      </c>
      <c r="B252">
        <v>2014</v>
      </c>
      <c r="C252">
        <v>35.2232749022319</v>
      </c>
      <c r="D252">
        <v>6.9383953239278098</v>
      </c>
      <c r="E252">
        <v>0.196983254486884</v>
      </c>
    </row>
    <row r="253" spans="1:5" x14ac:dyDescent="0.25">
      <c r="A253">
        <v>5</v>
      </c>
      <c r="B253">
        <v>2015</v>
      </c>
      <c r="C253">
        <v>32.189634243816798</v>
      </c>
      <c r="D253">
        <v>6.6328808449565404</v>
      </c>
      <c r="E253">
        <v>0.20605642160195201</v>
      </c>
    </row>
    <row r="254" spans="1:5" x14ac:dyDescent="0.25">
      <c r="A254">
        <v>5</v>
      </c>
      <c r="B254">
        <v>2016</v>
      </c>
      <c r="C254">
        <v>72.1208374173534</v>
      </c>
      <c r="D254">
        <v>9.5787151403579003</v>
      </c>
      <c r="E254">
        <v>0.132814807528193</v>
      </c>
    </row>
    <row r="255" spans="1:5" x14ac:dyDescent="0.25">
      <c r="A255">
        <v>5</v>
      </c>
      <c r="B255">
        <v>2017</v>
      </c>
      <c r="C255">
        <v>35.426704999454799</v>
      </c>
      <c r="D255">
        <v>6.9584026390350697</v>
      </c>
      <c r="E255">
        <v>0.19641687363084301</v>
      </c>
    </row>
    <row r="256" spans="1:5" x14ac:dyDescent="0.25">
      <c r="A256">
        <v>5</v>
      </c>
      <c r="B256">
        <v>2018</v>
      </c>
      <c r="C256">
        <v>58.910355601524302</v>
      </c>
      <c r="D256">
        <v>8.9730481188338196</v>
      </c>
      <c r="E256">
        <v>0.15231699125241099</v>
      </c>
    </row>
    <row r="257" spans="1:5" x14ac:dyDescent="0.25">
      <c r="A257">
        <v>5</v>
      </c>
      <c r="B257">
        <v>2019</v>
      </c>
      <c r="C257">
        <v>47.962448241030003</v>
      </c>
      <c r="D257">
        <v>8.0709851500019294</v>
      </c>
      <c r="E257">
        <v>0.168277171954235</v>
      </c>
    </row>
    <row r="258" spans="1:5" x14ac:dyDescent="0.25">
      <c r="A258">
        <v>5</v>
      </c>
      <c r="B258">
        <v>2020</v>
      </c>
      <c r="C258">
        <v>15.183144858052099</v>
      </c>
      <c r="D258">
        <v>4.5553845270591902</v>
      </c>
      <c r="E258">
        <v>0.300029049952937</v>
      </c>
    </row>
    <row r="259" spans="1:5" x14ac:dyDescent="0.25">
      <c r="A259">
        <v>5</v>
      </c>
      <c r="B259">
        <v>2021</v>
      </c>
      <c r="C259">
        <v>33.2409554699992</v>
      </c>
      <c r="D259">
        <v>6.7403263394765798</v>
      </c>
      <c r="E259">
        <v>0.202771738783498</v>
      </c>
    </row>
    <row r="260" spans="1:5" x14ac:dyDescent="0.25">
      <c r="A260">
        <v>5</v>
      </c>
      <c r="B260">
        <v>2022</v>
      </c>
      <c r="C260">
        <v>22.353641303619</v>
      </c>
      <c r="D260">
        <v>5.5233686919943104</v>
      </c>
      <c r="E260">
        <v>0.24709033382852399</v>
      </c>
    </row>
    <row r="261" spans="1:5" x14ac:dyDescent="0.25">
      <c r="A261">
        <v>5</v>
      </c>
      <c r="B261">
        <v>2023</v>
      </c>
      <c r="C261">
        <v>48.525852735652897</v>
      </c>
      <c r="D261">
        <v>8.1438686887890697</v>
      </c>
      <c r="E261">
        <v>0.16782535967277501</v>
      </c>
    </row>
    <row r="262" spans="1:5" x14ac:dyDescent="0.25">
      <c r="A262">
        <v>5</v>
      </c>
      <c r="B262">
        <v>2024</v>
      </c>
      <c r="C262">
        <v>33.5095250574403</v>
      </c>
      <c r="D262">
        <v>8.1438686887890697</v>
      </c>
      <c r="E262">
        <v>0.24303145672250701</v>
      </c>
    </row>
    <row r="263" spans="1:5" x14ac:dyDescent="0.25">
      <c r="A263">
        <v>6</v>
      </c>
      <c r="B263">
        <v>1973</v>
      </c>
      <c r="C263">
        <v>57.321471563804998</v>
      </c>
      <c r="D263">
        <v>8.8394885727906907</v>
      </c>
      <c r="E263">
        <v>0.15420903078092399</v>
      </c>
    </row>
    <row r="264" spans="1:5" x14ac:dyDescent="0.25">
      <c r="A264">
        <v>6</v>
      </c>
      <c r="B264">
        <v>1974</v>
      </c>
      <c r="C264">
        <v>106.517013596168</v>
      </c>
      <c r="D264">
        <v>12.065731742109101</v>
      </c>
      <c r="E264">
        <v>0.113275159852427</v>
      </c>
    </row>
    <row r="265" spans="1:5" x14ac:dyDescent="0.25">
      <c r="A265">
        <v>6</v>
      </c>
      <c r="B265">
        <v>1975</v>
      </c>
      <c r="C265">
        <v>71.406300156891106</v>
      </c>
      <c r="D265">
        <v>9.8008921369525801</v>
      </c>
      <c r="E265">
        <v>0.137255285813975</v>
      </c>
    </row>
    <row r="266" spans="1:5" x14ac:dyDescent="0.25">
      <c r="A266">
        <v>6</v>
      </c>
      <c r="B266">
        <v>1976</v>
      </c>
      <c r="C266">
        <v>82.167916302335598</v>
      </c>
      <c r="D266">
        <v>10.597302012691401</v>
      </c>
      <c r="E266">
        <v>0.12897128818137299</v>
      </c>
    </row>
    <row r="267" spans="1:5" x14ac:dyDescent="0.25">
      <c r="A267">
        <v>6</v>
      </c>
      <c r="B267">
        <v>1977</v>
      </c>
      <c r="C267">
        <v>70.599921451510397</v>
      </c>
      <c r="D267">
        <v>9.8230483907389594</v>
      </c>
      <c r="E267">
        <v>0.13913681755985599</v>
      </c>
    </row>
    <row r="268" spans="1:5" x14ac:dyDescent="0.25">
      <c r="A268">
        <v>6</v>
      </c>
      <c r="B268">
        <v>1978</v>
      </c>
      <c r="C268">
        <v>113.14037799170499</v>
      </c>
      <c r="D268">
        <v>12.1298347068737</v>
      </c>
      <c r="E268">
        <v>0.10721048419833799</v>
      </c>
    </row>
    <row r="269" spans="1:5" x14ac:dyDescent="0.25">
      <c r="A269">
        <v>6</v>
      </c>
      <c r="B269">
        <v>1979</v>
      </c>
      <c r="C269">
        <v>47.462207765988403</v>
      </c>
      <c r="D269">
        <v>11.395056016010001</v>
      </c>
      <c r="E269">
        <v>0.24008693552969901</v>
      </c>
    </row>
    <row r="270" spans="1:5" x14ac:dyDescent="0.25">
      <c r="A270">
        <v>6</v>
      </c>
      <c r="B270">
        <v>1980</v>
      </c>
      <c r="C270">
        <v>61.519810377030602</v>
      </c>
      <c r="D270">
        <v>12.973285943556901</v>
      </c>
      <c r="E270">
        <v>0.21087981032530401</v>
      </c>
    </row>
    <row r="271" spans="1:5" x14ac:dyDescent="0.25">
      <c r="A271">
        <v>6</v>
      </c>
      <c r="B271">
        <v>1981</v>
      </c>
      <c r="C271">
        <v>49.142007307322402</v>
      </c>
      <c r="D271">
        <v>11.4860550910903</v>
      </c>
      <c r="E271">
        <v>0.23373190719010001</v>
      </c>
    </row>
    <row r="272" spans="1:5" x14ac:dyDescent="0.25">
      <c r="A272">
        <v>6</v>
      </c>
      <c r="B272">
        <v>1982</v>
      </c>
      <c r="C272">
        <v>22.747789268433401</v>
      </c>
      <c r="D272">
        <v>7.8888208669279196</v>
      </c>
      <c r="E272">
        <v>0.34679505660249099</v>
      </c>
    </row>
    <row r="273" spans="1:5" x14ac:dyDescent="0.25">
      <c r="A273">
        <v>6</v>
      </c>
      <c r="B273">
        <v>1983</v>
      </c>
      <c r="C273">
        <v>67.309011823652597</v>
      </c>
      <c r="D273">
        <v>13.569976754052799</v>
      </c>
      <c r="E273">
        <v>0.201607130849071</v>
      </c>
    </row>
    <row r="274" spans="1:5" x14ac:dyDescent="0.25">
      <c r="A274">
        <v>6</v>
      </c>
      <c r="B274">
        <v>1984</v>
      </c>
      <c r="C274">
        <v>77.419443623328306</v>
      </c>
      <c r="D274">
        <v>10.2742108003171</v>
      </c>
      <c r="E274">
        <v>0.132708403980588</v>
      </c>
    </row>
    <row r="275" spans="1:5" x14ac:dyDescent="0.25">
      <c r="A275">
        <v>6</v>
      </c>
      <c r="B275">
        <v>1985</v>
      </c>
      <c r="C275">
        <v>86.8262770851467</v>
      </c>
      <c r="D275">
        <v>10.8935583624353</v>
      </c>
      <c r="E275">
        <v>0.12546384260783799</v>
      </c>
    </row>
    <row r="276" spans="1:5" x14ac:dyDescent="0.25">
      <c r="A276">
        <v>6</v>
      </c>
      <c r="B276">
        <v>1986</v>
      </c>
      <c r="C276">
        <v>29.6487779550563</v>
      </c>
      <c r="D276">
        <v>6.0241294714512597</v>
      </c>
      <c r="E276">
        <v>0.20318306139237999</v>
      </c>
    </row>
    <row r="277" spans="1:5" x14ac:dyDescent="0.25">
      <c r="A277">
        <v>6</v>
      </c>
      <c r="B277">
        <v>1987</v>
      </c>
      <c r="C277">
        <v>41.515469529019498</v>
      </c>
      <c r="D277">
        <v>7.53267363913855</v>
      </c>
      <c r="E277">
        <v>0.18144257368625399</v>
      </c>
    </row>
    <row r="278" spans="1:5" x14ac:dyDescent="0.25">
      <c r="A278">
        <v>6</v>
      </c>
      <c r="B278">
        <v>1988</v>
      </c>
      <c r="C278">
        <v>50.285415052472999</v>
      </c>
      <c r="D278">
        <v>8.2902035533136402</v>
      </c>
      <c r="E278">
        <v>0.16486298352440401</v>
      </c>
    </row>
    <row r="279" spans="1:5" x14ac:dyDescent="0.25">
      <c r="A279">
        <v>6</v>
      </c>
      <c r="B279">
        <v>1989</v>
      </c>
      <c r="C279">
        <v>66.583781533967596</v>
      </c>
      <c r="D279">
        <v>9.1279958456195001</v>
      </c>
      <c r="E279">
        <v>0.13709037899811799</v>
      </c>
    </row>
    <row r="280" spans="1:5" x14ac:dyDescent="0.25">
      <c r="A280">
        <v>6</v>
      </c>
      <c r="B280">
        <v>1990</v>
      </c>
      <c r="C280">
        <v>58.998507585907397</v>
      </c>
      <c r="D280">
        <v>8.9797591317412504</v>
      </c>
      <c r="E280">
        <v>0.152203157319969</v>
      </c>
    </row>
    <row r="281" spans="1:5" x14ac:dyDescent="0.25">
      <c r="A281">
        <v>6</v>
      </c>
      <c r="B281">
        <v>1991</v>
      </c>
      <c r="C281">
        <v>48.014486576948997</v>
      </c>
      <c r="D281">
        <v>8.1008449376070999</v>
      </c>
      <c r="E281">
        <v>0.168716683549756</v>
      </c>
    </row>
    <row r="282" spans="1:5" x14ac:dyDescent="0.25">
      <c r="A282">
        <v>6</v>
      </c>
      <c r="B282">
        <v>1992</v>
      </c>
      <c r="C282">
        <v>35.357486575375098</v>
      </c>
      <c r="D282">
        <v>6.9265589521786302</v>
      </c>
      <c r="E282">
        <v>0.195900773020519</v>
      </c>
    </row>
    <row r="283" spans="1:5" x14ac:dyDescent="0.25">
      <c r="A283">
        <v>6</v>
      </c>
      <c r="B283">
        <v>1993</v>
      </c>
      <c r="C283">
        <v>30.424451524429202</v>
      </c>
      <c r="D283">
        <v>6.4484532173243903</v>
      </c>
      <c r="E283">
        <v>0.211949694874421</v>
      </c>
    </row>
    <row r="284" spans="1:5" x14ac:dyDescent="0.25">
      <c r="A284">
        <v>6</v>
      </c>
      <c r="B284">
        <v>1994</v>
      </c>
      <c r="C284">
        <v>75.787578682751402</v>
      </c>
      <c r="D284">
        <v>10.1590319883025</v>
      </c>
      <c r="E284">
        <v>0.134046134800379</v>
      </c>
    </row>
    <row r="285" spans="1:5" x14ac:dyDescent="0.25">
      <c r="A285">
        <v>6</v>
      </c>
      <c r="B285">
        <v>1995</v>
      </c>
      <c r="C285">
        <v>120.38700343271699</v>
      </c>
      <c r="D285">
        <v>12.827262337196499</v>
      </c>
      <c r="E285">
        <v>0.10655022528545199</v>
      </c>
    </row>
    <row r="286" spans="1:5" x14ac:dyDescent="0.25">
      <c r="A286">
        <v>6</v>
      </c>
      <c r="B286">
        <v>1996</v>
      </c>
      <c r="C286">
        <v>61.198221038519002</v>
      </c>
      <c r="D286">
        <v>9.1456288656452305</v>
      </c>
      <c r="E286">
        <v>0.149442724158417</v>
      </c>
    </row>
    <row r="287" spans="1:5" x14ac:dyDescent="0.25">
      <c r="A287">
        <v>6</v>
      </c>
      <c r="B287">
        <v>1997</v>
      </c>
      <c r="C287">
        <v>33.7780946448813</v>
      </c>
      <c r="D287">
        <v>6.4824607925574398</v>
      </c>
      <c r="E287">
        <v>0.19191315734973799</v>
      </c>
    </row>
    <row r="288" spans="1:5" x14ac:dyDescent="0.25">
      <c r="A288">
        <v>6</v>
      </c>
      <c r="B288">
        <v>1998</v>
      </c>
      <c r="C288">
        <v>20.310851888848799</v>
      </c>
      <c r="D288">
        <v>5.2687579122655297</v>
      </c>
      <c r="E288">
        <v>0.259406052542691</v>
      </c>
    </row>
    <row r="289" spans="1:5" x14ac:dyDescent="0.25">
      <c r="A289">
        <v>6</v>
      </c>
      <c r="B289">
        <v>1999</v>
      </c>
      <c r="C289">
        <v>38.725962199741801</v>
      </c>
      <c r="D289">
        <v>7.2752058012234704</v>
      </c>
      <c r="E289">
        <v>0.18786378408622201</v>
      </c>
    </row>
    <row r="290" spans="1:5" x14ac:dyDescent="0.25">
      <c r="A290">
        <v>6</v>
      </c>
      <c r="B290">
        <v>2000</v>
      </c>
      <c r="C290">
        <v>78.682646192789406</v>
      </c>
      <c r="D290">
        <v>10.2893117448182</v>
      </c>
      <c r="E290">
        <v>0.13076977253163599</v>
      </c>
    </row>
    <row r="291" spans="1:5" x14ac:dyDescent="0.25">
      <c r="A291">
        <v>6</v>
      </c>
      <c r="B291">
        <v>2001</v>
      </c>
      <c r="C291">
        <v>53.355118065298797</v>
      </c>
      <c r="D291">
        <v>8.5394955625456408</v>
      </c>
      <c r="E291">
        <v>0.16005016711039</v>
      </c>
    </row>
    <row r="292" spans="1:5" x14ac:dyDescent="0.25">
      <c r="A292">
        <v>6</v>
      </c>
      <c r="B292">
        <v>2002</v>
      </c>
      <c r="C292">
        <v>38.899794638801602</v>
      </c>
      <c r="D292">
        <v>7.2915159284613003</v>
      </c>
      <c r="E292">
        <v>0.18744355840861401</v>
      </c>
    </row>
    <row r="293" spans="1:5" x14ac:dyDescent="0.25">
      <c r="A293">
        <v>6</v>
      </c>
      <c r="B293">
        <v>2003</v>
      </c>
      <c r="C293">
        <v>72.699832318044102</v>
      </c>
      <c r="D293">
        <v>9.9597575709611892</v>
      </c>
      <c r="E293">
        <v>0.136998356851632</v>
      </c>
    </row>
    <row r="294" spans="1:5" x14ac:dyDescent="0.25">
      <c r="A294">
        <v>6</v>
      </c>
      <c r="B294">
        <v>2004</v>
      </c>
      <c r="C294">
        <v>39.444748577376899</v>
      </c>
      <c r="D294">
        <v>7.3424123469540596</v>
      </c>
      <c r="E294">
        <v>0.18614422988527399</v>
      </c>
    </row>
    <row r="295" spans="1:5" x14ac:dyDescent="0.25">
      <c r="A295">
        <v>6</v>
      </c>
      <c r="B295">
        <v>2005</v>
      </c>
      <c r="C295">
        <v>53.255027956747497</v>
      </c>
      <c r="D295">
        <v>8.0166946174053102</v>
      </c>
      <c r="E295">
        <v>0.150534042042308</v>
      </c>
    </row>
    <row r="296" spans="1:5" x14ac:dyDescent="0.25">
      <c r="A296">
        <v>6</v>
      </c>
      <c r="B296">
        <v>2006</v>
      </c>
      <c r="C296">
        <v>15.6970887359145</v>
      </c>
      <c r="D296">
        <v>4.6318419444283396</v>
      </c>
      <c r="E296">
        <v>0.29507649618051901</v>
      </c>
    </row>
    <row r="297" spans="1:5" x14ac:dyDescent="0.25">
      <c r="A297">
        <v>6</v>
      </c>
      <c r="B297">
        <v>2007</v>
      </c>
      <c r="C297">
        <v>15.7457538429002</v>
      </c>
      <c r="D297">
        <v>4.6390163527207902</v>
      </c>
      <c r="E297">
        <v>0.29462014959750898</v>
      </c>
    </row>
    <row r="298" spans="1:5" x14ac:dyDescent="0.25">
      <c r="A298">
        <v>6</v>
      </c>
      <c r="B298">
        <v>2008</v>
      </c>
      <c r="C298">
        <v>1.38483101731923</v>
      </c>
      <c r="D298">
        <v>1.351204829229</v>
      </c>
      <c r="E298">
        <v>0.97571820123200104</v>
      </c>
    </row>
    <row r="299" spans="1:5" x14ac:dyDescent="0.25">
      <c r="A299">
        <v>6</v>
      </c>
      <c r="B299">
        <v>2009</v>
      </c>
      <c r="C299">
        <v>6.4873302732458402</v>
      </c>
      <c r="D299">
        <v>2.9776742059966801</v>
      </c>
      <c r="E299">
        <v>0.45899839850558999</v>
      </c>
    </row>
    <row r="300" spans="1:5" x14ac:dyDescent="0.25">
      <c r="A300">
        <v>6</v>
      </c>
      <c r="B300">
        <v>2010</v>
      </c>
      <c r="C300">
        <v>15.863626395299701</v>
      </c>
      <c r="D300">
        <v>4.6563477919644498</v>
      </c>
      <c r="E300">
        <v>0.29352354095681998</v>
      </c>
    </row>
    <row r="301" spans="1:5" x14ac:dyDescent="0.25">
      <c r="A301">
        <v>6</v>
      </c>
      <c r="B301">
        <v>2011</v>
      </c>
      <c r="C301">
        <v>42.686176250449499</v>
      </c>
      <c r="D301">
        <v>7.5595878619031298</v>
      </c>
      <c r="E301">
        <v>0.17709686193369301</v>
      </c>
    </row>
    <row r="302" spans="1:5" x14ac:dyDescent="0.25">
      <c r="A302">
        <v>6</v>
      </c>
      <c r="B302">
        <v>2012</v>
      </c>
      <c r="C302">
        <v>44.306854649839103</v>
      </c>
      <c r="D302">
        <v>7.7817922951363698</v>
      </c>
      <c r="E302">
        <v>0.17563404932795501</v>
      </c>
    </row>
    <row r="303" spans="1:5" x14ac:dyDescent="0.25">
      <c r="A303">
        <v>6</v>
      </c>
      <c r="B303">
        <v>2013</v>
      </c>
      <c r="C303">
        <v>107.339546010815</v>
      </c>
      <c r="D303">
        <v>12.0894901592149</v>
      </c>
      <c r="E303">
        <v>0.11262848231160499</v>
      </c>
    </row>
    <row r="304" spans="1:5" x14ac:dyDescent="0.25">
      <c r="A304">
        <v>6</v>
      </c>
      <c r="B304">
        <v>2014</v>
      </c>
      <c r="C304">
        <v>35.2232749022319</v>
      </c>
      <c r="D304">
        <v>6.9383953239278098</v>
      </c>
      <c r="E304">
        <v>0.196983254486884</v>
      </c>
    </row>
    <row r="305" spans="1:5" x14ac:dyDescent="0.25">
      <c r="A305">
        <v>6</v>
      </c>
      <c r="B305">
        <v>2015</v>
      </c>
      <c r="C305">
        <v>32.189634243816798</v>
      </c>
      <c r="D305">
        <v>6.6328808449565404</v>
      </c>
      <c r="E305">
        <v>0.20605642160195201</v>
      </c>
    </row>
    <row r="306" spans="1:5" x14ac:dyDescent="0.25">
      <c r="A306">
        <v>6</v>
      </c>
      <c r="B306">
        <v>2016</v>
      </c>
      <c r="C306">
        <v>72.1208374173534</v>
      </c>
      <c r="D306">
        <v>9.5787151403579003</v>
      </c>
      <c r="E306">
        <v>0.132814807528193</v>
      </c>
    </row>
    <row r="307" spans="1:5" x14ac:dyDescent="0.25">
      <c r="A307">
        <v>6</v>
      </c>
      <c r="B307">
        <v>2017</v>
      </c>
      <c r="C307">
        <v>35.426704999454799</v>
      </c>
      <c r="D307">
        <v>6.9584026390350697</v>
      </c>
      <c r="E307">
        <v>0.19641687363084301</v>
      </c>
    </row>
    <row r="308" spans="1:5" x14ac:dyDescent="0.25">
      <c r="A308">
        <v>6</v>
      </c>
      <c r="B308">
        <v>2018</v>
      </c>
      <c r="C308">
        <v>58.910355601524302</v>
      </c>
      <c r="D308">
        <v>8.9730481188338196</v>
      </c>
      <c r="E308">
        <v>0.15231699125241099</v>
      </c>
    </row>
    <row r="309" spans="1:5" x14ac:dyDescent="0.25">
      <c r="A309">
        <v>6</v>
      </c>
      <c r="B309">
        <v>2019</v>
      </c>
      <c r="C309">
        <v>47.962448241030003</v>
      </c>
      <c r="D309">
        <v>8.0709851500019294</v>
      </c>
      <c r="E309">
        <v>0.168277171954235</v>
      </c>
    </row>
    <row r="310" spans="1:5" x14ac:dyDescent="0.25">
      <c r="A310">
        <v>6</v>
      </c>
      <c r="B310">
        <v>2020</v>
      </c>
      <c r="C310">
        <v>15.183144858052099</v>
      </c>
      <c r="D310">
        <v>4.5553845270591902</v>
      </c>
      <c r="E310">
        <v>0.300029049952937</v>
      </c>
    </row>
    <row r="311" spans="1:5" x14ac:dyDescent="0.25">
      <c r="A311">
        <v>6</v>
      </c>
      <c r="B311">
        <v>2021</v>
      </c>
      <c r="C311">
        <v>33.2409554699992</v>
      </c>
      <c r="D311">
        <v>6.7403263394765798</v>
      </c>
      <c r="E311">
        <v>0.202771738783498</v>
      </c>
    </row>
    <row r="312" spans="1:5" x14ac:dyDescent="0.25">
      <c r="A312">
        <v>6</v>
      </c>
      <c r="B312">
        <v>2022</v>
      </c>
      <c r="C312">
        <v>22.353641303619</v>
      </c>
      <c r="D312">
        <v>5.5233686919943104</v>
      </c>
      <c r="E312">
        <v>0.24709033382852399</v>
      </c>
    </row>
    <row r="313" spans="1:5" x14ac:dyDescent="0.25">
      <c r="A313">
        <v>6</v>
      </c>
      <c r="B313">
        <v>2023</v>
      </c>
      <c r="C313">
        <v>48.525852735652897</v>
      </c>
      <c r="D313">
        <v>8.1438686887890697</v>
      </c>
      <c r="E313">
        <v>0.16782535967277501</v>
      </c>
    </row>
    <row r="314" spans="1:5" x14ac:dyDescent="0.25">
      <c r="A314">
        <v>6</v>
      </c>
      <c r="B314">
        <v>2024</v>
      </c>
      <c r="C314">
        <v>33.5095250574403</v>
      </c>
      <c r="D314">
        <v>8.1438686887890697</v>
      </c>
      <c r="E314">
        <v>0.24303145672250701</v>
      </c>
    </row>
    <row r="315" spans="1:5" x14ac:dyDescent="0.25">
      <c r="A315">
        <v>7</v>
      </c>
      <c r="B315">
        <v>1973</v>
      </c>
      <c r="C315">
        <v>49.485485211337298</v>
      </c>
      <c r="D315">
        <v>11.020752812620501</v>
      </c>
      <c r="E315">
        <v>0.22270677483618101</v>
      </c>
    </row>
    <row r="316" spans="1:5" x14ac:dyDescent="0.25">
      <c r="A316">
        <v>7</v>
      </c>
      <c r="B316">
        <v>1974</v>
      </c>
      <c r="C316">
        <v>103.71620230437</v>
      </c>
      <c r="D316">
        <v>15.9574539813861</v>
      </c>
      <c r="E316">
        <v>0.15385690593024801</v>
      </c>
    </row>
    <row r="317" spans="1:5" x14ac:dyDescent="0.25">
      <c r="A317">
        <v>7</v>
      </c>
      <c r="B317">
        <v>1975</v>
      </c>
      <c r="C317">
        <v>57.416272933801203</v>
      </c>
      <c r="D317">
        <v>11.820805937987499</v>
      </c>
      <c r="E317">
        <v>0.20587901885614199</v>
      </c>
    </row>
    <row r="318" spans="1:5" x14ac:dyDescent="0.25">
      <c r="A318">
        <v>7</v>
      </c>
      <c r="B318">
        <v>1976</v>
      </c>
      <c r="C318">
        <v>70.433820906413402</v>
      </c>
      <c r="D318">
        <v>13.1501565167158</v>
      </c>
      <c r="E318">
        <v>0.186702302210591</v>
      </c>
    </row>
    <row r="319" spans="1:5" x14ac:dyDescent="0.25">
      <c r="A319">
        <v>7</v>
      </c>
      <c r="B319">
        <v>1977</v>
      </c>
      <c r="C319">
        <v>51.5960727791864</v>
      </c>
      <c r="D319">
        <v>11.255080898228799</v>
      </c>
      <c r="E319">
        <v>0.21813832510851699</v>
      </c>
    </row>
    <row r="320" spans="1:5" x14ac:dyDescent="0.25">
      <c r="A320">
        <v>7</v>
      </c>
      <c r="B320">
        <v>1978</v>
      </c>
      <c r="C320">
        <v>113.93078302118801</v>
      </c>
      <c r="D320">
        <v>16.537906813618001</v>
      </c>
      <c r="E320">
        <v>0.14515749277824599</v>
      </c>
    </row>
    <row r="321" spans="1:5" x14ac:dyDescent="0.25">
      <c r="A321">
        <v>7</v>
      </c>
      <c r="B321">
        <v>1979</v>
      </c>
      <c r="C321">
        <v>45.885459949474303</v>
      </c>
      <c r="D321">
        <v>10.613969669977299</v>
      </c>
      <c r="E321">
        <v>0.23131444430685899</v>
      </c>
    </row>
    <row r="322" spans="1:5" x14ac:dyDescent="0.25">
      <c r="A322">
        <v>7</v>
      </c>
      <c r="B322">
        <v>1980</v>
      </c>
      <c r="C322">
        <v>59.618202364574103</v>
      </c>
      <c r="D322">
        <v>12.098450056384999</v>
      </c>
      <c r="E322">
        <v>0.202932151197736</v>
      </c>
    </row>
    <row r="323" spans="1:5" x14ac:dyDescent="0.25">
      <c r="A323">
        <v>7</v>
      </c>
      <c r="B323">
        <v>1981</v>
      </c>
      <c r="C323">
        <v>47.830758851516897</v>
      </c>
      <c r="D323">
        <v>10.7382100763369</v>
      </c>
      <c r="E323">
        <v>0.224504279969129</v>
      </c>
    </row>
    <row r="324" spans="1:5" x14ac:dyDescent="0.25">
      <c r="A324">
        <v>7</v>
      </c>
      <c r="B324">
        <v>1982</v>
      </c>
      <c r="C324">
        <v>21.7491171262159</v>
      </c>
      <c r="D324">
        <v>7.3073702650006904</v>
      </c>
      <c r="E324">
        <v>0.33598468492279898</v>
      </c>
    </row>
    <row r="325" spans="1:5" x14ac:dyDescent="0.25">
      <c r="A325">
        <v>7</v>
      </c>
      <c r="B325">
        <v>1983</v>
      </c>
      <c r="C325">
        <v>65.572818665924402</v>
      </c>
      <c r="D325">
        <v>12.6882645108711</v>
      </c>
      <c r="E325">
        <v>0.19349884249317301</v>
      </c>
    </row>
    <row r="326" spans="1:5" x14ac:dyDescent="0.25">
      <c r="A326">
        <v>7</v>
      </c>
      <c r="B326">
        <v>1984</v>
      </c>
      <c r="C326">
        <v>119.203515429471</v>
      </c>
      <c r="D326">
        <v>14.149133863095299</v>
      </c>
      <c r="E326">
        <v>0.11869728683854899</v>
      </c>
    </row>
    <row r="327" spans="1:5" x14ac:dyDescent="0.25">
      <c r="A327">
        <v>7</v>
      </c>
      <c r="B327">
        <v>1985</v>
      </c>
      <c r="C327">
        <v>69.976047419527106</v>
      </c>
      <c r="D327">
        <v>9.2631190446254497</v>
      </c>
      <c r="E327">
        <v>0.132375568301112</v>
      </c>
    </row>
    <row r="328" spans="1:5" x14ac:dyDescent="0.25">
      <c r="A328">
        <v>7</v>
      </c>
      <c r="B328">
        <v>1986</v>
      </c>
      <c r="C328">
        <v>32.290661950405799</v>
      </c>
      <c r="D328">
        <v>6.0774302412235901</v>
      </c>
      <c r="E328">
        <v>0.18821014727284699</v>
      </c>
    </row>
    <row r="329" spans="1:5" x14ac:dyDescent="0.25">
      <c r="A329">
        <v>7</v>
      </c>
      <c r="B329">
        <v>1987</v>
      </c>
      <c r="C329">
        <v>32.606450519085698</v>
      </c>
      <c r="D329">
        <v>6.3231619315490697</v>
      </c>
      <c r="E329">
        <v>0.193923651022606</v>
      </c>
    </row>
    <row r="330" spans="1:5" x14ac:dyDescent="0.25">
      <c r="A330">
        <v>7</v>
      </c>
      <c r="B330">
        <v>1988</v>
      </c>
      <c r="C330">
        <v>55.078434824019098</v>
      </c>
      <c r="D330">
        <v>8.2181362390684605</v>
      </c>
      <c r="E330">
        <v>0.14920787537492999</v>
      </c>
    </row>
    <row r="331" spans="1:5" x14ac:dyDescent="0.25">
      <c r="A331">
        <v>7</v>
      </c>
      <c r="B331">
        <v>1989</v>
      </c>
      <c r="C331">
        <v>83.5573538016599</v>
      </c>
      <c r="D331">
        <v>9.7173229712200904</v>
      </c>
      <c r="E331">
        <v>0.116295245470388</v>
      </c>
    </row>
    <row r="332" spans="1:5" x14ac:dyDescent="0.25">
      <c r="A332">
        <v>7</v>
      </c>
      <c r="B332">
        <v>1990</v>
      </c>
      <c r="C332">
        <v>58.504161023979698</v>
      </c>
      <c r="D332">
        <v>8.4698539058615694</v>
      </c>
      <c r="E332">
        <v>0.14477352990994899</v>
      </c>
    </row>
    <row r="333" spans="1:5" x14ac:dyDescent="0.25">
      <c r="A333">
        <v>7</v>
      </c>
      <c r="B333">
        <v>1991</v>
      </c>
      <c r="C333">
        <v>57.7606208335799</v>
      </c>
      <c r="D333">
        <v>11.8636598477157</v>
      </c>
      <c r="E333">
        <v>0.20539356531324901</v>
      </c>
    </row>
    <row r="334" spans="1:5" x14ac:dyDescent="0.25">
      <c r="A334">
        <v>7</v>
      </c>
      <c r="B334">
        <v>1992</v>
      </c>
      <c r="C334">
        <v>29.7820205667532</v>
      </c>
      <c r="D334">
        <v>8.5117348442810101</v>
      </c>
      <c r="E334">
        <v>0.285801120350544</v>
      </c>
    </row>
    <row r="335" spans="1:5" x14ac:dyDescent="0.25">
      <c r="A335">
        <v>7</v>
      </c>
      <c r="B335">
        <v>1993</v>
      </c>
      <c r="C335">
        <v>36.3024981579754</v>
      </c>
      <c r="D335">
        <v>9.4407947015712796</v>
      </c>
      <c r="E335">
        <v>0.26005909181479298</v>
      </c>
    </row>
    <row r="336" spans="1:5" x14ac:dyDescent="0.25">
      <c r="A336">
        <v>7</v>
      </c>
      <c r="B336">
        <v>1994</v>
      </c>
      <c r="C336">
        <v>61.182814038836703</v>
      </c>
      <c r="D336">
        <v>11.9910679941197</v>
      </c>
      <c r="E336">
        <v>0.19598752006581799</v>
      </c>
    </row>
    <row r="337" spans="1:5" x14ac:dyDescent="0.25">
      <c r="A337">
        <v>7</v>
      </c>
      <c r="B337">
        <v>1995</v>
      </c>
      <c r="C337">
        <v>125.321000998104</v>
      </c>
      <c r="D337">
        <v>12.396368250962199</v>
      </c>
      <c r="E337">
        <v>9.8916926550480996E-2</v>
      </c>
    </row>
    <row r="338" spans="1:5" x14ac:dyDescent="0.25">
      <c r="A338">
        <v>7</v>
      </c>
      <c r="B338">
        <v>1996</v>
      </c>
      <c r="C338">
        <v>54.0451970133606</v>
      </c>
      <c r="D338">
        <v>8.1406876883208792</v>
      </c>
      <c r="E338">
        <v>0.15062740332519101</v>
      </c>
    </row>
    <row r="339" spans="1:5" x14ac:dyDescent="0.25">
      <c r="A339">
        <v>7</v>
      </c>
      <c r="B339">
        <v>1997</v>
      </c>
      <c r="C339">
        <v>44.5643431279182</v>
      </c>
      <c r="D339">
        <v>7.0964471673517799</v>
      </c>
      <c r="E339">
        <v>0.15924047499100399</v>
      </c>
    </row>
    <row r="340" spans="1:5" x14ac:dyDescent="0.25">
      <c r="A340">
        <v>7</v>
      </c>
      <c r="B340">
        <v>1998</v>
      </c>
      <c r="C340">
        <v>17.0341303718318</v>
      </c>
      <c r="D340">
        <v>4.5702770197763902</v>
      </c>
      <c r="E340">
        <v>0.26830116477997301</v>
      </c>
    </row>
    <row r="341" spans="1:5" x14ac:dyDescent="0.25">
      <c r="A341">
        <v>7</v>
      </c>
      <c r="B341">
        <v>1999</v>
      </c>
      <c r="C341">
        <v>32.741959456210502</v>
      </c>
      <c r="D341">
        <v>6.3362875024860896</v>
      </c>
      <c r="E341">
        <v>0.19352193966767101</v>
      </c>
    </row>
    <row r="342" spans="1:5" x14ac:dyDescent="0.25">
      <c r="A342">
        <v>7</v>
      </c>
      <c r="B342">
        <v>2000</v>
      </c>
      <c r="C342">
        <v>84.757141351433106</v>
      </c>
      <c r="D342">
        <v>10.0899231478936</v>
      </c>
      <c r="E342">
        <v>0.119045109202742</v>
      </c>
    </row>
    <row r="343" spans="1:5" x14ac:dyDescent="0.25">
      <c r="A343">
        <v>7</v>
      </c>
      <c r="B343">
        <v>2001</v>
      </c>
      <c r="C343">
        <v>48.439289212058</v>
      </c>
      <c r="D343">
        <v>7.7069301412681899</v>
      </c>
      <c r="E343">
        <v>0.15910493871057199</v>
      </c>
    </row>
    <row r="344" spans="1:5" x14ac:dyDescent="0.25">
      <c r="A344">
        <v>7</v>
      </c>
      <c r="B344">
        <v>2002</v>
      </c>
      <c r="C344">
        <v>34.671688346799002</v>
      </c>
      <c r="D344">
        <v>6.5203369105527802</v>
      </c>
      <c r="E344">
        <v>0.18805940008845201</v>
      </c>
    </row>
    <row r="345" spans="1:5" x14ac:dyDescent="0.25">
      <c r="A345">
        <v>7</v>
      </c>
      <c r="B345">
        <v>2003</v>
      </c>
      <c r="C345">
        <v>52.1158624898124</v>
      </c>
      <c r="D345">
        <v>7.98243197417057</v>
      </c>
      <c r="E345">
        <v>0.153167031932571</v>
      </c>
    </row>
    <row r="346" spans="1:5" x14ac:dyDescent="0.25">
      <c r="A346">
        <v>7</v>
      </c>
      <c r="B346">
        <v>2004</v>
      </c>
      <c r="C346">
        <v>32.368944651238998</v>
      </c>
      <c r="D346">
        <v>6.3000908397044704</v>
      </c>
      <c r="E346">
        <v>0.19463380433267599</v>
      </c>
    </row>
    <row r="347" spans="1:5" x14ac:dyDescent="0.25">
      <c r="A347">
        <v>7</v>
      </c>
      <c r="B347">
        <v>2005</v>
      </c>
      <c r="C347">
        <v>46.211639236990301</v>
      </c>
      <c r="D347">
        <v>7.1374242882418004</v>
      </c>
      <c r="E347">
        <v>0.15445079218329499</v>
      </c>
    </row>
    <row r="348" spans="1:5" x14ac:dyDescent="0.25">
      <c r="A348">
        <v>7</v>
      </c>
      <c r="B348">
        <v>2006</v>
      </c>
      <c r="C348">
        <v>18.910169629734501</v>
      </c>
      <c r="D348">
        <v>4.8153765534147501</v>
      </c>
      <c r="E348">
        <v>0.25464481005199502</v>
      </c>
    </row>
    <row r="349" spans="1:5" x14ac:dyDescent="0.25">
      <c r="A349">
        <v>7</v>
      </c>
      <c r="B349">
        <v>2007</v>
      </c>
      <c r="C349">
        <v>14.1589185220526</v>
      </c>
      <c r="D349">
        <v>4.1667513307963304</v>
      </c>
      <c r="E349">
        <v>0.294284575782153</v>
      </c>
    </row>
    <row r="350" spans="1:5" x14ac:dyDescent="0.25">
      <c r="A350">
        <v>7</v>
      </c>
      <c r="B350">
        <v>2008</v>
      </c>
      <c r="C350">
        <v>1.75953529950662</v>
      </c>
      <c r="D350">
        <v>1.4601420698773599</v>
      </c>
      <c r="E350">
        <v>0.82984528374440303</v>
      </c>
    </row>
    <row r="351" spans="1:5" x14ac:dyDescent="0.25">
      <c r="A351">
        <v>7</v>
      </c>
      <c r="B351">
        <v>2009</v>
      </c>
      <c r="C351">
        <v>7.8028170136102899</v>
      </c>
      <c r="D351">
        <v>3.0932017885540999</v>
      </c>
      <c r="E351">
        <v>0.39642116214678602</v>
      </c>
    </row>
    <row r="352" spans="1:5" x14ac:dyDescent="0.25">
      <c r="A352">
        <v>7</v>
      </c>
      <c r="B352">
        <v>2010</v>
      </c>
      <c r="C352">
        <v>14.4598132142282</v>
      </c>
      <c r="D352">
        <v>4.21079290966646</v>
      </c>
      <c r="E352">
        <v>0.29120659079628503</v>
      </c>
    </row>
    <row r="353" spans="1:5" x14ac:dyDescent="0.25">
      <c r="A353">
        <v>7</v>
      </c>
      <c r="B353">
        <v>2011</v>
      </c>
      <c r="C353">
        <v>24.413438383171101</v>
      </c>
      <c r="D353">
        <v>5.3804033128076103</v>
      </c>
      <c r="E353">
        <v>0.22038695362618299</v>
      </c>
    </row>
    <row r="354" spans="1:5" x14ac:dyDescent="0.25">
      <c r="A354">
        <v>7</v>
      </c>
      <c r="B354">
        <v>2012</v>
      </c>
      <c r="C354">
        <v>32.8240965688763</v>
      </c>
      <c r="D354">
        <v>6.3442301909916097</v>
      </c>
      <c r="E354">
        <v>0.19327965897490099</v>
      </c>
    </row>
    <row r="355" spans="1:5" x14ac:dyDescent="0.25">
      <c r="A355">
        <v>7</v>
      </c>
      <c r="B355">
        <v>2013</v>
      </c>
      <c r="C355">
        <v>122.37159417273401</v>
      </c>
      <c r="D355">
        <v>12.2137799278562</v>
      </c>
      <c r="E355">
        <v>9.9808946761090894E-2</v>
      </c>
    </row>
    <row r="356" spans="1:5" x14ac:dyDescent="0.25">
      <c r="A356">
        <v>7</v>
      </c>
      <c r="B356">
        <v>2014</v>
      </c>
      <c r="C356">
        <v>36.803508325401801</v>
      </c>
      <c r="D356">
        <v>6.7178012611281401</v>
      </c>
      <c r="E356">
        <v>0.182531545681244</v>
      </c>
    </row>
    <row r="357" spans="1:5" x14ac:dyDescent="0.25">
      <c r="A357">
        <v>7</v>
      </c>
      <c r="B357">
        <v>2015</v>
      </c>
      <c r="C357">
        <v>35.4356777704457</v>
      </c>
      <c r="D357">
        <v>6.5917831724942397</v>
      </c>
      <c r="E357">
        <v>0.186021083474011</v>
      </c>
    </row>
    <row r="358" spans="1:5" x14ac:dyDescent="0.25">
      <c r="A358">
        <v>7</v>
      </c>
      <c r="B358">
        <v>2016</v>
      </c>
      <c r="C358">
        <v>86.471302591289501</v>
      </c>
      <c r="D358">
        <v>9.9095097338138096</v>
      </c>
      <c r="E358">
        <v>0.114598825701187</v>
      </c>
    </row>
    <row r="359" spans="1:5" x14ac:dyDescent="0.25">
      <c r="A359">
        <v>7</v>
      </c>
      <c r="B359">
        <v>2017</v>
      </c>
      <c r="C359">
        <v>44.291618501524198</v>
      </c>
      <c r="D359">
        <v>7.3695898266914499</v>
      </c>
      <c r="E359">
        <v>0.16638790985788501</v>
      </c>
    </row>
    <row r="360" spans="1:5" x14ac:dyDescent="0.25">
      <c r="A360">
        <v>7</v>
      </c>
      <c r="B360">
        <v>2018</v>
      </c>
      <c r="C360">
        <v>55.466328079105502</v>
      </c>
      <c r="D360">
        <v>8.24702383187274</v>
      </c>
      <c r="E360">
        <v>0.14868523151759599</v>
      </c>
    </row>
    <row r="361" spans="1:5" x14ac:dyDescent="0.25">
      <c r="A361">
        <v>7</v>
      </c>
      <c r="B361">
        <v>2019</v>
      </c>
      <c r="C361">
        <v>42.941528751731603</v>
      </c>
      <c r="D361">
        <v>7.1666301485913797</v>
      </c>
      <c r="E361">
        <v>0.166892757591971</v>
      </c>
    </row>
    <row r="362" spans="1:5" x14ac:dyDescent="0.25">
      <c r="A362">
        <v>7</v>
      </c>
      <c r="B362">
        <v>2020</v>
      </c>
      <c r="C362">
        <v>23.296881472920202</v>
      </c>
      <c r="D362">
        <v>5.3447997270246903</v>
      </c>
      <c r="E362">
        <v>0.22942125250700901</v>
      </c>
    </row>
    <row r="363" spans="1:5" x14ac:dyDescent="0.25">
      <c r="A363">
        <v>7</v>
      </c>
      <c r="B363">
        <v>2021</v>
      </c>
      <c r="C363">
        <v>31.2991981062044</v>
      </c>
      <c r="D363">
        <v>6.1951117814441696</v>
      </c>
      <c r="E363">
        <v>0.19793196491561599</v>
      </c>
    </row>
    <row r="364" spans="1:5" x14ac:dyDescent="0.25">
      <c r="A364">
        <v>7</v>
      </c>
      <c r="B364">
        <v>2022</v>
      </c>
      <c r="C364">
        <v>23.026086702525198</v>
      </c>
      <c r="D364">
        <v>5.3019175296597298</v>
      </c>
      <c r="E364">
        <v>0.230256994953392</v>
      </c>
    </row>
    <row r="365" spans="1:5" x14ac:dyDescent="0.25">
      <c r="A365">
        <v>7</v>
      </c>
      <c r="B365">
        <v>2023</v>
      </c>
      <c r="C365">
        <v>48.848607147706403</v>
      </c>
      <c r="D365">
        <v>7.7394238941541502</v>
      </c>
      <c r="E365">
        <v>0.15843694111383799</v>
      </c>
    </row>
    <row r="366" spans="1:5" x14ac:dyDescent="0.25">
      <c r="A366">
        <v>7</v>
      </c>
      <c r="B366">
        <v>2024</v>
      </c>
      <c r="C366">
        <v>32.329803300822398</v>
      </c>
      <c r="D366">
        <v>7.7394238941541502</v>
      </c>
      <c r="E366">
        <v>0.239389761271986</v>
      </c>
    </row>
    <row r="367" spans="1:5" x14ac:dyDescent="0.25">
      <c r="A367">
        <v>8</v>
      </c>
      <c r="B367">
        <v>1973</v>
      </c>
      <c r="C367">
        <v>49.485485211337298</v>
      </c>
      <c r="D367">
        <v>11.020752812620501</v>
      </c>
      <c r="E367">
        <v>0.22270677483618101</v>
      </c>
    </row>
    <row r="368" spans="1:5" x14ac:dyDescent="0.25">
      <c r="A368">
        <v>8</v>
      </c>
      <c r="B368">
        <v>1974</v>
      </c>
      <c r="C368">
        <v>103.71620230437</v>
      </c>
      <c r="D368">
        <v>15.9574539813861</v>
      </c>
      <c r="E368">
        <v>0.15385690593024801</v>
      </c>
    </row>
    <row r="369" spans="1:5" x14ac:dyDescent="0.25">
      <c r="A369">
        <v>8</v>
      </c>
      <c r="B369">
        <v>1975</v>
      </c>
      <c r="C369">
        <v>57.416272933801203</v>
      </c>
      <c r="D369">
        <v>11.820805937987499</v>
      </c>
      <c r="E369">
        <v>0.20587901885614199</v>
      </c>
    </row>
    <row r="370" spans="1:5" x14ac:dyDescent="0.25">
      <c r="A370">
        <v>8</v>
      </c>
      <c r="B370">
        <v>1976</v>
      </c>
      <c r="C370">
        <v>70.433820906413402</v>
      </c>
      <c r="D370">
        <v>13.1501565167158</v>
      </c>
      <c r="E370">
        <v>0.186702302210591</v>
      </c>
    </row>
    <row r="371" spans="1:5" x14ac:dyDescent="0.25">
      <c r="A371">
        <v>8</v>
      </c>
      <c r="B371">
        <v>1977</v>
      </c>
      <c r="C371">
        <v>51.5960727791864</v>
      </c>
      <c r="D371">
        <v>11.255080898228799</v>
      </c>
      <c r="E371">
        <v>0.21813832510851699</v>
      </c>
    </row>
    <row r="372" spans="1:5" x14ac:dyDescent="0.25">
      <c r="A372">
        <v>8</v>
      </c>
      <c r="B372">
        <v>1978</v>
      </c>
      <c r="C372">
        <v>113.93078302118801</v>
      </c>
      <c r="D372">
        <v>16.537906813618001</v>
      </c>
      <c r="E372">
        <v>0.14515749277824599</v>
      </c>
    </row>
    <row r="373" spans="1:5" x14ac:dyDescent="0.25">
      <c r="A373">
        <v>8</v>
      </c>
      <c r="B373">
        <v>1979</v>
      </c>
      <c r="C373">
        <v>45.885459949474303</v>
      </c>
      <c r="D373">
        <v>10.613969669977299</v>
      </c>
      <c r="E373">
        <v>0.23131444430685899</v>
      </c>
    </row>
    <row r="374" spans="1:5" x14ac:dyDescent="0.25">
      <c r="A374">
        <v>8</v>
      </c>
      <c r="B374">
        <v>1980</v>
      </c>
      <c r="C374">
        <v>59.618202364574103</v>
      </c>
      <c r="D374">
        <v>12.098450056384999</v>
      </c>
      <c r="E374">
        <v>0.202932151197736</v>
      </c>
    </row>
    <row r="375" spans="1:5" x14ac:dyDescent="0.25">
      <c r="A375">
        <v>8</v>
      </c>
      <c r="B375">
        <v>1981</v>
      </c>
      <c r="C375">
        <v>47.830758851516897</v>
      </c>
      <c r="D375">
        <v>10.7382100763369</v>
      </c>
      <c r="E375">
        <v>0.224504279969129</v>
      </c>
    </row>
    <row r="376" spans="1:5" x14ac:dyDescent="0.25">
      <c r="A376">
        <v>8</v>
      </c>
      <c r="B376">
        <v>1982</v>
      </c>
      <c r="C376">
        <v>21.7491171262159</v>
      </c>
      <c r="D376">
        <v>7.3073702650006904</v>
      </c>
      <c r="E376">
        <v>0.33598468492279898</v>
      </c>
    </row>
    <row r="377" spans="1:5" x14ac:dyDescent="0.25">
      <c r="A377">
        <v>8</v>
      </c>
      <c r="B377">
        <v>1983</v>
      </c>
      <c r="C377">
        <v>65.572818665924402</v>
      </c>
      <c r="D377">
        <v>12.6882645108711</v>
      </c>
      <c r="E377">
        <v>0.19349884249317301</v>
      </c>
    </row>
    <row r="378" spans="1:5" x14ac:dyDescent="0.25">
      <c r="A378">
        <v>8</v>
      </c>
      <c r="B378">
        <v>1984</v>
      </c>
      <c r="C378">
        <v>119.203515429471</v>
      </c>
      <c r="D378">
        <v>14.149133863095299</v>
      </c>
      <c r="E378">
        <v>0.11869728683854899</v>
      </c>
    </row>
    <row r="379" spans="1:5" x14ac:dyDescent="0.25">
      <c r="A379">
        <v>8</v>
      </c>
      <c r="B379">
        <v>1985</v>
      </c>
      <c r="C379">
        <v>69.976047419527106</v>
      </c>
      <c r="D379">
        <v>9.2631190446254497</v>
      </c>
      <c r="E379">
        <v>0.132375568301112</v>
      </c>
    </row>
    <row r="380" spans="1:5" x14ac:dyDescent="0.25">
      <c r="A380">
        <v>8</v>
      </c>
      <c r="B380">
        <v>1986</v>
      </c>
      <c r="C380">
        <v>32.290661950405799</v>
      </c>
      <c r="D380">
        <v>6.0774302412235901</v>
      </c>
      <c r="E380">
        <v>0.18821014727284699</v>
      </c>
    </row>
    <row r="381" spans="1:5" x14ac:dyDescent="0.25">
      <c r="A381">
        <v>8</v>
      </c>
      <c r="B381">
        <v>1987</v>
      </c>
      <c r="C381">
        <v>32.606450519085698</v>
      </c>
      <c r="D381">
        <v>6.3231619315490697</v>
      </c>
      <c r="E381">
        <v>0.193923651022606</v>
      </c>
    </row>
    <row r="382" spans="1:5" x14ac:dyDescent="0.25">
      <c r="A382">
        <v>8</v>
      </c>
      <c r="B382">
        <v>1988</v>
      </c>
      <c r="C382">
        <v>55.078434824019098</v>
      </c>
      <c r="D382">
        <v>8.2181362390684605</v>
      </c>
      <c r="E382">
        <v>0.14920787537492999</v>
      </c>
    </row>
    <row r="383" spans="1:5" x14ac:dyDescent="0.25">
      <c r="A383">
        <v>8</v>
      </c>
      <c r="B383">
        <v>1989</v>
      </c>
      <c r="C383">
        <v>83.5573538016599</v>
      </c>
      <c r="D383">
        <v>9.7173229712200904</v>
      </c>
      <c r="E383">
        <v>0.116295245470388</v>
      </c>
    </row>
    <row r="384" spans="1:5" x14ac:dyDescent="0.25">
      <c r="A384">
        <v>8</v>
      </c>
      <c r="B384">
        <v>1990</v>
      </c>
      <c r="C384">
        <v>58.504161023979698</v>
      </c>
      <c r="D384">
        <v>8.4698539058615694</v>
      </c>
      <c r="E384">
        <v>0.14477352990994899</v>
      </c>
    </row>
    <row r="385" spans="1:5" x14ac:dyDescent="0.25">
      <c r="A385">
        <v>8</v>
      </c>
      <c r="B385">
        <v>1991</v>
      </c>
      <c r="C385">
        <v>57.7606208335799</v>
      </c>
      <c r="D385">
        <v>11.8636598477157</v>
      </c>
      <c r="E385">
        <v>0.20539356531324901</v>
      </c>
    </row>
    <row r="386" spans="1:5" x14ac:dyDescent="0.25">
      <c r="A386">
        <v>8</v>
      </c>
      <c r="B386">
        <v>1992</v>
      </c>
      <c r="C386">
        <v>29.7820205667532</v>
      </c>
      <c r="D386">
        <v>8.5117348442810101</v>
      </c>
      <c r="E386">
        <v>0.285801120350544</v>
      </c>
    </row>
    <row r="387" spans="1:5" x14ac:dyDescent="0.25">
      <c r="A387">
        <v>8</v>
      </c>
      <c r="B387">
        <v>1993</v>
      </c>
      <c r="C387">
        <v>36.3024981579754</v>
      </c>
      <c r="D387">
        <v>9.4407947015712796</v>
      </c>
      <c r="E387">
        <v>0.26005909181479298</v>
      </c>
    </row>
    <row r="388" spans="1:5" x14ac:dyDescent="0.25">
      <c r="A388">
        <v>8</v>
      </c>
      <c r="B388">
        <v>1994</v>
      </c>
      <c r="C388">
        <v>61.182814038836703</v>
      </c>
      <c r="D388">
        <v>11.9910679941197</v>
      </c>
      <c r="E388">
        <v>0.19598752006581799</v>
      </c>
    </row>
    <row r="389" spans="1:5" x14ac:dyDescent="0.25">
      <c r="A389">
        <v>8</v>
      </c>
      <c r="B389">
        <v>1995</v>
      </c>
      <c r="C389">
        <v>125.321000998104</v>
      </c>
      <c r="D389">
        <v>12.396368250962199</v>
      </c>
      <c r="E389">
        <v>9.8916926550480996E-2</v>
      </c>
    </row>
    <row r="390" spans="1:5" x14ac:dyDescent="0.25">
      <c r="A390">
        <v>8</v>
      </c>
      <c r="B390">
        <v>1996</v>
      </c>
      <c r="C390">
        <v>54.0451970133606</v>
      </c>
      <c r="D390">
        <v>8.1406876883208792</v>
      </c>
      <c r="E390">
        <v>0.15062740332519101</v>
      </c>
    </row>
    <row r="391" spans="1:5" x14ac:dyDescent="0.25">
      <c r="A391">
        <v>8</v>
      </c>
      <c r="B391">
        <v>1997</v>
      </c>
      <c r="C391">
        <v>44.5643431279182</v>
      </c>
      <c r="D391">
        <v>7.0964471673517799</v>
      </c>
      <c r="E391">
        <v>0.15924047499100399</v>
      </c>
    </row>
    <row r="392" spans="1:5" x14ac:dyDescent="0.25">
      <c r="A392">
        <v>8</v>
      </c>
      <c r="B392">
        <v>1998</v>
      </c>
      <c r="C392">
        <v>17.0341303718318</v>
      </c>
      <c r="D392">
        <v>4.5702770197763902</v>
      </c>
      <c r="E392">
        <v>0.26830116477997301</v>
      </c>
    </row>
    <row r="393" spans="1:5" x14ac:dyDescent="0.25">
      <c r="A393">
        <v>8</v>
      </c>
      <c r="B393">
        <v>1999</v>
      </c>
      <c r="C393">
        <v>32.741959456210502</v>
      </c>
      <c r="D393">
        <v>6.3362875024860896</v>
      </c>
      <c r="E393">
        <v>0.19352193966767101</v>
      </c>
    </row>
    <row r="394" spans="1:5" x14ac:dyDescent="0.25">
      <c r="A394">
        <v>8</v>
      </c>
      <c r="B394">
        <v>2000</v>
      </c>
      <c r="C394">
        <v>84.757141351433106</v>
      </c>
      <c r="D394">
        <v>10.0899231478936</v>
      </c>
      <c r="E394">
        <v>0.119045109202742</v>
      </c>
    </row>
    <row r="395" spans="1:5" x14ac:dyDescent="0.25">
      <c r="A395">
        <v>8</v>
      </c>
      <c r="B395">
        <v>2001</v>
      </c>
      <c r="C395">
        <v>48.439289212058</v>
      </c>
      <c r="D395">
        <v>7.7069301412681899</v>
      </c>
      <c r="E395">
        <v>0.15910493871057199</v>
      </c>
    </row>
    <row r="396" spans="1:5" x14ac:dyDescent="0.25">
      <c r="A396">
        <v>8</v>
      </c>
      <c r="B396">
        <v>2002</v>
      </c>
      <c r="C396">
        <v>34.671688346799002</v>
      </c>
      <c r="D396">
        <v>6.5203369105527802</v>
      </c>
      <c r="E396">
        <v>0.18805940008845201</v>
      </c>
    </row>
    <row r="397" spans="1:5" x14ac:dyDescent="0.25">
      <c r="A397">
        <v>8</v>
      </c>
      <c r="B397">
        <v>2003</v>
      </c>
      <c r="C397">
        <v>52.1158624898124</v>
      </c>
      <c r="D397">
        <v>7.98243197417057</v>
      </c>
      <c r="E397">
        <v>0.153167031932571</v>
      </c>
    </row>
    <row r="398" spans="1:5" x14ac:dyDescent="0.25">
      <c r="A398">
        <v>8</v>
      </c>
      <c r="B398">
        <v>2004</v>
      </c>
      <c r="C398">
        <v>32.368944651238998</v>
      </c>
      <c r="D398">
        <v>6.3000908397044704</v>
      </c>
      <c r="E398">
        <v>0.19463380433267599</v>
      </c>
    </row>
    <row r="399" spans="1:5" x14ac:dyDescent="0.25">
      <c r="A399">
        <v>8</v>
      </c>
      <c r="B399">
        <v>2005</v>
      </c>
      <c r="C399">
        <v>46.211639236990301</v>
      </c>
      <c r="D399">
        <v>7.1374242882418004</v>
      </c>
      <c r="E399">
        <v>0.15445079218329499</v>
      </c>
    </row>
    <row r="400" spans="1:5" x14ac:dyDescent="0.25">
      <c r="A400">
        <v>8</v>
      </c>
      <c r="B400">
        <v>2006</v>
      </c>
      <c r="C400">
        <v>18.910169629734501</v>
      </c>
      <c r="D400">
        <v>4.8153765534147501</v>
      </c>
      <c r="E400">
        <v>0.25464481005199502</v>
      </c>
    </row>
    <row r="401" spans="1:5" x14ac:dyDescent="0.25">
      <c r="A401">
        <v>8</v>
      </c>
      <c r="B401">
        <v>2007</v>
      </c>
      <c r="C401">
        <v>14.1589185220526</v>
      </c>
      <c r="D401">
        <v>4.1667513307963304</v>
      </c>
      <c r="E401">
        <v>0.294284575782153</v>
      </c>
    </row>
    <row r="402" spans="1:5" x14ac:dyDescent="0.25">
      <c r="A402">
        <v>8</v>
      </c>
      <c r="B402">
        <v>2008</v>
      </c>
      <c r="C402">
        <v>1.75953529950662</v>
      </c>
      <c r="D402">
        <v>1.4601420698773599</v>
      </c>
      <c r="E402">
        <v>0.82984528374440303</v>
      </c>
    </row>
    <row r="403" spans="1:5" x14ac:dyDescent="0.25">
      <c r="A403">
        <v>8</v>
      </c>
      <c r="B403">
        <v>2009</v>
      </c>
      <c r="C403">
        <v>7.8028170136102899</v>
      </c>
      <c r="D403">
        <v>3.0932017885540999</v>
      </c>
      <c r="E403">
        <v>0.39642116214678602</v>
      </c>
    </row>
    <row r="404" spans="1:5" x14ac:dyDescent="0.25">
      <c r="A404">
        <v>8</v>
      </c>
      <c r="B404">
        <v>2010</v>
      </c>
      <c r="C404">
        <v>14.4598132142282</v>
      </c>
      <c r="D404">
        <v>4.21079290966646</v>
      </c>
      <c r="E404">
        <v>0.29120659079628503</v>
      </c>
    </row>
    <row r="405" spans="1:5" x14ac:dyDescent="0.25">
      <c r="A405">
        <v>8</v>
      </c>
      <c r="B405">
        <v>2011</v>
      </c>
      <c r="C405">
        <v>24.413438383171101</v>
      </c>
      <c r="D405">
        <v>5.3804033128076103</v>
      </c>
      <c r="E405">
        <v>0.22038695362618299</v>
      </c>
    </row>
    <row r="406" spans="1:5" x14ac:dyDescent="0.25">
      <c r="A406">
        <v>8</v>
      </c>
      <c r="B406">
        <v>2012</v>
      </c>
      <c r="C406">
        <v>32.8240965688763</v>
      </c>
      <c r="D406">
        <v>6.3442301909916097</v>
      </c>
      <c r="E406">
        <v>0.19327965897490099</v>
      </c>
    </row>
    <row r="407" spans="1:5" x14ac:dyDescent="0.25">
      <c r="A407">
        <v>8</v>
      </c>
      <c r="B407">
        <v>2013</v>
      </c>
      <c r="C407">
        <v>122.37159417273401</v>
      </c>
      <c r="D407">
        <v>12.2137799278562</v>
      </c>
      <c r="E407">
        <v>9.9808946761090894E-2</v>
      </c>
    </row>
    <row r="408" spans="1:5" x14ac:dyDescent="0.25">
      <c r="A408">
        <v>8</v>
      </c>
      <c r="B408">
        <v>2014</v>
      </c>
      <c r="C408">
        <v>36.803508325401801</v>
      </c>
      <c r="D408">
        <v>6.7178012611281401</v>
      </c>
      <c r="E408">
        <v>0.182531545681244</v>
      </c>
    </row>
    <row r="409" spans="1:5" x14ac:dyDescent="0.25">
      <c r="A409">
        <v>8</v>
      </c>
      <c r="B409">
        <v>2015</v>
      </c>
      <c r="C409">
        <v>35.4356777704457</v>
      </c>
      <c r="D409">
        <v>6.5917831724942397</v>
      </c>
      <c r="E409">
        <v>0.186021083474011</v>
      </c>
    </row>
    <row r="410" spans="1:5" x14ac:dyDescent="0.25">
      <c r="A410">
        <v>8</v>
      </c>
      <c r="B410">
        <v>2016</v>
      </c>
      <c r="C410">
        <v>86.471302591289501</v>
      </c>
      <c r="D410">
        <v>9.9095097338138096</v>
      </c>
      <c r="E410">
        <v>0.114598825701187</v>
      </c>
    </row>
    <row r="411" spans="1:5" x14ac:dyDescent="0.25">
      <c r="A411">
        <v>8</v>
      </c>
      <c r="B411">
        <v>2017</v>
      </c>
      <c r="C411">
        <v>44.291618501524198</v>
      </c>
      <c r="D411">
        <v>7.3695898266914499</v>
      </c>
      <c r="E411">
        <v>0.16638790985788501</v>
      </c>
    </row>
    <row r="412" spans="1:5" x14ac:dyDescent="0.25">
      <c r="A412">
        <v>8</v>
      </c>
      <c r="B412">
        <v>2018</v>
      </c>
      <c r="C412">
        <v>55.466328079105502</v>
      </c>
      <c r="D412">
        <v>8.24702383187274</v>
      </c>
      <c r="E412">
        <v>0.14868523151759599</v>
      </c>
    </row>
    <row r="413" spans="1:5" x14ac:dyDescent="0.25">
      <c r="A413">
        <v>8</v>
      </c>
      <c r="B413">
        <v>2019</v>
      </c>
      <c r="C413">
        <v>42.941528751731603</v>
      </c>
      <c r="D413">
        <v>7.1666301485913797</v>
      </c>
      <c r="E413">
        <v>0.166892757591971</v>
      </c>
    </row>
    <row r="414" spans="1:5" x14ac:dyDescent="0.25">
      <c r="A414">
        <v>8</v>
      </c>
      <c r="B414">
        <v>2020</v>
      </c>
      <c r="C414">
        <v>23.296881472920202</v>
      </c>
      <c r="D414">
        <v>5.3447997270246903</v>
      </c>
      <c r="E414">
        <v>0.22942125250700901</v>
      </c>
    </row>
    <row r="415" spans="1:5" x14ac:dyDescent="0.25">
      <c r="A415">
        <v>8</v>
      </c>
      <c r="B415">
        <v>2021</v>
      </c>
      <c r="C415">
        <v>31.2991981062044</v>
      </c>
      <c r="D415">
        <v>6.1951117814441696</v>
      </c>
      <c r="E415">
        <v>0.19793196491561599</v>
      </c>
    </row>
    <row r="416" spans="1:5" x14ac:dyDescent="0.25">
      <c r="A416">
        <v>8</v>
      </c>
      <c r="B416">
        <v>2022</v>
      </c>
      <c r="C416">
        <v>23.026086702525198</v>
      </c>
      <c r="D416">
        <v>5.3019175296597298</v>
      </c>
      <c r="E416">
        <v>0.230256994953392</v>
      </c>
    </row>
    <row r="417" spans="1:5" x14ac:dyDescent="0.25">
      <c r="A417">
        <v>8</v>
      </c>
      <c r="B417">
        <v>2023</v>
      </c>
      <c r="C417">
        <v>48.848607147706403</v>
      </c>
      <c r="D417">
        <v>7.7394238941541502</v>
      </c>
      <c r="E417">
        <v>0.15843694111383799</v>
      </c>
    </row>
    <row r="418" spans="1:5" x14ac:dyDescent="0.25">
      <c r="A418">
        <v>8</v>
      </c>
      <c r="B418">
        <v>2024</v>
      </c>
      <c r="C418">
        <v>32.329803300822398</v>
      </c>
      <c r="D418">
        <v>7.7394238941541502</v>
      </c>
      <c r="E418">
        <v>0.239389761271986</v>
      </c>
    </row>
  </sheetData>
  <mergeCells count="1">
    <mergeCell ref="A1:U1"/>
  </mergeCells>
  <pageMargins left="0.7" right="0.7" top="0.75" bottom="0.75" header="0.3" footer="0.3"/>
  <pageSetup paperSize="9" orientation="portrait" horizontalDpi="300" verticalDpi="300"/>
  <headerFooter scaleWithDoc="0" alignWithMargins="0">
    <oddHeader>&amp;C&amp;"Aptos"&amp;12&amp;KFF0000 OFFICIAL&amp;1#_x000D_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10"/>
  <sheetViews>
    <sheetView workbookViewId="0">
      <selection activeCell="D17" sqref="D17"/>
    </sheetView>
  </sheetViews>
  <sheetFormatPr defaultColWidth="11.42578125" defaultRowHeight="15" x14ac:dyDescent="0.25"/>
  <cols>
    <col min="1" max="1" width="15.5703125" customWidth="1"/>
  </cols>
  <sheetData>
    <row r="1" spans="1:21" ht="26.25" customHeight="1" x14ac:dyDescent="0.25">
      <c r="A1" s="10" t="s">
        <v>191</v>
      </c>
      <c r="B1" s="11"/>
      <c r="C1" s="11"/>
      <c r="D1" s="11"/>
      <c r="E1" s="11"/>
      <c r="F1" s="11"/>
      <c r="G1" s="11"/>
      <c r="H1" s="11"/>
      <c r="I1" s="11"/>
      <c r="J1" s="11"/>
      <c r="K1" s="11"/>
      <c r="L1" s="11"/>
      <c r="M1" s="11"/>
      <c r="N1" s="11"/>
      <c r="O1" s="11"/>
      <c r="P1" s="11"/>
      <c r="Q1" s="11"/>
      <c r="R1" s="11"/>
      <c r="S1" s="11"/>
      <c r="T1" s="11"/>
      <c r="U1" s="11"/>
    </row>
    <row r="2" spans="1:21" x14ac:dyDescent="0.25">
      <c r="A2" t="s">
        <v>45</v>
      </c>
      <c r="B2" t="s">
        <v>46</v>
      </c>
      <c r="C2" t="s">
        <v>47</v>
      </c>
      <c r="D2" t="s">
        <v>48</v>
      </c>
      <c r="E2" t="s">
        <v>53</v>
      </c>
    </row>
    <row r="3" spans="1:21" x14ac:dyDescent="0.25">
      <c r="A3">
        <v>0</v>
      </c>
      <c r="B3">
        <v>0.5</v>
      </c>
      <c r="C3">
        <v>0.25</v>
      </c>
      <c r="D3">
        <v>-2</v>
      </c>
      <c r="E3" t="s">
        <v>183</v>
      </c>
    </row>
    <row r="4" spans="1:21" x14ac:dyDescent="0.25">
      <c r="A4">
        <v>0</v>
      </c>
      <c r="B4">
        <v>0.5</v>
      </c>
      <c r="C4">
        <v>0.25</v>
      </c>
      <c r="D4">
        <v>-2</v>
      </c>
      <c r="E4" t="s">
        <v>184</v>
      </c>
    </row>
    <row r="5" spans="1:21" x14ac:dyDescent="0.25">
      <c r="A5">
        <v>0</v>
      </c>
      <c r="B5">
        <v>0.5</v>
      </c>
      <c r="C5">
        <v>0.2</v>
      </c>
      <c r="D5">
        <v>-2</v>
      </c>
      <c r="E5" t="s">
        <v>185</v>
      </c>
    </row>
    <row r="6" spans="1:21" x14ac:dyDescent="0.25">
      <c r="A6">
        <v>0</v>
      </c>
      <c r="B6">
        <v>0.5</v>
      </c>
      <c r="C6">
        <v>0.2</v>
      </c>
      <c r="D6">
        <v>-2</v>
      </c>
      <c r="E6" t="s">
        <v>186</v>
      </c>
    </row>
    <row r="7" spans="1:21" x14ac:dyDescent="0.25">
      <c r="A7">
        <v>0</v>
      </c>
      <c r="B7">
        <v>0.5</v>
      </c>
      <c r="C7">
        <v>0.15</v>
      </c>
      <c r="D7">
        <v>-2</v>
      </c>
      <c r="E7" t="s">
        <v>187</v>
      </c>
    </row>
    <row r="8" spans="1:21" x14ac:dyDescent="0.25">
      <c r="A8">
        <v>0</v>
      </c>
      <c r="B8">
        <v>0.5</v>
      </c>
      <c r="C8">
        <v>0.15</v>
      </c>
      <c r="D8">
        <v>-2</v>
      </c>
      <c r="E8" t="s">
        <v>188</v>
      </c>
    </row>
    <row r="9" spans="1:21" x14ac:dyDescent="0.25">
      <c r="A9">
        <v>0</v>
      </c>
      <c r="B9">
        <v>0.5</v>
      </c>
      <c r="C9">
        <v>0.2</v>
      </c>
      <c r="D9">
        <v>-2</v>
      </c>
      <c r="E9" t="s">
        <v>189</v>
      </c>
    </row>
    <row r="10" spans="1:21" x14ac:dyDescent="0.25">
      <c r="A10">
        <v>0</v>
      </c>
      <c r="B10">
        <v>0.5</v>
      </c>
      <c r="C10">
        <v>0.2</v>
      </c>
      <c r="D10">
        <v>-2</v>
      </c>
      <c r="E10" t="s">
        <v>190</v>
      </c>
    </row>
  </sheetData>
  <mergeCells count="1">
    <mergeCell ref="A1:U1"/>
  </mergeCells>
  <pageMargins left="0.7" right="0.7" top="0.75" bottom="0.75" header="0.3" footer="0.3"/>
  <pageSetup paperSize="9" orientation="portrait" horizontalDpi="300" verticalDpi="300"/>
  <headerFooter scaleWithDoc="0" alignWithMargins="0">
    <oddHeader>&amp;C&amp;"Aptos"&amp;12&amp;KFF0000 OFFICIAL&amp;1#_x000D_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Q7"/>
  <sheetViews>
    <sheetView zoomScale="127" workbookViewId="0">
      <selection activeCell="A6" sqref="A6:D7"/>
    </sheetView>
  </sheetViews>
  <sheetFormatPr defaultColWidth="11.42578125" defaultRowHeight="15" x14ac:dyDescent="0.25"/>
  <cols>
    <col min="1" max="1" width="15" customWidth="1"/>
    <col min="6" max="6" width="33.5703125" customWidth="1"/>
    <col min="8" max="8" width="12.140625" customWidth="1"/>
  </cols>
  <sheetData>
    <row r="1" spans="1:43" ht="30" customHeight="1" x14ac:dyDescent="0.25">
      <c r="A1" s="10" t="s">
        <v>327</v>
      </c>
      <c r="B1" s="11"/>
      <c r="C1" s="11"/>
      <c r="D1" s="11"/>
      <c r="E1" s="11"/>
      <c r="F1" s="11"/>
      <c r="G1" s="11"/>
      <c r="H1" s="11"/>
      <c r="I1" s="11"/>
      <c r="J1" s="11"/>
      <c r="K1" s="11"/>
      <c r="L1" s="11"/>
      <c r="M1" s="11"/>
      <c r="N1" s="11"/>
      <c r="O1" s="11"/>
      <c r="P1" s="11"/>
      <c r="Q1" s="11"/>
      <c r="R1" s="11"/>
      <c r="S1" s="11"/>
      <c r="T1" s="11"/>
      <c r="U1" s="11"/>
      <c r="V1" s="5">
        <f>1+(MAX(area!C3:C28)-1)+MAX(area!D3:D33)*(dynamics!B9+3)</f>
        <v>5</v>
      </c>
      <c r="W1" s="4">
        <f>COUNT(A3:A35)</f>
        <v>5</v>
      </c>
      <c r="X1" t="s">
        <v>57</v>
      </c>
    </row>
    <row r="2" spans="1:43" x14ac:dyDescent="0.25">
      <c r="A2" t="s">
        <v>52</v>
      </c>
      <c r="B2" t="s">
        <v>45</v>
      </c>
      <c r="C2" t="s">
        <v>46</v>
      </c>
      <c r="D2" t="s">
        <v>47</v>
      </c>
      <c r="E2" t="s">
        <v>48</v>
      </c>
      <c r="F2" t="s">
        <v>53</v>
      </c>
      <c r="H2" t="s">
        <v>58</v>
      </c>
      <c r="I2" t="s">
        <v>59</v>
      </c>
      <c r="J2" t="s">
        <v>60</v>
      </c>
      <c r="K2" t="s">
        <v>61</v>
      </c>
      <c r="L2" t="s">
        <v>62</v>
      </c>
      <c r="M2" t="s">
        <v>63</v>
      </c>
      <c r="N2" t="s">
        <v>64</v>
      </c>
      <c r="O2" t="s">
        <v>65</v>
      </c>
      <c r="P2" t="s">
        <v>66</v>
      </c>
      <c r="Q2" t="s">
        <v>67</v>
      </c>
      <c r="R2" t="s">
        <v>68</v>
      </c>
      <c r="S2" t="s">
        <v>69</v>
      </c>
      <c r="T2" t="s">
        <v>70</v>
      </c>
      <c r="U2" t="s">
        <v>71</v>
      </c>
      <c r="V2" t="s">
        <v>72</v>
      </c>
      <c r="W2" t="s">
        <v>73</v>
      </c>
      <c r="X2" t="s">
        <v>74</v>
      </c>
      <c r="Y2" t="s">
        <v>75</v>
      </c>
      <c r="Z2" t="s">
        <v>76</v>
      </c>
      <c r="AA2" t="s">
        <v>77</v>
      </c>
      <c r="AB2" t="s">
        <v>78</v>
      </c>
      <c r="AC2" t="s">
        <v>79</v>
      </c>
      <c r="AD2" t="s">
        <v>80</v>
      </c>
      <c r="AE2" t="s">
        <v>81</v>
      </c>
      <c r="AF2" t="s">
        <v>82</v>
      </c>
      <c r="AG2" t="s">
        <v>83</v>
      </c>
      <c r="AH2" t="s">
        <v>84</v>
      </c>
      <c r="AI2" t="s">
        <v>85</v>
      </c>
      <c r="AJ2" t="s">
        <v>86</v>
      </c>
      <c r="AK2" t="s">
        <v>87</v>
      </c>
      <c r="AL2" t="s">
        <v>88</v>
      </c>
      <c r="AM2" t="s">
        <v>89</v>
      </c>
      <c r="AN2" t="s">
        <v>90</v>
      </c>
      <c r="AO2" t="s">
        <v>91</v>
      </c>
      <c r="AP2" t="s">
        <v>92</v>
      </c>
      <c r="AQ2" t="s">
        <v>93</v>
      </c>
    </row>
    <row r="3" spans="1:43" x14ac:dyDescent="0.25">
      <c r="A3">
        <v>1</v>
      </c>
      <c r="B3">
        <v>-1</v>
      </c>
      <c r="C3">
        <v>1</v>
      </c>
      <c r="D3">
        <v>0</v>
      </c>
      <c r="E3">
        <v>-2</v>
      </c>
      <c r="F3" t="s">
        <v>54</v>
      </c>
    </row>
    <row r="4" spans="1:43" x14ac:dyDescent="0.25">
      <c r="A4">
        <v>1</v>
      </c>
      <c r="B4">
        <v>30</v>
      </c>
      <c r="C4">
        <v>70</v>
      </c>
      <c r="D4">
        <v>60</v>
      </c>
      <c r="E4">
        <v>3</v>
      </c>
      <c r="F4" t="s">
        <v>56</v>
      </c>
      <c r="H4">
        <v>1.1985823336539199E-3</v>
      </c>
      <c r="I4">
        <v>2.9955482619746301E-3</v>
      </c>
      <c r="J4">
        <v>8.4808117793318E-3</v>
      </c>
      <c r="K4">
        <v>2.0501756353299601E-2</v>
      </c>
      <c r="L4">
        <v>4.2320374559578697E-2</v>
      </c>
      <c r="M4">
        <v>7.4597280277718406E-2</v>
      </c>
      <c r="N4">
        <v>0.112284472094438</v>
      </c>
      <c r="O4">
        <v>0.14432633580026699</v>
      </c>
      <c r="P4">
        <v>0.15841793087765099</v>
      </c>
      <c r="Q4">
        <v>0.14849004173396299</v>
      </c>
      <c r="R4">
        <v>0.118856683579757</v>
      </c>
      <c r="S4">
        <v>8.1241867441214602E-2</v>
      </c>
      <c r="T4">
        <v>4.7419900907974398E-2</v>
      </c>
      <c r="U4">
        <v>2.3635134136526001E-2</v>
      </c>
      <c r="V4">
        <v>1.00591733358729E-2</v>
      </c>
      <c r="W4">
        <v>3.65562298871958E-3</v>
      </c>
      <c r="X4">
        <v>1.1343357384749899E-3</v>
      </c>
      <c r="Y4">
        <v>3.0052972348915098E-4</v>
      </c>
      <c r="Z4" s="3">
        <v>6.7980097010256202E-5</v>
      </c>
      <c r="AA4" s="3">
        <v>1.3128230712311499E-5</v>
      </c>
      <c r="AB4" s="3">
        <v>2.1644174259538599E-6</v>
      </c>
      <c r="AC4" s="3">
        <v>3.0462500133499001E-7</v>
      </c>
      <c r="AD4" s="3">
        <v>3.6598072794546998E-8</v>
      </c>
      <c r="AE4" s="3">
        <v>3.7531577845584302E-9</v>
      </c>
      <c r="AF4" s="3">
        <v>3.2851754649953999E-10</v>
      </c>
      <c r="AG4" s="3">
        <v>2.4542701204666199E-11</v>
      </c>
      <c r="AH4" s="3">
        <v>1.5647483309067001E-12</v>
      </c>
      <c r="AI4" s="3">
        <v>8.5154105988749494E-14</v>
      </c>
      <c r="AJ4" s="3">
        <v>3.9968028886505604E-15</v>
      </c>
      <c r="AK4" s="3">
        <v>1.11022302462516E-16</v>
      </c>
      <c r="AL4">
        <v>0</v>
      </c>
      <c r="AM4">
        <v>0</v>
      </c>
      <c r="AN4">
        <v>0</v>
      </c>
      <c r="AO4">
        <v>0</v>
      </c>
      <c r="AP4">
        <v>0</v>
      </c>
      <c r="AQ4">
        <v>0</v>
      </c>
    </row>
    <row r="5" spans="1:43" x14ac:dyDescent="0.25">
      <c r="A5">
        <v>1</v>
      </c>
      <c r="B5">
        <v>0.5</v>
      </c>
      <c r="C5">
        <v>10</v>
      </c>
      <c r="D5">
        <v>0.50800000000000001</v>
      </c>
      <c r="E5">
        <v>3</v>
      </c>
      <c r="F5" t="s">
        <v>55</v>
      </c>
    </row>
    <row r="6" spans="1:43" x14ac:dyDescent="0.25">
      <c r="A6">
        <v>1</v>
      </c>
      <c r="B6">
        <v>30</v>
      </c>
      <c r="C6">
        <v>70</v>
      </c>
      <c r="D6">
        <v>60</v>
      </c>
      <c r="E6">
        <v>3</v>
      </c>
      <c r="F6" t="s">
        <v>192</v>
      </c>
      <c r="H6">
        <v>1.1985823336539199E-3</v>
      </c>
      <c r="I6">
        <v>2.9955482619746301E-3</v>
      </c>
      <c r="J6">
        <v>8.4808117793318E-3</v>
      </c>
      <c r="K6">
        <v>2.0501756353299601E-2</v>
      </c>
      <c r="L6">
        <v>4.2320374559578697E-2</v>
      </c>
      <c r="M6">
        <v>7.4597280277718406E-2</v>
      </c>
      <c r="N6">
        <v>0.112284472094438</v>
      </c>
      <c r="O6">
        <v>0.14432633580026699</v>
      </c>
      <c r="P6">
        <v>0.15841793087765099</v>
      </c>
      <c r="Q6">
        <v>0.14849004173396299</v>
      </c>
      <c r="R6">
        <v>0.118856683579757</v>
      </c>
      <c r="S6">
        <v>8.1241867441214602E-2</v>
      </c>
      <c r="T6">
        <v>4.7419900907974398E-2</v>
      </c>
      <c r="U6">
        <v>2.3635134136526001E-2</v>
      </c>
      <c r="V6">
        <v>1.00591733358729E-2</v>
      </c>
      <c r="W6">
        <v>3.65562298871958E-3</v>
      </c>
      <c r="X6">
        <v>1.1343357384749899E-3</v>
      </c>
      <c r="Y6">
        <v>3.0052972348915098E-4</v>
      </c>
      <c r="Z6" s="3">
        <v>6.7980097010256202E-5</v>
      </c>
      <c r="AA6" s="3">
        <v>1.3128230712311499E-5</v>
      </c>
      <c r="AB6" s="3">
        <v>2.1644174259538599E-6</v>
      </c>
      <c r="AC6" s="3">
        <v>3.0462500133499001E-7</v>
      </c>
      <c r="AD6" s="3">
        <v>3.6598072794546998E-8</v>
      </c>
      <c r="AE6" s="3">
        <v>3.7531577845584302E-9</v>
      </c>
      <c r="AF6" s="3">
        <v>3.2851754649953999E-10</v>
      </c>
      <c r="AG6" s="3">
        <v>2.4542701204666199E-11</v>
      </c>
      <c r="AH6" s="3">
        <v>1.5647483309067001E-12</v>
      </c>
      <c r="AI6" s="3">
        <v>8.5154105988749494E-14</v>
      </c>
      <c r="AJ6" s="3">
        <v>3.9968028886505604E-15</v>
      </c>
      <c r="AK6" s="3">
        <v>1.11022302462516E-16</v>
      </c>
      <c r="AL6">
        <v>0</v>
      </c>
      <c r="AM6">
        <v>0</v>
      </c>
      <c r="AN6">
        <v>0</v>
      </c>
      <c r="AO6">
        <v>0</v>
      </c>
      <c r="AP6">
        <v>0</v>
      </c>
      <c r="AQ6">
        <v>0</v>
      </c>
    </row>
    <row r="7" spans="1:43" x14ac:dyDescent="0.25">
      <c r="A7">
        <v>1</v>
      </c>
      <c r="B7">
        <v>0.5</v>
      </c>
      <c r="C7">
        <v>10</v>
      </c>
      <c r="D7">
        <v>0.50800000000000001</v>
      </c>
      <c r="E7">
        <v>3</v>
      </c>
      <c r="F7" t="s">
        <v>193</v>
      </c>
    </row>
  </sheetData>
  <mergeCells count="1">
    <mergeCell ref="A1:U1"/>
  </mergeCells>
  <pageMargins left="0.7" right="0.7" top="0.75" bottom="0.75" header="0.3" footer="0.3"/>
  <pageSetup paperSize="9" orientation="portrait" horizontalDpi="300" verticalDpi="300"/>
  <headerFooter scaleWithDoc="0" alignWithMargins="0">
    <oddHeader>&amp;C&amp;"Aptos"&amp;12&amp;KFF0000 OFFICIAL&amp;1#_x000D_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S2"/>
  <sheetViews>
    <sheetView zoomScale="131" workbookViewId="0">
      <selection activeCell="J17" sqref="J17"/>
    </sheetView>
  </sheetViews>
  <sheetFormatPr defaultColWidth="11.42578125" defaultRowHeight="15" x14ac:dyDescent="0.25"/>
  <sheetData>
    <row r="1" spans="1:19" ht="33.75" customHeight="1" x14ac:dyDescent="0.25">
      <c r="A1" s="10" t="s">
        <v>328</v>
      </c>
      <c r="B1" s="11"/>
      <c r="C1" s="11"/>
      <c r="D1" s="11"/>
      <c r="E1" s="11"/>
      <c r="F1" s="11"/>
      <c r="G1" s="11"/>
      <c r="H1" s="11"/>
      <c r="I1" s="11"/>
      <c r="J1" s="11"/>
      <c r="K1" s="11"/>
      <c r="L1" s="11"/>
      <c r="M1" s="11"/>
      <c r="N1" s="11"/>
      <c r="O1" s="11"/>
      <c r="P1" s="11"/>
      <c r="Q1" s="11"/>
      <c r="R1" s="11"/>
      <c r="S1" s="11"/>
    </row>
    <row r="2" spans="1:19" x14ac:dyDescent="0.25">
      <c r="A2" t="s">
        <v>31</v>
      </c>
      <c r="B2" t="s">
        <v>44</v>
      </c>
      <c r="C2" t="s">
        <v>9</v>
      </c>
      <c r="D2" t="s">
        <v>10</v>
      </c>
      <c r="E2" t="s">
        <v>6</v>
      </c>
      <c r="F2" t="s">
        <v>11</v>
      </c>
      <c r="G2" t="s">
        <v>45</v>
      </c>
      <c r="H2" t="s">
        <v>46</v>
      </c>
      <c r="I2" t="s">
        <v>47</v>
      </c>
      <c r="J2" t="s">
        <v>48</v>
      </c>
      <c r="K2" t="s">
        <v>106</v>
      </c>
      <c r="L2" t="s">
        <v>107</v>
      </c>
    </row>
  </sheetData>
  <mergeCells count="1">
    <mergeCell ref="A1:S1"/>
  </mergeCells>
  <pageMargins left="0.7" right="0.7" top="0.75" bottom="0.75" header="0.3" footer="0.3"/>
  <pageSetup paperSize="9" orientation="portrait" horizontalDpi="300" verticalDpi="300"/>
  <headerFooter scaleWithDoc="0" alignWithMargins="0">
    <oddHeader>&amp;C&amp;"Aptos"&amp;12&amp;KFF0000 OFFICIAL&amp;1#_x000D_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
  <sheetViews>
    <sheetView workbookViewId="0">
      <selection activeCell="F11" sqref="F11"/>
    </sheetView>
  </sheetViews>
  <sheetFormatPr defaultColWidth="11.42578125" defaultRowHeight="15" x14ac:dyDescent="0.25"/>
  <sheetData>
    <row r="1" spans="1:21" x14ac:dyDescent="0.25">
      <c r="A1" s="10" t="s">
        <v>329</v>
      </c>
      <c r="B1" s="11"/>
      <c r="C1" s="11"/>
      <c r="D1" s="11"/>
      <c r="E1" s="11"/>
      <c r="F1" s="11"/>
      <c r="G1" s="11"/>
      <c r="H1" s="11"/>
      <c r="I1" s="11"/>
      <c r="J1" s="11"/>
      <c r="K1" s="11"/>
      <c r="L1" s="11"/>
      <c r="M1" s="11"/>
      <c r="N1" s="11"/>
      <c r="O1" s="11"/>
      <c r="P1" s="11"/>
      <c r="Q1" s="11"/>
      <c r="R1" s="11"/>
      <c r="S1" s="11"/>
      <c r="T1" s="11"/>
      <c r="U1" s="11"/>
    </row>
    <row r="2" spans="1:21" x14ac:dyDescent="0.25">
      <c r="A2" t="s">
        <v>103</v>
      </c>
      <c r="B2" t="s">
        <v>44</v>
      </c>
      <c r="C2" t="s">
        <v>104</v>
      </c>
      <c r="D2" t="s">
        <v>105</v>
      </c>
    </row>
  </sheetData>
  <mergeCells count="1">
    <mergeCell ref="A1:U1"/>
  </mergeCells>
  <pageMargins left="0.7" right="0.7" top="0.75" bottom="0.75" header="0.3" footer="0.3"/>
  <pageSetup paperSize="9" orientation="portrait" horizontalDpi="300" verticalDpi="300"/>
  <headerFooter scaleWithDoc="0" alignWithMargins="0">
    <oddHeader>&amp;C&amp;"Aptos"&amp;12&amp;KFF0000 OFFICIAL&amp;1#_x000D_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U5"/>
  <sheetViews>
    <sheetView workbookViewId="0">
      <selection activeCell="D21" sqref="D21"/>
    </sheetView>
  </sheetViews>
  <sheetFormatPr defaultColWidth="11.42578125" defaultRowHeight="15" x14ac:dyDescent="0.25"/>
  <sheetData>
    <row r="1" spans="1:21" ht="15" customHeight="1" x14ac:dyDescent="0.25">
      <c r="A1" s="10" t="s">
        <v>144</v>
      </c>
      <c r="B1" s="11"/>
      <c r="C1" s="11"/>
      <c r="D1" s="11"/>
      <c r="E1" s="11"/>
      <c r="F1" s="11"/>
      <c r="G1" s="11"/>
      <c r="H1" s="11"/>
      <c r="I1" s="11"/>
      <c r="J1" s="11"/>
      <c r="K1" s="11"/>
      <c r="L1" s="11"/>
      <c r="M1" s="11"/>
      <c r="N1" s="11"/>
      <c r="O1" s="11"/>
      <c r="P1" s="11"/>
      <c r="Q1" s="11"/>
      <c r="R1" s="11"/>
      <c r="S1" s="11"/>
      <c r="T1" s="11"/>
      <c r="U1" s="11"/>
    </row>
    <row r="2" spans="1:21" x14ac:dyDescent="0.25">
      <c r="A2" t="s">
        <v>12</v>
      </c>
      <c r="B2" t="s">
        <v>13</v>
      </c>
      <c r="C2" t="s">
        <v>28</v>
      </c>
      <c r="D2" t="s">
        <v>29</v>
      </c>
      <c r="E2" t="s">
        <v>142</v>
      </c>
    </row>
    <row r="3" spans="1:21" x14ac:dyDescent="0.25">
      <c r="A3" t="s">
        <v>14</v>
      </c>
      <c r="B3">
        <v>1</v>
      </c>
      <c r="C3">
        <v>74.1220185816358</v>
      </c>
      <c r="D3">
        <v>-3.9419668022475798</v>
      </c>
      <c r="E3">
        <v>1</v>
      </c>
    </row>
    <row r="4" spans="1:21" x14ac:dyDescent="0.25">
      <c r="A4" t="s">
        <v>15</v>
      </c>
      <c r="B4">
        <v>1</v>
      </c>
      <c r="C4">
        <v>90.4</v>
      </c>
      <c r="D4">
        <v>-3.5320999999999998</v>
      </c>
    </row>
    <row r="5" spans="1:21" x14ac:dyDescent="0.25">
      <c r="A5" t="s">
        <v>102</v>
      </c>
      <c r="C5">
        <v>1.92</v>
      </c>
      <c r="D5">
        <v>2.69</v>
      </c>
    </row>
  </sheetData>
  <mergeCells count="1">
    <mergeCell ref="A1:U1"/>
  </mergeCells>
  <pageMargins left="0.7" right="0.7" top="0.75" bottom="0.75" header="0.3" footer="0.3"/>
  <pageSetup paperSize="9" orientation="portrait" horizontalDpi="300" verticalDpi="300"/>
  <headerFooter scaleWithDoc="0" alignWithMargins="0">
    <oddHeader>&amp;C&amp;"Aptos"&amp;12&amp;KFF0000 OFFICIAL&amp;1#_x000D_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4"/>
  <sheetViews>
    <sheetView workbookViewId="0">
      <selection activeCell="A2" sqref="A2:C4"/>
    </sheetView>
  </sheetViews>
  <sheetFormatPr defaultColWidth="11.42578125" defaultRowHeight="15" x14ac:dyDescent="0.25"/>
  <sheetData>
    <row r="1" spans="1:21" x14ac:dyDescent="0.25">
      <c r="A1" s="10" t="s">
        <v>101</v>
      </c>
      <c r="B1" s="11"/>
      <c r="C1" s="11"/>
      <c r="D1" s="11"/>
      <c r="E1" s="11"/>
      <c r="F1" s="11"/>
      <c r="G1" s="11"/>
      <c r="H1" s="11"/>
      <c r="I1" s="11"/>
      <c r="J1" s="11"/>
      <c r="K1" s="11"/>
      <c r="L1" s="11"/>
      <c r="M1" s="11"/>
      <c r="N1" s="11"/>
      <c r="O1" s="11"/>
      <c r="P1" s="11"/>
      <c r="Q1" s="11"/>
      <c r="R1" s="11"/>
      <c r="S1" s="11"/>
      <c r="T1" s="11"/>
      <c r="U1" s="11"/>
    </row>
    <row r="2" spans="1:21" x14ac:dyDescent="0.25">
      <c r="A2" t="s">
        <v>16</v>
      </c>
      <c r="B2" t="s">
        <v>28</v>
      </c>
      <c r="C2" t="s">
        <v>29</v>
      </c>
    </row>
    <row r="3" spans="1:21" x14ac:dyDescent="0.25">
      <c r="A3" t="s">
        <v>194</v>
      </c>
      <c r="B3" s="3">
        <v>1.61E-6</v>
      </c>
      <c r="C3">
        <v>2.8681999999999999</v>
      </c>
    </row>
    <row r="4" spans="1:21" x14ac:dyDescent="0.25">
      <c r="A4" t="s">
        <v>30</v>
      </c>
      <c r="B4" s="3">
        <v>2.5100000000000001E-6</v>
      </c>
      <c r="C4">
        <v>2.778</v>
      </c>
    </row>
  </sheetData>
  <mergeCells count="1">
    <mergeCell ref="A1:U1"/>
  </mergeCells>
  <pageMargins left="0.7" right="0.7" top="0.75" bottom="0.75" header="0.3" footer="0.3"/>
  <pageSetup paperSize="9" orientation="portrait" horizontalDpi="300" verticalDpi="300"/>
  <headerFooter scaleWithDoc="0" alignWithMargins="0">
    <oddHeader>&amp;C&amp;"Aptos"&amp;12&amp;KFF0000 OFFICIAL&amp;1#_x000D_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U112"/>
  <sheetViews>
    <sheetView topLeftCell="A76" workbookViewId="0">
      <selection activeCell="A2" sqref="A2:C112"/>
    </sheetView>
  </sheetViews>
  <sheetFormatPr defaultColWidth="11.42578125" defaultRowHeight="15" x14ac:dyDescent="0.25"/>
  <sheetData>
    <row r="1" spans="1:21" ht="21.75" customHeight="1" x14ac:dyDescent="0.25">
      <c r="A1" s="10" t="s">
        <v>195</v>
      </c>
      <c r="B1" s="11"/>
      <c r="C1" s="11"/>
      <c r="D1" s="11"/>
      <c r="E1" s="11"/>
      <c r="F1" s="11"/>
      <c r="G1" s="11"/>
      <c r="H1" s="11"/>
      <c r="I1" s="11"/>
      <c r="J1" s="11"/>
      <c r="K1" s="11"/>
      <c r="L1" s="11"/>
      <c r="M1" s="11"/>
      <c r="N1" s="11"/>
      <c r="O1" s="11"/>
      <c r="P1" s="11"/>
      <c r="Q1" s="11"/>
      <c r="R1" s="11"/>
      <c r="S1" s="11"/>
      <c r="T1" s="11"/>
      <c r="U1" s="11"/>
    </row>
    <row r="2" spans="1:21" x14ac:dyDescent="0.25">
      <c r="A2" t="s">
        <v>304</v>
      </c>
      <c r="B2" t="s">
        <v>305</v>
      </c>
      <c r="C2" t="s">
        <v>306</v>
      </c>
      <c r="D2" t="s">
        <v>307</v>
      </c>
    </row>
    <row r="3" spans="1:21" x14ac:dyDescent="0.25">
      <c r="A3">
        <v>1960</v>
      </c>
      <c r="B3">
        <v>1</v>
      </c>
      <c r="C3">
        <v>1</v>
      </c>
      <c r="D3">
        <v>7000000</v>
      </c>
    </row>
    <row r="4" spans="1:21" x14ac:dyDescent="0.25">
      <c r="A4">
        <v>1961</v>
      </c>
      <c r="B4">
        <v>1</v>
      </c>
      <c r="C4">
        <v>1</v>
      </c>
      <c r="D4">
        <f ca="1">D3+RANDBETWEEN(-1000, 200000)</f>
        <v>7042631</v>
      </c>
    </row>
    <row r="5" spans="1:21" x14ac:dyDescent="0.25">
      <c r="A5">
        <v>1962</v>
      </c>
      <c r="B5">
        <v>1</v>
      </c>
      <c r="C5">
        <v>1</v>
      </c>
      <c r="D5">
        <f t="shared" ref="D5:D15" ca="1" si="0">D4+RANDBETWEEN(-1000, 200000)</f>
        <v>7230783</v>
      </c>
    </row>
    <row r="6" spans="1:21" x14ac:dyDescent="0.25">
      <c r="A6">
        <v>1963</v>
      </c>
      <c r="B6">
        <v>1</v>
      </c>
      <c r="C6">
        <v>1</v>
      </c>
      <c r="D6">
        <f t="shared" ca="1" si="0"/>
        <v>7343524</v>
      </c>
    </row>
    <row r="7" spans="1:21" x14ac:dyDescent="0.25">
      <c r="A7">
        <v>1964</v>
      </c>
      <c r="B7">
        <v>1</v>
      </c>
      <c r="C7">
        <v>1</v>
      </c>
      <c r="D7">
        <f ca="1">D6+RANDBETWEEN(-1000, 200000)+50000</f>
        <v>7447198</v>
      </c>
    </row>
    <row r="8" spans="1:21" x14ac:dyDescent="0.25">
      <c r="A8">
        <v>1965</v>
      </c>
      <c r="B8">
        <v>1</v>
      </c>
      <c r="C8">
        <v>1</v>
      </c>
      <c r="D8">
        <f ca="1">D7+RANDBETWEEN(-1000, 200000)+500000</f>
        <v>7960866</v>
      </c>
    </row>
    <row r="9" spans="1:21" x14ac:dyDescent="0.25">
      <c r="A9">
        <v>1966</v>
      </c>
      <c r="B9">
        <v>1</v>
      </c>
      <c r="C9">
        <v>1</v>
      </c>
      <c r="D9">
        <f t="shared" ca="1" si="0"/>
        <v>8020829</v>
      </c>
    </row>
    <row r="10" spans="1:21" x14ac:dyDescent="0.25">
      <c r="A10">
        <v>1967</v>
      </c>
      <c r="B10">
        <v>1</v>
      </c>
      <c r="C10">
        <v>1</v>
      </c>
      <c r="D10">
        <f t="shared" ca="1" si="0"/>
        <v>8105368</v>
      </c>
    </row>
    <row r="11" spans="1:21" x14ac:dyDescent="0.25">
      <c r="A11">
        <v>1968</v>
      </c>
      <c r="B11">
        <v>1</v>
      </c>
      <c r="C11">
        <v>1</v>
      </c>
      <c r="D11">
        <f t="shared" ca="1" si="0"/>
        <v>8210999</v>
      </c>
    </row>
    <row r="12" spans="1:21" x14ac:dyDescent="0.25">
      <c r="A12">
        <v>1969</v>
      </c>
      <c r="B12">
        <v>1</v>
      </c>
      <c r="C12">
        <v>1</v>
      </c>
      <c r="D12">
        <f ca="1">D11+RANDBETWEEN(-1000, 200000)</f>
        <v>8291561</v>
      </c>
    </row>
    <row r="13" spans="1:21" x14ac:dyDescent="0.25">
      <c r="A13">
        <v>1970</v>
      </c>
      <c r="B13">
        <v>1</v>
      </c>
      <c r="C13">
        <v>1</v>
      </c>
      <c r="D13">
        <f t="shared" ca="1" si="0"/>
        <v>8424840</v>
      </c>
    </row>
    <row r="14" spans="1:21" x14ac:dyDescent="0.25">
      <c r="A14">
        <v>1971</v>
      </c>
      <c r="B14">
        <v>1</v>
      </c>
      <c r="C14">
        <v>1</v>
      </c>
      <c r="D14">
        <f t="shared" ca="1" si="0"/>
        <v>8481349</v>
      </c>
    </row>
    <row r="15" spans="1:21" x14ac:dyDescent="0.25">
      <c r="A15">
        <v>1972</v>
      </c>
      <c r="B15">
        <v>1</v>
      </c>
      <c r="C15">
        <v>1</v>
      </c>
      <c r="D15">
        <f t="shared" ca="1" si="0"/>
        <v>8662956</v>
      </c>
    </row>
    <row r="16" spans="1:21" x14ac:dyDescent="0.25">
      <c r="A16">
        <v>1973</v>
      </c>
      <c r="B16">
        <v>1</v>
      </c>
      <c r="C16">
        <v>1</v>
      </c>
      <c r="D16">
        <f ca="1">D15+RANDBETWEEN(-1000, 200000)+1000000</f>
        <v>9822495</v>
      </c>
    </row>
    <row r="17" spans="1:4" x14ac:dyDescent="0.25">
      <c r="A17">
        <v>1974</v>
      </c>
      <c r="B17">
        <v>1</v>
      </c>
      <c r="C17">
        <v>1</v>
      </c>
      <c r="D17">
        <f ca="1">D16+RANDBETWEEN(-1000, 200000)+250000</f>
        <v>10181921</v>
      </c>
    </row>
    <row r="18" spans="1:4" x14ac:dyDescent="0.25">
      <c r="A18">
        <v>1975</v>
      </c>
      <c r="B18">
        <v>1</v>
      </c>
      <c r="C18">
        <v>1</v>
      </c>
      <c r="D18">
        <f ca="1">D17+RANDBETWEEN(-1000, 200000)</f>
        <v>10301324</v>
      </c>
    </row>
    <row r="19" spans="1:4" x14ac:dyDescent="0.25">
      <c r="A19">
        <v>1976</v>
      </c>
      <c r="B19">
        <v>1</v>
      </c>
      <c r="C19">
        <v>1</v>
      </c>
      <c r="D19">
        <f ca="1">D18+RANDBETWEEN(-100000, 200000)</f>
        <v>10297207</v>
      </c>
    </row>
    <row r="20" spans="1:4" x14ac:dyDescent="0.25">
      <c r="A20">
        <v>1977</v>
      </c>
      <c r="B20">
        <v>1</v>
      </c>
      <c r="C20">
        <v>1</v>
      </c>
      <c r="D20">
        <f t="shared" ref="D20:D41" ca="1" si="1">D19+RANDBETWEEN(-100000, 200000)</f>
        <v>10323043</v>
      </c>
    </row>
    <row r="21" spans="1:4" x14ac:dyDescent="0.25">
      <c r="A21">
        <v>1978</v>
      </c>
      <c r="B21">
        <v>1</v>
      </c>
      <c r="C21">
        <v>1</v>
      </c>
      <c r="D21">
        <f t="shared" ca="1" si="1"/>
        <v>10480446</v>
      </c>
    </row>
    <row r="22" spans="1:4" x14ac:dyDescent="0.25">
      <c r="A22">
        <v>1979</v>
      </c>
      <c r="B22">
        <v>1</v>
      </c>
      <c r="C22">
        <v>1</v>
      </c>
      <c r="D22">
        <f ca="1">D21+RANDBETWEEN(-100000, 200000)-1000000</f>
        <v>9602862</v>
      </c>
    </row>
    <row r="23" spans="1:4" x14ac:dyDescent="0.25">
      <c r="A23">
        <v>1980</v>
      </c>
      <c r="B23">
        <v>1</v>
      </c>
      <c r="C23">
        <v>1</v>
      </c>
      <c r="D23">
        <f t="shared" ca="1" si="1"/>
        <v>9654360</v>
      </c>
    </row>
    <row r="24" spans="1:4" x14ac:dyDescent="0.25">
      <c r="A24">
        <v>1981</v>
      </c>
      <c r="B24">
        <v>1</v>
      </c>
      <c r="C24">
        <v>1</v>
      </c>
      <c r="D24">
        <f t="shared" ca="1" si="1"/>
        <v>9812191</v>
      </c>
    </row>
    <row r="25" spans="1:4" x14ac:dyDescent="0.25">
      <c r="A25">
        <v>1982</v>
      </c>
      <c r="B25">
        <v>1</v>
      </c>
      <c r="C25">
        <v>1</v>
      </c>
      <c r="D25">
        <f t="shared" ca="1" si="1"/>
        <v>9728591</v>
      </c>
    </row>
    <row r="26" spans="1:4" x14ac:dyDescent="0.25">
      <c r="A26">
        <v>1983</v>
      </c>
      <c r="B26">
        <v>1</v>
      </c>
      <c r="C26">
        <v>1</v>
      </c>
      <c r="D26">
        <f t="shared" ca="1" si="1"/>
        <v>9889358</v>
      </c>
    </row>
    <row r="27" spans="1:4" x14ac:dyDescent="0.25">
      <c r="A27">
        <v>1984</v>
      </c>
      <c r="B27">
        <v>1</v>
      </c>
      <c r="C27">
        <v>1</v>
      </c>
      <c r="D27">
        <f t="shared" ca="1" si="1"/>
        <v>10058041</v>
      </c>
    </row>
    <row r="28" spans="1:4" x14ac:dyDescent="0.25">
      <c r="A28">
        <v>1985</v>
      </c>
      <c r="B28">
        <v>1</v>
      </c>
      <c r="C28">
        <v>1</v>
      </c>
      <c r="D28">
        <f t="shared" ca="1" si="1"/>
        <v>10137620</v>
      </c>
    </row>
    <row r="29" spans="1:4" x14ac:dyDescent="0.25">
      <c r="A29">
        <v>1986</v>
      </c>
      <c r="B29">
        <v>1</v>
      </c>
      <c r="C29">
        <v>1</v>
      </c>
      <c r="D29">
        <f ca="1">D28+RANDBETWEEN(-100000, 200000)+3000000</f>
        <v>13129682</v>
      </c>
    </row>
    <row r="30" spans="1:4" x14ac:dyDescent="0.25">
      <c r="A30">
        <v>1987</v>
      </c>
      <c r="B30">
        <v>1</v>
      </c>
      <c r="C30">
        <v>1</v>
      </c>
      <c r="D30">
        <f t="shared" ca="1" si="1"/>
        <v>13127271</v>
      </c>
    </row>
    <row r="31" spans="1:4" x14ac:dyDescent="0.25">
      <c r="A31">
        <v>1988</v>
      </c>
      <c r="B31">
        <v>1</v>
      </c>
      <c r="C31">
        <v>1</v>
      </c>
      <c r="D31">
        <f t="shared" ca="1" si="1"/>
        <v>13315576</v>
      </c>
    </row>
    <row r="32" spans="1:4" x14ac:dyDescent="0.25">
      <c r="A32">
        <v>1989</v>
      </c>
      <c r="B32">
        <v>1</v>
      </c>
      <c r="C32">
        <v>1</v>
      </c>
      <c r="D32">
        <f t="shared" ca="1" si="1"/>
        <v>13289788</v>
      </c>
    </row>
    <row r="33" spans="1:4" x14ac:dyDescent="0.25">
      <c r="A33">
        <v>1990</v>
      </c>
      <c r="B33">
        <v>1</v>
      </c>
      <c r="C33">
        <v>1</v>
      </c>
      <c r="D33">
        <f t="shared" ca="1" si="1"/>
        <v>13248065</v>
      </c>
    </row>
    <row r="34" spans="1:4" x14ac:dyDescent="0.25">
      <c r="A34">
        <v>1991</v>
      </c>
      <c r="B34">
        <v>1</v>
      </c>
      <c r="C34">
        <v>1</v>
      </c>
      <c r="D34">
        <f t="shared" ca="1" si="1"/>
        <v>13361044</v>
      </c>
    </row>
    <row r="35" spans="1:4" x14ac:dyDescent="0.25">
      <c r="A35">
        <v>1992</v>
      </c>
      <c r="B35">
        <v>1</v>
      </c>
      <c r="C35">
        <v>1</v>
      </c>
      <c r="D35">
        <f t="shared" ca="1" si="1"/>
        <v>13404747</v>
      </c>
    </row>
    <row r="36" spans="1:4" x14ac:dyDescent="0.25">
      <c r="A36">
        <v>1993</v>
      </c>
      <c r="B36">
        <v>1</v>
      </c>
      <c r="C36">
        <v>1</v>
      </c>
      <c r="D36">
        <f t="shared" ca="1" si="1"/>
        <v>13599652</v>
      </c>
    </row>
    <row r="37" spans="1:4" x14ac:dyDescent="0.25">
      <c r="A37">
        <v>1994</v>
      </c>
      <c r="B37">
        <v>1</v>
      </c>
      <c r="C37">
        <v>1</v>
      </c>
      <c r="D37">
        <f t="shared" ca="1" si="1"/>
        <v>13594329</v>
      </c>
    </row>
    <row r="38" spans="1:4" x14ac:dyDescent="0.25">
      <c r="A38">
        <v>1995</v>
      </c>
      <c r="B38">
        <v>1</v>
      </c>
      <c r="C38">
        <v>1</v>
      </c>
      <c r="D38">
        <f t="shared" ca="1" si="1"/>
        <v>13557104</v>
      </c>
    </row>
    <row r="39" spans="1:4" x14ac:dyDescent="0.25">
      <c r="A39">
        <v>1996</v>
      </c>
      <c r="B39">
        <v>1</v>
      </c>
      <c r="C39">
        <v>1</v>
      </c>
      <c r="D39">
        <f t="shared" ca="1" si="1"/>
        <v>13464519</v>
      </c>
    </row>
    <row r="40" spans="1:4" x14ac:dyDescent="0.25">
      <c r="A40">
        <v>1997</v>
      </c>
      <c r="B40">
        <v>1</v>
      </c>
      <c r="C40">
        <v>1</v>
      </c>
      <c r="D40">
        <f t="shared" ca="1" si="1"/>
        <v>13561128</v>
      </c>
    </row>
    <row r="41" spans="1:4" x14ac:dyDescent="0.25">
      <c r="A41">
        <v>1998</v>
      </c>
      <c r="B41">
        <v>1</v>
      </c>
      <c r="C41">
        <v>1</v>
      </c>
      <c r="D41">
        <f t="shared" ca="1" si="1"/>
        <v>13714157</v>
      </c>
    </row>
    <row r="42" spans="1:4" x14ac:dyDescent="0.25">
      <c r="A42">
        <v>1999</v>
      </c>
      <c r="B42">
        <v>1</v>
      </c>
      <c r="C42">
        <v>1</v>
      </c>
      <c r="D42" s="7">
        <f ca="1">D41+RANDBETWEEN(-100000, 5000)</f>
        <v>13685492</v>
      </c>
    </row>
    <row r="43" spans="1:4" x14ac:dyDescent="0.25">
      <c r="A43">
        <v>2000</v>
      </c>
      <c r="B43">
        <v>1</v>
      </c>
      <c r="C43">
        <v>1</v>
      </c>
      <c r="D43" s="7">
        <f ca="1">D42+RANDBETWEEN(-200000, 10000)</f>
        <v>13624753</v>
      </c>
    </row>
    <row r="44" spans="1:4" x14ac:dyDescent="0.25">
      <c r="A44">
        <v>2001</v>
      </c>
      <c r="B44">
        <v>1</v>
      </c>
      <c r="C44">
        <v>1</v>
      </c>
      <c r="D44" s="7">
        <f t="shared" ref="D44:D47" ca="1" si="2">D43+RANDBETWEEN(-500000, 1000)</f>
        <v>13470887</v>
      </c>
    </row>
    <row r="45" spans="1:4" x14ac:dyDescent="0.25">
      <c r="A45">
        <v>2002</v>
      </c>
      <c r="B45">
        <v>1</v>
      </c>
      <c r="C45">
        <v>1</v>
      </c>
      <c r="D45" s="7">
        <f t="shared" ca="1" si="2"/>
        <v>13306784</v>
      </c>
    </row>
    <row r="46" spans="1:4" x14ac:dyDescent="0.25">
      <c r="A46">
        <v>2003</v>
      </c>
      <c r="B46">
        <v>1</v>
      </c>
      <c r="C46">
        <v>1</v>
      </c>
      <c r="D46" s="7">
        <f t="shared" ca="1" si="2"/>
        <v>13146764</v>
      </c>
    </row>
    <row r="47" spans="1:4" x14ac:dyDescent="0.25">
      <c r="A47">
        <v>2004</v>
      </c>
      <c r="B47">
        <v>1</v>
      </c>
      <c r="C47">
        <v>1</v>
      </c>
      <c r="D47" s="7">
        <f t="shared" ca="1" si="2"/>
        <v>13117835</v>
      </c>
    </row>
    <row r="48" spans="1:4" x14ac:dyDescent="0.25">
      <c r="A48">
        <v>2005</v>
      </c>
      <c r="B48">
        <v>1</v>
      </c>
      <c r="C48">
        <v>1</v>
      </c>
      <c r="D48">
        <f ca="1">D47+RANDBETWEEN(-100000, 200000)-1500000</f>
        <v>11673508</v>
      </c>
    </row>
    <row r="49" spans="1:4" x14ac:dyDescent="0.25">
      <c r="A49">
        <v>2006</v>
      </c>
      <c r="B49">
        <v>1</v>
      </c>
      <c r="C49">
        <v>1</v>
      </c>
      <c r="D49">
        <f ca="1">D48+RANDBETWEEN(-100000, 200000)-3000000</f>
        <v>8864743</v>
      </c>
    </row>
    <row r="50" spans="1:4" x14ac:dyDescent="0.25">
      <c r="A50">
        <v>2007</v>
      </c>
      <c r="B50">
        <v>1</v>
      </c>
      <c r="C50">
        <v>1</v>
      </c>
      <c r="D50">
        <f ca="1">D49+RANDBETWEEN(-100000, 200000)-1000000</f>
        <v>7848050</v>
      </c>
    </row>
    <row r="51" spans="1:4" x14ac:dyDescent="0.25">
      <c r="A51">
        <v>2008</v>
      </c>
      <c r="B51">
        <v>1</v>
      </c>
      <c r="C51">
        <v>1</v>
      </c>
      <c r="D51">
        <f ca="1">D50+RANDBETWEEN(-100000, 10000)</f>
        <v>7799012</v>
      </c>
    </row>
    <row r="52" spans="1:4" x14ac:dyDescent="0.25">
      <c r="A52">
        <v>2009</v>
      </c>
      <c r="B52">
        <v>1</v>
      </c>
      <c r="C52">
        <v>1</v>
      </c>
      <c r="D52">
        <f t="shared" ref="D52:D67" ca="1" si="3">D51+RANDBETWEEN(-100000, 10000)</f>
        <v>7725016</v>
      </c>
    </row>
    <row r="53" spans="1:4" x14ac:dyDescent="0.25">
      <c r="A53">
        <v>2010</v>
      </c>
      <c r="B53">
        <v>1</v>
      </c>
      <c r="C53">
        <v>1</v>
      </c>
      <c r="D53">
        <f t="shared" ca="1" si="3"/>
        <v>7673039</v>
      </c>
    </row>
    <row r="54" spans="1:4" x14ac:dyDescent="0.25">
      <c r="A54">
        <v>2011</v>
      </c>
      <c r="B54">
        <v>1</v>
      </c>
      <c r="C54">
        <v>1</v>
      </c>
      <c r="D54">
        <f t="shared" ca="1" si="3"/>
        <v>7678794</v>
      </c>
    </row>
    <row r="55" spans="1:4" x14ac:dyDescent="0.25">
      <c r="A55">
        <v>2012</v>
      </c>
      <c r="B55">
        <v>1</v>
      </c>
      <c r="C55">
        <v>1</v>
      </c>
      <c r="D55">
        <f t="shared" ca="1" si="3"/>
        <v>7593822</v>
      </c>
    </row>
    <row r="56" spans="1:4" x14ac:dyDescent="0.25">
      <c r="A56">
        <v>2013</v>
      </c>
      <c r="B56">
        <v>1</v>
      </c>
      <c r="C56">
        <v>1</v>
      </c>
      <c r="D56">
        <f t="shared" ca="1" si="3"/>
        <v>7596915</v>
      </c>
    </row>
    <row r="57" spans="1:4" x14ac:dyDescent="0.25">
      <c r="A57">
        <v>2014</v>
      </c>
      <c r="B57">
        <v>1</v>
      </c>
      <c r="C57">
        <v>1</v>
      </c>
      <c r="D57">
        <f t="shared" ca="1" si="3"/>
        <v>7568358</v>
      </c>
    </row>
    <row r="58" spans="1:4" x14ac:dyDescent="0.25">
      <c r="A58">
        <v>2015</v>
      </c>
      <c r="B58">
        <v>1</v>
      </c>
      <c r="C58">
        <v>1</v>
      </c>
      <c r="D58">
        <f t="shared" ca="1" si="3"/>
        <v>7500174</v>
      </c>
    </row>
    <row r="59" spans="1:4" x14ac:dyDescent="0.25">
      <c r="A59">
        <v>2016</v>
      </c>
      <c r="B59">
        <v>1</v>
      </c>
      <c r="C59">
        <v>1</v>
      </c>
      <c r="D59">
        <f t="shared" ca="1" si="3"/>
        <v>7454955</v>
      </c>
    </row>
    <row r="60" spans="1:4" x14ac:dyDescent="0.25">
      <c r="A60">
        <v>2017</v>
      </c>
      <c r="B60">
        <v>1</v>
      </c>
      <c r="C60">
        <v>1</v>
      </c>
      <c r="D60">
        <f t="shared" ca="1" si="3"/>
        <v>7367713</v>
      </c>
    </row>
    <row r="61" spans="1:4" x14ac:dyDescent="0.25">
      <c r="A61">
        <v>2018</v>
      </c>
      <c r="B61">
        <v>1</v>
      </c>
      <c r="C61">
        <v>1</v>
      </c>
      <c r="D61">
        <f t="shared" ca="1" si="3"/>
        <v>7370803</v>
      </c>
    </row>
    <row r="62" spans="1:4" x14ac:dyDescent="0.25">
      <c r="A62">
        <v>2019</v>
      </c>
      <c r="B62">
        <v>1</v>
      </c>
      <c r="C62">
        <v>1</v>
      </c>
      <c r="D62">
        <f t="shared" ca="1" si="3"/>
        <v>7343194</v>
      </c>
    </row>
    <row r="63" spans="1:4" x14ac:dyDescent="0.25">
      <c r="A63">
        <v>2020</v>
      </c>
      <c r="B63">
        <v>1</v>
      </c>
      <c r="C63">
        <v>1</v>
      </c>
      <c r="D63">
        <f t="shared" ca="1" si="3"/>
        <v>7267663</v>
      </c>
    </row>
    <row r="64" spans="1:4" x14ac:dyDescent="0.25">
      <c r="A64">
        <v>2021</v>
      </c>
      <c r="B64">
        <v>1</v>
      </c>
      <c r="C64">
        <v>1</v>
      </c>
      <c r="D64">
        <f t="shared" ca="1" si="3"/>
        <v>7248119</v>
      </c>
    </row>
    <row r="65" spans="1:4" x14ac:dyDescent="0.25">
      <c r="A65">
        <v>2022</v>
      </c>
      <c r="B65">
        <v>1</v>
      </c>
      <c r="C65">
        <v>1</v>
      </c>
      <c r="D65">
        <f t="shared" ca="1" si="3"/>
        <v>7151480</v>
      </c>
    </row>
    <row r="66" spans="1:4" x14ac:dyDescent="0.25">
      <c r="A66">
        <v>2023</v>
      </c>
      <c r="B66">
        <v>1</v>
      </c>
      <c r="C66">
        <v>1</v>
      </c>
      <c r="D66">
        <f t="shared" ca="1" si="3"/>
        <v>7077576</v>
      </c>
    </row>
    <row r="67" spans="1:4" x14ac:dyDescent="0.25">
      <c r="A67">
        <v>2024</v>
      </c>
      <c r="B67">
        <v>1</v>
      </c>
      <c r="C67">
        <v>1</v>
      </c>
      <c r="D67">
        <f t="shared" ca="1" si="3"/>
        <v>7008433</v>
      </c>
    </row>
    <row r="68" spans="1:4" x14ac:dyDescent="0.25">
      <c r="A68">
        <v>1980</v>
      </c>
      <c r="B68">
        <v>1</v>
      </c>
      <c r="C68">
        <v>3</v>
      </c>
      <c r="D68">
        <f ca="1">200000+RANDBETWEEN(-1000, 30000)</f>
        <v>201478</v>
      </c>
    </row>
    <row r="69" spans="1:4" x14ac:dyDescent="0.25">
      <c r="A69">
        <v>1981</v>
      </c>
      <c r="B69">
        <v>1</v>
      </c>
      <c r="C69">
        <v>3</v>
      </c>
      <c r="D69" s="7">
        <f ca="1">D68+RANDBETWEEN(-1000, 30000)</f>
        <v>213286</v>
      </c>
    </row>
    <row r="70" spans="1:4" x14ac:dyDescent="0.25">
      <c r="A70">
        <v>1982</v>
      </c>
      <c r="B70">
        <v>1</v>
      </c>
      <c r="C70">
        <v>3</v>
      </c>
      <c r="D70" s="7">
        <f t="shared" ref="D70:D80" ca="1" si="4">D69+RANDBETWEEN(-1000, 30000)</f>
        <v>219638</v>
      </c>
    </row>
    <row r="71" spans="1:4" x14ac:dyDescent="0.25">
      <c r="A71">
        <v>1983</v>
      </c>
      <c r="B71">
        <v>1</v>
      </c>
      <c r="C71">
        <v>3</v>
      </c>
      <c r="D71" s="7">
        <f t="shared" ca="1" si="4"/>
        <v>220172</v>
      </c>
    </row>
    <row r="72" spans="1:4" x14ac:dyDescent="0.25">
      <c r="A72">
        <v>1984</v>
      </c>
      <c r="B72">
        <v>1</v>
      </c>
      <c r="C72">
        <v>3</v>
      </c>
      <c r="D72" s="7">
        <f t="shared" ca="1" si="4"/>
        <v>235402</v>
      </c>
    </row>
    <row r="73" spans="1:4" x14ac:dyDescent="0.25">
      <c r="A73">
        <v>1985</v>
      </c>
      <c r="B73">
        <v>1</v>
      </c>
      <c r="C73">
        <v>3</v>
      </c>
      <c r="D73" s="7">
        <f t="shared" ca="1" si="4"/>
        <v>248645</v>
      </c>
    </row>
    <row r="74" spans="1:4" x14ac:dyDescent="0.25">
      <c r="A74">
        <v>1986</v>
      </c>
      <c r="B74">
        <v>1</v>
      </c>
      <c r="C74">
        <v>3</v>
      </c>
      <c r="D74" s="7">
        <f t="shared" ca="1" si="4"/>
        <v>275838</v>
      </c>
    </row>
    <row r="75" spans="1:4" x14ac:dyDescent="0.25">
      <c r="A75">
        <v>1987</v>
      </c>
      <c r="B75">
        <v>1</v>
      </c>
      <c r="C75">
        <v>3</v>
      </c>
      <c r="D75" s="7">
        <f t="shared" ca="1" si="4"/>
        <v>296399</v>
      </c>
    </row>
    <row r="76" spans="1:4" x14ac:dyDescent="0.25">
      <c r="A76">
        <v>1988</v>
      </c>
      <c r="B76">
        <v>1</v>
      </c>
      <c r="C76">
        <v>3</v>
      </c>
      <c r="D76" s="7">
        <f t="shared" ca="1" si="4"/>
        <v>306998</v>
      </c>
    </row>
    <row r="77" spans="1:4" x14ac:dyDescent="0.25">
      <c r="A77">
        <v>1989</v>
      </c>
      <c r="B77">
        <v>1</v>
      </c>
      <c r="C77">
        <v>3</v>
      </c>
      <c r="D77" s="7">
        <f t="shared" ca="1" si="4"/>
        <v>323243</v>
      </c>
    </row>
    <row r="78" spans="1:4" x14ac:dyDescent="0.25">
      <c r="A78">
        <v>1990</v>
      </c>
      <c r="B78">
        <v>1</v>
      </c>
      <c r="C78">
        <v>3</v>
      </c>
      <c r="D78" s="7">
        <f t="shared" ca="1" si="4"/>
        <v>343017</v>
      </c>
    </row>
    <row r="79" spans="1:4" x14ac:dyDescent="0.25">
      <c r="A79">
        <v>1991</v>
      </c>
      <c r="B79">
        <v>1</v>
      </c>
      <c r="C79">
        <v>3</v>
      </c>
      <c r="D79" s="7">
        <f t="shared" ca="1" si="4"/>
        <v>348377</v>
      </c>
    </row>
    <row r="80" spans="1:4" x14ac:dyDescent="0.25">
      <c r="A80">
        <v>1992</v>
      </c>
      <c r="B80">
        <v>1</v>
      </c>
      <c r="C80">
        <v>3</v>
      </c>
      <c r="D80" s="7">
        <f t="shared" ca="1" si="4"/>
        <v>370388</v>
      </c>
    </row>
    <row r="81" spans="1:4" x14ac:dyDescent="0.25">
      <c r="A81">
        <v>1993</v>
      </c>
      <c r="B81">
        <v>1</v>
      </c>
      <c r="C81">
        <v>3</v>
      </c>
      <c r="D81" s="8">
        <f ca="1">D80+RANDBETWEEN(-1000, 10000)</f>
        <v>375228</v>
      </c>
    </row>
    <row r="82" spans="1:4" x14ac:dyDescent="0.25">
      <c r="A82">
        <v>1994</v>
      </c>
      <c r="B82">
        <v>1</v>
      </c>
      <c r="C82">
        <v>3</v>
      </c>
      <c r="D82" s="8">
        <f t="shared" ref="D82:D90" ca="1" si="5">D81+RANDBETWEEN(-1000, 10000)</f>
        <v>377111</v>
      </c>
    </row>
    <row r="83" spans="1:4" x14ac:dyDescent="0.25">
      <c r="A83">
        <v>1995</v>
      </c>
      <c r="B83">
        <v>1</v>
      </c>
      <c r="C83">
        <v>3</v>
      </c>
      <c r="D83" s="8">
        <f t="shared" ca="1" si="5"/>
        <v>383007</v>
      </c>
    </row>
    <row r="84" spans="1:4" x14ac:dyDescent="0.25">
      <c r="A84">
        <v>1996</v>
      </c>
      <c r="B84">
        <v>1</v>
      </c>
      <c r="C84">
        <v>3</v>
      </c>
      <c r="D84" s="8">
        <f t="shared" ca="1" si="5"/>
        <v>390926</v>
      </c>
    </row>
    <row r="85" spans="1:4" x14ac:dyDescent="0.25">
      <c r="A85">
        <v>1997</v>
      </c>
      <c r="B85">
        <v>1</v>
      </c>
      <c r="C85">
        <v>3</v>
      </c>
      <c r="D85" s="8">
        <f t="shared" ca="1" si="5"/>
        <v>390555</v>
      </c>
    </row>
    <row r="86" spans="1:4" x14ac:dyDescent="0.25">
      <c r="A86">
        <v>1998</v>
      </c>
      <c r="B86">
        <v>1</v>
      </c>
      <c r="C86">
        <v>3</v>
      </c>
      <c r="D86" s="8">
        <f t="shared" ca="1" si="5"/>
        <v>394539</v>
      </c>
    </row>
    <row r="87" spans="1:4" x14ac:dyDescent="0.25">
      <c r="A87">
        <v>1999</v>
      </c>
      <c r="B87">
        <v>1</v>
      </c>
      <c r="C87">
        <v>3</v>
      </c>
      <c r="D87" s="8">
        <f t="shared" ca="1" si="5"/>
        <v>403564</v>
      </c>
    </row>
    <row r="88" spans="1:4" x14ac:dyDescent="0.25">
      <c r="A88">
        <v>2000</v>
      </c>
      <c r="B88">
        <v>1</v>
      </c>
      <c r="C88">
        <v>3</v>
      </c>
      <c r="D88" s="8">
        <f t="shared" ca="1" si="5"/>
        <v>406968</v>
      </c>
    </row>
    <row r="89" spans="1:4" x14ac:dyDescent="0.25">
      <c r="A89">
        <v>2001</v>
      </c>
      <c r="B89">
        <v>1</v>
      </c>
      <c r="C89">
        <v>3</v>
      </c>
      <c r="D89" s="8">
        <f t="shared" ca="1" si="5"/>
        <v>412841</v>
      </c>
    </row>
    <row r="90" spans="1:4" x14ac:dyDescent="0.25">
      <c r="A90">
        <v>2002</v>
      </c>
      <c r="B90">
        <v>1</v>
      </c>
      <c r="C90">
        <v>3</v>
      </c>
      <c r="D90" s="8">
        <f t="shared" ca="1" si="5"/>
        <v>422791</v>
      </c>
    </row>
    <row r="91" spans="1:4" x14ac:dyDescent="0.25">
      <c r="A91">
        <v>2003</v>
      </c>
      <c r="B91">
        <v>1</v>
      </c>
      <c r="C91">
        <v>3</v>
      </c>
      <c r="D91" s="7">
        <f ca="1">D90+RANDBETWEEN(-5000, 1000)</f>
        <v>420978</v>
      </c>
    </row>
    <row r="92" spans="1:4" x14ac:dyDescent="0.25">
      <c r="A92">
        <v>2004</v>
      </c>
      <c r="B92">
        <v>1</v>
      </c>
      <c r="C92">
        <v>3</v>
      </c>
      <c r="D92" s="7">
        <f t="shared" ref="D92:D112" ca="1" si="6">D91+RANDBETWEEN(-5000, 1000)</f>
        <v>421006</v>
      </c>
    </row>
    <row r="93" spans="1:4" x14ac:dyDescent="0.25">
      <c r="A93">
        <v>2005</v>
      </c>
      <c r="B93">
        <v>1</v>
      </c>
      <c r="C93">
        <v>3</v>
      </c>
      <c r="D93" s="7">
        <f t="shared" ca="1" si="6"/>
        <v>419841</v>
      </c>
    </row>
    <row r="94" spans="1:4" x14ac:dyDescent="0.25">
      <c r="A94">
        <v>2006</v>
      </c>
      <c r="B94">
        <v>1</v>
      </c>
      <c r="C94">
        <v>3</v>
      </c>
      <c r="D94" s="7">
        <f t="shared" ca="1" si="6"/>
        <v>415567</v>
      </c>
    </row>
    <row r="95" spans="1:4" x14ac:dyDescent="0.25">
      <c r="A95">
        <v>2007</v>
      </c>
      <c r="B95">
        <v>1</v>
      </c>
      <c r="C95">
        <v>3</v>
      </c>
      <c r="D95" s="7">
        <f t="shared" ca="1" si="6"/>
        <v>411065</v>
      </c>
    </row>
    <row r="96" spans="1:4" x14ac:dyDescent="0.25">
      <c r="A96">
        <v>2008</v>
      </c>
      <c r="B96">
        <v>1</v>
      </c>
      <c r="C96">
        <v>3</v>
      </c>
      <c r="D96" s="7">
        <f t="shared" ca="1" si="6"/>
        <v>407254</v>
      </c>
    </row>
    <row r="97" spans="1:4" x14ac:dyDescent="0.25">
      <c r="A97">
        <v>2009</v>
      </c>
      <c r="B97">
        <v>1</v>
      </c>
      <c r="C97">
        <v>3</v>
      </c>
      <c r="D97" s="7">
        <f t="shared" ca="1" si="6"/>
        <v>404664</v>
      </c>
    </row>
    <row r="98" spans="1:4" x14ac:dyDescent="0.25">
      <c r="A98">
        <v>2010</v>
      </c>
      <c r="B98">
        <v>1</v>
      </c>
      <c r="C98">
        <v>3</v>
      </c>
      <c r="D98" s="7">
        <f t="shared" ca="1" si="6"/>
        <v>401530</v>
      </c>
    </row>
    <row r="99" spans="1:4" x14ac:dyDescent="0.25">
      <c r="A99">
        <v>2011</v>
      </c>
      <c r="B99">
        <v>1</v>
      </c>
      <c r="C99">
        <v>3</v>
      </c>
      <c r="D99" s="7">
        <f t="shared" ca="1" si="6"/>
        <v>399321</v>
      </c>
    </row>
    <row r="100" spans="1:4" x14ac:dyDescent="0.25">
      <c r="A100">
        <v>2012</v>
      </c>
      <c r="B100">
        <v>1</v>
      </c>
      <c r="C100">
        <v>3</v>
      </c>
      <c r="D100" s="7">
        <f t="shared" ca="1" si="6"/>
        <v>396994</v>
      </c>
    </row>
    <row r="101" spans="1:4" x14ac:dyDescent="0.25">
      <c r="A101">
        <v>2013</v>
      </c>
      <c r="B101">
        <v>1</v>
      </c>
      <c r="C101">
        <v>3</v>
      </c>
      <c r="D101" s="7">
        <f t="shared" ca="1" si="6"/>
        <v>393639</v>
      </c>
    </row>
    <row r="102" spans="1:4" x14ac:dyDescent="0.25">
      <c r="A102">
        <v>2014</v>
      </c>
      <c r="B102">
        <v>1</v>
      </c>
      <c r="C102">
        <v>3</v>
      </c>
      <c r="D102" s="7">
        <f t="shared" ca="1" si="6"/>
        <v>393737</v>
      </c>
    </row>
    <row r="103" spans="1:4" x14ac:dyDescent="0.25">
      <c r="A103">
        <v>2015</v>
      </c>
      <c r="B103">
        <v>1</v>
      </c>
      <c r="C103">
        <v>3</v>
      </c>
      <c r="D103" s="7">
        <f t="shared" ca="1" si="6"/>
        <v>393757</v>
      </c>
    </row>
    <row r="104" spans="1:4" x14ac:dyDescent="0.25">
      <c r="A104">
        <v>2016</v>
      </c>
      <c r="B104">
        <v>1</v>
      </c>
      <c r="C104">
        <v>3</v>
      </c>
      <c r="D104" s="7">
        <f t="shared" ca="1" si="6"/>
        <v>394663</v>
      </c>
    </row>
    <row r="105" spans="1:4" x14ac:dyDescent="0.25">
      <c r="A105">
        <v>2017</v>
      </c>
      <c r="B105">
        <v>1</v>
      </c>
      <c r="C105">
        <v>3</v>
      </c>
      <c r="D105" s="7">
        <f t="shared" ca="1" si="6"/>
        <v>392120</v>
      </c>
    </row>
    <row r="106" spans="1:4" x14ac:dyDescent="0.25">
      <c r="A106">
        <v>2018</v>
      </c>
      <c r="B106">
        <v>1</v>
      </c>
      <c r="C106">
        <v>3</v>
      </c>
      <c r="D106" s="7">
        <f t="shared" ca="1" si="6"/>
        <v>391466</v>
      </c>
    </row>
    <row r="107" spans="1:4" x14ac:dyDescent="0.25">
      <c r="A107">
        <v>2019</v>
      </c>
      <c r="B107">
        <v>1</v>
      </c>
      <c r="C107">
        <v>3</v>
      </c>
      <c r="D107" s="7">
        <f t="shared" ca="1" si="6"/>
        <v>386608</v>
      </c>
    </row>
    <row r="108" spans="1:4" x14ac:dyDescent="0.25">
      <c r="A108">
        <v>2020</v>
      </c>
      <c r="B108">
        <v>1</v>
      </c>
      <c r="C108">
        <v>3</v>
      </c>
      <c r="D108" s="7">
        <f t="shared" ca="1" si="6"/>
        <v>386530</v>
      </c>
    </row>
    <row r="109" spans="1:4" x14ac:dyDescent="0.25">
      <c r="A109">
        <v>2021</v>
      </c>
      <c r="B109">
        <v>1</v>
      </c>
      <c r="C109">
        <v>3</v>
      </c>
      <c r="D109" s="7">
        <f t="shared" ca="1" si="6"/>
        <v>383488</v>
      </c>
    </row>
    <row r="110" spans="1:4" x14ac:dyDescent="0.25">
      <c r="A110">
        <v>2022</v>
      </c>
      <c r="B110">
        <v>1</v>
      </c>
      <c r="C110">
        <v>3</v>
      </c>
      <c r="D110" s="7">
        <f t="shared" ca="1" si="6"/>
        <v>380964</v>
      </c>
    </row>
    <row r="111" spans="1:4" x14ac:dyDescent="0.25">
      <c r="A111">
        <v>2023</v>
      </c>
      <c r="B111">
        <v>1</v>
      </c>
      <c r="C111">
        <v>3</v>
      </c>
      <c r="D111" s="7">
        <f t="shared" ca="1" si="6"/>
        <v>376265</v>
      </c>
    </row>
    <row r="112" spans="1:4" x14ac:dyDescent="0.25">
      <c r="A112">
        <v>2024</v>
      </c>
      <c r="B112">
        <v>1</v>
      </c>
      <c r="C112">
        <v>3</v>
      </c>
      <c r="D112" s="7">
        <f t="shared" ca="1" si="6"/>
        <v>374960</v>
      </c>
    </row>
  </sheetData>
  <mergeCells count="1">
    <mergeCell ref="A1:U1"/>
  </mergeCells>
  <pageMargins left="0.7" right="0.7" top="0.75" bottom="0.75" header="0.3" footer="0.3"/>
  <pageSetup paperSize="9" orientation="portrait" horizontalDpi="300" verticalDpi="300"/>
  <headerFooter scaleWithDoc="0" alignWithMargins="0">
    <oddHeader>&amp;C&amp;"Aptos"&amp;12&amp;KFF0000 OFFICIAL&amp;1#_x000D_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137"/>
  <sheetViews>
    <sheetView workbookViewId="0">
      <pane ySplit="2" topLeftCell="A3" activePane="bottomLeft" state="frozen"/>
      <selection pane="bottomLeft" activeCell="F13" sqref="F13:F137"/>
    </sheetView>
  </sheetViews>
  <sheetFormatPr defaultColWidth="11.42578125" defaultRowHeight="15" x14ac:dyDescent="0.25"/>
  <cols>
    <col min="1" max="1" width="14.5703125" customWidth="1"/>
  </cols>
  <sheetData>
    <row r="1" spans="1:21" x14ac:dyDescent="0.25">
      <c r="A1" s="10" t="s">
        <v>308</v>
      </c>
      <c r="B1" s="11"/>
      <c r="C1" s="11"/>
      <c r="D1" s="11"/>
      <c r="E1" s="11"/>
      <c r="F1" s="11"/>
      <c r="G1" s="11"/>
      <c r="H1" s="11"/>
      <c r="I1" s="11"/>
      <c r="J1" s="11"/>
      <c r="K1" s="11"/>
      <c r="L1" s="11"/>
      <c r="M1" s="11"/>
      <c r="N1" s="11"/>
      <c r="O1" s="11"/>
      <c r="P1" s="11"/>
      <c r="Q1" s="11"/>
      <c r="R1" s="11"/>
      <c r="S1" s="11"/>
      <c r="T1" s="11"/>
      <c r="U1" s="11"/>
    </row>
    <row r="2" spans="1:21" x14ac:dyDescent="0.25">
      <c r="A2" t="s">
        <v>309</v>
      </c>
      <c r="B2" t="s">
        <v>258</v>
      </c>
      <c r="C2" t="s">
        <v>103</v>
      </c>
      <c r="D2" t="s">
        <v>310</v>
      </c>
      <c r="E2" t="s">
        <v>311</v>
      </c>
      <c r="F2" t="s">
        <v>312</v>
      </c>
      <c r="G2" t="s">
        <v>313</v>
      </c>
    </row>
    <row r="3" spans="1:21" x14ac:dyDescent="0.25">
      <c r="A3">
        <v>0</v>
      </c>
      <c r="B3">
        <v>1</v>
      </c>
      <c r="C3">
        <v>0</v>
      </c>
      <c r="D3">
        <v>1960</v>
      </c>
      <c r="E3">
        <v>1</v>
      </c>
      <c r="F3">
        <v>0.42715553489211999</v>
      </c>
      <c r="G3">
        <v>0.13781544979354199</v>
      </c>
    </row>
    <row r="4" spans="1:21" x14ac:dyDescent="0.25">
      <c r="A4">
        <v>0</v>
      </c>
      <c r="B4">
        <v>1</v>
      </c>
      <c r="C4">
        <v>0</v>
      </c>
      <c r="D4">
        <v>1961</v>
      </c>
      <c r="E4">
        <v>1</v>
      </c>
      <c r="F4">
        <v>0.60846668656264302</v>
      </c>
      <c r="G4">
        <v>0.13519110136513901</v>
      </c>
    </row>
    <row r="5" spans="1:21" x14ac:dyDescent="0.25">
      <c r="A5">
        <v>0</v>
      </c>
      <c r="B5">
        <v>1</v>
      </c>
      <c r="C5">
        <v>0</v>
      </c>
      <c r="D5">
        <v>1962</v>
      </c>
      <c r="E5">
        <v>1</v>
      </c>
      <c r="F5">
        <v>0.27151724249213599</v>
      </c>
      <c r="G5">
        <v>0.28829155393706701</v>
      </c>
    </row>
    <row r="6" spans="1:21" x14ac:dyDescent="0.25">
      <c r="A6">
        <v>0</v>
      </c>
      <c r="B6">
        <v>1</v>
      </c>
      <c r="C6">
        <v>0</v>
      </c>
      <c r="D6">
        <v>1963</v>
      </c>
      <c r="E6">
        <v>1</v>
      </c>
      <c r="F6">
        <v>0.30894434208472199</v>
      </c>
      <c r="G6">
        <v>0.19956389441769801</v>
      </c>
    </row>
    <row r="7" spans="1:21" x14ac:dyDescent="0.25">
      <c r="A7">
        <v>0</v>
      </c>
      <c r="B7">
        <v>1</v>
      </c>
      <c r="C7">
        <v>0</v>
      </c>
      <c r="D7">
        <v>1964</v>
      </c>
      <c r="E7">
        <v>1</v>
      </c>
      <c r="F7">
        <v>0.42208881111156599</v>
      </c>
      <c r="G7">
        <v>0.121277764357951</v>
      </c>
    </row>
    <row r="8" spans="1:21" x14ac:dyDescent="0.25">
      <c r="A8">
        <v>0</v>
      </c>
      <c r="B8">
        <v>1</v>
      </c>
      <c r="C8">
        <v>0</v>
      </c>
      <c r="D8">
        <v>1965</v>
      </c>
      <c r="E8">
        <v>1</v>
      </c>
      <c r="F8">
        <v>0.25209887455632402</v>
      </c>
      <c r="G8">
        <v>0.156202254295742</v>
      </c>
    </row>
    <row r="9" spans="1:21" x14ac:dyDescent="0.25">
      <c r="A9">
        <v>0</v>
      </c>
      <c r="B9">
        <v>1</v>
      </c>
      <c r="C9">
        <v>0</v>
      </c>
      <c r="D9">
        <v>1966</v>
      </c>
      <c r="E9">
        <v>1</v>
      </c>
      <c r="F9">
        <v>0.25893957861136402</v>
      </c>
      <c r="G9">
        <v>0.13966010035649301</v>
      </c>
    </row>
    <row r="10" spans="1:21" x14ac:dyDescent="0.25">
      <c r="A10">
        <v>0</v>
      </c>
      <c r="B10">
        <v>1</v>
      </c>
      <c r="C10">
        <v>0</v>
      </c>
      <c r="D10">
        <v>1967</v>
      </c>
      <c r="E10">
        <v>1</v>
      </c>
      <c r="F10">
        <v>0.190567660370771</v>
      </c>
      <c r="G10">
        <v>0.19916068930574601</v>
      </c>
    </row>
    <row r="11" spans="1:21" x14ac:dyDescent="0.25">
      <c r="A11">
        <v>0</v>
      </c>
      <c r="B11">
        <v>1</v>
      </c>
      <c r="C11">
        <v>0</v>
      </c>
      <c r="D11">
        <v>1968</v>
      </c>
      <c r="E11">
        <v>1</v>
      </c>
      <c r="F11">
        <v>3.4070374153251398E-2</v>
      </c>
      <c r="G11">
        <v>0.678265370202627</v>
      </c>
    </row>
    <row r="12" spans="1:21" x14ac:dyDescent="0.25">
      <c r="A12">
        <v>0</v>
      </c>
      <c r="B12">
        <v>1</v>
      </c>
      <c r="C12">
        <v>0</v>
      </c>
      <c r="D12">
        <v>1969</v>
      </c>
      <c r="E12">
        <v>1</v>
      </c>
      <c r="F12">
        <v>0.311513938315297</v>
      </c>
      <c r="G12">
        <v>0.105445402388682</v>
      </c>
    </row>
    <row r="13" spans="1:21" x14ac:dyDescent="0.25">
      <c r="A13">
        <v>0</v>
      </c>
      <c r="B13">
        <v>1</v>
      </c>
      <c r="C13">
        <v>0</v>
      </c>
      <c r="D13">
        <v>1970</v>
      </c>
      <c r="E13">
        <v>1</v>
      </c>
      <c r="F13">
        <v>1.6309238399999999</v>
      </c>
      <c r="G13">
        <v>0.105282913678278</v>
      </c>
    </row>
    <row r="14" spans="1:21" x14ac:dyDescent="0.25">
      <c r="A14">
        <v>0</v>
      </c>
      <c r="B14">
        <v>1</v>
      </c>
      <c r="C14">
        <v>0</v>
      </c>
      <c r="D14">
        <v>1971</v>
      </c>
      <c r="E14">
        <v>1</v>
      </c>
      <c r="F14">
        <v>1.4897862599999998</v>
      </c>
      <c r="G14">
        <v>0.13898731496998901</v>
      </c>
    </row>
    <row r="15" spans="1:21" x14ac:dyDescent="0.25">
      <c r="A15">
        <v>0</v>
      </c>
      <c r="B15">
        <v>1</v>
      </c>
      <c r="C15">
        <v>0</v>
      </c>
      <c r="D15">
        <v>1972</v>
      </c>
      <c r="E15">
        <v>1</v>
      </c>
      <c r="F15">
        <v>1.0394508599999996</v>
      </c>
      <c r="G15">
        <v>0.28145656391721702</v>
      </c>
    </row>
    <row r="16" spans="1:21" x14ac:dyDescent="0.25">
      <c r="A16">
        <v>0</v>
      </c>
      <c r="B16">
        <v>1</v>
      </c>
      <c r="C16">
        <v>0</v>
      </c>
      <c r="D16">
        <v>1973</v>
      </c>
      <c r="E16">
        <v>1</v>
      </c>
      <c r="F16">
        <v>1.3988766399999997</v>
      </c>
      <c r="G16">
        <v>0.34327038609194999</v>
      </c>
    </row>
    <row r="17" spans="1:7" x14ac:dyDescent="0.25">
      <c r="A17">
        <v>0</v>
      </c>
      <c r="B17">
        <v>1</v>
      </c>
      <c r="C17">
        <v>0</v>
      </c>
      <c r="D17">
        <v>1974</v>
      </c>
      <c r="E17">
        <v>1</v>
      </c>
      <c r="F17">
        <v>1.7895168899999998</v>
      </c>
      <c r="G17">
        <v>5.73714976830954E-2</v>
      </c>
    </row>
    <row r="18" spans="1:7" x14ac:dyDescent="0.25">
      <c r="A18">
        <v>0</v>
      </c>
      <c r="B18">
        <v>1</v>
      </c>
      <c r="C18">
        <v>0</v>
      </c>
      <c r="D18">
        <v>1975</v>
      </c>
      <c r="E18">
        <v>1</v>
      </c>
      <c r="F18">
        <v>1.9392752699999998</v>
      </c>
      <c r="G18">
        <v>6.3059031628240197E-2</v>
      </c>
    </row>
    <row r="19" spans="1:7" x14ac:dyDescent="0.25">
      <c r="A19">
        <v>0</v>
      </c>
      <c r="B19">
        <v>1</v>
      </c>
      <c r="C19">
        <v>0</v>
      </c>
      <c r="D19">
        <v>1976</v>
      </c>
      <c r="E19">
        <v>1</v>
      </c>
      <c r="F19">
        <v>1.7035243499999999</v>
      </c>
      <c r="G19">
        <v>4.98105833524463E-2</v>
      </c>
    </row>
    <row r="20" spans="1:7" x14ac:dyDescent="0.25">
      <c r="A20">
        <v>0</v>
      </c>
      <c r="B20">
        <v>1</v>
      </c>
      <c r="C20">
        <v>0</v>
      </c>
      <c r="D20">
        <v>1977</v>
      </c>
      <c r="E20">
        <v>1</v>
      </c>
      <c r="F20">
        <v>1.43163153</v>
      </c>
      <c r="G20">
        <v>3.9461338436437801E-2</v>
      </c>
    </row>
    <row r="21" spans="1:7" x14ac:dyDescent="0.25">
      <c r="A21">
        <v>0</v>
      </c>
      <c r="B21">
        <v>1</v>
      </c>
      <c r="C21">
        <v>0</v>
      </c>
      <c r="D21">
        <v>1978</v>
      </c>
      <c r="E21">
        <v>1</v>
      </c>
      <c r="F21">
        <v>1.1938930200000002</v>
      </c>
      <c r="G21">
        <v>3.9034571785991901E-2</v>
      </c>
    </row>
    <row r="22" spans="1:7" x14ac:dyDescent="0.25">
      <c r="A22">
        <v>0</v>
      </c>
      <c r="B22">
        <v>1</v>
      </c>
      <c r="C22">
        <v>0</v>
      </c>
      <c r="D22">
        <v>1979</v>
      </c>
      <c r="E22">
        <v>1</v>
      </c>
      <c r="F22">
        <v>1.20540728</v>
      </c>
      <c r="G22">
        <v>3.6976973168407298E-2</v>
      </c>
    </row>
    <row r="23" spans="1:7" x14ac:dyDescent="0.25">
      <c r="A23">
        <v>0</v>
      </c>
      <c r="B23">
        <v>1</v>
      </c>
      <c r="C23">
        <v>0</v>
      </c>
      <c r="D23">
        <v>1980</v>
      </c>
      <c r="E23">
        <v>1</v>
      </c>
      <c r="F23">
        <v>1.2575484000000001</v>
      </c>
      <c r="G23">
        <v>3.62608536937747E-2</v>
      </c>
    </row>
    <row r="24" spans="1:7" x14ac:dyDescent="0.25">
      <c r="A24">
        <v>0</v>
      </c>
      <c r="B24">
        <v>1</v>
      </c>
      <c r="C24">
        <v>0</v>
      </c>
      <c r="D24">
        <v>1981</v>
      </c>
      <c r="E24">
        <v>1</v>
      </c>
      <c r="F24">
        <v>0.99791734000000021</v>
      </c>
      <c r="G24">
        <v>3.6455751062585001E-2</v>
      </c>
    </row>
    <row r="25" spans="1:7" x14ac:dyDescent="0.25">
      <c r="A25">
        <v>0</v>
      </c>
      <c r="B25">
        <v>1</v>
      </c>
      <c r="C25">
        <v>0</v>
      </c>
      <c r="D25">
        <v>1982</v>
      </c>
      <c r="E25">
        <v>1</v>
      </c>
      <c r="F25">
        <v>0.65160909000000011</v>
      </c>
      <c r="G25">
        <v>3.8212015336421101E-2</v>
      </c>
    </row>
    <row r="26" spans="1:7" x14ac:dyDescent="0.25">
      <c r="A26">
        <v>0</v>
      </c>
      <c r="B26">
        <v>1</v>
      </c>
      <c r="C26">
        <v>0</v>
      </c>
      <c r="D26">
        <v>1983</v>
      </c>
      <c r="E26">
        <v>1</v>
      </c>
      <c r="F26">
        <v>0.76561920000000017</v>
      </c>
      <c r="G26">
        <v>3.6664491079729397E-2</v>
      </c>
    </row>
    <row r="27" spans="1:7" x14ac:dyDescent="0.25">
      <c r="A27">
        <v>0</v>
      </c>
      <c r="B27">
        <v>1</v>
      </c>
      <c r="C27">
        <v>0</v>
      </c>
      <c r="D27">
        <v>1984</v>
      </c>
      <c r="E27">
        <v>1</v>
      </c>
      <c r="F27">
        <v>0.89206080000000021</v>
      </c>
      <c r="G27">
        <v>3.52570136358141E-2</v>
      </c>
    </row>
    <row r="28" spans="1:7" x14ac:dyDescent="0.25">
      <c r="A28">
        <v>0</v>
      </c>
      <c r="B28">
        <v>1</v>
      </c>
      <c r="C28">
        <v>0</v>
      </c>
      <c r="D28">
        <v>1985</v>
      </c>
      <c r="E28">
        <v>1</v>
      </c>
      <c r="F28">
        <v>0.61523578000000012</v>
      </c>
      <c r="G28">
        <v>3.6754413042365097E-2</v>
      </c>
    </row>
    <row r="29" spans="1:7" x14ac:dyDescent="0.25">
      <c r="A29">
        <v>0</v>
      </c>
      <c r="B29">
        <v>1</v>
      </c>
      <c r="C29">
        <v>0</v>
      </c>
      <c r="D29">
        <v>1986</v>
      </c>
      <c r="E29">
        <v>1</v>
      </c>
      <c r="F29">
        <v>0.42026160000000012</v>
      </c>
      <c r="G29">
        <v>3.5867045574679499E-2</v>
      </c>
    </row>
    <row r="30" spans="1:7" x14ac:dyDescent="0.25">
      <c r="A30">
        <v>0</v>
      </c>
      <c r="B30">
        <v>1</v>
      </c>
      <c r="C30">
        <v>0</v>
      </c>
      <c r="D30">
        <v>1987</v>
      </c>
      <c r="E30">
        <v>1</v>
      </c>
      <c r="F30">
        <v>0.5028357</v>
      </c>
      <c r="G30">
        <v>3.68834621281032E-2</v>
      </c>
    </row>
    <row r="31" spans="1:7" x14ac:dyDescent="0.25">
      <c r="A31">
        <v>0</v>
      </c>
      <c r="B31">
        <v>1</v>
      </c>
      <c r="C31">
        <v>0</v>
      </c>
      <c r="D31">
        <v>1988</v>
      </c>
      <c r="E31">
        <v>1</v>
      </c>
      <c r="F31">
        <v>0.27189001000000007</v>
      </c>
      <c r="G31">
        <v>3.4814045365903899E-2</v>
      </c>
    </row>
    <row r="32" spans="1:7" x14ac:dyDescent="0.25">
      <c r="A32">
        <v>0</v>
      </c>
      <c r="B32">
        <v>1</v>
      </c>
      <c r="C32">
        <v>0</v>
      </c>
      <c r="D32">
        <v>1989</v>
      </c>
      <c r="E32">
        <v>1</v>
      </c>
      <c r="F32">
        <v>0.18319680000000005</v>
      </c>
      <c r="G32">
        <v>6.4158715969505301E-2</v>
      </c>
    </row>
    <row r="33" spans="1:7" x14ac:dyDescent="0.25">
      <c r="A33">
        <v>0</v>
      </c>
      <c r="B33">
        <v>1</v>
      </c>
      <c r="C33">
        <v>0</v>
      </c>
      <c r="D33">
        <v>1990</v>
      </c>
      <c r="E33">
        <v>1</v>
      </c>
      <c r="F33">
        <v>0.42192593000000006</v>
      </c>
      <c r="G33">
        <v>6.0715890152875797E-2</v>
      </c>
    </row>
    <row r="34" spans="1:7" x14ac:dyDescent="0.25">
      <c r="A34">
        <v>0</v>
      </c>
      <c r="B34">
        <v>1</v>
      </c>
      <c r="C34">
        <v>0</v>
      </c>
      <c r="D34">
        <v>1991</v>
      </c>
      <c r="E34">
        <v>1</v>
      </c>
      <c r="F34">
        <v>0.49748436000000007</v>
      </c>
      <c r="G34">
        <v>7.9180828054307401E-2</v>
      </c>
    </row>
    <row r="35" spans="1:7" x14ac:dyDescent="0.25">
      <c r="A35">
        <v>0</v>
      </c>
      <c r="B35">
        <v>1</v>
      </c>
      <c r="C35">
        <v>0</v>
      </c>
      <c r="D35">
        <v>1992</v>
      </c>
      <c r="E35">
        <v>1</v>
      </c>
      <c r="F35">
        <v>0.61414336000000003</v>
      </c>
      <c r="G35">
        <v>6.9196408335781306E-2</v>
      </c>
    </row>
    <row r="36" spans="1:7" x14ac:dyDescent="0.25">
      <c r="A36">
        <v>0</v>
      </c>
      <c r="B36">
        <v>1</v>
      </c>
      <c r="C36">
        <v>0</v>
      </c>
      <c r="D36">
        <v>1993</v>
      </c>
      <c r="E36">
        <v>1</v>
      </c>
      <c r="F36">
        <v>0.56436158000000003</v>
      </c>
      <c r="G36">
        <v>6.6871695365603306E-2</v>
      </c>
    </row>
    <row r="37" spans="1:7" x14ac:dyDescent="0.25">
      <c r="A37">
        <v>0</v>
      </c>
      <c r="B37">
        <v>1</v>
      </c>
      <c r="C37">
        <v>0</v>
      </c>
      <c r="D37">
        <v>1994</v>
      </c>
      <c r="E37">
        <v>1</v>
      </c>
      <c r="F37">
        <v>0.29769142000000004</v>
      </c>
      <c r="G37">
        <v>6.0484186873481303E-2</v>
      </c>
    </row>
    <row r="38" spans="1:7" x14ac:dyDescent="0.25">
      <c r="A38">
        <v>0</v>
      </c>
      <c r="B38">
        <v>1</v>
      </c>
      <c r="C38">
        <v>0</v>
      </c>
      <c r="D38">
        <v>1995</v>
      </c>
      <c r="E38">
        <v>1</v>
      </c>
      <c r="F38">
        <v>0.31855290000000003</v>
      </c>
      <c r="G38">
        <v>6.4066071664348898E-2</v>
      </c>
    </row>
    <row r="39" spans="1:7" x14ac:dyDescent="0.25">
      <c r="A39">
        <v>0</v>
      </c>
      <c r="B39">
        <v>1</v>
      </c>
      <c r="C39">
        <v>0</v>
      </c>
      <c r="D39">
        <v>1996</v>
      </c>
      <c r="E39">
        <v>1</v>
      </c>
      <c r="F39">
        <v>0.17624439</v>
      </c>
      <c r="G39">
        <v>5.5072101775418901E-2</v>
      </c>
    </row>
    <row r="40" spans="1:7" x14ac:dyDescent="0.25">
      <c r="A40">
        <v>0</v>
      </c>
      <c r="B40">
        <v>1</v>
      </c>
      <c r="C40">
        <v>0</v>
      </c>
      <c r="D40">
        <v>1997</v>
      </c>
      <c r="E40">
        <v>1</v>
      </c>
      <c r="F40">
        <v>0.26826761999999998</v>
      </c>
      <c r="G40">
        <v>7.5441305939775799E-2</v>
      </c>
    </row>
    <row r="41" spans="1:7" x14ac:dyDescent="0.25">
      <c r="A41">
        <v>0</v>
      </c>
      <c r="B41">
        <v>1</v>
      </c>
      <c r="C41">
        <v>0</v>
      </c>
      <c r="D41">
        <v>1998</v>
      </c>
      <c r="E41">
        <v>1</v>
      </c>
      <c r="F41">
        <v>0.26521261799999996</v>
      </c>
      <c r="G41">
        <v>8.4727445773459198E-2</v>
      </c>
    </row>
    <row r="42" spans="1:7" x14ac:dyDescent="0.25">
      <c r="A42">
        <v>0</v>
      </c>
      <c r="B42">
        <v>1</v>
      </c>
      <c r="C42">
        <v>0</v>
      </c>
      <c r="D42">
        <v>1999</v>
      </c>
      <c r="E42">
        <v>1</v>
      </c>
      <c r="F42">
        <v>0.36258623400000001</v>
      </c>
      <c r="G42">
        <v>5.1622558464541002E-2</v>
      </c>
    </row>
    <row r="43" spans="1:7" x14ac:dyDescent="0.25">
      <c r="A43">
        <v>0</v>
      </c>
      <c r="B43">
        <v>1</v>
      </c>
      <c r="C43">
        <v>0</v>
      </c>
      <c r="D43">
        <v>2000</v>
      </c>
      <c r="E43">
        <v>1</v>
      </c>
      <c r="F43">
        <v>0.36758817199999999</v>
      </c>
      <c r="G43">
        <v>6.0917450393643803E-2</v>
      </c>
    </row>
    <row r="44" spans="1:7" x14ac:dyDescent="0.25">
      <c r="A44">
        <v>0</v>
      </c>
      <c r="B44">
        <v>1</v>
      </c>
      <c r="C44">
        <v>0</v>
      </c>
      <c r="D44">
        <v>2001</v>
      </c>
      <c r="E44">
        <v>1</v>
      </c>
      <c r="F44">
        <v>0.34205024699999997</v>
      </c>
      <c r="G44">
        <v>4.9260698216010999E-2</v>
      </c>
    </row>
    <row r="45" spans="1:7" x14ac:dyDescent="0.25">
      <c r="A45">
        <v>0</v>
      </c>
      <c r="B45">
        <v>1</v>
      </c>
      <c r="C45">
        <v>0</v>
      </c>
      <c r="D45">
        <v>2002</v>
      </c>
      <c r="E45">
        <v>1</v>
      </c>
      <c r="F45">
        <v>0.32442571799999997</v>
      </c>
      <c r="G45">
        <v>4.6924571013520003E-2</v>
      </c>
    </row>
    <row r="46" spans="1:7" x14ac:dyDescent="0.25">
      <c r="A46">
        <v>0</v>
      </c>
      <c r="B46">
        <v>1</v>
      </c>
      <c r="C46">
        <v>0</v>
      </c>
      <c r="D46">
        <v>2003</v>
      </c>
      <c r="E46">
        <v>1</v>
      </c>
      <c r="F46">
        <v>0.31905019000000001</v>
      </c>
      <c r="G46">
        <v>4.8371763112814298E-2</v>
      </c>
    </row>
    <row r="47" spans="1:7" x14ac:dyDescent="0.25">
      <c r="A47">
        <v>0</v>
      </c>
      <c r="B47">
        <v>1</v>
      </c>
      <c r="C47">
        <v>0</v>
      </c>
      <c r="D47">
        <v>2004</v>
      </c>
      <c r="E47">
        <v>1</v>
      </c>
      <c r="F47">
        <v>0.338501889</v>
      </c>
      <c r="G47">
        <v>5.7052116920408097E-2</v>
      </c>
    </row>
    <row r="48" spans="1:7" x14ac:dyDescent="0.25">
      <c r="A48">
        <v>0</v>
      </c>
      <c r="B48">
        <v>1</v>
      </c>
      <c r="C48">
        <v>0</v>
      </c>
      <c r="D48">
        <v>2005</v>
      </c>
      <c r="E48">
        <v>1</v>
      </c>
      <c r="F48">
        <v>0.27548532999999997</v>
      </c>
      <c r="G48">
        <v>4.78655433057407E-2</v>
      </c>
    </row>
    <row r="49" spans="1:7" x14ac:dyDescent="0.25">
      <c r="A49">
        <v>0</v>
      </c>
      <c r="B49">
        <v>1</v>
      </c>
      <c r="C49">
        <v>0</v>
      </c>
      <c r="D49">
        <v>2006</v>
      </c>
      <c r="E49">
        <v>1</v>
      </c>
      <c r="F49">
        <v>0.32198900999999996</v>
      </c>
      <c r="G49">
        <v>4.2053375280584997E-2</v>
      </c>
    </row>
    <row r="50" spans="1:7" x14ac:dyDescent="0.25">
      <c r="A50">
        <v>0</v>
      </c>
      <c r="B50">
        <v>1</v>
      </c>
      <c r="C50">
        <v>0</v>
      </c>
      <c r="D50">
        <v>2007</v>
      </c>
      <c r="E50">
        <v>1</v>
      </c>
      <c r="F50">
        <v>0.30394582399999998</v>
      </c>
      <c r="G50">
        <v>4.2968231878700802E-2</v>
      </c>
    </row>
    <row r="51" spans="1:7" x14ac:dyDescent="0.25">
      <c r="A51">
        <v>0</v>
      </c>
      <c r="B51">
        <v>1</v>
      </c>
      <c r="C51">
        <v>0</v>
      </c>
      <c r="D51">
        <v>2008</v>
      </c>
      <c r="E51">
        <v>1</v>
      </c>
      <c r="F51">
        <v>0.36662111199999992</v>
      </c>
      <c r="G51">
        <v>5.3626373924765401E-2</v>
      </c>
    </row>
    <row r="52" spans="1:7" x14ac:dyDescent="0.25">
      <c r="A52">
        <v>0</v>
      </c>
      <c r="B52">
        <v>1</v>
      </c>
      <c r="C52">
        <v>0</v>
      </c>
      <c r="D52">
        <v>2009</v>
      </c>
      <c r="E52">
        <v>1</v>
      </c>
      <c r="F52">
        <v>0.40565912699999995</v>
      </c>
      <c r="G52">
        <v>6.6333048785106194E-2</v>
      </c>
    </row>
    <row r="53" spans="1:7" x14ac:dyDescent="0.25">
      <c r="A53">
        <v>0</v>
      </c>
      <c r="B53">
        <v>1</v>
      </c>
      <c r="C53">
        <v>0</v>
      </c>
      <c r="D53">
        <v>2010</v>
      </c>
      <c r="E53">
        <v>1</v>
      </c>
      <c r="F53">
        <v>0.46945982499999994</v>
      </c>
      <c r="G53">
        <v>6.5099337549702901E-2</v>
      </c>
    </row>
    <row r="54" spans="1:7" x14ac:dyDescent="0.25">
      <c r="A54">
        <v>0</v>
      </c>
      <c r="B54">
        <v>1</v>
      </c>
      <c r="C54">
        <v>0</v>
      </c>
      <c r="D54">
        <v>2011</v>
      </c>
      <c r="E54">
        <v>1</v>
      </c>
      <c r="F54">
        <v>0.54181425699999997</v>
      </c>
      <c r="G54">
        <v>5.02528798174968E-2</v>
      </c>
    </row>
    <row r="55" spans="1:7" x14ac:dyDescent="0.25">
      <c r="A55">
        <v>0</v>
      </c>
      <c r="B55">
        <v>1</v>
      </c>
      <c r="C55">
        <v>0</v>
      </c>
      <c r="D55">
        <v>2012</v>
      </c>
      <c r="E55">
        <v>1</v>
      </c>
      <c r="F55">
        <v>0.57318294899999989</v>
      </c>
      <c r="G55">
        <v>4.34837041416491E-2</v>
      </c>
    </row>
    <row r="56" spans="1:7" x14ac:dyDescent="0.25">
      <c r="A56">
        <v>0</v>
      </c>
      <c r="B56">
        <v>1</v>
      </c>
      <c r="C56">
        <v>0</v>
      </c>
      <c r="D56">
        <v>2013</v>
      </c>
      <c r="E56">
        <v>1</v>
      </c>
      <c r="F56">
        <v>0.56916885599999989</v>
      </c>
      <c r="G56">
        <v>5.3015148030903098E-2</v>
      </c>
    </row>
    <row r="57" spans="1:7" x14ac:dyDescent="0.25">
      <c r="A57">
        <v>0</v>
      </c>
      <c r="B57">
        <v>1</v>
      </c>
      <c r="C57">
        <v>0</v>
      </c>
      <c r="D57">
        <v>2014</v>
      </c>
      <c r="E57">
        <v>1</v>
      </c>
      <c r="F57">
        <v>0.56412328499999986</v>
      </c>
      <c r="G57">
        <v>4.9253294793636097E-2</v>
      </c>
    </row>
    <row r="58" spans="1:7" x14ac:dyDescent="0.25">
      <c r="A58">
        <v>0</v>
      </c>
      <c r="B58">
        <v>1</v>
      </c>
      <c r="C58">
        <v>0</v>
      </c>
      <c r="D58">
        <v>2015</v>
      </c>
      <c r="E58">
        <v>1</v>
      </c>
      <c r="F58">
        <v>0.75433072099999976</v>
      </c>
      <c r="G58">
        <v>5.7289868369422903E-2</v>
      </c>
    </row>
    <row r="59" spans="1:7" x14ac:dyDescent="0.25">
      <c r="A59">
        <v>0</v>
      </c>
      <c r="B59">
        <v>1</v>
      </c>
      <c r="C59">
        <v>0</v>
      </c>
      <c r="D59">
        <v>2016</v>
      </c>
      <c r="E59">
        <v>1</v>
      </c>
      <c r="F59">
        <v>0.84750463199999992</v>
      </c>
      <c r="G59">
        <v>4.8617566921277798E-2</v>
      </c>
    </row>
    <row r="60" spans="1:7" x14ac:dyDescent="0.25">
      <c r="A60">
        <v>0</v>
      </c>
      <c r="B60">
        <v>1</v>
      </c>
      <c r="C60">
        <v>0</v>
      </c>
      <c r="D60">
        <v>2017</v>
      </c>
      <c r="E60">
        <v>1</v>
      </c>
      <c r="F60">
        <v>0.88810639999999974</v>
      </c>
      <c r="G60">
        <v>4.9164111142390401E-2</v>
      </c>
    </row>
    <row r="61" spans="1:7" x14ac:dyDescent="0.25">
      <c r="A61">
        <v>0</v>
      </c>
      <c r="B61">
        <v>1</v>
      </c>
      <c r="C61">
        <v>0</v>
      </c>
      <c r="D61">
        <v>2018</v>
      </c>
      <c r="E61">
        <v>1</v>
      </c>
      <c r="F61">
        <v>0.96063149999999975</v>
      </c>
      <c r="G61">
        <v>4.9327279438456002E-2</v>
      </c>
    </row>
    <row r="62" spans="1:7" x14ac:dyDescent="0.25">
      <c r="A62">
        <v>0</v>
      </c>
      <c r="B62">
        <v>1</v>
      </c>
      <c r="C62">
        <v>0</v>
      </c>
      <c r="D62">
        <v>2019</v>
      </c>
      <c r="E62">
        <v>1</v>
      </c>
      <c r="F62">
        <v>1.0720371999999998</v>
      </c>
      <c r="G62">
        <v>4.8180261015612097E-2</v>
      </c>
    </row>
    <row r="63" spans="1:7" x14ac:dyDescent="0.25">
      <c r="A63">
        <v>0</v>
      </c>
      <c r="B63">
        <v>1</v>
      </c>
      <c r="C63">
        <v>0</v>
      </c>
      <c r="D63">
        <v>2020</v>
      </c>
      <c r="E63">
        <v>1</v>
      </c>
      <c r="F63">
        <v>1.1498861999999999</v>
      </c>
      <c r="G63">
        <v>4.3893600594459702E-2</v>
      </c>
    </row>
    <row r="64" spans="1:7" x14ac:dyDescent="0.25">
      <c r="A64">
        <v>0</v>
      </c>
      <c r="B64">
        <v>1</v>
      </c>
      <c r="C64">
        <v>0</v>
      </c>
      <c r="D64">
        <v>2021</v>
      </c>
      <c r="E64">
        <v>1</v>
      </c>
      <c r="F64">
        <v>1.2459490999999998</v>
      </c>
      <c r="G64">
        <v>4.5585716128643497E-2</v>
      </c>
    </row>
    <row r="65" spans="1:7" x14ac:dyDescent="0.25">
      <c r="A65">
        <v>0</v>
      </c>
      <c r="B65">
        <v>1</v>
      </c>
      <c r="C65">
        <v>0</v>
      </c>
      <c r="D65">
        <v>2022</v>
      </c>
      <c r="E65">
        <v>1</v>
      </c>
      <c r="F65">
        <v>1.2434739199999998</v>
      </c>
      <c r="G65">
        <v>4.9120455316691403E-2</v>
      </c>
    </row>
    <row r="66" spans="1:7" x14ac:dyDescent="0.25">
      <c r="A66">
        <v>0</v>
      </c>
      <c r="B66">
        <v>1</v>
      </c>
      <c r="C66">
        <v>0</v>
      </c>
      <c r="D66">
        <v>2023</v>
      </c>
      <c r="E66">
        <v>1</v>
      </c>
      <c r="F66">
        <v>1.5280919999999996</v>
      </c>
      <c r="G66">
        <v>4.1317511140728798E-2</v>
      </c>
    </row>
    <row r="67" spans="1:7" x14ac:dyDescent="0.25">
      <c r="A67">
        <v>0</v>
      </c>
      <c r="B67">
        <v>1</v>
      </c>
      <c r="C67">
        <v>0</v>
      </c>
      <c r="D67">
        <v>2024</v>
      </c>
      <c r="E67">
        <v>1</v>
      </c>
      <c r="F67">
        <v>1.5148764599999998</v>
      </c>
      <c r="G67">
        <v>6.9224520471187698E-2</v>
      </c>
    </row>
    <row r="68" spans="1:7" x14ac:dyDescent="0.25">
      <c r="A68">
        <v>1</v>
      </c>
      <c r="B68">
        <v>4</v>
      </c>
      <c r="C68">
        <v>1</v>
      </c>
      <c r="D68">
        <v>1990</v>
      </c>
      <c r="E68">
        <v>1</v>
      </c>
      <c r="F68">
        <v>2.5863526599999993</v>
      </c>
      <c r="G68">
        <v>5.0971638524937503E-2</v>
      </c>
    </row>
    <row r="69" spans="1:7" x14ac:dyDescent="0.25">
      <c r="A69">
        <v>1</v>
      </c>
      <c r="B69">
        <v>4</v>
      </c>
      <c r="C69">
        <v>1</v>
      </c>
      <c r="D69">
        <v>1991</v>
      </c>
      <c r="E69">
        <v>1</v>
      </c>
      <c r="F69">
        <v>2.3300990999999991</v>
      </c>
      <c r="G69">
        <v>4.6829142321856899E-2</v>
      </c>
    </row>
    <row r="70" spans="1:7" x14ac:dyDescent="0.25">
      <c r="A70">
        <v>1</v>
      </c>
      <c r="B70">
        <v>4</v>
      </c>
      <c r="C70">
        <v>1</v>
      </c>
      <c r="D70">
        <v>1992</v>
      </c>
      <c r="E70">
        <v>1</v>
      </c>
      <c r="F70">
        <v>2.6755684999999994</v>
      </c>
      <c r="G70">
        <v>4.4083765675703199E-2</v>
      </c>
    </row>
    <row r="71" spans="1:7" x14ac:dyDescent="0.25">
      <c r="A71">
        <v>1</v>
      </c>
      <c r="B71">
        <v>4</v>
      </c>
      <c r="C71">
        <v>1</v>
      </c>
      <c r="D71">
        <v>1993</v>
      </c>
      <c r="E71">
        <v>1</v>
      </c>
      <c r="F71">
        <v>2.6851065199999993</v>
      </c>
      <c r="G71">
        <v>6.3682003957994698E-2</v>
      </c>
    </row>
    <row r="72" spans="1:7" x14ac:dyDescent="0.25">
      <c r="A72">
        <v>1</v>
      </c>
      <c r="B72">
        <v>4</v>
      </c>
      <c r="C72">
        <v>1</v>
      </c>
      <c r="D72">
        <v>1994</v>
      </c>
      <c r="E72">
        <v>1</v>
      </c>
      <c r="F72">
        <v>2.7079841699999991</v>
      </c>
      <c r="G72">
        <v>5.31361912984748E-2</v>
      </c>
    </row>
    <row r="73" spans="1:7" x14ac:dyDescent="0.25">
      <c r="A73">
        <v>1</v>
      </c>
      <c r="B73">
        <v>4</v>
      </c>
      <c r="C73">
        <v>1</v>
      </c>
      <c r="D73">
        <v>1995</v>
      </c>
      <c r="E73">
        <v>1</v>
      </c>
      <c r="F73">
        <v>2.4858087499999995</v>
      </c>
      <c r="G73">
        <v>5.22677056527611E-2</v>
      </c>
    </row>
    <row r="74" spans="1:7" x14ac:dyDescent="0.25">
      <c r="A74">
        <v>1</v>
      </c>
      <c r="B74">
        <v>4</v>
      </c>
      <c r="C74">
        <v>1</v>
      </c>
      <c r="D74">
        <v>1996</v>
      </c>
      <c r="E74">
        <v>1</v>
      </c>
      <c r="F74">
        <v>2.0940124199999994</v>
      </c>
      <c r="G74">
        <v>5.6694334369782398E-2</v>
      </c>
    </row>
    <row r="75" spans="1:7" x14ac:dyDescent="0.25">
      <c r="A75">
        <v>1</v>
      </c>
      <c r="B75">
        <v>4</v>
      </c>
      <c r="C75">
        <v>1</v>
      </c>
      <c r="D75">
        <v>1997</v>
      </c>
      <c r="E75">
        <v>1</v>
      </c>
      <c r="F75">
        <v>2.1012087499999996</v>
      </c>
      <c r="G75">
        <v>5.4604729849884903E-2</v>
      </c>
    </row>
    <row r="76" spans="1:7" x14ac:dyDescent="0.25">
      <c r="A76">
        <v>1</v>
      </c>
      <c r="B76">
        <v>4</v>
      </c>
      <c r="C76">
        <v>1</v>
      </c>
      <c r="D76">
        <v>1998</v>
      </c>
      <c r="E76">
        <v>1</v>
      </c>
      <c r="F76">
        <v>1.6579371599999997</v>
      </c>
      <c r="G76">
        <v>4.0733603121883899E-2</v>
      </c>
    </row>
    <row r="77" spans="1:7" x14ac:dyDescent="0.25">
      <c r="A77">
        <v>1</v>
      </c>
      <c r="B77">
        <v>4</v>
      </c>
      <c r="C77">
        <v>1</v>
      </c>
      <c r="D77">
        <v>1999</v>
      </c>
      <c r="E77">
        <v>1</v>
      </c>
      <c r="F77">
        <v>1.4042379999999999</v>
      </c>
      <c r="G77">
        <v>4.9091855107932798E-2</v>
      </c>
    </row>
    <row r="78" spans="1:7" x14ac:dyDescent="0.25">
      <c r="A78">
        <v>1</v>
      </c>
      <c r="B78">
        <v>4</v>
      </c>
      <c r="C78">
        <v>1</v>
      </c>
      <c r="D78">
        <v>2000</v>
      </c>
      <c r="E78">
        <v>1</v>
      </c>
      <c r="F78">
        <v>1.3406130399999998</v>
      </c>
      <c r="G78">
        <v>5.5388206762239399E-2</v>
      </c>
    </row>
    <row r="79" spans="1:7" x14ac:dyDescent="0.25">
      <c r="A79">
        <v>1</v>
      </c>
      <c r="B79">
        <v>4</v>
      </c>
      <c r="C79">
        <v>1</v>
      </c>
      <c r="D79">
        <v>2001</v>
      </c>
      <c r="E79">
        <v>1</v>
      </c>
      <c r="F79">
        <v>1.1445126999999997</v>
      </c>
      <c r="G79">
        <v>4.3311339701524197E-2</v>
      </c>
    </row>
    <row r="80" spans="1:7" x14ac:dyDescent="0.25">
      <c r="A80">
        <v>1</v>
      </c>
      <c r="B80">
        <v>4</v>
      </c>
      <c r="C80">
        <v>1</v>
      </c>
      <c r="D80">
        <v>2002</v>
      </c>
      <c r="E80">
        <v>1</v>
      </c>
      <c r="F80">
        <v>0.92397711999999976</v>
      </c>
      <c r="G80">
        <v>4.6915258875187701E-2</v>
      </c>
    </row>
    <row r="81" spans="1:7" x14ac:dyDescent="0.25">
      <c r="A81">
        <v>1</v>
      </c>
      <c r="B81">
        <v>4</v>
      </c>
      <c r="C81">
        <v>1</v>
      </c>
      <c r="D81">
        <v>2003</v>
      </c>
      <c r="E81">
        <v>1</v>
      </c>
      <c r="F81">
        <v>0.88672483899999976</v>
      </c>
      <c r="G81">
        <v>4.5053002060648703E-2</v>
      </c>
    </row>
    <row r="82" spans="1:7" x14ac:dyDescent="0.25">
      <c r="A82">
        <v>1</v>
      </c>
      <c r="B82">
        <v>4</v>
      </c>
      <c r="C82">
        <v>1</v>
      </c>
      <c r="D82">
        <v>2004</v>
      </c>
      <c r="E82">
        <v>1</v>
      </c>
      <c r="F82">
        <v>0.75802395199999972</v>
      </c>
      <c r="G82">
        <v>4.7432817149281999E-2</v>
      </c>
    </row>
    <row r="83" spans="1:7" x14ac:dyDescent="0.25">
      <c r="A83">
        <v>1</v>
      </c>
      <c r="B83">
        <v>4</v>
      </c>
      <c r="C83">
        <v>1</v>
      </c>
      <c r="D83">
        <v>2005</v>
      </c>
      <c r="E83">
        <v>1</v>
      </c>
      <c r="F83">
        <v>0.73813467199999983</v>
      </c>
      <c r="G83">
        <v>4.4639568469101797E-2</v>
      </c>
    </row>
    <row r="84" spans="1:7" x14ac:dyDescent="0.25">
      <c r="A84">
        <v>1</v>
      </c>
      <c r="B84">
        <v>4</v>
      </c>
      <c r="C84">
        <v>1</v>
      </c>
      <c r="D84">
        <v>2006</v>
      </c>
      <c r="E84">
        <v>1</v>
      </c>
      <c r="F84">
        <v>0.75161665899999985</v>
      </c>
      <c r="G84">
        <v>4.7245679927303302E-2</v>
      </c>
    </row>
    <row r="85" spans="1:7" x14ac:dyDescent="0.25">
      <c r="A85">
        <v>1</v>
      </c>
      <c r="B85">
        <v>4</v>
      </c>
      <c r="C85">
        <v>1</v>
      </c>
      <c r="D85">
        <v>2007</v>
      </c>
      <c r="E85">
        <v>1</v>
      </c>
      <c r="F85">
        <v>0.84788422999999979</v>
      </c>
      <c r="G85">
        <v>4.2255989659841398E-2</v>
      </c>
    </row>
    <row r="86" spans="1:7" x14ac:dyDescent="0.25">
      <c r="A86">
        <v>1</v>
      </c>
      <c r="B86">
        <v>4</v>
      </c>
      <c r="C86">
        <v>1</v>
      </c>
      <c r="D86">
        <v>2008</v>
      </c>
      <c r="E86">
        <v>1</v>
      </c>
      <c r="F86">
        <v>0.7757302399999999</v>
      </c>
      <c r="G86">
        <v>4.2222684590433199E-2</v>
      </c>
    </row>
    <row r="87" spans="1:7" x14ac:dyDescent="0.25">
      <c r="A87">
        <v>1</v>
      </c>
      <c r="B87">
        <v>4</v>
      </c>
      <c r="C87">
        <v>1</v>
      </c>
      <c r="D87">
        <v>2009</v>
      </c>
      <c r="E87">
        <v>1</v>
      </c>
      <c r="F87">
        <v>0.98482013999999996</v>
      </c>
      <c r="G87">
        <v>4.2423092981228698E-2</v>
      </c>
    </row>
    <row r="88" spans="1:7" x14ac:dyDescent="0.25">
      <c r="A88">
        <v>1</v>
      </c>
      <c r="B88">
        <v>4</v>
      </c>
      <c r="C88">
        <v>1</v>
      </c>
      <c r="D88">
        <v>2010</v>
      </c>
      <c r="E88">
        <v>1</v>
      </c>
      <c r="F88">
        <v>1.0471994799999997</v>
      </c>
      <c r="G88">
        <v>4.6342646171541997E-2</v>
      </c>
    </row>
    <row r="89" spans="1:7" x14ac:dyDescent="0.25">
      <c r="A89">
        <v>1</v>
      </c>
      <c r="B89">
        <v>4</v>
      </c>
      <c r="C89">
        <v>1</v>
      </c>
      <c r="D89">
        <v>2011</v>
      </c>
      <c r="E89">
        <v>1</v>
      </c>
      <c r="F89">
        <v>1.3315243199999998</v>
      </c>
      <c r="G89">
        <v>4.0082639295461603E-2</v>
      </c>
    </row>
    <row r="90" spans="1:7" x14ac:dyDescent="0.25">
      <c r="A90">
        <v>1</v>
      </c>
      <c r="B90">
        <v>4</v>
      </c>
      <c r="C90">
        <v>1</v>
      </c>
      <c r="D90">
        <v>2012</v>
      </c>
      <c r="E90">
        <v>1</v>
      </c>
      <c r="F90">
        <v>1.3205639999999996</v>
      </c>
      <c r="G90">
        <v>4.1864735261983102E-2</v>
      </c>
    </row>
    <row r="91" spans="1:7" x14ac:dyDescent="0.25">
      <c r="A91">
        <v>1</v>
      </c>
      <c r="B91">
        <v>4</v>
      </c>
      <c r="C91">
        <v>1</v>
      </c>
      <c r="D91">
        <v>2013</v>
      </c>
      <c r="E91">
        <v>1</v>
      </c>
      <c r="F91">
        <v>1.2856758299999997</v>
      </c>
      <c r="G91">
        <v>0.169714126691766</v>
      </c>
    </row>
    <row r="92" spans="1:7" x14ac:dyDescent="0.25">
      <c r="A92">
        <v>1</v>
      </c>
      <c r="B92">
        <v>4</v>
      </c>
      <c r="C92">
        <v>1</v>
      </c>
      <c r="D92">
        <v>2014</v>
      </c>
      <c r="E92">
        <v>1</v>
      </c>
      <c r="F92">
        <v>1.4468479999999997</v>
      </c>
      <c r="G92">
        <v>9.5369720457646606E-2</v>
      </c>
    </row>
    <row r="93" spans="1:7" x14ac:dyDescent="0.25">
      <c r="A93">
        <v>1</v>
      </c>
      <c r="B93">
        <v>4</v>
      </c>
      <c r="C93">
        <v>1</v>
      </c>
      <c r="D93">
        <v>2015</v>
      </c>
      <c r="E93">
        <v>1</v>
      </c>
      <c r="F93">
        <v>1.7736409899999996</v>
      </c>
      <c r="G93">
        <v>7.7095179739025299E-2</v>
      </c>
    </row>
    <row r="94" spans="1:7" x14ac:dyDescent="0.25">
      <c r="A94">
        <v>1</v>
      </c>
      <c r="B94">
        <v>4</v>
      </c>
      <c r="C94">
        <v>1</v>
      </c>
      <c r="D94">
        <v>2016</v>
      </c>
      <c r="E94">
        <v>1</v>
      </c>
      <c r="F94">
        <v>1.7601738999999996</v>
      </c>
      <c r="G94">
        <v>8.0418506929916603E-2</v>
      </c>
    </row>
    <row r="95" spans="1:7" x14ac:dyDescent="0.25">
      <c r="A95">
        <v>1</v>
      </c>
      <c r="B95">
        <v>4</v>
      </c>
      <c r="C95">
        <v>1</v>
      </c>
      <c r="D95">
        <v>2017</v>
      </c>
      <c r="E95">
        <v>1</v>
      </c>
      <c r="F95">
        <v>1.7677804499999994</v>
      </c>
      <c r="G95">
        <v>7.0698853026702604E-2</v>
      </c>
    </row>
    <row r="96" spans="1:7" x14ac:dyDescent="0.25">
      <c r="A96">
        <v>1</v>
      </c>
      <c r="B96">
        <v>4</v>
      </c>
      <c r="C96">
        <v>1</v>
      </c>
      <c r="D96">
        <v>2018</v>
      </c>
      <c r="E96">
        <v>1</v>
      </c>
      <c r="F96">
        <v>2.0124595399999996</v>
      </c>
      <c r="G96">
        <v>7.5854203075401E-2</v>
      </c>
    </row>
    <row r="97" spans="1:7" x14ac:dyDescent="0.25">
      <c r="A97">
        <v>1</v>
      </c>
      <c r="B97">
        <v>4</v>
      </c>
      <c r="C97">
        <v>1</v>
      </c>
      <c r="D97">
        <v>2019</v>
      </c>
      <c r="E97">
        <v>1</v>
      </c>
      <c r="F97">
        <v>2.1217606199999999</v>
      </c>
      <c r="G97">
        <v>5.2223248197017798E-2</v>
      </c>
    </row>
    <row r="98" spans="1:7" x14ac:dyDescent="0.25">
      <c r="A98">
        <v>1</v>
      </c>
      <c r="B98">
        <v>4</v>
      </c>
      <c r="C98">
        <v>1</v>
      </c>
      <c r="D98">
        <v>2020</v>
      </c>
      <c r="E98">
        <v>1</v>
      </c>
      <c r="F98">
        <v>1.9058071999999999</v>
      </c>
      <c r="G98">
        <v>5.4505824282937702E-2</v>
      </c>
    </row>
    <row r="99" spans="1:7" x14ac:dyDescent="0.25">
      <c r="A99">
        <v>1</v>
      </c>
      <c r="B99">
        <v>4</v>
      </c>
      <c r="C99">
        <v>1</v>
      </c>
      <c r="D99">
        <v>2021</v>
      </c>
      <c r="E99">
        <v>1</v>
      </c>
      <c r="F99">
        <v>1.9310996199999999</v>
      </c>
      <c r="G99">
        <v>5.5284015061312801E-2</v>
      </c>
    </row>
    <row r="100" spans="1:7" x14ac:dyDescent="0.25">
      <c r="A100">
        <v>1</v>
      </c>
      <c r="B100">
        <v>4</v>
      </c>
      <c r="C100">
        <v>1</v>
      </c>
      <c r="D100">
        <v>2022</v>
      </c>
      <c r="E100">
        <v>1</v>
      </c>
      <c r="F100">
        <v>2.2771546599999999</v>
      </c>
      <c r="G100">
        <v>6.05934627000266E-2</v>
      </c>
    </row>
    <row r="101" spans="1:7" x14ac:dyDescent="0.25">
      <c r="A101">
        <v>1</v>
      </c>
      <c r="B101">
        <v>4</v>
      </c>
      <c r="C101">
        <v>1</v>
      </c>
      <c r="D101">
        <v>2023</v>
      </c>
      <c r="E101">
        <v>1</v>
      </c>
      <c r="F101">
        <v>2.6221630500000002</v>
      </c>
      <c r="G101">
        <v>8.1460254759040507E-2</v>
      </c>
    </row>
    <row r="102" spans="1:7" x14ac:dyDescent="0.25">
      <c r="A102">
        <v>1</v>
      </c>
      <c r="B102">
        <v>4</v>
      </c>
      <c r="C102">
        <v>1</v>
      </c>
      <c r="D102">
        <v>2024</v>
      </c>
      <c r="E102">
        <v>1</v>
      </c>
      <c r="F102">
        <v>3.0085890000000002</v>
      </c>
      <c r="G102">
        <v>4.6739904035066102E-2</v>
      </c>
    </row>
    <row r="103" spans="1:7" x14ac:dyDescent="0.25">
      <c r="A103">
        <v>2</v>
      </c>
      <c r="B103">
        <v>4</v>
      </c>
      <c r="C103">
        <v>2</v>
      </c>
      <c r="D103">
        <v>1990</v>
      </c>
      <c r="E103">
        <v>1</v>
      </c>
      <c r="F103">
        <v>3.7906586399999997</v>
      </c>
      <c r="G103">
        <v>4.6918473162275001E-2</v>
      </c>
    </row>
    <row r="104" spans="1:7" x14ac:dyDescent="0.25">
      <c r="A104">
        <v>2</v>
      </c>
      <c r="B104">
        <v>4</v>
      </c>
      <c r="C104">
        <v>2</v>
      </c>
      <c r="D104">
        <v>1991</v>
      </c>
      <c r="E104">
        <v>1</v>
      </c>
      <c r="F104">
        <v>3.9221775000000001</v>
      </c>
      <c r="G104">
        <v>5.6406866090329799E-2</v>
      </c>
    </row>
    <row r="105" spans="1:7" x14ac:dyDescent="0.25">
      <c r="A105">
        <v>2</v>
      </c>
      <c r="B105">
        <v>4</v>
      </c>
      <c r="C105">
        <v>2</v>
      </c>
      <c r="D105">
        <v>1992</v>
      </c>
      <c r="E105">
        <v>1</v>
      </c>
      <c r="F105">
        <v>3.7947658000000004</v>
      </c>
      <c r="G105">
        <v>4.2486780173753499E-2</v>
      </c>
    </row>
    <row r="106" spans="1:7" x14ac:dyDescent="0.25">
      <c r="A106">
        <v>2</v>
      </c>
      <c r="B106">
        <v>4</v>
      </c>
      <c r="C106">
        <v>2</v>
      </c>
      <c r="D106">
        <v>1993</v>
      </c>
      <c r="E106">
        <v>1</v>
      </c>
      <c r="F106">
        <v>3.4020499499999999</v>
      </c>
      <c r="G106">
        <v>5.2002786071755999E-2</v>
      </c>
    </row>
    <row r="107" spans="1:7" x14ac:dyDescent="0.25">
      <c r="A107">
        <v>2</v>
      </c>
      <c r="B107">
        <v>4</v>
      </c>
      <c r="C107">
        <v>2</v>
      </c>
      <c r="D107">
        <v>1994</v>
      </c>
      <c r="E107">
        <v>1</v>
      </c>
      <c r="F107">
        <v>2.9149517400000007</v>
      </c>
      <c r="G107">
        <v>4.1096620155227997E-2</v>
      </c>
    </row>
    <row r="108" spans="1:7" x14ac:dyDescent="0.25">
      <c r="A108">
        <v>2</v>
      </c>
      <c r="B108">
        <v>4</v>
      </c>
      <c r="C108">
        <v>2</v>
      </c>
      <c r="D108">
        <v>1995</v>
      </c>
      <c r="E108">
        <v>1</v>
      </c>
      <c r="F108">
        <v>2.3460600100000004</v>
      </c>
      <c r="G108">
        <v>5.1766617952054103E-2</v>
      </c>
    </row>
    <row r="109" spans="1:7" x14ac:dyDescent="0.25">
      <c r="A109">
        <v>2</v>
      </c>
      <c r="B109">
        <v>4</v>
      </c>
      <c r="C109">
        <v>2</v>
      </c>
      <c r="D109">
        <v>1996</v>
      </c>
      <c r="E109">
        <v>1</v>
      </c>
      <c r="F109">
        <v>2.4243360400000005</v>
      </c>
      <c r="G109">
        <v>6.0430532114050597E-2</v>
      </c>
    </row>
    <row r="110" spans="1:7" x14ac:dyDescent="0.25">
      <c r="A110">
        <v>2</v>
      </c>
      <c r="B110">
        <v>4</v>
      </c>
      <c r="C110">
        <v>2</v>
      </c>
      <c r="D110">
        <v>1997</v>
      </c>
      <c r="E110">
        <v>1</v>
      </c>
      <c r="F110">
        <v>1.8894960000000003</v>
      </c>
      <c r="G110">
        <v>4.2209277886192997E-2</v>
      </c>
    </row>
    <row r="111" spans="1:7" x14ac:dyDescent="0.25">
      <c r="A111">
        <v>2</v>
      </c>
      <c r="B111">
        <v>4</v>
      </c>
      <c r="C111">
        <v>2</v>
      </c>
      <c r="D111">
        <v>1998</v>
      </c>
      <c r="E111">
        <v>1</v>
      </c>
      <c r="F111">
        <v>1.7933954500000002</v>
      </c>
      <c r="G111">
        <v>4.7571195085031298E-2</v>
      </c>
    </row>
    <row r="112" spans="1:7" x14ac:dyDescent="0.25">
      <c r="A112">
        <v>2</v>
      </c>
      <c r="B112">
        <v>4</v>
      </c>
      <c r="C112">
        <v>2</v>
      </c>
      <c r="D112">
        <v>1999</v>
      </c>
      <c r="E112">
        <v>1</v>
      </c>
      <c r="F112">
        <v>1.7833081800000004</v>
      </c>
      <c r="G112">
        <v>5.0189103152307998E-2</v>
      </c>
    </row>
    <row r="113" spans="1:7" x14ac:dyDescent="0.25">
      <c r="A113">
        <v>2</v>
      </c>
      <c r="B113">
        <v>4</v>
      </c>
      <c r="C113">
        <v>2</v>
      </c>
      <c r="D113">
        <v>2000</v>
      </c>
      <c r="E113">
        <v>1</v>
      </c>
      <c r="F113">
        <v>1.7872095000000003</v>
      </c>
      <c r="G113">
        <v>5.2407393249629002E-2</v>
      </c>
    </row>
    <row r="114" spans="1:7" x14ac:dyDescent="0.25">
      <c r="A114">
        <v>2</v>
      </c>
      <c r="B114">
        <v>4</v>
      </c>
      <c r="C114">
        <v>2</v>
      </c>
      <c r="D114">
        <v>2001</v>
      </c>
      <c r="E114">
        <v>1</v>
      </c>
      <c r="F114">
        <v>1.6214037300000004</v>
      </c>
      <c r="G114">
        <v>6.0841184260585303E-2</v>
      </c>
    </row>
    <row r="115" spans="1:7" x14ac:dyDescent="0.25">
      <c r="A115">
        <v>2</v>
      </c>
      <c r="B115">
        <v>4</v>
      </c>
      <c r="C115">
        <v>2</v>
      </c>
      <c r="D115">
        <v>2002</v>
      </c>
      <c r="E115">
        <v>1</v>
      </c>
      <c r="F115">
        <v>1.4882458830000003</v>
      </c>
      <c r="G115">
        <v>5.4903516297552399E-2</v>
      </c>
    </row>
    <row r="116" spans="1:7" x14ac:dyDescent="0.25">
      <c r="A116">
        <v>2</v>
      </c>
      <c r="B116">
        <v>4</v>
      </c>
      <c r="C116">
        <v>2</v>
      </c>
      <c r="D116">
        <v>2003</v>
      </c>
      <c r="E116">
        <v>1</v>
      </c>
      <c r="F116">
        <v>1.2844075920000002</v>
      </c>
      <c r="G116">
        <v>4.9594687936842297E-2</v>
      </c>
    </row>
    <row r="117" spans="1:7" x14ac:dyDescent="0.25">
      <c r="A117">
        <v>2</v>
      </c>
      <c r="B117">
        <v>4</v>
      </c>
      <c r="C117">
        <v>2</v>
      </c>
      <c r="D117">
        <v>2004</v>
      </c>
      <c r="E117">
        <v>1</v>
      </c>
      <c r="F117">
        <v>1.1338968610000002</v>
      </c>
      <c r="G117">
        <v>8.8068215678685197E-2</v>
      </c>
    </row>
    <row r="118" spans="1:7" x14ac:dyDescent="0.25">
      <c r="A118">
        <v>2</v>
      </c>
      <c r="B118">
        <v>4</v>
      </c>
      <c r="C118">
        <v>2</v>
      </c>
      <c r="D118">
        <v>2005</v>
      </c>
      <c r="E118">
        <v>1</v>
      </c>
      <c r="F118">
        <v>1.1676218400000002</v>
      </c>
      <c r="G118">
        <v>5.02500079944561E-2</v>
      </c>
    </row>
    <row r="119" spans="1:7" x14ac:dyDescent="0.25">
      <c r="A119">
        <v>2</v>
      </c>
      <c r="B119">
        <v>4</v>
      </c>
      <c r="C119">
        <v>2</v>
      </c>
      <c r="D119">
        <v>2006</v>
      </c>
      <c r="E119">
        <v>1</v>
      </c>
      <c r="F119">
        <v>1.1161994220000002</v>
      </c>
      <c r="G119">
        <v>3.3711693691544101E-2</v>
      </c>
    </row>
    <row r="120" spans="1:7" x14ac:dyDescent="0.25">
      <c r="A120">
        <v>2</v>
      </c>
      <c r="B120">
        <v>4</v>
      </c>
      <c r="C120">
        <v>2</v>
      </c>
      <c r="D120">
        <v>2007</v>
      </c>
      <c r="E120">
        <v>1</v>
      </c>
      <c r="F120">
        <v>1.118457072</v>
      </c>
      <c r="G120">
        <v>6.6513019555693595E-2</v>
      </c>
    </row>
    <row r="121" spans="1:7" x14ac:dyDescent="0.25">
      <c r="A121">
        <v>2</v>
      </c>
      <c r="B121">
        <v>4</v>
      </c>
      <c r="C121">
        <v>2</v>
      </c>
      <c r="D121">
        <v>2008</v>
      </c>
      <c r="E121">
        <v>1</v>
      </c>
      <c r="F121">
        <v>1.2847554360000002</v>
      </c>
      <c r="G121">
        <v>6.9983363286163697E-2</v>
      </c>
    </row>
    <row r="122" spans="1:7" x14ac:dyDescent="0.25">
      <c r="A122">
        <v>2</v>
      </c>
      <c r="B122">
        <v>4</v>
      </c>
      <c r="C122">
        <v>2</v>
      </c>
      <c r="D122">
        <v>2009</v>
      </c>
      <c r="E122">
        <v>1</v>
      </c>
      <c r="F122">
        <v>1.4837388320000002</v>
      </c>
      <c r="G122">
        <v>7.9064498720030699E-2</v>
      </c>
    </row>
    <row r="123" spans="1:7" x14ac:dyDescent="0.25">
      <c r="A123">
        <v>2</v>
      </c>
      <c r="B123">
        <v>4</v>
      </c>
      <c r="C123">
        <v>2</v>
      </c>
      <c r="D123">
        <v>2010</v>
      </c>
      <c r="E123">
        <v>1</v>
      </c>
      <c r="F123">
        <v>1.6550883440000004</v>
      </c>
      <c r="G123">
        <v>6.20882147164298E-2</v>
      </c>
    </row>
    <row r="124" spans="1:7" x14ac:dyDescent="0.25">
      <c r="A124">
        <v>2</v>
      </c>
      <c r="B124">
        <v>4</v>
      </c>
      <c r="C124">
        <v>2</v>
      </c>
      <c r="D124">
        <v>2011</v>
      </c>
      <c r="E124">
        <v>1</v>
      </c>
      <c r="F124">
        <v>1.8617709670000004</v>
      </c>
      <c r="G124">
        <v>4.3842240720928898E-2</v>
      </c>
    </row>
    <row r="125" spans="1:7" x14ac:dyDescent="0.25">
      <c r="A125">
        <v>2</v>
      </c>
      <c r="B125">
        <v>4</v>
      </c>
      <c r="C125">
        <v>2</v>
      </c>
      <c r="D125">
        <v>2012</v>
      </c>
      <c r="E125">
        <v>1</v>
      </c>
      <c r="F125">
        <v>1.9069293000000003</v>
      </c>
      <c r="G125">
        <v>5.6313437705257902E-2</v>
      </c>
    </row>
    <row r="126" spans="1:7" x14ac:dyDescent="0.25">
      <c r="A126">
        <v>2</v>
      </c>
      <c r="B126">
        <v>4</v>
      </c>
      <c r="C126">
        <v>2</v>
      </c>
      <c r="D126">
        <v>2013</v>
      </c>
      <c r="E126">
        <v>1</v>
      </c>
      <c r="F126">
        <v>1.9969332000000004</v>
      </c>
      <c r="G126">
        <v>3.3339689687738101E-2</v>
      </c>
    </row>
    <row r="127" spans="1:7" x14ac:dyDescent="0.25">
      <c r="A127">
        <v>2</v>
      </c>
      <c r="B127">
        <v>4</v>
      </c>
      <c r="C127">
        <v>2</v>
      </c>
      <c r="D127">
        <v>2014</v>
      </c>
      <c r="E127">
        <v>1</v>
      </c>
      <c r="F127">
        <v>2.2313577000000002</v>
      </c>
      <c r="G127">
        <v>4.3303235598535002E-2</v>
      </c>
    </row>
    <row r="128" spans="1:7" x14ac:dyDescent="0.25">
      <c r="A128">
        <v>2</v>
      </c>
      <c r="B128">
        <v>4</v>
      </c>
      <c r="C128">
        <v>2</v>
      </c>
      <c r="D128">
        <v>2015</v>
      </c>
      <c r="E128">
        <v>1</v>
      </c>
      <c r="F128">
        <v>2.4453840000000002</v>
      </c>
      <c r="G128">
        <v>3.99607547695685E-2</v>
      </c>
    </row>
    <row r="129" spans="1:7" x14ac:dyDescent="0.25">
      <c r="A129">
        <v>2</v>
      </c>
      <c r="B129">
        <v>4</v>
      </c>
      <c r="C129">
        <v>2</v>
      </c>
      <c r="D129">
        <v>2016</v>
      </c>
      <c r="E129">
        <v>1</v>
      </c>
      <c r="F129">
        <v>2.8272267400000008</v>
      </c>
      <c r="G129">
        <v>3.5802622851338797E-2</v>
      </c>
    </row>
    <row r="130" spans="1:7" x14ac:dyDescent="0.25">
      <c r="A130">
        <v>2</v>
      </c>
      <c r="B130">
        <v>4</v>
      </c>
      <c r="C130">
        <v>2</v>
      </c>
      <c r="D130">
        <v>2017</v>
      </c>
      <c r="E130">
        <v>1</v>
      </c>
      <c r="F130">
        <v>3.0989074800000007</v>
      </c>
      <c r="G130">
        <v>3.6764674782380997E-2</v>
      </c>
    </row>
    <row r="131" spans="1:7" x14ac:dyDescent="0.25">
      <c r="A131">
        <v>2</v>
      </c>
      <c r="B131">
        <v>4</v>
      </c>
      <c r="C131">
        <v>2</v>
      </c>
      <c r="D131">
        <v>2018</v>
      </c>
      <c r="E131">
        <v>1</v>
      </c>
      <c r="F131">
        <v>3.3626257100000005</v>
      </c>
      <c r="G131">
        <v>5.4469226590281798E-2</v>
      </c>
    </row>
    <row r="132" spans="1:7" x14ac:dyDescent="0.25">
      <c r="A132">
        <v>2</v>
      </c>
      <c r="B132">
        <v>4</v>
      </c>
      <c r="C132">
        <v>2</v>
      </c>
      <c r="D132">
        <v>2019</v>
      </c>
      <c r="E132">
        <v>1</v>
      </c>
      <c r="F132">
        <v>3.5573012700000008</v>
      </c>
      <c r="G132">
        <v>3.3870024725059102E-2</v>
      </c>
    </row>
    <row r="133" spans="1:7" x14ac:dyDescent="0.25">
      <c r="A133">
        <v>2</v>
      </c>
      <c r="B133">
        <v>4</v>
      </c>
      <c r="C133">
        <v>2</v>
      </c>
      <c r="D133">
        <v>2020</v>
      </c>
      <c r="E133">
        <v>1</v>
      </c>
      <c r="F133">
        <v>3.5575076800000005</v>
      </c>
      <c r="G133">
        <v>6.2567892238757597E-2</v>
      </c>
    </row>
    <row r="134" spans="1:7" x14ac:dyDescent="0.25">
      <c r="A134">
        <v>2</v>
      </c>
      <c r="B134">
        <v>4</v>
      </c>
      <c r="C134">
        <v>2</v>
      </c>
      <c r="D134">
        <v>2021</v>
      </c>
      <c r="E134">
        <v>1</v>
      </c>
      <c r="F134">
        <v>3.7728528600000009</v>
      </c>
      <c r="G134">
        <v>5.99547434482108E-2</v>
      </c>
    </row>
    <row r="135" spans="1:7" x14ac:dyDescent="0.25">
      <c r="A135">
        <v>2</v>
      </c>
      <c r="B135">
        <v>4</v>
      </c>
      <c r="C135">
        <v>2</v>
      </c>
      <c r="D135">
        <v>2022</v>
      </c>
      <c r="E135">
        <v>1</v>
      </c>
      <c r="F135">
        <v>4.2755107200000015</v>
      </c>
      <c r="G135">
        <v>4.79301780461776E-2</v>
      </c>
    </row>
    <row r="136" spans="1:7" x14ac:dyDescent="0.25">
      <c r="A136">
        <v>2</v>
      </c>
      <c r="B136">
        <v>4</v>
      </c>
      <c r="C136">
        <v>2</v>
      </c>
      <c r="D136">
        <v>2023</v>
      </c>
      <c r="E136">
        <v>1</v>
      </c>
      <c r="F136">
        <v>4.5996721500000008</v>
      </c>
      <c r="G136">
        <v>8.6979491117995203E-2</v>
      </c>
    </row>
    <row r="137" spans="1:7" x14ac:dyDescent="0.25">
      <c r="A137">
        <v>2</v>
      </c>
      <c r="B137">
        <v>4</v>
      </c>
      <c r="C137">
        <v>2</v>
      </c>
      <c r="D137">
        <v>2024</v>
      </c>
      <c r="E137">
        <v>1</v>
      </c>
      <c r="F137">
        <v>4.9582552800000013</v>
      </c>
      <c r="G137">
        <v>4.2148263931412099E-2</v>
      </c>
    </row>
  </sheetData>
  <sortState xmlns:xlrd2="http://schemas.microsoft.com/office/spreadsheetml/2017/richdata2" ref="A3:G2306">
    <sortCondition ref="A2:A2306"/>
  </sortState>
  <mergeCells count="1">
    <mergeCell ref="A1:U1"/>
  </mergeCells>
  <pageMargins left="0.7" right="0.7" top="0.75" bottom="0.75" header="0.3" footer="0.3"/>
  <pageSetup paperSize="9" orientation="portrait" horizontalDpi="300" verticalDpi="300"/>
  <headerFooter scaleWithDoc="0" alignWithMargins="0">
    <oddHeader>&amp;C&amp;"Aptos"&amp;12&amp;KFF0000 OFFICIAL&amp;1#_x000D_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BQ148"/>
  <sheetViews>
    <sheetView tabSelected="1" workbookViewId="0">
      <pane ySplit="2" topLeftCell="A3" activePane="bottomLeft" state="frozen"/>
      <selection pane="bottomLeft" activeCell="G3" sqref="G3"/>
    </sheetView>
  </sheetViews>
  <sheetFormatPr defaultColWidth="11.42578125" defaultRowHeight="15" x14ac:dyDescent="0.25"/>
  <sheetData>
    <row r="1" spans="1:69" ht="22.5" customHeight="1" x14ac:dyDescent="0.25">
      <c r="A1" s="10" t="s">
        <v>145</v>
      </c>
      <c r="B1" s="11"/>
      <c r="C1" s="11"/>
      <c r="D1" s="11"/>
      <c r="E1" s="11"/>
      <c r="F1" s="11"/>
      <c r="G1" s="11"/>
      <c r="H1" s="11"/>
      <c r="I1" s="11"/>
      <c r="J1" s="11"/>
      <c r="K1" s="11"/>
      <c r="L1" s="11"/>
      <c r="M1" s="11"/>
      <c r="N1" s="11"/>
      <c r="O1" s="11"/>
      <c r="P1" s="11"/>
      <c r="Q1" s="11"/>
      <c r="R1" s="11"/>
      <c r="S1" s="11"/>
      <c r="T1" s="11"/>
      <c r="U1" s="11"/>
    </row>
    <row r="2" spans="1:69" x14ac:dyDescent="0.25">
      <c r="A2" s="6" t="s">
        <v>258</v>
      </c>
      <c r="B2" s="1" t="s">
        <v>259</v>
      </c>
      <c r="C2" s="1" t="s">
        <v>260</v>
      </c>
      <c r="D2" s="1" t="s">
        <v>261</v>
      </c>
      <c r="E2" s="1" t="s">
        <v>262</v>
      </c>
      <c r="F2" s="1" t="s">
        <v>263</v>
      </c>
      <c r="G2" s="1" t="s">
        <v>264</v>
      </c>
      <c r="H2" s="1" t="s">
        <v>265</v>
      </c>
      <c r="I2" s="1" t="s">
        <v>266</v>
      </c>
      <c r="J2" s="1" t="s">
        <v>267</v>
      </c>
      <c r="K2" s="1" t="s">
        <v>268</v>
      </c>
      <c r="L2" s="1" t="s">
        <v>269</v>
      </c>
      <c r="M2" s="1" t="s">
        <v>270</v>
      </c>
      <c r="N2" s="1" t="s">
        <v>271</v>
      </c>
      <c r="O2" s="1" t="s">
        <v>272</v>
      </c>
      <c r="P2" s="1" t="s">
        <v>273</v>
      </c>
      <c r="Q2" s="1" t="s">
        <v>274</v>
      </c>
      <c r="R2" s="1" t="s">
        <v>275</v>
      </c>
      <c r="S2" s="1" t="s">
        <v>276</v>
      </c>
      <c r="T2" s="1" t="s">
        <v>277</v>
      </c>
      <c r="U2" s="1" t="s">
        <v>278</v>
      </c>
      <c r="V2" s="1" t="s">
        <v>279</v>
      </c>
      <c r="W2" s="1" t="s">
        <v>280</v>
      </c>
      <c r="X2" s="1" t="s">
        <v>281</v>
      </c>
      <c r="Y2" s="1" t="s">
        <v>282</v>
      </c>
      <c r="Z2" s="1" t="s">
        <v>283</v>
      </c>
      <c r="AA2" s="1" t="s">
        <v>284</v>
      </c>
      <c r="AB2" s="1" t="s">
        <v>285</v>
      </c>
      <c r="AC2" s="1" t="s">
        <v>286</v>
      </c>
      <c r="AD2" s="1" t="s">
        <v>287</v>
      </c>
      <c r="AE2" s="1" t="s">
        <v>288</v>
      </c>
      <c r="AF2" s="1" t="s">
        <v>289</v>
      </c>
      <c r="AG2" s="1" t="s">
        <v>290</v>
      </c>
      <c r="AH2" s="1" t="s">
        <v>291</v>
      </c>
      <c r="AI2" s="1" t="s">
        <v>292</v>
      </c>
      <c r="AJ2" s="1" t="s">
        <v>293</v>
      </c>
      <c r="AK2" s="1" t="s">
        <v>294</v>
      </c>
      <c r="AL2" s="1" t="s">
        <v>295</v>
      </c>
      <c r="AM2" s="1" t="s">
        <v>296</v>
      </c>
      <c r="AN2" s="1" t="s">
        <v>297</v>
      </c>
      <c r="AO2" s="1" t="s">
        <v>298</v>
      </c>
      <c r="AP2" s="1" t="s">
        <v>299</v>
      </c>
      <c r="AQ2" s="1" t="s">
        <v>300</v>
      </c>
      <c r="AR2" s="1" t="s">
        <v>301</v>
      </c>
      <c r="AS2" s="1" t="s">
        <v>302</v>
      </c>
      <c r="AT2" s="1" t="s">
        <v>303</v>
      </c>
      <c r="AU2" s="1"/>
      <c r="AV2" s="1"/>
      <c r="AW2" s="1"/>
      <c r="AX2" s="1"/>
      <c r="AY2" s="1"/>
      <c r="AZ2" s="1"/>
      <c r="BA2" s="1"/>
      <c r="BB2" s="1"/>
      <c r="BC2" s="1"/>
      <c r="BD2" s="1"/>
      <c r="BE2" s="1"/>
      <c r="BF2" s="1"/>
      <c r="BG2" s="1"/>
      <c r="BH2" s="1"/>
      <c r="BI2" s="1"/>
      <c r="BJ2" s="1"/>
      <c r="BK2" s="1"/>
      <c r="BL2" s="1"/>
      <c r="BM2" s="1"/>
      <c r="BN2" s="1"/>
      <c r="BO2" s="1"/>
      <c r="BP2" s="1"/>
      <c r="BQ2" s="1"/>
    </row>
    <row r="3" spans="1:69" x14ac:dyDescent="0.25">
      <c r="A3">
        <v>2</v>
      </c>
      <c r="B3">
        <v>1</v>
      </c>
      <c r="C3">
        <v>1980</v>
      </c>
      <c r="D3">
        <v>1</v>
      </c>
      <c r="E3">
        <v>4</v>
      </c>
      <c r="F3">
        <v>0</v>
      </c>
      <c r="G3">
        <v>0</v>
      </c>
      <c r="H3">
        <v>0</v>
      </c>
      <c r="I3">
        <v>0</v>
      </c>
      <c r="J3" s="12">
        <v>1.0024171261206E-5</v>
      </c>
      <c r="K3">
        <v>4.8116022053788901E-4</v>
      </c>
      <c r="L3">
        <v>5.8179983918474603E-3</v>
      </c>
      <c r="M3">
        <v>2.3898848612976101E-2</v>
      </c>
      <c r="N3">
        <v>3.4482383934635701E-2</v>
      </c>
      <c r="O3">
        <v>3.4498912339158E-2</v>
      </c>
      <c r="P3">
        <v>3.8604843495904498E-2</v>
      </c>
      <c r="Q3">
        <v>3.7377150337776298E-2</v>
      </c>
      <c r="R3">
        <v>3.6408478704222098E-2</v>
      </c>
      <c r="S3">
        <v>3.4868811910735598E-2</v>
      </c>
      <c r="T3">
        <v>3.8120010296583899E-2</v>
      </c>
      <c r="U3">
        <v>3.92962817517538E-2</v>
      </c>
      <c r="V3">
        <v>4.0649544872016601E-2</v>
      </c>
      <c r="W3">
        <v>4.0708848175279498E-2</v>
      </c>
      <c r="X3">
        <v>4.0806794276152303E-2</v>
      </c>
      <c r="Y3">
        <v>4.2979973389268698E-2</v>
      </c>
      <c r="Z3">
        <v>4.4668013221499298E-2</v>
      </c>
      <c r="AA3">
        <v>4.8649063099632898E-2</v>
      </c>
      <c r="AB3">
        <v>5.2716887101508597E-2</v>
      </c>
      <c r="AC3">
        <v>5.4281346501778502E-2</v>
      </c>
      <c r="AD3">
        <v>4.9058294152342301E-2</v>
      </c>
      <c r="AE3">
        <v>4.4336679927140299E-2</v>
      </c>
      <c r="AF3">
        <v>3.7958858352491499E-2</v>
      </c>
      <c r="AG3">
        <v>3.20196516608139E-2</v>
      </c>
      <c r="AH3">
        <v>2.76330437087536E-2</v>
      </c>
      <c r="AI3">
        <v>2.4000620733414298E-2</v>
      </c>
      <c r="AJ3">
        <v>1.9480867300480001E-2</v>
      </c>
      <c r="AK3">
        <v>1.4800880168149001E-2</v>
      </c>
      <c r="AL3">
        <v>1.22698151848901E-2</v>
      </c>
      <c r="AM3">
        <v>9.1899459551780301E-3</v>
      </c>
      <c r="AN3">
        <v>7.1107338825864997E-3</v>
      </c>
      <c r="AO3">
        <v>5.9619332478957699E-3</v>
      </c>
      <c r="AP3">
        <v>4.8518519312063298E-3</v>
      </c>
      <c r="AQ3">
        <v>4.2663944173171198E-3</v>
      </c>
      <c r="AR3">
        <v>3.1767440451066298E-3</v>
      </c>
      <c r="AS3">
        <v>2.80202368887666E-3</v>
      </c>
      <c r="AT3">
        <v>1.17562868388294E-2</v>
      </c>
    </row>
    <row r="4" spans="1:69" x14ac:dyDescent="0.25">
      <c r="A4">
        <v>2</v>
      </c>
      <c r="B4">
        <v>1</v>
      </c>
      <c r="C4">
        <v>1981</v>
      </c>
      <c r="D4">
        <v>1</v>
      </c>
      <c r="E4">
        <v>4</v>
      </c>
      <c r="F4">
        <v>0</v>
      </c>
      <c r="G4">
        <v>0</v>
      </c>
      <c r="H4">
        <v>0</v>
      </c>
      <c r="I4">
        <v>0</v>
      </c>
      <c r="J4" s="12">
        <v>1.8761410399449801E-5</v>
      </c>
      <c r="K4">
        <v>5.1861898747050498E-4</v>
      </c>
      <c r="L4">
        <v>6.5028388545235799E-3</v>
      </c>
      <c r="M4">
        <v>2.8406711045839899E-2</v>
      </c>
      <c r="N4">
        <v>3.6339511842991397E-2</v>
      </c>
      <c r="O4">
        <v>3.4488832717160002E-2</v>
      </c>
      <c r="P4">
        <v>3.2825767695322999E-2</v>
      </c>
      <c r="Q4">
        <v>3.5015417859046098E-2</v>
      </c>
      <c r="R4">
        <v>3.90596930007878E-2</v>
      </c>
      <c r="S4">
        <v>3.8693622147874702E-2</v>
      </c>
      <c r="T4">
        <v>3.77795245411904E-2</v>
      </c>
      <c r="U4">
        <v>3.8197710422990902E-2</v>
      </c>
      <c r="V4">
        <v>3.7090861659464597E-2</v>
      </c>
      <c r="W4">
        <v>3.6033819973546398E-2</v>
      </c>
      <c r="X4">
        <v>3.4162443736242498E-2</v>
      </c>
      <c r="Y4">
        <v>3.6528466047728698E-2</v>
      </c>
      <c r="Z4">
        <v>3.7406976534687102E-2</v>
      </c>
      <c r="AA4">
        <v>3.9155212403734201E-2</v>
      </c>
      <c r="AB4">
        <v>3.8695408948865202E-2</v>
      </c>
      <c r="AC4">
        <v>4.4062512423850599E-2</v>
      </c>
      <c r="AD4">
        <v>4.6799891541179903E-2</v>
      </c>
      <c r="AE4">
        <v>4.5231675871917898E-2</v>
      </c>
      <c r="AF4">
        <v>4.24039144044897E-2</v>
      </c>
      <c r="AG4">
        <v>3.6612817944485003E-2</v>
      </c>
      <c r="AH4">
        <v>3.3315500066781703E-2</v>
      </c>
      <c r="AI4">
        <v>3.0133952003249601E-2</v>
      </c>
      <c r="AJ4">
        <v>2.3864216227935098E-2</v>
      </c>
      <c r="AK4">
        <v>1.9077599724713502E-2</v>
      </c>
      <c r="AL4">
        <v>1.5359936914013E-2</v>
      </c>
      <c r="AM4">
        <v>1.3383511668480501E-2</v>
      </c>
      <c r="AN4">
        <v>1.1489428168590001E-2</v>
      </c>
      <c r="AO4">
        <v>8.8626818125845299E-3</v>
      </c>
      <c r="AP4">
        <v>7.0913664307444097E-3</v>
      </c>
      <c r="AQ4">
        <v>6.0237528389661997E-3</v>
      </c>
      <c r="AR4">
        <v>4.8866773586852602E-3</v>
      </c>
      <c r="AS4">
        <v>4.1930263241944897E-3</v>
      </c>
      <c r="AT4">
        <v>2.02873384452717E-2</v>
      </c>
    </row>
    <row r="5" spans="1:69" x14ac:dyDescent="0.25">
      <c r="A5">
        <v>2</v>
      </c>
      <c r="B5">
        <v>1</v>
      </c>
      <c r="C5">
        <v>1984</v>
      </c>
      <c r="D5">
        <v>1</v>
      </c>
      <c r="E5">
        <v>6</v>
      </c>
      <c r="F5">
        <v>0</v>
      </c>
      <c r="G5">
        <v>0</v>
      </c>
      <c r="H5">
        <v>0</v>
      </c>
      <c r="I5">
        <v>0</v>
      </c>
      <c r="J5" s="12">
        <v>1.7644805390551799E-5</v>
      </c>
      <c r="K5">
        <v>5.2105322906316302E-4</v>
      </c>
      <c r="L5">
        <v>7.49308982651542E-3</v>
      </c>
      <c r="M5">
        <v>3.7705567297500402E-2</v>
      </c>
      <c r="N5">
        <v>4.7677008223329702E-2</v>
      </c>
      <c r="O5">
        <v>4.2459779410170297E-2</v>
      </c>
      <c r="P5">
        <v>3.7613622980254398E-2</v>
      </c>
      <c r="Q5">
        <v>3.9244810832805101E-2</v>
      </c>
      <c r="R5">
        <v>4.1271624984534197E-2</v>
      </c>
      <c r="S5">
        <v>4.09769779933137E-2</v>
      </c>
      <c r="T5">
        <v>3.8500540186150602E-2</v>
      </c>
      <c r="U5">
        <v>4.0691897462847099E-2</v>
      </c>
      <c r="V5">
        <v>4.1205935287357401E-2</v>
      </c>
      <c r="W5">
        <v>3.8418906387717201E-2</v>
      </c>
      <c r="X5">
        <v>3.7172396551482197E-2</v>
      </c>
      <c r="Y5">
        <v>3.9107266385965497E-2</v>
      </c>
      <c r="Z5">
        <v>4.3007193553310903E-2</v>
      </c>
      <c r="AA5">
        <v>4.5456420094329597E-2</v>
      </c>
      <c r="AB5">
        <v>4.5633931088318903E-2</v>
      </c>
      <c r="AC5">
        <v>4.5748941205382601E-2</v>
      </c>
      <c r="AD5">
        <v>4.3159406573306497E-2</v>
      </c>
      <c r="AE5">
        <v>3.7733416327695099E-2</v>
      </c>
      <c r="AF5">
        <v>3.1409879475349803E-2</v>
      </c>
      <c r="AG5">
        <v>3.04111409726412E-2</v>
      </c>
      <c r="AH5">
        <v>2.7995290750252901E-2</v>
      </c>
      <c r="AI5">
        <v>2.0556198279992902E-2</v>
      </c>
      <c r="AJ5">
        <v>1.84855909968125E-2</v>
      </c>
      <c r="AK5">
        <v>1.35359042027375E-2</v>
      </c>
      <c r="AL5">
        <v>1.2135799524398101E-2</v>
      </c>
      <c r="AM5">
        <v>9.3058278453736799E-3</v>
      </c>
      <c r="AN5">
        <v>8.2641465632808594E-3</v>
      </c>
      <c r="AO5">
        <v>6.7182065054484201E-3</v>
      </c>
      <c r="AP5">
        <v>5.3355340444827702E-3</v>
      </c>
      <c r="AQ5">
        <v>4.4388377898159298E-3</v>
      </c>
      <c r="AR5">
        <v>3.8878096503905E-3</v>
      </c>
      <c r="AS5">
        <v>3.0608422652188601E-3</v>
      </c>
      <c r="AT5">
        <v>1.36415604470641E-2</v>
      </c>
    </row>
    <row r="6" spans="1:69" x14ac:dyDescent="0.25">
      <c r="A6">
        <v>2</v>
      </c>
      <c r="B6">
        <v>1</v>
      </c>
      <c r="C6">
        <v>1988</v>
      </c>
      <c r="D6">
        <v>1</v>
      </c>
      <c r="E6">
        <v>14</v>
      </c>
      <c r="F6">
        <v>0</v>
      </c>
      <c r="G6">
        <v>0</v>
      </c>
      <c r="H6">
        <v>0</v>
      </c>
      <c r="I6">
        <v>0</v>
      </c>
      <c r="J6" s="12">
        <v>2.4421209306151701E-5</v>
      </c>
      <c r="K6">
        <v>7.6701877123400001E-4</v>
      </c>
      <c r="L6">
        <v>9.12180367339974E-3</v>
      </c>
      <c r="M6">
        <v>3.8020448906813498E-2</v>
      </c>
      <c r="N6">
        <v>5.6156570799495799E-2</v>
      </c>
      <c r="O6">
        <v>5.1503848429121799E-2</v>
      </c>
      <c r="P6">
        <v>5.8058372474212298E-2</v>
      </c>
      <c r="Q6">
        <v>5.6498467729781898E-2</v>
      </c>
      <c r="R6">
        <v>4.85847105877832E-2</v>
      </c>
      <c r="S6">
        <v>5.0351070950361003E-2</v>
      </c>
      <c r="T6">
        <v>4.9011278421387298E-2</v>
      </c>
      <c r="U6">
        <v>4.8582139934172E-2</v>
      </c>
      <c r="V6">
        <v>4.7958113770059499E-2</v>
      </c>
      <c r="W6">
        <v>4.25145940825482E-2</v>
      </c>
      <c r="X6">
        <v>3.7334727056032802E-2</v>
      </c>
      <c r="Y6">
        <v>2.9503391495442399E-2</v>
      </c>
      <c r="Z6">
        <v>2.9490538227386499E-2</v>
      </c>
      <c r="AA6">
        <v>3.2456751162979698E-2</v>
      </c>
      <c r="AB6">
        <v>2.6946073149876501E-2</v>
      </c>
      <c r="AC6">
        <v>3.04897191528797E-2</v>
      </c>
      <c r="AD6">
        <v>2.9466117018080398E-2</v>
      </c>
      <c r="AE6">
        <v>2.5046520797069701E-2</v>
      </c>
      <c r="AF6">
        <v>2.8882257316642498E-2</v>
      </c>
      <c r="AG6">
        <v>2.84852519995668E-2</v>
      </c>
      <c r="AH6">
        <v>2.2798484214098198E-2</v>
      </c>
      <c r="AI6">
        <v>2.1107958133050001E-2</v>
      </c>
      <c r="AJ6">
        <v>1.6751824923065199E-2</v>
      </c>
      <c r="AK6">
        <v>1.37745260437737E-2</v>
      </c>
      <c r="AL6">
        <v>1.1329513127846001E-2</v>
      </c>
      <c r="AM6">
        <v>9.3011067627791193E-3</v>
      </c>
      <c r="AN6">
        <v>8.2542080796285597E-3</v>
      </c>
      <c r="AO6">
        <v>7.6750076878609498E-3</v>
      </c>
      <c r="AP6">
        <v>6.4438252739593797E-3</v>
      </c>
      <c r="AQ6">
        <v>4.99317330800383E-3</v>
      </c>
      <c r="AR6">
        <v>3.8974322062409702E-3</v>
      </c>
      <c r="AS6">
        <v>3.2904366223025401E-3</v>
      </c>
      <c r="AT6">
        <v>1.51282965017582E-2</v>
      </c>
    </row>
    <row r="7" spans="1:69" x14ac:dyDescent="0.25">
      <c r="A7">
        <v>2</v>
      </c>
      <c r="B7">
        <v>1</v>
      </c>
      <c r="C7">
        <v>1990</v>
      </c>
      <c r="D7">
        <v>1</v>
      </c>
      <c r="E7">
        <v>6</v>
      </c>
      <c r="F7">
        <v>0</v>
      </c>
      <c r="G7">
        <v>0</v>
      </c>
      <c r="H7">
        <v>0</v>
      </c>
      <c r="I7">
        <v>0</v>
      </c>
      <c r="J7" s="12">
        <v>8.1475665152139905E-6</v>
      </c>
      <c r="K7">
        <v>4.7352551831641998E-4</v>
      </c>
      <c r="L7">
        <v>6.2661691219381404E-3</v>
      </c>
      <c r="M7">
        <v>3.0761206425364299E-2</v>
      </c>
      <c r="N7">
        <v>4.1441561372028098E-2</v>
      </c>
      <c r="O7">
        <v>4.2077900126301103E-2</v>
      </c>
      <c r="P7">
        <v>4.4425089754421297E-2</v>
      </c>
      <c r="Q7">
        <v>4.4561457922790301E-2</v>
      </c>
      <c r="R7">
        <v>4.8837273211105099E-2</v>
      </c>
      <c r="S7">
        <v>4.9455452558653502E-2</v>
      </c>
      <c r="T7">
        <v>4.9398350545873097E-2</v>
      </c>
      <c r="U7">
        <v>4.7023196812340601E-2</v>
      </c>
      <c r="V7">
        <v>4.3552747759902498E-2</v>
      </c>
      <c r="W7">
        <v>4.2983799047314697E-2</v>
      </c>
      <c r="X7">
        <v>4.2804069253762997E-2</v>
      </c>
      <c r="Y7">
        <v>4.15995413058146E-2</v>
      </c>
      <c r="Z7">
        <v>4.1218953283510697E-2</v>
      </c>
      <c r="AA7">
        <v>3.9346532022836403E-2</v>
      </c>
      <c r="AB7">
        <v>3.8566229911069998E-2</v>
      </c>
      <c r="AC7">
        <v>3.7089932286817499E-2</v>
      </c>
      <c r="AD7">
        <v>3.4438727952201702E-2</v>
      </c>
      <c r="AE7">
        <v>3.4938629490931801E-2</v>
      </c>
      <c r="AF7">
        <v>3.4328183426855403E-2</v>
      </c>
      <c r="AG7">
        <v>3.1377797687914002E-2</v>
      </c>
      <c r="AH7">
        <v>2.6633428277800499E-2</v>
      </c>
      <c r="AI7">
        <v>2.3289059364826802E-2</v>
      </c>
      <c r="AJ7">
        <v>1.8076550115957799E-2</v>
      </c>
      <c r="AK7">
        <v>1.33510305843076E-2</v>
      </c>
      <c r="AL7">
        <v>9.8631125968835394E-3</v>
      </c>
      <c r="AM7">
        <v>8.0909478326506405E-3</v>
      </c>
      <c r="AN7">
        <v>6.1695030785372902E-3</v>
      </c>
      <c r="AO7">
        <v>4.9959082644771896E-3</v>
      </c>
      <c r="AP7">
        <v>4.0383620574179699E-3</v>
      </c>
      <c r="AQ7">
        <v>3.2383124539282701E-3</v>
      </c>
      <c r="AR7">
        <v>2.7342680847667299E-3</v>
      </c>
      <c r="AS7">
        <v>2.1846525808590701E-3</v>
      </c>
      <c r="AT7">
        <v>1.0360390343007E-2</v>
      </c>
    </row>
    <row r="8" spans="1:69" x14ac:dyDescent="0.25">
      <c r="A8">
        <v>2</v>
      </c>
      <c r="B8">
        <v>1</v>
      </c>
      <c r="C8">
        <v>1992</v>
      </c>
      <c r="D8">
        <v>1</v>
      </c>
      <c r="E8">
        <v>2</v>
      </c>
      <c r="F8">
        <v>0</v>
      </c>
      <c r="G8">
        <v>0</v>
      </c>
      <c r="H8">
        <v>0</v>
      </c>
      <c r="I8">
        <v>0</v>
      </c>
      <c r="J8" s="12">
        <v>1.88654733912304E-5</v>
      </c>
      <c r="K8">
        <v>6.1639665535703303E-4</v>
      </c>
      <c r="L8">
        <v>7.2589111577227401E-3</v>
      </c>
      <c r="M8">
        <v>2.9875064803368101E-2</v>
      </c>
      <c r="N8">
        <v>4.0127422263742898E-2</v>
      </c>
      <c r="O8">
        <v>3.7315532794123203E-2</v>
      </c>
      <c r="P8">
        <v>3.8284022690494801E-2</v>
      </c>
      <c r="Q8">
        <v>4.0597004443005798E-2</v>
      </c>
      <c r="R8">
        <v>4.4234305070208001E-2</v>
      </c>
      <c r="S8">
        <v>4.4588452966740501E-2</v>
      </c>
      <c r="T8">
        <v>4.3080429210066197E-2</v>
      </c>
      <c r="U8">
        <v>4.5223341521758199E-2</v>
      </c>
      <c r="V8">
        <v>4.8244058706738202E-2</v>
      </c>
      <c r="W8">
        <v>4.7670996604121399E-2</v>
      </c>
      <c r="X8">
        <v>4.8466428469829903E-2</v>
      </c>
      <c r="Y8">
        <v>4.8741285342059501E-2</v>
      </c>
      <c r="Z8">
        <v>4.3432148877350203E-2</v>
      </c>
      <c r="AA8">
        <v>4.5753442645365301E-2</v>
      </c>
      <c r="AB8">
        <v>4.5823207539539799E-2</v>
      </c>
      <c r="AC8">
        <v>3.9531945737294898E-2</v>
      </c>
      <c r="AD8">
        <v>3.84713699163503E-2</v>
      </c>
      <c r="AE8">
        <v>3.5384436787635802E-2</v>
      </c>
      <c r="AF8">
        <v>3.16018159792614E-2</v>
      </c>
      <c r="AG8">
        <v>2.9130532358442901E-2</v>
      </c>
      <c r="AH8">
        <v>2.4149393629129601E-2</v>
      </c>
      <c r="AI8">
        <v>2.0688793376463101E-2</v>
      </c>
      <c r="AJ8">
        <v>1.68158611187357E-2</v>
      </c>
      <c r="AK8">
        <v>1.27384906369815E-2</v>
      </c>
      <c r="AL8">
        <v>1.05417837080947E-2</v>
      </c>
      <c r="AM8">
        <v>7.69076239020318E-3</v>
      </c>
      <c r="AN8">
        <v>6.2492347575613897E-3</v>
      </c>
      <c r="AO8">
        <v>4.9789906803627496E-3</v>
      </c>
      <c r="AP8">
        <v>4.12472095209748E-3</v>
      </c>
      <c r="AQ8">
        <v>3.4905795445407798E-3</v>
      </c>
      <c r="AR8">
        <v>2.7457669193176899E-3</v>
      </c>
      <c r="AS8">
        <v>2.2714216749906702E-3</v>
      </c>
      <c r="AT8">
        <v>1.0042782597553399E-2</v>
      </c>
    </row>
    <row r="9" spans="1:69" x14ac:dyDescent="0.25">
      <c r="A9">
        <v>2</v>
      </c>
      <c r="B9">
        <v>1</v>
      </c>
      <c r="C9">
        <v>1993</v>
      </c>
      <c r="D9">
        <v>1</v>
      </c>
      <c r="E9">
        <v>2</v>
      </c>
      <c r="F9">
        <v>0</v>
      </c>
      <c r="G9">
        <v>0</v>
      </c>
      <c r="H9">
        <v>0</v>
      </c>
      <c r="I9">
        <v>0</v>
      </c>
      <c r="J9" s="12">
        <v>2.3374792098268399E-5</v>
      </c>
      <c r="K9">
        <v>8.6252982842610398E-4</v>
      </c>
      <c r="L9">
        <v>9.8875370575675393E-3</v>
      </c>
      <c r="M9">
        <v>3.8630252766236203E-2</v>
      </c>
      <c r="N9">
        <v>4.7573545618000798E-2</v>
      </c>
      <c r="O9">
        <v>4.6075416234435902E-2</v>
      </c>
      <c r="P9">
        <v>4.2925468209260097E-2</v>
      </c>
      <c r="Q9">
        <v>4.3448186997557599E-2</v>
      </c>
      <c r="R9">
        <v>4.7896117748956898E-2</v>
      </c>
      <c r="S9">
        <v>4.6638846118971303E-2</v>
      </c>
      <c r="T9">
        <v>5.2095886124246198E-2</v>
      </c>
      <c r="U9">
        <v>5.6248515335470699E-2</v>
      </c>
      <c r="V9">
        <v>5.3417243642567898E-2</v>
      </c>
      <c r="W9">
        <v>5.4626889133653302E-2</v>
      </c>
      <c r="X9">
        <v>5.2292039587937503E-2</v>
      </c>
      <c r="Y9">
        <v>4.6194043304334603E-2</v>
      </c>
      <c r="Z9">
        <v>4.8756894467975598E-2</v>
      </c>
      <c r="AA9">
        <v>4.8363418800988101E-2</v>
      </c>
      <c r="AB9">
        <v>4.5289244060197499E-2</v>
      </c>
      <c r="AC9">
        <v>3.8236777099248699E-2</v>
      </c>
      <c r="AD9">
        <v>3.4859119641048902E-2</v>
      </c>
      <c r="AE9">
        <v>3.0413526368859502E-2</v>
      </c>
      <c r="AF9">
        <v>2.5484074900235899E-2</v>
      </c>
      <c r="AG9">
        <v>2.0205462474644401E-2</v>
      </c>
      <c r="AH9">
        <v>1.6132502346488199E-2</v>
      </c>
      <c r="AI9">
        <v>1.32768819118165E-2</v>
      </c>
      <c r="AJ9">
        <v>9.2651832179511395E-3</v>
      </c>
      <c r="AK9">
        <v>7.2744300909152798E-3</v>
      </c>
      <c r="AL9">
        <v>5.9438200507213497E-3</v>
      </c>
      <c r="AM9">
        <v>4.1655827418455799E-3</v>
      </c>
      <c r="AN9">
        <v>2.8015662279445401E-3</v>
      </c>
      <c r="AO9">
        <v>2.1321706192303802E-3</v>
      </c>
      <c r="AP9">
        <v>1.8653084094418201E-3</v>
      </c>
      <c r="AQ9">
        <v>1.3089883575030301E-3</v>
      </c>
      <c r="AR9">
        <v>1.04826203064026E-3</v>
      </c>
      <c r="AS9">
        <v>7.1409989860210001E-4</v>
      </c>
      <c r="AT9">
        <v>3.62679378398049E-3</v>
      </c>
    </row>
    <row r="10" spans="1:69" x14ac:dyDescent="0.25">
      <c r="A10">
        <v>2</v>
      </c>
      <c r="B10">
        <v>1</v>
      </c>
      <c r="C10">
        <v>1994</v>
      </c>
      <c r="D10">
        <v>1</v>
      </c>
      <c r="E10">
        <v>6</v>
      </c>
      <c r="F10">
        <v>0</v>
      </c>
      <c r="G10">
        <v>0</v>
      </c>
      <c r="H10">
        <v>0</v>
      </c>
      <c r="I10">
        <v>0</v>
      </c>
      <c r="J10" s="12">
        <v>2.2252550261798501E-5</v>
      </c>
      <c r="K10">
        <v>7.3773640805954298E-4</v>
      </c>
      <c r="L10">
        <v>8.6315987317149793E-3</v>
      </c>
      <c r="M10">
        <v>3.9231613922298902E-2</v>
      </c>
      <c r="N10">
        <v>5.2653579837644703E-2</v>
      </c>
      <c r="O10">
        <v>4.7357472875336599E-2</v>
      </c>
      <c r="P10">
        <v>4.9618037733336902E-2</v>
      </c>
      <c r="Q10">
        <v>4.8025049383190598E-2</v>
      </c>
      <c r="R10">
        <v>5.28516459255121E-2</v>
      </c>
      <c r="S10">
        <v>5.2041910563506301E-2</v>
      </c>
      <c r="T10">
        <v>5.3172468850567499E-2</v>
      </c>
      <c r="U10">
        <v>4.8584121720346499E-2</v>
      </c>
      <c r="V10">
        <v>4.71071776612349E-2</v>
      </c>
      <c r="W10">
        <v>4.5338927489605198E-2</v>
      </c>
      <c r="X10">
        <v>4.4691764478272403E-2</v>
      </c>
      <c r="Y10">
        <v>4.4573513322749003E-2</v>
      </c>
      <c r="Z10">
        <v>3.89997092456036E-2</v>
      </c>
      <c r="AA10">
        <v>4.0452377795338702E-2</v>
      </c>
      <c r="AB10">
        <v>3.8538014804014802E-2</v>
      </c>
      <c r="AC10">
        <v>3.6866498859142997E-2</v>
      </c>
      <c r="AD10">
        <v>3.2515941377587301E-2</v>
      </c>
      <c r="AE10">
        <v>2.7246500694518699E-2</v>
      </c>
      <c r="AF10">
        <v>2.5489284845332801E-2</v>
      </c>
      <c r="AG10">
        <v>2.12874148587083E-2</v>
      </c>
      <c r="AH10">
        <v>1.897535649597E-2</v>
      </c>
      <c r="AI10">
        <v>1.74452637837538E-2</v>
      </c>
      <c r="AJ10">
        <v>1.3714927176230501E-2</v>
      </c>
      <c r="AK10">
        <v>1.0084451186824101E-2</v>
      </c>
      <c r="AL10">
        <v>7.6221421334752102E-3</v>
      </c>
      <c r="AM10">
        <v>6.49277923134542E-3</v>
      </c>
      <c r="AN10">
        <v>5.2841531129938502E-3</v>
      </c>
      <c r="AO10">
        <v>4.4109703969358403E-3</v>
      </c>
      <c r="AP10">
        <v>3.4758115698181099E-3</v>
      </c>
      <c r="AQ10">
        <v>2.97761191147752E-3</v>
      </c>
      <c r="AR10">
        <v>2.3944479703191402E-3</v>
      </c>
      <c r="AS10">
        <v>1.9611669090233001E-3</v>
      </c>
      <c r="AT10">
        <v>9.1263041879483496E-3</v>
      </c>
    </row>
    <row r="11" spans="1:69" x14ac:dyDescent="0.25">
      <c r="A11">
        <v>2</v>
      </c>
      <c r="B11">
        <v>1</v>
      </c>
      <c r="C11">
        <v>1995</v>
      </c>
      <c r="D11">
        <v>1</v>
      </c>
      <c r="E11">
        <v>4</v>
      </c>
      <c r="F11">
        <v>0</v>
      </c>
      <c r="G11">
        <v>0</v>
      </c>
      <c r="H11">
        <v>0</v>
      </c>
      <c r="I11">
        <v>0</v>
      </c>
      <c r="J11" s="12">
        <v>2.3265835538910699E-5</v>
      </c>
      <c r="K11">
        <v>7.4246587447857201E-4</v>
      </c>
      <c r="L11">
        <v>9.70940461196209E-3</v>
      </c>
      <c r="M11">
        <v>4.5395318689394698E-2</v>
      </c>
      <c r="N11">
        <v>6.0374026878366703E-2</v>
      </c>
      <c r="O11">
        <v>5.2087307700981397E-2</v>
      </c>
      <c r="P11">
        <v>5.5588203690757503E-2</v>
      </c>
      <c r="Q11">
        <v>5.2613442122203397E-2</v>
      </c>
      <c r="R11">
        <v>4.8921929550029601E-2</v>
      </c>
      <c r="S11">
        <v>5.2835998206898001E-2</v>
      </c>
      <c r="T11">
        <v>4.8206811236623001E-2</v>
      </c>
      <c r="U11">
        <v>4.5785225520948103E-2</v>
      </c>
      <c r="V11">
        <v>4.2891690290503499E-2</v>
      </c>
      <c r="W11">
        <v>3.99682564205288E-2</v>
      </c>
      <c r="X11">
        <v>4.2337698092517799E-2</v>
      </c>
      <c r="Y11">
        <v>3.8097397522413E-2</v>
      </c>
      <c r="Z11">
        <v>4.0323366541912098E-2</v>
      </c>
      <c r="AA11">
        <v>4.2265247464304503E-2</v>
      </c>
      <c r="AB11">
        <v>4.2388617618543803E-2</v>
      </c>
      <c r="AC11">
        <v>3.9815191713035901E-2</v>
      </c>
      <c r="AD11">
        <v>3.2068076651132003E-2</v>
      </c>
      <c r="AE11">
        <v>2.90720901098056E-2</v>
      </c>
      <c r="AF11">
        <v>2.6143656126052701E-2</v>
      </c>
      <c r="AG11">
        <v>2.3638292993810001E-2</v>
      </c>
      <c r="AH11">
        <v>2.00291292342673E-2</v>
      </c>
      <c r="AI11">
        <v>1.6354453779917601E-2</v>
      </c>
      <c r="AJ11">
        <v>1.22551768269829E-2</v>
      </c>
      <c r="AK11">
        <v>9.6069533010802195E-3</v>
      </c>
      <c r="AL11">
        <v>6.8156652952408997E-3</v>
      </c>
      <c r="AM11">
        <v>5.35114217394947E-3</v>
      </c>
      <c r="AN11">
        <v>4.0409082778108101E-3</v>
      </c>
      <c r="AO11">
        <v>2.9225154817298401E-3</v>
      </c>
      <c r="AP11">
        <v>2.3002564242023101E-3</v>
      </c>
      <c r="AQ11">
        <v>1.69534470019063E-3</v>
      </c>
      <c r="AR11">
        <v>1.3643167594527899E-3</v>
      </c>
      <c r="AS11">
        <v>9.6124636305499602E-4</v>
      </c>
      <c r="AT11">
        <v>5.0099099193787796E-3</v>
      </c>
    </row>
    <row r="12" spans="1:69" x14ac:dyDescent="0.25">
      <c r="A12">
        <v>2</v>
      </c>
      <c r="B12">
        <v>1</v>
      </c>
      <c r="C12">
        <v>1996</v>
      </c>
      <c r="D12">
        <v>1</v>
      </c>
      <c r="E12">
        <v>14</v>
      </c>
      <c r="F12">
        <v>0</v>
      </c>
      <c r="G12">
        <v>0</v>
      </c>
      <c r="H12">
        <v>0</v>
      </c>
      <c r="I12">
        <v>0</v>
      </c>
      <c r="J12" s="12">
        <v>2.49218895514322E-5</v>
      </c>
      <c r="K12">
        <v>8.1717564160748801E-4</v>
      </c>
      <c r="L12">
        <v>1.0270441851985E-2</v>
      </c>
      <c r="M12">
        <v>4.27171680338728E-2</v>
      </c>
      <c r="N12">
        <v>6.11651376868814E-2</v>
      </c>
      <c r="O12">
        <v>5.6972751192971502E-2</v>
      </c>
      <c r="P12">
        <v>5.8441043991070099E-2</v>
      </c>
      <c r="Q12">
        <v>6.1315718366907898E-2</v>
      </c>
      <c r="R12">
        <v>6.2346697587298702E-2</v>
      </c>
      <c r="S12">
        <v>5.93718109818962E-2</v>
      </c>
      <c r="T12">
        <v>5.7062732331036099E-2</v>
      </c>
      <c r="U12">
        <v>5.67003155898224E-2</v>
      </c>
      <c r="V12">
        <v>5.8666652675430399E-2</v>
      </c>
      <c r="W12">
        <v>5.1306562851693799E-2</v>
      </c>
      <c r="X12">
        <v>4.6833214845051402E-2</v>
      </c>
      <c r="Y12">
        <v>4.7034950982578302E-2</v>
      </c>
      <c r="Z12">
        <v>4.1288487923376999E-2</v>
      </c>
      <c r="AA12">
        <v>3.7318824421353099E-2</v>
      </c>
      <c r="AB12">
        <v>3.4924486674659201E-2</v>
      </c>
      <c r="AC12">
        <v>3.4659789974055E-2</v>
      </c>
      <c r="AD12">
        <v>2.7442410759960199E-2</v>
      </c>
      <c r="AE12">
        <v>2.4983276100432598E-2</v>
      </c>
      <c r="AF12">
        <v>1.77868837406969E-2</v>
      </c>
      <c r="AG12">
        <v>1.3988394269539401E-2</v>
      </c>
      <c r="AH12">
        <v>1.0161834880676599E-2</v>
      </c>
      <c r="AI12">
        <v>6.6840507776941196E-3</v>
      </c>
      <c r="AJ12">
        <v>4.3589696503852403E-3</v>
      </c>
      <c r="AK12">
        <v>3.0103019221335201E-3</v>
      </c>
      <c r="AL12">
        <v>2.4607086736045699E-3</v>
      </c>
      <c r="AM12">
        <v>1.3133835793604799E-3</v>
      </c>
      <c r="AN12">
        <v>1.4153009908418599E-3</v>
      </c>
      <c r="AO12">
        <v>1.33778079755293E-3</v>
      </c>
      <c r="AP12">
        <v>1.1427342198530399E-3</v>
      </c>
      <c r="AQ12">
        <v>9.5437720198011001E-4</v>
      </c>
      <c r="AR12">
        <v>9.1292816462088596E-4</v>
      </c>
      <c r="AS12">
        <v>5.7740083055476097E-4</v>
      </c>
      <c r="AT12">
        <v>2.2303779470134399E-3</v>
      </c>
    </row>
    <row r="13" spans="1:69" x14ac:dyDescent="0.25">
      <c r="A13">
        <v>2</v>
      </c>
      <c r="B13">
        <v>1</v>
      </c>
      <c r="C13">
        <v>1997</v>
      </c>
      <c r="D13">
        <v>1</v>
      </c>
      <c r="E13">
        <v>5</v>
      </c>
      <c r="F13">
        <v>0</v>
      </c>
      <c r="G13">
        <v>0</v>
      </c>
      <c r="H13">
        <v>0</v>
      </c>
      <c r="I13">
        <v>0</v>
      </c>
      <c r="J13" s="12">
        <v>2.53283183263047E-5</v>
      </c>
      <c r="K13">
        <v>1.05304402253606E-3</v>
      </c>
      <c r="L13">
        <v>1.2018798729030101E-2</v>
      </c>
      <c r="M13">
        <v>5.3986670908520398E-2</v>
      </c>
      <c r="N13">
        <v>7.5559106636953199E-2</v>
      </c>
      <c r="O13">
        <v>6.4625204209566495E-2</v>
      </c>
      <c r="P13">
        <v>6.4274445376987094E-2</v>
      </c>
      <c r="Q13">
        <v>6.9425688057198995E-2</v>
      </c>
      <c r="R13">
        <v>6.4626611338362394E-2</v>
      </c>
      <c r="S13">
        <v>6.7330601200894902E-2</v>
      </c>
      <c r="T13">
        <v>7.0442018810241896E-2</v>
      </c>
      <c r="U13">
        <v>6.2840325292359805E-2</v>
      </c>
      <c r="V13">
        <v>5.5676248830004403E-2</v>
      </c>
      <c r="W13">
        <v>4.6958702176969E-2</v>
      </c>
      <c r="X13">
        <v>4.1407962839519398E-2</v>
      </c>
      <c r="Y13">
        <v>3.7955252536765398E-2</v>
      </c>
      <c r="Z13">
        <v>3.6740132861100901E-2</v>
      </c>
      <c r="AA13">
        <v>3.0816120630337399E-2</v>
      </c>
      <c r="AB13">
        <v>2.60954593616726E-2</v>
      </c>
      <c r="AC13">
        <v>2.5152427226816501E-2</v>
      </c>
      <c r="AD13">
        <v>1.8374543658537398E-2</v>
      </c>
      <c r="AE13">
        <v>1.3619727536372001E-2</v>
      </c>
      <c r="AF13">
        <v>1.3557685948552599E-2</v>
      </c>
      <c r="AG13">
        <v>1.05630600292657E-2</v>
      </c>
      <c r="AH13">
        <v>8.6116282309436007E-3</v>
      </c>
      <c r="AI13">
        <v>7.5278832164968699E-3</v>
      </c>
      <c r="AJ13">
        <v>5.8619706429440099E-3</v>
      </c>
      <c r="AK13">
        <v>4.1530766807162103E-3</v>
      </c>
      <c r="AL13">
        <v>3.1263843429034698E-3</v>
      </c>
      <c r="AM13">
        <v>2.0920167571130701E-3</v>
      </c>
      <c r="AN13">
        <v>1.26053155953236E-3</v>
      </c>
      <c r="AO13">
        <v>1.2664159163152399E-3</v>
      </c>
      <c r="AP13">
        <v>7.6432677777611398E-4</v>
      </c>
      <c r="AQ13">
        <v>5.6784042954781096E-4</v>
      </c>
      <c r="AR13">
        <v>4.39024184322615E-4</v>
      </c>
      <c r="AS13">
        <v>2.2923407293302001E-4</v>
      </c>
      <c r="AT13">
        <v>9.7450065156459199E-4</v>
      </c>
    </row>
    <row r="14" spans="1:69" x14ac:dyDescent="0.25">
      <c r="A14">
        <v>2</v>
      </c>
      <c r="B14">
        <v>1</v>
      </c>
      <c r="C14">
        <v>1998</v>
      </c>
      <c r="D14">
        <v>1</v>
      </c>
      <c r="E14">
        <v>9</v>
      </c>
      <c r="F14">
        <v>0</v>
      </c>
      <c r="G14">
        <v>0</v>
      </c>
      <c r="H14">
        <v>0</v>
      </c>
      <c r="I14">
        <v>0</v>
      </c>
      <c r="J14" s="12">
        <v>3.87312246664273E-5</v>
      </c>
      <c r="K14">
        <v>1.1202261903520501E-3</v>
      </c>
      <c r="L14">
        <v>1.2803649077228601E-2</v>
      </c>
      <c r="M14">
        <v>5.04585925966754E-2</v>
      </c>
      <c r="N14">
        <v>6.7413931025647494E-2</v>
      </c>
      <c r="O14">
        <v>6.6577113123479595E-2</v>
      </c>
      <c r="P14">
        <v>6.1272797422288E-2</v>
      </c>
      <c r="Q14">
        <v>6.4459682036507607E-2</v>
      </c>
      <c r="R14">
        <v>5.9533119914354303E-2</v>
      </c>
      <c r="S14">
        <v>6.4489102870629297E-2</v>
      </c>
      <c r="T14">
        <v>5.8276837883507397E-2</v>
      </c>
      <c r="U14">
        <v>5.9904045873659703E-2</v>
      </c>
      <c r="V14">
        <v>5.0990029688973398E-2</v>
      </c>
      <c r="W14">
        <v>4.1570521366973902E-2</v>
      </c>
      <c r="X14">
        <v>3.4519203983953403E-2</v>
      </c>
      <c r="Y14">
        <v>3.5317042384373602E-2</v>
      </c>
      <c r="Z14">
        <v>3.61719845134688E-2</v>
      </c>
      <c r="AA14">
        <v>3.0486687631183399E-2</v>
      </c>
      <c r="AB14">
        <v>2.9834091323262198E-2</v>
      </c>
      <c r="AC14">
        <v>2.37679373984237E-2</v>
      </c>
      <c r="AD14">
        <v>2.283851214497E-2</v>
      </c>
      <c r="AE14">
        <v>2.2766139375801599E-2</v>
      </c>
      <c r="AF14">
        <v>1.9747338345551101E-2</v>
      </c>
      <c r="AG14">
        <v>1.7515948078310601E-2</v>
      </c>
      <c r="AH14">
        <v>1.29902293037467E-2</v>
      </c>
      <c r="AI14">
        <v>9.1074240309373094E-3</v>
      </c>
      <c r="AJ14">
        <v>8.2395714936200192E-3</v>
      </c>
      <c r="AK14">
        <v>6.9423237443758997E-3</v>
      </c>
      <c r="AL14">
        <v>6.1001678849622997E-3</v>
      </c>
      <c r="AM14">
        <v>4.7594716465090498E-3</v>
      </c>
      <c r="AN14">
        <v>3.8675362323158402E-3</v>
      </c>
      <c r="AO14">
        <v>2.8620140534758999E-3</v>
      </c>
      <c r="AP14">
        <v>2.4504947913951101E-3</v>
      </c>
      <c r="AQ14">
        <v>2.0769619227371701E-3</v>
      </c>
      <c r="AR14">
        <v>1.8197468666191E-3</v>
      </c>
      <c r="AS14">
        <v>1.35037904461986E-3</v>
      </c>
      <c r="AT14">
        <v>5.5604135104442703E-3</v>
      </c>
    </row>
    <row r="15" spans="1:69" x14ac:dyDescent="0.25">
      <c r="A15">
        <v>2</v>
      </c>
      <c r="B15">
        <v>1</v>
      </c>
      <c r="C15">
        <v>1999</v>
      </c>
      <c r="D15">
        <v>1</v>
      </c>
      <c r="E15">
        <v>6</v>
      </c>
      <c r="F15">
        <v>0</v>
      </c>
      <c r="G15">
        <v>0</v>
      </c>
      <c r="H15">
        <v>0</v>
      </c>
      <c r="I15">
        <v>0</v>
      </c>
      <c r="J15" s="12">
        <v>3.1166281200369298E-5</v>
      </c>
      <c r="K15">
        <v>1.07370199817181E-3</v>
      </c>
      <c r="L15">
        <v>1.3025852784418E-2</v>
      </c>
      <c r="M15">
        <v>5.28922486035086E-2</v>
      </c>
      <c r="N15">
        <v>6.6225868414780203E-2</v>
      </c>
      <c r="O15">
        <v>6.0788060669888497E-2</v>
      </c>
      <c r="P15">
        <v>5.4726927300989402E-2</v>
      </c>
      <c r="Q15">
        <v>5.9094692724668399E-2</v>
      </c>
      <c r="R15">
        <v>5.8381291825828199E-2</v>
      </c>
      <c r="S15">
        <v>6.1390490719000199E-2</v>
      </c>
      <c r="T15">
        <v>6.19748584915071E-2</v>
      </c>
      <c r="U15">
        <v>5.7826909793567E-2</v>
      </c>
      <c r="V15">
        <v>5.5108123975216597E-2</v>
      </c>
      <c r="W15">
        <v>5.3727835491145702E-2</v>
      </c>
      <c r="X15">
        <v>4.8177404139189098E-2</v>
      </c>
      <c r="Y15">
        <v>3.9706550573843202E-2</v>
      </c>
      <c r="Z15">
        <v>3.9173182170573299E-2</v>
      </c>
      <c r="AA15">
        <v>3.4204285292832599E-2</v>
      </c>
      <c r="AB15">
        <v>3.07430572681597E-2</v>
      </c>
      <c r="AC15">
        <v>2.6052059731122301E-2</v>
      </c>
      <c r="AD15">
        <v>2.61435516551007E-2</v>
      </c>
      <c r="AE15">
        <v>2.38688853438556E-2</v>
      </c>
      <c r="AF15">
        <v>1.7289258387714002E-2</v>
      </c>
      <c r="AG15">
        <v>1.4981891092027501E-2</v>
      </c>
      <c r="AH15">
        <v>1.14844204600497E-2</v>
      </c>
      <c r="AI15">
        <v>8.4113543012360303E-3</v>
      </c>
      <c r="AJ15">
        <v>6.2729224161470597E-3</v>
      </c>
      <c r="AK15">
        <v>4.2525446265140304E-3</v>
      </c>
      <c r="AL15">
        <v>2.9324637311256602E-3</v>
      </c>
      <c r="AM15">
        <v>2.1426818325253898E-3</v>
      </c>
      <c r="AN15">
        <v>1.8907543928224E-3</v>
      </c>
      <c r="AO15">
        <v>1.4940926320904299E-3</v>
      </c>
      <c r="AP15">
        <v>9.9318910507086001E-4</v>
      </c>
      <c r="AQ15">
        <v>7.42796368608802E-4</v>
      </c>
      <c r="AR15">
        <v>4.7516773421017597E-4</v>
      </c>
      <c r="AS15">
        <v>3.8839797405005699E-4</v>
      </c>
      <c r="AT15">
        <v>1.9110596972408301E-3</v>
      </c>
    </row>
    <row r="16" spans="1:69" x14ac:dyDescent="0.25">
      <c r="A16">
        <v>2</v>
      </c>
      <c r="B16">
        <v>1</v>
      </c>
      <c r="C16">
        <v>2000</v>
      </c>
      <c r="D16">
        <v>1</v>
      </c>
      <c r="E16">
        <v>4</v>
      </c>
      <c r="F16">
        <v>0</v>
      </c>
      <c r="G16">
        <v>0</v>
      </c>
      <c r="H16">
        <v>0</v>
      </c>
      <c r="I16">
        <v>0</v>
      </c>
      <c r="J16" s="12">
        <v>2.8147381747258401E-5</v>
      </c>
      <c r="K16">
        <v>1.00867877603874E-3</v>
      </c>
      <c r="L16">
        <v>1.3819207696188201E-2</v>
      </c>
      <c r="M16">
        <v>5.32345390223605E-2</v>
      </c>
      <c r="N16">
        <v>7.0634504962743302E-2</v>
      </c>
      <c r="O16">
        <v>6.9968735841963406E-2</v>
      </c>
      <c r="P16">
        <v>6.32299441872122E-2</v>
      </c>
      <c r="Q16">
        <v>6.9095395846654598E-2</v>
      </c>
      <c r="R16">
        <v>6.0289378219196103E-2</v>
      </c>
      <c r="S16">
        <v>4.9628846567850902E-2</v>
      </c>
      <c r="T16">
        <v>4.96361725987167E-2</v>
      </c>
      <c r="U16">
        <v>5.0646265170185598E-2</v>
      </c>
      <c r="V16">
        <v>4.8775428235422601E-2</v>
      </c>
      <c r="W16">
        <v>4.5140688711164799E-2</v>
      </c>
      <c r="X16">
        <v>4.24835244634807E-2</v>
      </c>
      <c r="Y16">
        <v>3.9214572375079901E-2</v>
      </c>
      <c r="Z16">
        <v>3.3689716887465103E-2</v>
      </c>
      <c r="AA16">
        <v>3.2647878182244697E-2</v>
      </c>
      <c r="AB16">
        <v>3.3191289734881203E-2</v>
      </c>
      <c r="AC16">
        <v>3.08973423859083E-2</v>
      </c>
      <c r="AD16">
        <v>2.7414778660685899E-2</v>
      </c>
      <c r="AE16">
        <v>2.13418846535719E-2</v>
      </c>
      <c r="AF16">
        <v>1.73048560659857E-2</v>
      </c>
      <c r="AG16">
        <v>1.4337427984795301E-2</v>
      </c>
      <c r="AH16">
        <v>1.20234304460846E-2</v>
      </c>
      <c r="AI16">
        <v>1.0359007644134799E-2</v>
      </c>
      <c r="AJ16">
        <v>7.5388713414026804E-3</v>
      </c>
      <c r="AK16">
        <v>6.3146530256828802E-3</v>
      </c>
      <c r="AL16">
        <v>5.3641969159980603E-3</v>
      </c>
      <c r="AM16">
        <v>4.1989724277759401E-3</v>
      </c>
      <c r="AN16">
        <v>3.2180554529125799E-3</v>
      </c>
      <c r="AO16">
        <v>2.7819638261160099E-3</v>
      </c>
      <c r="AP16">
        <v>2.0078465646377599E-3</v>
      </c>
      <c r="AQ16">
        <v>1.6250935836179699E-3</v>
      </c>
      <c r="AR16">
        <v>1.1952997728287801E-3</v>
      </c>
      <c r="AS16">
        <v>9.9634019773856995E-4</v>
      </c>
      <c r="AT16">
        <v>4.7170641895256998E-3</v>
      </c>
    </row>
    <row r="17" spans="1:46" x14ac:dyDescent="0.25">
      <c r="A17">
        <v>2</v>
      </c>
      <c r="B17">
        <v>1</v>
      </c>
      <c r="C17">
        <v>2001</v>
      </c>
      <c r="D17">
        <v>1</v>
      </c>
      <c r="E17">
        <v>6</v>
      </c>
      <c r="F17">
        <v>0</v>
      </c>
      <c r="G17">
        <v>0</v>
      </c>
      <c r="H17">
        <v>0</v>
      </c>
      <c r="I17">
        <v>0</v>
      </c>
      <c r="J17" s="12">
        <v>2.3674395073493099E-5</v>
      </c>
      <c r="K17">
        <v>9.1617984186851396E-4</v>
      </c>
      <c r="L17">
        <v>1.1438004891361001E-2</v>
      </c>
      <c r="M17">
        <v>5.0621053485559002E-2</v>
      </c>
      <c r="N17">
        <v>7.4338081717660098E-2</v>
      </c>
      <c r="O17">
        <v>7.6474070330083604E-2</v>
      </c>
      <c r="P17">
        <v>7.9932841707893901E-2</v>
      </c>
      <c r="Q17">
        <v>8.0769240763112302E-2</v>
      </c>
      <c r="R17">
        <v>7.5098934430875702E-2</v>
      </c>
      <c r="S17">
        <v>6.7825987037017602E-2</v>
      </c>
      <c r="T17">
        <v>5.5408670583592098E-2</v>
      </c>
      <c r="U17">
        <v>4.7727580468162098E-2</v>
      </c>
      <c r="V17">
        <v>4.2759422048349101E-2</v>
      </c>
      <c r="W17">
        <v>3.73681078759419E-2</v>
      </c>
      <c r="X17">
        <v>3.55459493543097E-2</v>
      </c>
      <c r="Y17">
        <v>3.58285985345164E-2</v>
      </c>
      <c r="Z17">
        <v>3.2431611553605202E-2</v>
      </c>
      <c r="AA17">
        <v>3.0831568901199102E-2</v>
      </c>
      <c r="AB17">
        <v>2.6278193582063999E-2</v>
      </c>
      <c r="AC17">
        <v>2.5533701223167501E-2</v>
      </c>
      <c r="AD17">
        <v>2.23844292541228E-2</v>
      </c>
      <c r="AE17">
        <v>1.8914109390910702E-2</v>
      </c>
      <c r="AF17">
        <v>1.54531245533984E-2</v>
      </c>
      <c r="AG17">
        <v>1.15227900216852E-2</v>
      </c>
      <c r="AH17">
        <v>8.9177404271958E-3</v>
      </c>
      <c r="AI17">
        <v>7.3751514896631901E-3</v>
      </c>
      <c r="AJ17">
        <v>5.7408483305653899E-3</v>
      </c>
      <c r="AK17">
        <v>4.6078456752798799E-3</v>
      </c>
      <c r="AL17">
        <v>3.5274848659504702E-3</v>
      </c>
      <c r="AM17">
        <v>2.7591256372237701E-3</v>
      </c>
      <c r="AN17">
        <v>2.3628201131886302E-3</v>
      </c>
      <c r="AO17">
        <v>1.8265854410361799E-3</v>
      </c>
      <c r="AP17">
        <v>1.42893259370417E-3</v>
      </c>
      <c r="AQ17">
        <v>1.0890221733806801E-3</v>
      </c>
      <c r="AR17">
        <v>9.3436870637619797E-4</v>
      </c>
      <c r="AS17">
        <v>7.6653071853809997E-4</v>
      </c>
      <c r="AT17">
        <v>3.2376178823677001E-3</v>
      </c>
    </row>
    <row r="18" spans="1:46" x14ac:dyDescent="0.25">
      <c r="A18">
        <v>2</v>
      </c>
      <c r="B18">
        <v>1</v>
      </c>
      <c r="C18">
        <v>2002</v>
      </c>
      <c r="D18">
        <v>1</v>
      </c>
      <c r="E18">
        <v>9</v>
      </c>
      <c r="F18">
        <v>0</v>
      </c>
      <c r="G18">
        <v>0</v>
      </c>
      <c r="H18">
        <v>0</v>
      </c>
      <c r="I18">
        <v>0</v>
      </c>
      <c r="J18" s="12">
        <v>2.56655283298843E-5</v>
      </c>
      <c r="K18">
        <v>1.04954568277158E-3</v>
      </c>
      <c r="L18">
        <v>1.37260740587541E-2</v>
      </c>
      <c r="M18">
        <v>6.1697770546023697E-2</v>
      </c>
      <c r="N18">
        <v>7.8496315667725303E-2</v>
      </c>
      <c r="O18">
        <v>7.4628960766211505E-2</v>
      </c>
      <c r="P18">
        <v>8.1468533356257894E-2</v>
      </c>
      <c r="Q18">
        <v>8.2047710472906099E-2</v>
      </c>
      <c r="R18">
        <v>8.3368613052291596E-2</v>
      </c>
      <c r="S18">
        <v>7.4430032156664397E-2</v>
      </c>
      <c r="T18">
        <v>6.1544109615893398E-2</v>
      </c>
      <c r="U18">
        <v>5.4041884647155002E-2</v>
      </c>
      <c r="V18">
        <v>4.7882074788020597E-2</v>
      </c>
      <c r="W18">
        <v>4.17981817343668E-2</v>
      </c>
      <c r="X18">
        <v>3.5626743480519703E-2</v>
      </c>
      <c r="Y18">
        <v>3.00858133999806E-2</v>
      </c>
      <c r="Z18">
        <v>2.68241317430673E-2</v>
      </c>
      <c r="AA18">
        <v>2.5918196734995898E-2</v>
      </c>
      <c r="AB18">
        <v>2.24795142985648E-2</v>
      </c>
      <c r="AC18">
        <v>1.9626072356024898E-2</v>
      </c>
      <c r="AD18">
        <v>1.6975130601408098E-2</v>
      </c>
      <c r="AE18">
        <v>1.47469640545554E-2</v>
      </c>
      <c r="AF18">
        <v>1.20772507484741E-2</v>
      </c>
      <c r="AG18">
        <v>9.6748244008573406E-3</v>
      </c>
      <c r="AH18">
        <v>6.90726645926594E-3</v>
      </c>
      <c r="AI18">
        <v>5.1595187339668301E-3</v>
      </c>
      <c r="AJ18">
        <v>3.7287278245474601E-3</v>
      </c>
      <c r="AK18">
        <v>2.6129002919142402E-3</v>
      </c>
      <c r="AL18">
        <v>2.1113011799913498E-3</v>
      </c>
      <c r="AM18">
        <v>1.77914439102305E-3</v>
      </c>
      <c r="AN18">
        <v>1.4979033589033401E-3</v>
      </c>
      <c r="AO18">
        <v>1.16283947125689E-3</v>
      </c>
      <c r="AP18">
        <v>9.3558741458840298E-4</v>
      </c>
      <c r="AQ18">
        <v>6.9188948539785104E-4</v>
      </c>
      <c r="AR18">
        <v>6.0002516716855603E-4</v>
      </c>
      <c r="AS18">
        <v>4.8590077906091598E-4</v>
      </c>
      <c r="AT18">
        <v>2.0868815510949601E-3</v>
      </c>
    </row>
    <row r="19" spans="1:46" x14ac:dyDescent="0.25">
      <c r="A19">
        <v>2</v>
      </c>
      <c r="B19">
        <v>1</v>
      </c>
      <c r="C19">
        <v>2003</v>
      </c>
      <c r="D19">
        <v>1</v>
      </c>
      <c r="E19">
        <v>10</v>
      </c>
      <c r="F19">
        <v>0</v>
      </c>
      <c r="G19">
        <v>0</v>
      </c>
      <c r="H19">
        <v>0</v>
      </c>
      <c r="I19">
        <v>0</v>
      </c>
      <c r="J19" s="12">
        <v>2.5363601664429701E-5</v>
      </c>
      <c r="K19">
        <v>9.8113834731183998E-4</v>
      </c>
      <c r="L19">
        <v>1.2879416969844199E-2</v>
      </c>
      <c r="M19">
        <v>5.7439965763949302E-2</v>
      </c>
      <c r="N19">
        <v>8.1293024040363995E-2</v>
      </c>
      <c r="O19">
        <v>7.8077826665146205E-2</v>
      </c>
      <c r="P19">
        <v>8.2842746975665502E-2</v>
      </c>
      <c r="Q19">
        <v>8.5025391439763801E-2</v>
      </c>
      <c r="R19">
        <v>8.6999490734621293E-2</v>
      </c>
      <c r="S19">
        <v>8.38383198930302E-2</v>
      </c>
      <c r="T19">
        <v>7.0662513084765899E-2</v>
      </c>
      <c r="U19">
        <v>5.7210593572203497E-2</v>
      </c>
      <c r="V19">
        <v>4.6481721332101898E-2</v>
      </c>
      <c r="W19">
        <v>3.8641893920069698E-2</v>
      </c>
      <c r="X19">
        <v>2.94734674387374E-2</v>
      </c>
      <c r="Y19">
        <v>2.6332573731268301E-2</v>
      </c>
      <c r="Z19">
        <v>2.2755481064009299E-2</v>
      </c>
      <c r="AA19">
        <v>2.1318897663503599E-2</v>
      </c>
      <c r="AB19">
        <v>1.9806154721956799E-2</v>
      </c>
      <c r="AC19">
        <v>1.80836293623075E-2</v>
      </c>
      <c r="AD19">
        <v>1.62516762144474E-2</v>
      </c>
      <c r="AE19">
        <v>1.359825855848E-2</v>
      </c>
      <c r="AF19">
        <v>1.1493629508715301E-2</v>
      </c>
      <c r="AG19">
        <v>8.7720944293076201E-3</v>
      </c>
      <c r="AH19">
        <v>6.9281124730700798E-3</v>
      </c>
      <c r="AI19">
        <v>5.1118998801724502E-3</v>
      </c>
      <c r="AJ19">
        <v>3.7661167989045102E-3</v>
      </c>
      <c r="AK19">
        <v>2.9353729243346001E-3</v>
      </c>
      <c r="AL19">
        <v>2.1722653208698399E-3</v>
      </c>
      <c r="AM19">
        <v>1.7601927138827E-3</v>
      </c>
      <c r="AN19">
        <v>1.3796699528683799E-3</v>
      </c>
      <c r="AO19">
        <v>1.0821803376823301E-3</v>
      </c>
      <c r="AP19">
        <v>8.9356862232408004E-4</v>
      </c>
      <c r="AQ19">
        <v>6.6605230387079505E-4</v>
      </c>
      <c r="AR19">
        <v>5.5236288069202401E-4</v>
      </c>
      <c r="AS19">
        <v>4.5365791594914801E-4</v>
      </c>
      <c r="AT19">
        <v>2.0132788421440202E-3</v>
      </c>
    </row>
    <row r="20" spans="1:46" x14ac:dyDescent="0.25">
      <c r="A20">
        <v>2</v>
      </c>
      <c r="B20">
        <v>1</v>
      </c>
      <c r="C20">
        <v>2004</v>
      </c>
      <c r="D20">
        <v>1</v>
      </c>
      <c r="E20">
        <v>21</v>
      </c>
      <c r="F20">
        <v>0</v>
      </c>
      <c r="G20">
        <v>0</v>
      </c>
      <c r="H20">
        <v>0</v>
      </c>
      <c r="I20">
        <v>0</v>
      </c>
      <c r="J20" s="12">
        <v>4.4088642921190497E-5</v>
      </c>
      <c r="K20">
        <v>1.34488885549514E-3</v>
      </c>
      <c r="L20">
        <v>1.6400975166682801E-2</v>
      </c>
      <c r="M20">
        <v>6.1397770033490298E-2</v>
      </c>
      <c r="N20">
        <v>8.3831701720101695E-2</v>
      </c>
      <c r="O20">
        <v>8.0139963287127705E-2</v>
      </c>
      <c r="P20">
        <v>8.2262294229226401E-2</v>
      </c>
      <c r="Q20">
        <v>8.5837994317974203E-2</v>
      </c>
      <c r="R20">
        <v>8.6016720043564004E-2</v>
      </c>
      <c r="S20">
        <v>7.7805858661888203E-2</v>
      </c>
      <c r="T20">
        <v>7.1841517408085698E-2</v>
      </c>
      <c r="U20">
        <v>6.1993818846361001E-2</v>
      </c>
      <c r="V20">
        <v>5.42870499651774E-2</v>
      </c>
      <c r="W20">
        <v>4.5550607500745202E-2</v>
      </c>
      <c r="X20">
        <v>3.7321962464781901E-2</v>
      </c>
      <c r="Y20">
        <v>2.8448067172419E-2</v>
      </c>
      <c r="Z20">
        <v>2.2913645761017801E-2</v>
      </c>
      <c r="AA20">
        <v>1.95399383455526E-2</v>
      </c>
      <c r="AB20">
        <v>1.5948381165065001E-2</v>
      </c>
      <c r="AC20">
        <v>1.4191356121456101E-2</v>
      </c>
      <c r="AD20">
        <v>1.1536256536326599E-2</v>
      </c>
      <c r="AE20">
        <v>9.2806963841903598E-3</v>
      </c>
      <c r="AF20">
        <v>7.52367134058151E-3</v>
      </c>
      <c r="AG20">
        <v>5.7963598193447501E-3</v>
      </c>
      <c r="AH20">
        <v>4.16871086067774E-3</v>
      </c>
      <c r="AI20">
        <v>3.2680428695734199E-3</v>
      </c>
      <c r="AJ20">
        <v>2.4463639429295899E-3</v>
      </c>
      <c r="AK20">
        <v>1.8962562369683801E-3</v>
      </c>
      <c r="AL20">
        <v>1.41965430206233E-3</v>
      </c>
      <c r="AM20">
        <v>1.1452673361175101E-3</v>
      </c>
      <c r="AN20">
        <v>8.8169875986427804E-4</v>
      </c>
      <c r="AO20">
        <v>6.8000248081977297E-4</v>
      </c>
      <c r="AP20">
        <v>5.6351954523639202E-4</v>
      </c>
      <c r="AQ20">
        <v>4.4014544361659102E-4</v>
      </c>
      <c r="AR20">
        <v>3.4855962403576498E-4</v>
      </c>
      <c r="AS20">
        <v>2.70978432206376E-4</v>
      </c>
      <c r="AT20">
        <v>1.2152163763151701E-3</v>
      </c>
    </row>
    <row r="21" spans="1:46" x14ac:dyDescent="0.25">
      <c r="A21">
        <v>2</v>
      </c>
      <c r="B21">
        <v>1</v>
      </c>
      <c r="C21">
        <v>2005</v>
      </c>
      <c r="D21">
        <v>1</v>
      </c>
      <c r="E21">
        <v>14</v>
      </c>
      <c r="F21">
        <v>0</v>
      </c>
      <c r="G21">
        <v>0</v>
      </c>
      <c r="H21">
        <v>0</v>
      </c>
      <c r="I21">
        <v>0</v>
      </c>
      <c r="J21" s="12">
        <v>4.0148588381423203E-5</v>
      </c>
      <c r="K21">
        <v>1.5076953069581599E-3</v>
      </c>
      <c r="L21">
        <v>1.93452498718816E-2</v>
      </c>
      <c r="M21">
        <v>8.6697209190552293E-2</v>
      </c>
      <c r="N21">
        <v>0.10569579144352501</v>
      </c>
      <c r="O21">
        <v>9.7125225956448402E-2</v>
      </c>
      <c r="P21">
        <v>9.0544331858966501E-2</v>
      </c>
      <c r="Q21">
        <v>8.3839131555149798E-2</v>
      </c>
      <c r="R21">
        <v>8.4866201933887997E-2</v>
      </c>
      <c r="S21">
        <v>7.6759082411733404E-2</v>
      </c>
      <c r="T21">
        <v>6.9716093503746093E-2</v>
      </c>
      <c r="U21">
        <v>5.9680587095896298E-2</v>
      </c>
      <c r="V21">
        <v>4.5106939046528897E-2</v>
      </c>
      <c r="W21">
        <v>3.70934352232445E-2</v>
      </c>
      <c r="X21">
        <v>2.9203851562175798E-2</v>
      </c>
      <c r="Y21">
        <v>2.3059187319222799E-2</v>
      </c>
      <c r="Z21">
        <v>1.8235180007547199E-2</v>
      </c>
      <c r="AA21">
        <v>1.36002378031773E-2</v>
      </c>
      <c r="AB21">
        <v>1.10068899224148E-2</v>
      </c>
      <c r="AC21">
        <v>9.7448151862035599E-3</v>
      </c>
      <c r="AD21">
        <v>8.6043443474937593E-3</v>
      </c>
      <c r="AE21">
        <v>6.3685698320032503E-3</v>
      </c>
      <c r="AF21">
        <v>5.27490684272852E-3</v>
      </c>
      <c r="AG21">
        <v>4.2776583721870704E-3</v>
      </c>
      <c r="AH21">
        <v>3.2358218058950901E-3</v>
      </c>
      <c r="AI21">
        <v>2.3524563504740098E-3</v>
      </c>
      <c r="AJ21">
        <v>1.5427288107621401E-3</v>
      </c>
      <c r="AK21">
        <v>1.18920890874014E-3</v>
      </c>
      <c r="AL21">
        <v>8.7284575317690205E-4</v>
      </c>
      <c r="AM21">
        <v>6.8850968632950204E-4</v>
      </c>
      <c r="AN21">
        <v>5.3853154607774398E-4</v>
      </c>
      <c r="AO21">
        <v>4.09978854433379E-4</v>
      </c>
      <c r="AP21">
        <v>3.32383986503898E-4</v>
      </c>
      <c r="AQ21">
        <v>2.7177505981271102E-4</v>
      </c>
      <c r="AR21">
        <v>2.0846382428815901E-4</v>
      </c>
      <c r="AS21">
        <v>1.75650074168726E-4</v>
      </c>
      <c r="AT21">
        <v>7.8888115728306001E-4</v>
      </c>
    </row>
    <row r="22" spans="1:46" x14ac:dyDescent="0.25">
      <c r="A22">
        <v>2</v>
      </c>
      <c r="B22">
        <v>1</v>
      </c>
      <c r="C22">
        <v>2006</v>
      </c>
      <c r="D22">
        <v>1</v>
      </c>
      <c r="E22">
        <v>8</v>
      </c>
      <c r="F22">
        <v>0</v>
      </c>
      <c r="G22">
        <v>0</v>
      </c>
      <c r="H22">
        <v>0</v>
      </c>
      <c r="I22">
        <v>0</v>
      </c>
      <c r="J22" s="12">
        <v>4.3555823616632E-5</v>
      </c>
      <c r="K22">
        <v>1.4351274764530901E-3</v>
      </c>
      <c r="L22">
        <v>1.6433390780265698E-2</v>
      </c>
      <c r="M22">
        <v>7.1682402745936305E-2</v>
      </c>
      <c r="N22">
        <v>0.100058431244733</v>
      </c>
      <c r="O22">
        <v>0.10453508403136499</v>
      </c>
      <c r="P22">
        <v>0.104233367673532</v>
      </c>
      <c r="Q22">
        <v>0.100000479852294</v>
      </c>
      <c r="R22">
        <v>9.4133731881423294E-2</v>
      </c>
      <c r="S22">
        <v>9.1995805352715398E-2</v>
      </c>
      <c r="T22">
        <v>7.9972552448778503E-2</v>
      </c>
      <c r="U22">
        <v>5.8116166334522698E-2</v>
      </c>
      <c r="V22">
        <v>4.4311332597805897E-2</v>
      </c>
      <c r="W22">
        <v>3.2204733041558499E-2</v>
      </c>
      <c r="X22">
        <v>2.3000353983346201E-2</v>
      </c>
      <c r="Y22">
        <v>1.7740656076203499E-2</v>
      </c>
      <c r="Z22">
        <v>1.29338649112439E-2</v>
      </c>
      <c r="AA22">
        <v>1.0370789249979801E-2</v>
      </c>
      <c r="AB22">
        <v>7.8791746688188606E-3</v>
      </c>
      <c r="AC22">
        <v>6.3553114296756204E-3</v>
      </c>
      <c r="AD22">
        <v>5.1159636892077901E-3</v>
      </c>
      <c r="AE22">
        <v>4.0854624318102202E-3</v>
      </c>
      <c r="AF22">
        <v>3.3772004457458698E-3</v>
      </c>
      <c r="AG22">
        <v>2.6203626428344998E-3</v>
      </c>
      <c r="AH22">
        <v>1.8665516005473299E-3</v>
      </c>
      <c r="AI22">
        <v>1.3952628243294001E-3</v>
      </c>
      <c r="AJ22">
        <v>9.7668397703057808E-4</v>
      </c>
      <c r="AK22">
        <v>7.2287902517637298E-4</v>
      </c>
      <c r="AL22">
        <v>5.5515219253741098E-4</v>
      </c>
      <c r="AM22">
        <v>3.9864652123697102E-4</v>
      </c>
      <c r="AN22">
        <v>3.12125461442576E-4</v>
      </c>
      <c r="AO22">
        <v>2.3549674124924701E-4</v>
      </c>
      <c r="AP22">
        <v>1.7695476137129999E-4</v>
      </c>
      <c r="AQ22">
        <v>1.4572745054107001E-4</v>
      </c>
      <c r="AR22">
        <v>1.12063966525504E-4</v>
      </c>
      <c r="AS22" s="12">
        <v>9.5675165096873003E-5</v>
      </c>
      <c r="AT22">
        <v>3.7147949904896998E-4</v>
      </c>
    </row>
    <row r="23" spans="1:46" x14ac:dyDescent="0.25">
      <c r="A23">
        <v>2</v>
      </c>
      <c r="B23">
        <v>1</v>
      </c>
      <c r="C23">
        <v>2007</v>
      </c>
      <c r="D23">
        <v>1</v>
      </c>
      <c r="E23">
        <v>18</v>
      </c>
      <c r="F23">
        <v>0</v>
      </c>
      <c r="G23">
        <v>0</v>
      </c>
      <c r="H23">
        <v>0</v>
      </c>
      <c r="I23">
        <v>0</v>
      </c>
      <c r="J23" s="12">
        <v>6.2042278838398605E-5</v>
      </c>
      <c r="K23">
        <v>2.0163740622479499E-3</v>
      </c>
      <c r="L23">
        <v>2.3418835525918801E-2</v>
      </c>
      <c r="M23">
        <v>9.4404551353584096E-2</v>
      </c>
      <c r="N23">
        <v>0.12926551290691901</v>
      </c>
      <c r="O23">
        <v>9.6527162194664895E-2</v>
      </c>
      <c r="P23">
        <v>0.100030851160573</v>
      </c>
      <c r="Q23">
        <v>9.7122088156128994E-2</v>
      </c>
      <c r="R23">
        <v>0.10560998183776001</v>
      </c>
      <c r="S23">
        <v>8.0955187626899794E-2</v>
      </c>
      <c r="T23">
        <v>7.1891490603994301E-2</v>
      </c>
      <c r="U23">
        <v>4.74068877128241E-2</v>
      </c>
      <c r="V23">
        <v>4.4069353069010601E-2</v>
      </c>
      <c r="W23">
        <v>3.1215765198021099E-2</v>
      </c>
      <c r="X23">
        <v>2.28500438120476E-2</v>
      </c>
      <c r="Y23">
        <v>1.3458500089663801E-2</v>
      </c>
      <c r="Z23">
        <v>1.0809592246245E-2</v>
      </c>
      <c r="AA23">
        <v>9.5613100949586798E-3</v>
      </c>
      <c r="AB23">
        <v>5.3468970786585603E-3</v>
      </c>
      <c r="AC23">
        <v>3.9775049995028101E-3</v>
      </c>
      <c r="AD23">
        <v>3.0188243073149502E-3</v>
      </c>
      <c r="AE23">
        <v>1.95135715360223E-3</v>
      </c>
      <c r="AF23">
        <v>1.6063000959530599E-3</v>
      </c>
      <c r="AG23">
        <v>8.9493862488813295E-4</v>
      </c>
      <c r="AH23">
        <v>6.1192384607735596E-4</v>
      </c>
      <c r="AI23">
        <v>6.1001158405836399E-4</v>
      </c>
      <c r="AJ23">
        <v>3.2402217544026598E-4</v>
      </c>
      <c r="AK23">
        <v>2.2437207689503E-4</v>
      </c>
      <c r="AL23">
        <v>1.90376307668511E-4</v>
      </c>
      <c r="AM23">
        <v>1.2238476921547101E-4</v>
      </c>
      <c r="AN23" s="12">
        <v>6.5016908645718999E-5</v>
      </c>
      <c r="AO23" s="12">
        <v>7.7340374990332393E-5</v>
      </c>
      <c r="AP23" s="12">
        <v>5.8430228358080798E-5</v>
      </c>
      <c r="AQ23" s="12">
        <v>4.5894288455801703E-5</v>
      </c>
      <c r="AR23" s="12">
        <v>4.46194471098072E-5</v>
      </c>
      <c r="AS23" s="12">
        <v>3.6970399033840198E-5</v>
      </c>
      <c r="AT23">
        <v>1.17285403831493E-4</v>
      </c>
    </row>
    <row r="24" spans="1:46" x14ac:dyDescent="0.25">
      <c r="A24">
        <v>2</v>
      </c>
      <c r="B24">
        <v>1</v>
      </c>
      <c r="C24">
        <v>2008</v>
      </c>
      <c r="D24">
        <v>1</v>
      </c>
      <c r="E24">
        <v>16</v>
      </c>
      <c r="F24">
        <v>0</v>
      </c>
      <c r="G24">
        <v>0</v>
      </c>
      <c r="H24">
        <v>0</v>
      </c>
      <c r="I24">
        <v>0</v>
      </c>
      <c r="J24" s="12">
        <v>3.43081443941709E-5</v>
      </c>
      <c r="K24">
        <v>1.1126965749460799E-3</v>
      </c>
      <c r="L24">
        <v>1.39394222485303E-2</v>
      </c>
      <c r="M24">
        <v>6.4379232955661697E-2</v>
      </c>
      <c r="N24">
        <v>8.7694398812938196E-2</v>
      </c>
      <c r="O24">
        <v>8.4838709415696406E-2</v>
      </c>
      <c r="P24">
        <v>9.5841424047621596E-2</v>
      </c>
      <c r="Q24">
        <v>9.1420657374182104E-2</v>
      </c>
      <c r="R24">
        <v>8.5927993000211297E-2</v>
      </c>
      <c r="S24">
        <v>9.3592617907298198E-2</v>
      </c>
      <c r="T24">
        <v>9.1341261837323995E-2</v>
      </c>
      <c r="U24">
        <v>8.0724397923939997E-2</v>
      </c>
      <c r="V24">
        <v>5.8020635653417703E-2</v>
      </c>
      <c r="W24">
        <v>4.0478046902246899E-2</v>
      </c>
      <c r="X24">
        <v>2.99555303859469E-2</v>
      </c>
      <c r="Y24">
        <v>2.23540741906668E-2</v>
      </c>
      <c r="Z24">
        <v>1.6500594771091101E-2</v>
      </c>
      <c r="AA24">
        <v>1.2035204328760599E-2</v>
      </c>
      <c r="AB24">
        <v>8.7805668470432793E-3</v>
      </c>
      <c r="AC24">
        <v>6.4348633799850702E-3</v>
      </c>
      <c r="AD24">
        <v>4.1670486731730802E-3</v>
      </c>
      <c r="AE24">
        <v>2.8413170664821101E-3</v>
      </c>
      <c r="AF24">
        <v>1.9423509586402601E-3</v>
      </c>
      <c r="AG24">
        <v>1.4228607452123E-3</v>
      </c>
      <c r="AH24">
        <v>1.1266052821329101E-3</v>
      </c>
      <c r="AI24">
        <v>7.7598995513166998E-4</v>
      </c>
      <c r="AJ24">
        <v>6.0247883297601503E-4</v>
      </c>
      <c r="AK24">
        <v>4.3766065281212601E-4</v>
      </c>
      <c r="AL24">
        <v>2.9324190985558201E-4</v>
      </c>
      <c r="AM24">
        <v>2.1280321995843901E-4</v>
      </c>
      <c r="AN24">
        <v>1.6273187408586499E-4</v>
      </c>
      <c r="AO24">
        <v>1.1590589322355E-4</v>
      </c>
      <c r="AP24" s="12">
        <v>9.8288197453570697E-5</v>
      </c>
      <c r="AQ24" s="12">
        <v>7.5107018808860595E-5</v>
      </c>
      <c r="AR24" s="12">
        <v>6.7225418069659194E-5</v>
      </c>
      <c r="AS24" s="12">
        <v>5.1462216591256401E-5</v>
      </c>
      <c r="AT24">
        <v>2.0028538349029499E-4</v>
      </c>
    </row>
    <row r="25" spans="1:46" x14ac:dyDescent="0.25">
      <c r="A25">
        <v>2</v>
      </c>
      <c r="B25">
        <v>1</v>
      </c>
      <c r="C25">
        <v>2009</v>
      </c>
      <c r="D25">
        <v>1</v>
      </c>
      <c r="E25">
        <v>24</v>
      </c>
      <c r="F25">
        <v>0</v>
      </c>
      <c r="G25">
        <v>0</v>
      </c>
      <c r="H25">
        <v>0</v>
      </c>
      <c r="I25">
        <v>0</v>
      </c>
      <c r="J25" s="12">
        <v>2.3750271377299601E-5</v>
      </c>
      <c r="K25">
        <v>1.0949484086252501E-3</v>
      </c>
      <c r="L25">
        <v>1.38467127036243E-2</v>
      </c>
      <c r="M25">
        <v>7.2731146217530795E-2</v>
      </c>
      <c r="N25">
        <v>0.10012343036334199</v>
      </c>
      <c r="O25">
        <v>9.4369876373747705E-2</v>
      </c>
      <c r="P25">
        <v>9.4462746024646105E-2</v>
      </c>
      <c r="Q25">
        <v>9.2483962730749394E-2</v>
      </c>
      <c r="R25">
        <v>9.3255034575421794E-2</v>
      </c>
      <c r="S25">
        <v>8.4731021579354499E-2</v>
      </c>
      <c r="T25">
        <v>7.7462423569038596E-2</v>
      </c>
      <c r="U25">
        <v>7.2126935253816804E-2</v>
      </c>
      <c r="V25">
        <v>5.6472055522044699E-2</v>
      </c>
      <c r="W25">
        <v>4.0441738808116003E-2</v>
      </c>
      <c r="X25">
        <v>3.0655713528692501E-2</v>
      </c>
      <c r="Y25">
        <v>2.3351997595741799E-2</v>
      </c>
      <c r="Z25">
        <v>1.7703086895848701E-2</v>
      </c>
      <c r="AA25">
        <v>1.1562322285295801E-2</v>
      </c>
      <c r="AB25">
        <v>7.9395939251677705E-3</v>
      </c>
      <c r="AC25">
        <v>4.9834971137838E-3</v>
      </c>
      <c r="AD25">
        <v>3.3557915493489499E-3</v>
      </c>
      <c r="AE25">
        <v>2.3453900469514498E-3</v>
      </c>
      <c r="AF25">
        <v>1.4469396100631701E-3</v>
      </c>
      <c r="AG25">
        <v>9.2362166467276096E-4</v>
      </c>
      <c r="AH25">
        <v>5.9091487161811102E-4</v>
      </c>
      <c r="AI25">
        <v>4.0598754491110399E-4</v>
      </c>
      <c r="AJ25">
        <v>2.8774367245574498E-4</v>
      </c>
      <c r="AK25">
        <v>2.1192549844359601E-4</v>
      </c>
      <c r="AL25">
        <v>1.44937553533264E-4</v>
      </c>
      <c r="AM25">
        <v>1.06876221197848E-4</v>
      </c>
      <c r="AN25" s="12">
        <v>7.5107695808554204E-5</v>
      </c>
      <c r="AO25" s="12">
        <v>5.6127778083960103E-5</v>
      </c>
      <c r="AP25" s="12">
        <v>5.1763411976165698E-5</v>
      </c>
      <c r="AQ25" s="12">
        <v>3.2479003592888301E-5</v>
      </c>
      <c r="AR25" s="12">
        <v>3.1261040958154997E-5</v>
      </c>
      <c r="AS25" s="12">
        <v>2.4663743353349501E-5</v>
      </c>
      <c r="AT25" s="12">
        <v>8.6475347066065098E-5</v>
      </c>
    </row>
    <row r="26" spans="1:46" x14ac:dyDescent="0.25">
      <c r="A26">
        <v>2</v>
      </c>
      <c r="B26">
        <v>1</v>
      </c>
      <c r="C26">
        <v>2010</v>
      </c>
      <c r="D26">
        <v>1</v>
      </c>
      <c r="E26">
        <v>28</v>
      </c>
      <c r="F26">
        <v>0</v>
      </c>
      <c r="G26">
        <v>0</v>
      </c>
      <c r="H26">
        <v>0</v>
      </c>
      <c r="I26">
        <v>0</v>
      </c>
      <c r="J26" s="12">
        <v>5.8495698207484201E-5</v>
      </c>
      <c r="K26">
        <v>1.83695361951567E-3</v>
      </c>
      <c r="L26">
        <v>1.8813914805732999E-2</v>
      </c>
      <c r="M26">
        <v>8.1132118195275604E-2</v>
      </c>
      <c r="N26">
        <v>0.10246983933496</v>
      </c>
      <c r="O26">
        <v>0.104499026801408</v>
      </c>
      <c r="P26">
        <v>8.7625848305558807E-2</v>
      </c>
      <c r="Q26">
        <v>8.7548483027284393E-2</v>
      </c>
      <c r="R26">
        <v>7.4978276395947896E-2</v>
      </c>
      <c r="S26">
        <v>5.3537716044898299E-2</v>
      </c>
      <c r="T26">
        <v>5.8729681000314199E-2</v>
      </c>
      <c r="U26">
        <v>6.27592798236071E-2</v>
      </c>
      <c r="V26">
        <v>6.5393001461448996E-2</v>
      </c>
      <c r="W26">
        <v>6.0327226822730701E-2</v>
      </c>
      <c r="X26">
        <v>3.9961053186741799E-2</v>
      </c>
      <c r="Y26">
        <v>3.3274381620274199E-2</v>
      </c>
      <c r="Z26">
        <v>2.3878274225946201E-2</v>
      </c>
      <c r="AA26">
        <v>1.62023649244698E-2</v>
      </c>
      <c r="AB26">
        <v>9.52276945052726E-3</v>
      </c>
      <c r="AC26">
        <v>6.6845487387100899E-3</v>
      </c>
      <c r="AD26">
        <v>3.5981930490127899E-3</v>
      </c>
      <c r="AE26">
        <v>2.3775670884332301E-3</v>
      </c>
      <c r="AF26">
        <v>1.50579248934105E-3</v>
      </c>
      <c r="AG26">
        <v>1.05858344175479E-3</v>
      </c>
      <c r="AH26">
        <v>7.3591362261028498E-4</v>
      </c>
      <c r="AI26">
        <v>4.1607424047581499E-4</v>
      </c>
      <c r="AJ26">
        <v>2.7360891097049099E-4</v>
      </c>
      <c r="AK26">
        <v>2.1700017076969999E-4</v>
      </c>
      <c r="AL26">
        <v>1.81619708144205E-4</v>
      </c>
      <c r="AM26">
        <v>1.0614138787648301E-4</v>
      </c>
      <c r="AN26" s="12">
        <v>5.9439177210830799E-5</v>
      </c>
      <c r="AO26" s="12">
        <v>4.5286992160633002E-5</v>
      </c>
      <c r="AP26" s="12">
        <v>3.5852202127167802E-5</v>
      </c>
      <c r="AQ26" s="12">
        <v>2.40587145853363E-5</v>
      </c>
      <c r="AR26" s="12">
        <v>2.9011979352905498E-5</v>
      </c>
      <c r="AS26" s="12">
        <v>1.5567403555217599E-5</v>
      </c>
      <c r="AT26" s="12">
        <v>8.7035938058716502E-5</v>
      </c>
    </row>
    <row r="27" spans="1:46" x14ac:dyDescent="0.25">
      <c r="A27">
        <v>2</v>
      </c>
      <c r="B27">
        <v>1</v>
      </c>
      <c r="C27">
        <v>2011</v>
      </c>
      <c r="D27">
        <v>1</v>
      </c>
      <c r="E27">
        <v>3</v>
      </c>
      <c r="F27">
        <v>0</v>
      </c>
      <c r="G27">
        <v>0</v>
      </c>
      <c r="H27">
        <v>0</v>
      </c>
      <c r="I27">
        <v>0</v>
      </c>
      <c r="J27" s="12">
        <v>3.32687784611879E-5</v>
      </c>
      <c r="K27">
        <v>1.3189283494075899E-3</v>
      </c>
      <c r="L27">
        <v>1.61740336542564E-2</v>
      </c>
      <c r="M27">
        <v>7.5596379513727802E-2</v>
      </c>
      <c r="N27">
        <v>9.5224958805828694E-2</v>
      </c>
      <c r="O27">
        <v>8.2097447093248205E-2</v>
      </c>
      <c r="P27">
        <v>7.9908398130313002E-2</v>
      </c>
      <c r="Q27">
        <v>8.5240384337792297E-2</v>
      </c>
      <c r="R27">
        <v>8.5549701492906693E-2</v>
      </c>
      <c r="S27">
        <v>9.0197982225673906E-2</v>
      </c>
      <c r="T27">
        <v>7.6273486222463993E-2</v>
      </c>
      <c r="U27">
        <v>6.4493772460435098E-2</v>
      </c>
      <c r="V27">
        <v>5.2947398395271801E-2</v>
      </c>
      <c r="W27">
        <v>4.86200743076039E-2</v>
      </c>
      <c r="X27">
        <v>4.3585490816671499E-2</v>
      </c>
      <c r="Y27">
        <v>3.4578358558796499E-2</v>
      </c>
      <c r="Z27">
        <v>2.2968654670171201E-2</v>
      </c>
      <c r="AA27">
        <v>1.6775437853326101E-2</v>
      </c>
      <c r="AB27">
        <v>1.0949552342465699E-2</v>
      </c>
      <c r="AC27">
        <v>6.6971975682447596E-3</v>
      </c>
      <c r="AD27">
        <v>4.29497180448113E-3</v>
      </c>
      <c r="AE27">
        <v>2.3299142866124501E-3</v>
      </c>
      <c r="AF27">
        <v>1.3791420889365199E-3</v>
      </c>
      <c r="AG27">
        <v>9.3189239502302799E-4</v>
      </c>
      <c r="AH27">
        <v>5.6346129470904495E-4</v>
      </c>
      <c r="AI27">
        <v>4.05824107510028E-4</v>
      </c>
      <c r="AJ27">
        <v>2.5075310707936701E-4</v>
      </c>
      <c r="AK27">
        <v>1.5250481366230499E-4</v>
      </c>
      <c r="AL27">
        <v>1.09887783402106E-4</v>
      </c>
      <c r="AM27" s="12">
        <v>7.5519210611622197E-5</v>
      </c>
      <c r="AN27" s="12">
        <v>5.6089510794068898E-5</v>
      </c>
      <c r="AO27" s="12">
        <v>4.0325792074167198E-5</v>
      </c>
      <c r="AP27" s="12">
        <v>2.9419498308653801E-5</v>
      </c>
      <c r="AQ27" s="12">
        <v>2.9694446890977702E-5</v>
      </c>
      <c r="AR27" s="12">
        <v>2.0529494146848798E-5</v>
      </c>
      <c r="AS27" s="12">
        <v>2.2179185640792E-5</v>
      </c>
      <c r="AT27" s="12">
        <v>7.6985603050682804E-5</v>
      </c>
    </row>
    <row r="28" spans="1:46" x14ac:dyDescent="0.25">
      <c r="A28">
        <v>2</v>
      </c>
      <c r="B28">
        <v>1</v>
      </c>
      <c r="C28">
        <v>2012</v>
      </c>
      <c r="D28">
        <v>1</v>
      </c>
      <c r="E28">
        <v>9</v>
      </c>
      <c r="F28">
        <v>0</v>
      </c>
      <c r="G28">
        <v>0</v>
      </c>
      <c r="H28">
        <v>0</v>
      </c>
      <c r="I28">
        <v>0</v>
      </c>
      <c r="J28" s="12">
        <v>3.2776249153280201E-5</v>
      </c>
      <c r="K28">
        <v>1.26850387348032E-3</v>
      </c>
      <c r="L28">
        <v>1.4276262599946601E-2</v>
      </c>
      <c r="M28">
        <v>6.7285857636782007E-2</v>
      </c>
      <c r="N28">
        <v>8.2893445254419301E-2</v>
      </c>
      <c r="O28">
        <v>8.6054357308179105E-2</v>
      </c>
      <c r="P28">
        <v>8.5606940496820702E-2</v>
      </c>
      <c r="Q28">
        <v>8.6794029007820905E-2</v>
      </c>
      <c r="R28">
        <v>8.5326031233244198E-2</v>
      </c>
      <c r="S28">
        <v>8.5123700925971102E-2</v>
      </c>
      <c r="T28">
        <v>8.1402020865864497E-2</v>
      </c>
      <c r="U28">
        <v>7.0733877026874906E-2</v>
      </c>
      <c r="V28">
        <v>5.9211554720368202E-2</v>
      </c>
      <c r="W28">
        <v>4.8084858549474502E-2</v>
      </c>
      <c r="X28">
        <v>4.4195725472860402E-2</v>
      </c>
      <c r="Y28">
        <v>3.3078799145464403E-2</v>
      </c>
      <c r="Z28">
        <v>2.7169829714779398E-2</v>
      </c>
      <c r="AA28">
        <v>1.83105776519767E-2</v>
      </c>
      <c r="AB28">
        <v>1.0722455764669901E-2</v>
      </c>
      <c r="AC28">
        <v>5.7648379760750204E-3</v>
      </c>
      <c r="AD28">
        <v>2.9120436747722099E-3</v>
      </c>
      <c r="AE28">
        <v>1.4039160053988401E-3</v>
      </c>
      <c r="AF28">
        <v>8.1121216654368603E-4</v>
      </c>
      <c r="AG28">
        <v>5.3408477786947705E-4</v>
      </c>
      <c r="AH28">
        <v>3.09903637827489E-4</v>
      </c>
      <c r="AI28">
        <v>2.1850832768853499E-4</v>
      </c>
      <c r="AJ28">
        <v>1.4780827743162E-4</v>
      </c>
      <c r="AK28" s="12">
        <v>9.2655935106388305E-5</v>
      </c>
      <c r="AL28" s="12">
        <v>6.40817691778876E-5</v>
      </c>
      <c r="AM28" s="12">
        <v>3.8238957345493599E-5</v>
      </c>
      <c r="AN28" s="12">
        <v>3.2566144992041302E-5</v>
      </c>
      <c r="AO28" s="12">
        <v>2.39518743812432E-5</v>
      </c>
      <c r="AP28" s="12">
        <v>1.9539686995224801E-5</v>
      </c>
      <c r="AQ28" s="12">
        <v>1.3026457996816499E-5</v>
      </c>
      <c r="AR28" s="12">
        <v>1.26062496743386E-5</v>
      </c>
      <c r="AS28" s="12">
        <v>5.77786443407184E-6</v>
      </c>
      <c r="AT28" s="12">
        <v>2.36367181393848E-5</v>
      </c>
    </row>
    <row r="29" spans="1:46" x14ac:dyDescent="0.25">
      <c r="A29">
        <v>2</v>
      </c>
      <c r="B29">
        <v>1</v>
      </c>
      <c r="C29">
        <v>2013</v>
      </c>
      <c r="D29">
        <v>1</v>
      </c>
      <c r="E29">
        <v>8</v>
      </c>
      <c r="F29">
        <v>0</v>
      </c>
      <c r="G29">
        <v>0</v>
      </c>
      <c r="H29">
        <v>0</v>
      </c>
      <c r="I29">
        <v>0</v>
      </c>
      <c r="J29" s="12">
        <v>3.66652181642207E-5</v>
      </c>
      <c r="K29">
        <v>1.2932822407015999E-3</v>
      </c>
      <c r="L29">
        <v>1.5464944594781401E-2</v>
      </c>
      <c r="M29">
        <v>7.4500143204219105E-2</v>
      </c>
      <c r="N29">
        <v>0.101851531791337</v>
      </c>
      <c r="O29">
        <v>8.9684605052639907E-2</v>
      </c>
      <c r="P29">
        <v>8.5087255812116E-2</v>
      </c>
      <c r="Q29">
        <v>8.1404191439350501E-2</v>
      </c>
      <c r="R29">
        <v>8.3475097280107394E-2</v>
      </c>
      <c r="S29">
        <v>8.3107827838900195E-2</v>
      </c>
      <c r="T29">
        <v>6.9015791968712298E-2</v>
      </c>
      <c r="U29">
        <v>5.6619244671815401E-2</v>
      </c>
      <c r="V29">
        <v>5.1158472751693697E-2</v>
      </c>
      <c r="W29">
        <v>4.73877575206905E-2</v>
      </c>
      <c r="X29">
        <v>4.0402724830624001E-2</v>
      </c>
      <c r="Y29">
        <v>3.5325024196574899E-2</v>
      </c>
      <c r="Z29">
        <v>2.8604055148438601E-2</v>
      </c>
      <c r="AA29">
        <v>2.1012009402097701E-2</v>
      </c>
      <c r="AB29">
        <v>1.32294773539811E-2</v>
      </c>
      <c r="AC29">
        <v>8.7724929385505704E-3</v>
      </c>
      <c r="AD29">
        <v>5.3080619037272599E-3</v>
      </c>
      <c r="AE29">
        <v>3.1398759555178101E-3</v>
      </c>
      <c r="AF29">
        <v>1.7314130799770901E-3</v>
      </c>
      <c r="AG29">
        <v>8.5823769925138702E-4</v>
      </c>
      <c r="AH29">
        <v>4.9998024769391802E-4</v>
      </c>
      <c r="AI29">
        <v>3.03691706006676E-4</v>
      </c>
      <c r="AJ29">
        <v>1.94683666818101E-4</v>
      </c>
      <c r="AK29">
        <v>1.4122898848440601E-4</v>
      </c>
      <c r="AL29">
        <v>1.0777352005846699E-4</v>
      </c>
      <c r="AM29" s="12">
        <v>6.9626878938116002E-5</v>
      </c>
      <c r="AN29" s="12">
        <v>4.8393149900250899E-5</v>
      </c>
      <c r="AO29" s="12">
        <v>3.5554150947123099E-5</v>
      </c>
      <c r="AP29" s="12">
        <v>2.61718055582989E-5</v>
      </c>
      <c r="AQ29" s="12">
        <v>2.86408438185158E-5</v>
      </c>
      <c r="AR29" s="12">
        <v>1.33328066051712E-5</v>
      </c>
      <c r="AS29" s="12">
        <v>1.2345191301084401E-5</v>
      </c>
      <c r="AT29" s="12">
        <v>4.8393149900250899E-5</v>
      </c>
    </row>
    <row r="30" spans="1:46" x14ac:dyDescent="0.25">
      <c r="A30">
        <v>2</v>
      </c>
      <c r="B30">
        <v>1</v>
      </c>
      <c r="C30">
        <v>2014</v>
      </c>
      <c r="D30">
        <v>1</v>
      </c>
      <c r="E30">
        <v>16</v>
      </c>
      <c r="F30">
        <v>0</v>
      </c>
      <c r="G30">
        <v>0</v>
      </c>
      <c r="H30">
        <v>0</v>
      </c>
      <c r="I30">
        <v>0</v>
      </c>
      <c r="J30" s="12">
        <v>3.0414303644241899E-5</v>
      </c>
      <c r="K30">
        <v>1.2176986014601999E-3</v>
      </c>
      <c r="L30">
        <v>1.54099138464159E-2</v>
      </c>
      <c r="M30">
        <v>6.9027965614264206E-2</v>
      </c>
      <c r="N30">
        <v>9.8495032668341503E-2</v>
      </c>
      <c r="O30">
        <v>9.0761689061732306E-2</v>
      </c>
      <c r="P30">
        <v>9.4282989550321203E-2</v>
      </c>
      <c r="Q30">
        <v>9.0719784910044607E-2</v>
      </c>
      <c r="R30">
        <v>8.4506705903371296E-2</v>
      </c>
      <c r="S30">
        <v>8.1109315540740398E-2</v>
      </c>
      <c r="T30">
        <v>7.1755452777738399E-2</v>
      </c>
      <c r="U30">
        <v>5.8934359399292702E-2</v>
      </c>
      <c r="V30">
        <v>5.0252314810121199E-2</v>
      </c>
      <c r="W30">
        <v>4.2870087442249398E-2</v>
      </c>
      <c r="X30">
        <v>3.7877748467400697E-2</v>
      </c>
      <c r="Y30">
        <v>3.0603548200250501E-2</v>
      </c>
      <c r="Z30">
        <v>2.6876331611433199E-2</v>
      </c>
      <c r="AA30">
        <v>1.9267010776350998E-2</v>
      </c>
      <c r="AB30">
        <v>1.3335996274585701E-2</v>
      </c>
      <c r="AC30">
        <v>9.6388560527055096E-3</v>
      </c>
      <c r="AD30">
        <v>6.4102087525156597E-3</v>
      </c>
      <c r="AE30">
        <v>3.0110160607799401E-3</v>
      </c>
      <c r="AF30">
        <v>1.4634912331332999E-3</v>
      </c>
      <c r="AG30">
        <v>7.9279951499323801E-4</v>
      </c>
      <c r="AH30">
        <v>4.7164699762385401E-4</v>
      </c>
      <c r="AI30">
        <v>3.00763669370836E-4</v>
      </c>
      <c r="AJ30">
        <v>1.885686825943E-4</v>
      </c>
      <c r="AK30">
        <v>1.20305467748334E-4</v>
      </c>
      <c r="AL30" s="12">
        <v>7.1191999641336494E-5</v>
      </c>
      <c r="AM30" s="12">
        <v>4.6184683311626503E-5</v>
      </c>
      <c r="AN30" s="12">
        <v>4.01018225827782E-5</v>
      </c>
      <c r="AO30" s="12">
        <v>2.6696999865501199E-5</v>
      </c>
      <c r="AP30" s="12">
        <v>1.7572708772228598E-5</v>
      </c>
      <c r="AQ30" s="12">
        <v>1.8023291048439601E-5</v>
      </c>
      <c r="AR30" s="12">
        <v>8.8989999551670703E-6</v>
      </c>
      <c r="AS30" s="12">
        <v>8.6737088170615706E-6</v>
      </c>
      <c r="AT30" s="12">
        <v>3.06395947823474E-5</v>
      </c>
    </row>
    <row r="31" spans="1:46" x14ac:dyDescent="0.25">
      <c r="A31">
        <v>2</v>
      </c>
      <c r="B31">
        <v>1</v>
      </c>
      <c r="C31">
        <v>2015</v>
      </c>
      <c r="D31">
        <v>1</v>
      </c>
      <c r="E31">
        <v>15</v>
      </c>
      <c r="F31">
        <v>0</v>
      </c>
      <c r="G31">
        <v>0</v>
      </c>
      <c r="H31">
        <v>0</v>
      </c>
      <c r="I31">
        <v>0</v>
      </c>
      <c r="J31" s="12">
        <v>4.0944731436682401E-5</v>
      </c>
      <c r="K31">
        <v>1.31561887063656E-3</v>
      </c>
      <c r="L31">
        <v>1.79414545412316E-2</v>
      </c>
      <c r="M31">
        <v>8.6087854224304997E-2</v>
      </c>
      <c r="N31">
        <v>0.105433401778079</v>
      </c>
      <c r="O31">
        <v>9.0619310612838497E-2</v>
      </c>
      <c r="P31">
        <v>8.2363559763684202E-2</v>
      </c>
      <c r="Q31">
        <v>7.5223373264024201E-2</v>
      </c>
      <c r="R31">
        <v>6.8844615103362095E-2</v>
      </c>
      <c r="S31">
        <v>6.7898576308588199E-2</v>
      </c>
      <c r="T31">
        <v>7.1692189481202706E-2</v>
      </c>
      <c r="U31">
        <v>6.3378014570817195E-2</v>
      </c>
      <c r="V31">
        <v>5.7513699424726498E-2</v>
      </c>
      <c r="W31">
        <v>4.67162624691373E-2</v>
      </c>
      <c r="X31">
        <v>3.60450119080927E-2</v>
      </c>
      <c r="Y31">
        <v>3.59202621707915E-2</v>
      </c>
      <c r="Z31">
        <v>3.0641025687072301E-2</v>
      </c>
      <c r="AA31">
        <v>2.31732813359188E-2</v>
      </c>
      <c r="AB31">
        <v>1.53364357946504E-2</v>
      </c>
      <c r="AC31">
        <v>1.21584302508296E-2</v>
      </c>
      <c r="AD31">
        <v>6.1259064858250403E-3</v>
      </c>
      <c r="AE31">
        <v>2.8338064125914401E-3</v>
      </c>
      <c r="AF31">
        <v>1.48837690415449E-3</v>
      </c>
      <c r="AG31">
        <v>6.6265815351472805E-4</v>
      </c>
      <c r="AH31">
        <v>2.51415017593664E-4</v>
      </c>
      <c r="AI31">
        <v>1.2642583741852799E-4</v>
      </c>
      <c r="AJ31" s="12">
        <v>7.3269519413010601E-5</v>
      </c>
      <c r="AK31" s="12">
        <v>3.4240330967517997E-5</v>
      </c>
      <c r="AL31" s="12">
        <v>1.8437101290202002E-5</v>
      </c>
      <c r="AM31" s="12">
        <v>1.07749293254427E-5</v>
      </c>
      <c r="AN31" s="12">
        <v>6.8241219061137303E-6</v>
      </c>
      <c r="AO31" s="12">
        <v>5.7466289735694604E-6</v>
      </c>
      <c r="AP31" s="12">
        <v>7.1832862169618198E-6</v>
      </c>
      <c r="AQ31" s="12">
        <v>2.5141501759366399E-6</v>
      </c>
      <c r="AR31" s="12">
        <v>2.0352644281391802E-6</v>
      </c>
      <c r="AS31" s="12">
        <v>2.0352644281391802E-6</v>
      </c>
      <c r="AT31" s="12">
        <v>5.0283003518732697E-6</v>
      </c>
    </row>
    <row r="32" spans="1:46" x14ac:dyDescent="0.25">
      <c r="A32">
        <v>2</v>
      </c>
      <c r="B32">
        <v>1</v>
      </c>
      <c r="C32">
        <v>2016</v>
      </c>
      <c r="D32">
        <v>1</v>
      </c>
      <c r="E32">
        <v>15</v>
      </c>
      <c r="F32">
        <v>0</v>
      </c>
      <c r="G32">
        <v>0</v>
      </c>
      <c r="H32">
        <v>0</v>
      </c>
      <c r="I32">
        <v>0</v>
      </c>
      <c r="J32" s="12">
        <v>2.7030814646003301E-5</v>
      </c>
      <c r="K32">
        <v>8.03764491453033E-4</v>
      </c>
      <c r="L32">
        <v>1.0035189937328701E-2</v>
      </c>
      <c r="M32">
        <v>4.7790962987252501E-2</v>
      </c>
      <c r="N32">
        <v>6.4423441572974596E-2</v>
      </c>
      <c r="O32">
        <v>5.8173531072323599E-2</v>
      </c>
      <c r="P32">
        <v>6.1594698999811598E-2</v>
      </c>
      <c r="Q32">
        <v>6.5680454902866794E-2</v>
      </c>
      <c r="R32">
        <v>6.2511976823007201E-2</v>
      </c>
      <c r="S32">
        <v>6.5482952968474201E-2</v>
      </c>
      <c r="T32">
        <v>6.4673396159596996E-2</v>
      </c>
      <c r="U32">
        <v>6.6880510444755001E-2</v>
      </c>
      <c r="V32">
        <v>6.7214212287468197E-2</v>
      </c>
      <c r="W32">
        <v>6.4990766885128198E-2</v>
      </c>
      <c r="X32">
        <v>6.10609208594061E-2</v>
      </c>
      <c r="Y32">
        <v>5.6034878761164898E-2</v>
      </c>
      <c r="Z32">
        <v>5.1737622823275299E-2</v>
      </c>
      <c r="AA32">
        <v>4.49712306856382E-2</v>
      </c>
      <c r="AB32">
        <v>3.2885560380162701E-2</v>
      </c>
      <c r="AC32">
        <v>2.2424796009865602E-2</v>
      </c>
      <c r="AD32">
        <v>1.43533625770278E-2</v>
      </c>
      <c r="AE32">
        <v>8.2469728303306306E-3</v>
      </c>
      <c r="AF32">
        <v>4.1545396724669698E-3</v>
      </c>
      <c r="AG32">
        <v>1.9314965143925401E-3</v>
      </c>
      <c r="AH32">
        <v>8.5155111020221701E-4</v>
      </c>
      <c r="AI32">
        <v>4.0827792954900799E-4</v>
      </c>
      <c r="AJ32">
        <v>2.0997150662520399E-4</v>
      </c>
      <c r="AK32">
        <v>1.3716529455784401E-4</v>
      </c>
      <c r="AL32" s="12">
        <v>9.1228999430261194E-5</v>
      </c>
      <c r="AM32" s="12">
        <v>5.18090614048397E-5</v>
      </c>
      <c r="AN32" s="12">
        <v>4.0063528850326398E-5</v>
      </c>
      <c r="AO32" s="12">
        <v>2.6226326114872299E-5</v>
      </c>
      <c r="AP32" s="12">
        <v>2.5260939877515001E-5</v>
      </c>
      <c r="AQ32" s="12">
        <v>1.31131630574361E-5</v>
      </c>
      <c r="AR32" s="12">
        <v>1.31936119105492E-5</v>
      </c>
      <c r="AS32" s="12">
        <v>1.23891233794182E-5</v>
      </c>
      <c r="AT32" s="12">
        <v>3.5477944222879402E-5</v>
      </c>
    </row>
    <row r="33" spans="1:46" x14ac:dyDescent="0.25">
      <c r="A33">
        <v>2</v>
      </c>
      <c r="B33">
        <v>1</v>
      </c>
      <c r="C33">
        <v>2017</v>
      </c>
      <c r="D33">
        <v>1</v>
      </c>
      <c r="E33">
        <v>8</v>
      </c>
      <c r="F33">
        <v>0</v>
      </c>
      <c r="G33">
        <v>0</v>
      </c>
      <c r="H33">
        <v>0</v>
      </c>
      <c r="I33">
        <v>0</v>
      </c>
      <c r="J33" s="12">
        <v>2.9231182321983101E-5</v>
      </c>
      <c r="K33">
        <v>9.0616665198147697E-4</v>
      </c>
      <c r="L33">
        <v>1.18371672812871E-2</v>
      </c>
      <c r="M33">
        <v>5.19243235312827E-2</v>
      </c>
      <c r="N33">
        <v>7.4035973006534306E-2</v>
      </c>
      <c r="O33">
        <v>6.4506259579302005E-2</v>
      </c>
      <c r="P33">
        <v>6.3341884150142996E-2</v>
      </c>
      <c r="Q33">
        <v>6.9383134359459198E-2</v>
      </c>
      <c r="R33">
        <v>7.3793702183527501E-2</v>
      </c>
      <c r="S33">
        <v>7.58824789545927E-2</v>
      </c>
      <c r="T33">
        <v>7.5358962398816606E-2</v>
      </c>
      <c r="U33">
        <v>7.1213284765027904E-2</v>
      </c>
      <c r="V33">
        <v>6.5733203658240702E-2</v>
      </c>
      <c r="W33">
        <v>5.84590239374152E-2</v>
      </c>
      <c r="X33">
        <v>5.4909036040516598E-2</v>
      </c>
      <c r="Y33">
        <v>4.74172232074987E-2</v>
      </c>
      <c r="Z33">
        <v>4.1884108384212998E-2</v>
      </c>
      <c r="AA33">
        <v>3.3816858847770803E-2</v>
      </c>
      <c r="AB33">
        <v>2.5459385429703201E-2</v>
      </c>
      <c r="AC33">
        <v>1.7637051442287398E-2</v>
      </c>
      <c r="AD33">
        <v>1.0649546102376801E-2</v>
      </c>
      <c r="AE33">
        <v>5.8930063561117999E-3</v>
      </c>
      <c r="AF33">
        <v>2.9570820821343299E-3</v>
      </c>
      <c r="AG33">
        <v>1.4907902984211401E-3</v>
      </c>
      <c r="AH33">
        <v>7.06559435554221E-4</v>
      </c>
      <c r="AI33">
        <v>3.3817694024408602E-4</v>
      </c>
      <c r="AJ33">
        <v>1.739255348158E-4</v>
      </c>
      <c r="AK33" s="12">
        <v>8.5744801477817203E-5</v>
      </c>
      <c r="AL33" s="12">
        <v>5.8949551015999302E-5</v>
      </c>
      <c r="AM33" s="12">
        <v>3.1736712235295998E-5</v>
      </c>
      <c r="AN33" s="12">
        <v>2.4220122495357501E-5</v>
      </c>
      <c r="AO33" s="12">
        <v>1.55899639050577E-5</v>
      </c>
      <c r="AP33" s="12">
        <v>8.0733741651191494E-6</v>
      </c>
      <c r="AQ33" s="12">
        <v>7.7949819525288294E-6</v>
      </c>
      <c r="AR33" s="12">
        <v>7.1685994742006196E-6</v>
      </c>
      <c r="AS33" s="12">
        <v>7.4469916867909396E-6</v>
      </c>
      <c r="AT33" s="12">
        <v>1.5729160011352799E-5</v>
      </c>
    </row>
    <row r="34" spans="1:46" x14ac:dyDescent="0.25">
      <c r="A34">
        <v>2</v>
      </c>
      <c r="B34">
        <v>1</v>
      </c>
      <c r="C34">
        <v>2018</v>
      </c>
      <c r="D34">
        <v>1</v>
      </c>
      <c r="E34">
        <v>7</v>
      </c>
      <c r="F34">
        <v>0</v>
      </c>
      <c r="G34">
        <v>0</v>
      </c>
      <c r="H34">
        <v>0</v>
      </c>
      <c r="I34">
        <v>0</v>
      </c>
      <c r="J34" s="12">
        <v>2.0665982823554501E-5</v>
      </c>
      <c r="K34">
        <v>7.5075640726193999E-4</v>
      </c>
      <c r="L34">
        <v>1.00873675950931E-2</v>
      </c>
      <c r="M34">
        <v>4.4094749225832897E-2</v>
      </c>
      <c r="N34">
        <v>6.3885979745184104E-2</v>
      </c>
      <c r="O34">
        <v>6.1207797533644102E-2</v>
      </c>
      <c r="P34">
        <v>5.7692965923731798E-2</v>
      </c>
      <c r="Q34">
        <v>6.1709485793751302E-2</v>
      </c>
      <c r="R34">
        <v>6.1278944484927302E-2</v>
      </c>
      <c r="S34">
        <v>5.8535965806409199E-2</v>
      </c>
      <c r="T34">
        <v>6.1374739926140599E-2</v>
      </c>
      <c r="U34">
        <v>6.6036533582760307E-2</v>
      </c>
      <c r="V34">
        <v>6.7857830954413195E-2</v>
      </c>
      <c r="W34">
        <v>5.9360667683461703E-2</v>
      </c>
      <c r="X34">
        <v>5.1437954153808703E-2</v>
      </c>
      <c r="Y34">
        <v>5.25019293632401E-2</v>
      </c>
      <c r="Z34">
        <v>5.2471576200968102E-2</v>
      </c>
      <c r="AA34">
        <v>4.94252811703835E-2</v>
      </c>
      <c r="AB34">
        <v>4.1167283596483799E-2</v>
      </c>
      <c r="AC34">
        <v>3.3187092802102802E-2</v>
      </c>
      <c r="AD34">
        <v>2.20990395699753E-2</v>
      </c>
      <c r="AE34">
        <v>1.2561688496904901E-2</v>
      </c>
      <c r="AF34">
        <v>6.2234746190516698E-3</v>
      </c>
      <c r="AG34">
        <v>2.6616063711502901E-3</v>
      </c>
      <c r="AH34">
        <v>1.1878634710455599E-3</v>
      </c>
      <c r="AI34">
        <v>5.2891999789034705E-4</v>
      </c>
      <c r="AJ34">
        <v>2.5574153744148702E-4</v>
      </c>
      <c r="AK34">
        <v>1.3303726442663201E-4</v>
      </c>
      <c r="AL34" s="12">
        <v>7.9111965496419503E-5</v>
      </c>
      <c r="AM34" s="12">
        <v>4.69290026618216E-5</v>
      </c>
      <c r="AN34" s="12">
        <v>3.8425811812546601E-5</v>
      </c>
      <c r="AO34" s="12">
        <v>2.5617207875031101E-5</v>
      </c>
      <c r="AP34" s="12">
        <v>1.21627919742795E-5</v>
      </c>
      <c r="AQ34" s="12">
        <v>1.1947521319867399E-5</v>
      </c>
      <c r="AR34" s="12">
        <v>1.2485697955897499E-5</v>
      </c>
      <c r="AS34" s="12">
        <v>1.2055156647073401E-5</v>
      </c>
      <c r="AT34" s="12">
        <v>2.4325583948558899E-5</v>
      </c>
    </row>
    <row r="35" spans="1:46" x14ac:dyDescent="0.25">
      <c r="A35">
        <v>2</v>
      </c>
      <c r="B35">
        <v>1</v>
      </c>
      <c r="C35">
        <v>2019</v>
      </c>
      <c r="D35">
        <v>1</v>
      </c>
      <c r="E35">
        <v>6</v>
      </c>
      <c r="F35">
        <v>0</v>
      </c>
      <c r="G35">
        <v>0</v>
      </c>
      <c r="H35">
        <v>0</v>
      </c>
      <c r="I35">
        <v>0</v>
      </c>
      <c r="J35" s="12">
        <v>2.8197231263648E-5</v>
      </c>
      <c r="K35">
        <v>7.8501606855918603E-4</v>
      </c>
      <c r="L35">
        <v>9.5620802603930601E-3</v>
      </c>
      <c r="M35">
        <v>3.5610399241893603E-2</v>
      </c>
      <c r="N35">
        <v>5.1183768695150601E-2</v>
      </c>
      <c r="O35">
        <v>5.5670218573606399E-2</v>
      </c>
      <c r="P35">
        <v>6.4315438177248593E-2</v>
      </c>
      <c r="Q35">
        <v>6.9131757035144806E-2</v>
      </c>
      <c r="R35">
        <v>7.5680596184747206E-2</v>
      </c>
      <c r="S35">
        <v>7.9867691895677995E-2</v>
      </c>
      <c r="T35">
        <v>7.7798607391537294E-2</v>
      </c>
      <c r="U35">
        <v>7.0970499773392107E-2</v>
      </c>
      <c r="V35">
        <v>6.5332212310988402E-2</v>
      </c>
      <c r="W35">
        <v>5.8195995220633699E-2</v>
      </c>
      <c r="X35">
        <v>5.2134363025833297E-2</v>
      </c>
      <c r="Y35">
        <v>4.2820778913106199E-2</v>
      </c>
      <c r="Z35">
        <v>3.8540851221622499E-2</v>
      </c>
      <c r="AA35">
        <v>3.7674076057846798E-2</v>
      </c>
      <c r="AB35">
        <v>3.6394642783568902E-2</v>
      </c>
      <c r="AC35">
        <v>2.75016995591447E-2</v>
      </c>
      <c r="AD35">
        <v>2.0744921923282901E-2</v>
      </c>
      <c r="AE35">
        <v>1.4708911870133101E-2</v>
      </c>
      <c r="AF35">
        <v>7.8694738576902505E-3</v>
      </c>
      <c r="AG35">
        <v>4.23421985085081E-3</v>
      </c>
      <c r="AH35">
        <v>1.7729491986321099E-3</v>
      </c>
      <c r="AI35">
        <v>7.1381484075645795E-4</v>
      </c>
      <c r="AJ35">
        <v>3.2729388982736602E-4</v>
      </c>
      <c r="AK35">
        <v>1.62230645626468E-4</v>
      </c>
      <c r="AL35" s="12">
        <v>8.8583082691277696E-5</v>
      </c>
      <c r="AM35" s="12">
        <v>4.6351613036133701E-5</v>
      </c>
      <c r="AN35" s="12">
        <v>3.5922500103003598E-5</v>
      </c>
      <c r="AO35" s="12">
        <v>2.2918297556754999E-5</v>
      </c>
      <c r="AP35" s="12">
        <v>1.1845412220345301E-5</v>
      </c>
      <c r="AQ35" s="12">
        <v>1.2231675662313E-5</v>
      </c>
      <c r="AR35" s="12">
        <v>1.15879032590334E-5</v>
      </c>
      <c r="AS35" s="12">
        <v>1.2360430142969E-5</v>
      </c>
      <c r="AT35" s="12">
        <v>2.5493387169873501E-5</v>
      </c>
    </row>
    <row r="36" spans="1:46" x14ac:dyDescent="0.25">
      <c r="A36">
        <v>2</v>
      </c>
      <c r="B36">
        <v>1</v>
      </c>
      <c r="C36">
        <v>2020</v>
      </c>
      <c r="D36">
        <v>1</v>
      </c>
      <c r="E36">
        <v>10</v>
      </c>
      <c r="F36">
        <v>0</v>
      </c>
      <c r="G36">
        <v>0</v>
      </c>
      <c r="H36">
        <v>0</v>
      </c>
      <c r="I36">
        <v>0</v>
      </c>
      <c r="J36" s="12">
        <v>4.3706204698871302E-5</v>
      </c>
      <c r="K36">
        <v>1.4474743061561701E-3</v>
      </c>
      <c r="L36">
        <v>1.6873414768906199E-2</v>
      </c>
      <c r="M36">
        <v>6.4438924338606901E-2</v>
      </c>
      <c r="N36">
        <v>7.8577176619906305E-2</v>
      </c>
      <c r="O36">
        <v>6.3632474368034098E-2</v>
      </c>
      <c r="P36">
        <v>5.84582236827162E-2</v>
      </c>
      <c r="Q36">
        <v>5.3641141982034103E-2</v>
      </c>
      <c r="R36">
        <v>5.5632829030569798E-2</v>
      </c>
      <c r="S36">
        <v>5.6477815654747902E-2</v>
      </c>
      <c r="T36">
        <v>4.9256892695628003E-2</v>
      </c>
      <c r="U36">
        <v>5.0292682751072203E-2</v>
      </c>
      <c r="V36">
        <v>5.2548956823752602E-2</v>
      </c>
      <c r="W36">
        <v>5.3267054466546997E-2</v>
      </c>
      <c r="X36">
        <v>5.1807361221442701E-2</v>
      </c>
      <c r="Y36">
        <v>5.4219505092242798E-2</v>
      </c>
      <c r="Z36">
        <v>5.4357046481940299E-2</v>
      </c>
      <c r="AA36">
        <v>5.3809857331355501E-2</v>
      </c>
      <c r="AB36">
        <v>4.55507945208398E-2</v>
      </c>
      <c r="AC36">
        <v>3.2329275966772597E-2</v>
      </c>
      <c r="AD36">
        <v>2.2771559260365701E-2</v>
      </c>
      <c r="AE36">
        <v>1.27589220577382E-2</v>
      </c>
      <c r="AF36">
        <v>8.5498108962544696E-3</v>
      </c>
      <c r="AG36">
        <v>5.1877228487735598E-3</v>
      </c>
      <c r="AH36">
        <v>2.3967918705832701E-3</v>
      </c>
      <c r="AI36">
        <v>9.1736033948598705E-4</v>
      </c>
      <c r="AJ36">
        <v>3.5716898463593799E-4</v>
      </c>
      <c r="AK36">
        <v>1.7842783925453199E-4</v>
      </c>
      <c r="AL36" s="12">
        <v>7.2687021434681995E-5</v>
      </c>
      <c r="AM36" s="12">
        <v>5.2478776251332901E-5</v>
      </c>
      <c r="AN36" s="12">
        <v>2.81975514186267E-5</v>
      </c>
      <c r="AO36" s="12">
        <v>1.5978612470555099E-5</v>
      </c>
      <c r="AP36" s="12">
        <v>9.2425307427720705E-6</v>
      </c>
      <c r="AQ36" s="12">
        <v>1.0339102186829801E-5</v>
      </c>
      <c r="AR36" s="12">
        <v>1.15923266943243E-5</v>
      </c>
      <c r="AS36">
        <v>0</v>
      </c>
      <c r="AT36" s="12">
        <v>1.9111673739291401E-5</v>
      </c>
    </row>
    <row r="37" spans="1:46" x14ac:dyDescent="0.25">
      <c r="A37">
        <v>2</v>
      </c>
      <c r="B37">
        <v>1</v>
      </c>
      <c r="C37">
        <v>2021</v>
      </c>
      <c r="D37">
        <v>1</v>
      </c>
      <c r="E37">
        <v>12</v>
      </c>
      <c r="F37">
        <v>0</v>
      </c>
      <c r="G37">
        <v>0</v>
      </c>
      <c r="H37">
        <v>0</v>
      </c>
      <c r="I37">
        <v>0</v>
      </c>
      <c r="J37" s="12">
        <v>3.9013202157295502E-5</v>
      </c>
      <c r="K37">
        <v>1.46441510166676E-3</v>
      </c>
      <c r="L37">
        <v>1.6138461292401301E-2</v>
      </c>
      <c r="M37">
        <v>6.7168776045236203E-2</v>
      </c>
      <c r="N37">
        <v>8.9979989665238305E-2</v>
      </c>
      <c r="O37">
        <v>6.9125116236173706E-2</v>
      </c>
      <c r="P37">
        <v>6.3462671316163399E-2</v>
      </c>
      <c r="Q37">
        <v>6.7305845418332899E-2</v>
      </c>
      <c r="R37">
        <v>6.3376722690721102E-2</v>
      </c>
      <c r="S37">
        <v>6.6080890660941902E-2</v>
      </c>
      <c r="T37">
        <v>6.4597492123742703E-2</v>
      </c>
      <c r="U37">
        <v>6.2827697818982606E-2</v>
      </c>
      <c r="V37">
        <v>5.7110245778689298E-2</v>
      </c>
      <c r="W37">
        <v>5.1685766444251498E-2</v>
      </c>
      <c r="X37">
        <v>4.2728424914458697E-2</v>
      </c>
      <c r="Y37">
        <v>4.3183578939627099E-2</v>
      </c>
      <c r="Z37">
        <v>3.71597013651482E-2</v>
      </c>
      <c r="AA37">
        <v>2.6941530869084102E-2</v>
      </c>
      <c r="AB37">
        <v>2.7228524540126298E-2</v>
      </c>
      <c r="AC37">
        <v>2.7715217973935301E-2</v>
      </c>
      <c r="AD37">
        <v>2.18115189992052E-2</v>
      </c>
      <c r="AE37">
        <v>1.3866577539187699E-2</v>
      </c>
      <c r="AF37">
        <v>8.8707950008691996E-3</v>
      </c>
      <c r="AG37">
        <v>4.9889066482831299E-3</v>
      </c>
      <c r="AH37">
        <v>2.8313719358754501E-3</v>
      </c>
      <c r="AI37">
        <v>1.22420737803927E-3</v>
      </c>
      <c r="AJ37">
        <v>5.5963765853223903E-4</v>
      </c>
      <c r="AK37">
        <v>2.3348130946243499E-4</v>
      </c>
      <c r="AL37">
        <v>1.07622626640815E-4</v>
      </c>
      <c r="AM37" s="12">
        <v>5.60534513754246E-5</v>
      </c>
      <c r="AN37" s="12">
        <v>3.1838360381241202E-5</v>
      </c>
      <c r="AO37" s="12">
        <v>2.3617187512845601E-5</v>
      </c>
      <c r="AP37" s="12">
        <v>1.2406497237760701E-5</v>
      </c>
      <c r="AQ37" s="12">
        <v>1.37517800707708E-5</v>
      </c>
      <c r="AR37" s="12">
        <v>1.49475870334466E-5</v>
      </c>
      <c r="AS37">
        <v>0</v>
      </c>
      <c r="AT37" s="12">
        <v>3.3183643214251403E-5</v>
      </c>
    </row>
    <row r="38" spans="1:46" x14ac:dyDescent="0.25">
      <c r="A38">
        <v>2</v>
      </c>
      <c r="B38">
        <v>1</v>
      </c>
      <c r="C38">
        <v>2022</v>
      </c>
      <c r="D38">
        <v>1</v>
      </c>
      <c r="E38">
        <v>17</v>
      </c>
      <c r="F38">
        <v>0</v>
      </c>
      <c r="G38">
        <v>0</v>
      </c>
      <c r="H38">
        <v>0</v>
      </c>
      <c r="I38">
        <v>0</v>
      </c>
      <c r="J38" s="12">
        <v>1.6982316905214599E-5</v>
      </c>
      <c r="K38">
        <v>7.5815752668507302E-4</v>
      </c>
      <c r="L38">
        <v>1.07682041109815E-2</v>
      </c>
      <c r="M38">
        <v>4.5142086028043198E-2</v>
      </c>
      <c r="N38">
        <v>6.4934204457575098E-2</v>
      </c>
      <c r="O38">
        <v>5.6873779315563699E-2</v>
      </c>
      <c r="P38">
        <v>5.9118018225371001E-2</v>
      </c>
      <c r="Q38">
        <v>5.6394157516907399E-2</v>
      </c>
      <c r="R38">
        <v>5.9254134068444597E-2</v>
      </c>
      <c r="S38">
        <v>5.2011433216202503E-2</v>
      </c>
      <c r="T38">
        <v>5.1763131158421703E-2</v>
      </c>
      <c r="U38">
        <v>4.4816334312861299E-2</v>
      </c>
      <c r="V38">
        <v>4.8712232195616698E-2</v>
      </c>
      <c r="W38">
        <v>5.5969599594276997E-2</v>
      </c>
      <c r="X38">
        <v>6.0502334360977898E-2</v>
      </c>
      <c r="Y38">
        <v>5.9231876940985501E-2</v>
      </c>
      <c r="Z38">
        <v>5.30728280227784E-2</v>
      </c>
      <c r="AA38">
        <v>5.2405886122500897E-2</v>
      </c>
      <c r="AB38">
        <v>4.3993849828202002E-2</v>
      </c>
      <c r="AC38">
        <v>3.95186233619301E-2</v>
      </c>
      <c r="AD38">
        <v>3.1633682161272603E-2</v>
      </c>
      <c r="AE38">
        <v>2.1041090645560898E-2</v>
      </c>
      <c r="AF38">
        <v>1.46343829391527E-2</v>
      </c>
      <c r="AG38">
        <v>8.6654845087176507E-3</v>
      </c>
      <c r="AH38">
        <v>4.7632825840808E-3</v>
      </c>
      <c r="AI38">
        <v>2.2370342905141801E-3</v>
      </c>
      <c r="AJ38">
        <v>9.65418985278261E-4</v>
      </c>
      <c r="AK38">
        <v>3.9985637076823499E-4</v>
      </c>
      <c r="AL38">
        <v>1.7754240400906201E-4</v>
      </c>
      <c r="AM38" s="12">
        <v>9.1858895987297201E-5</v>
      </c>
      <c r="AN38" s="12">
        <v>4.6701371489340197E-5</v>
      </c>
      <c r="AO38" s="12">
        <v>2.93330928362798E-5</v>
      </c>
      <c r="AP38" s="12">
        <v>1.35086611746025E-5</v>
      </c>
      <c r="AQ38" s="12">
        <v>1.4537892502191299E-5</v>
      </c>
      <c r="AR38" s="12">
        <v>1.38946229224483E-5</v>
      </c>
      <c r="AS38">
        <v>0</v>
      </c>
      <c r="AT38" s="12">
        <v>1.4537892502191299E-5</v>
      </c>
    </row>
    <row r="39" spans="1:46" x14ac:dyDescent="0.25">
      <c r="A39">
        <v>2</v>
      </c>
      <c r="B39">
        <v>1</v>
      </c>
      <c r="C39">
        <v>2023</v>
      </c>
      <c r="D39">
        <v>1</v>
      </c>
      <c r="E39">
        <v>2</v>
      </c>
      <c r="F39">
        <v>0</v>
      </c>
      <c r="G39">
        <v>0</v>
      </c>
      <c r="H39">
        <v>0</v>
      </c>
      <c r="I39">
        <v>0</v>
      </c>
      <c r="J39" s="12">
        <v>3.3565549779078499E-5</v>
      </c>
      <c r="K39">
        <v>1.3805656561307899E-3</v>
      </c>
      <c r="L39">
        <v>1.5898030778514601E-2</v>
      </c>
      <c r="M39">
        <v>6.5635608378325994E-2</v>
      </c>
      <c r="N39">
        <v>8.0224582715456599E-2</v>
      </c>
      <c r="O39">
        <v>6.9552926943303894E-2</v>
      </c>
      <c r="P39">
        <v>7.2769382235177399E-2</v>
      </c>
      <c r="Q39">
        <v>6.8418995109462893E-2</v>
      </c>
      <c r="R39">
        <v>6.9614220555944004E-2</v>
      </c>
      <c r="S39">
        <v>6.6307649059772406E-2</v>
      </c>
      <c r="T39">
        <v>5.7961684560084201E-2</v>
      </c>
      <c r="U39">
        <v>5.4122259961169802E-2</v>
      </c>
      <c r="V39">
        <v>5.1844180691380998E-2</v>
      </c>
      <c r="W39">
        <v>4.8046165765291797E-2</v>
      </c>
      <c r="X39">
        <v>4.8340229168791098E-2</v>
      </c>
      <c r="Y39">
        <v>3.94637830454206E-2</v>
      </c>
      <c r="Z39">
        <v>3.8098905635382201E-2</v>
      </c>
      <c r="AA39">
        <v>3.2484520170432699E-2</v>
      </c>
      <c r="AB39">
        <v>2.63881771918076E-2</v>
      </c>
      <c r="AC39">
        <v>2.2716945184720901E-2</v>
      </c>
      <c r="AD39">
        <v>2.3044209295066901E-2</v>
      </c>
      <c r="AE39">
        <v>2.0157572014066101E-2</v>
      </c>
      <c r="AF39">
        <v>1.26481923583283E-2</v>
      </c>
      <c r="AG39">
        <v>7.6343383600784498E-3</v>
      </c>
      <c r="AH39">
        <v>3.7639021119115499E-3</v>
      </c>
      <c r="AI39">
        <v>2.0013459055775499E-3</v>
      </c>
      <c r="AJ39">
        <v>8.8291989636271595E-4</v>
      </c>
      <c r="AK39">
        <v>3.1723092970553001E-4</v>
      </c>
      <c r="AL39">
        <v>1.1766184569296499E-4</v>
      </c>
      <c r="AM39" s="12">
        <v>5.2354960796714799E-5</v>
      </c>
      <c r="AN39" s="12">
        <v>2.62686911314527E-5</v>
      </c>
      <c r="AO39" s="12">
        <v>1.6782774889539199E-5</v>
      </c>
      <c r="AP39" s="12">
        <v>9.8507591742947693E-6</v>
      </c>
      <c r="AQ39" s="12">
        <v>1.02156021066761E-5</v>
      </c>
      <c r="AR39" s="12">
        <v>8.5738089109602595E-6</v>
      </c>
      <c r="AS39">
        <v>0</v>
      </c>
      <c r="AT39" s="12">
        <v>6.2023298504818901E-6</v>
      </c>
    </row>
    <row r="40" spans="1:46" x14ac:dyDescent="0.25">
      <c r="A40">
        <v>2</v>
      </c>
      <c r="B40">
        <v>1</v>
      </c>
      <c r="C40">
        <v>2024</v>
      </c>
      <c r="D40">
        <v>1</v>
      </c>
      <c r="E40">
        <v>9</v>
      </c>
      <c r="F40">
        <v>0</v>
      </c>
      <c r="G40">
        <v>0</v>
      </c>
      <c r="H40">
        <v>0</v>
      </c>
      <c r="I40">
        <v>0</v>
      </c>
      <c r="J40" s="12">
        <v>2.6691255573962098E-5</v>
      </c>
      <c r="K40">
        <v>9.0157129938716403E-4</v>
      </c>
      <c r="L40">
        <v>1.10137676626706E-2</v>
      </c>
      <c r="M40">
        <v>4.6421118648644802E-2</v>
      </c>
      <c r="N40">
        <v>5.5907800494727398E-2</v>
      </c>
      <c r="O40">
        <v>5.4885129980236098E-2</v>
      </c>
      <c r="P40">
        <v>5.6784822429419998E-2</v>
      </c>
      <c r="Q40">
        <v>6.4192469655378795E-2</v>
      </c>
      <c r="R40">
        <v>6.7999351171824401E-2</v>
      </c>
      <c r="S40">
        <v>7.2366666674904698E-2</v>
      </c>
      <c r="T40">
        <v>6.7630204516803002E-2</v>
      </c>
      <c r="U40">
        <v>6.3369654036018505E-2</v>
      </c>
      <c r="V40">
        <v>5.6646093804770099E-2</v>
      </c>
      <c r="W40">
        <v>4.84003082016215E-2</v>
      </c>
      <c r="X40">
        <v>4.6370866593397501E-2</v>
      </c>
      <c r="Y40">
        <v>4.3288438476697097E-2</v>
      </c>
      <c r="Z40">
        <v>4.4602406150785701E-2</v>
      </c>
      <c r="AA40">
        <v>4.20673135341883E-2</v>
      </c>
      <c r="AB40">
        <v>3.6457454179805303E-2</v>
      </c>
      <c r="AC40">
        <v>3.32026038473138E-2</v>
      </c>
      <c r="AD40">
        <v>2.9755807139861399E-2</v>
      </c>
      <c r="AE40">
        <v>2.1966161913604901E-2</v>
      </c>
      <c r="AF40">
        <v>1.5857818647252601E-2</v>
      </c>
      <c r="AG40">
        <v>1.0143995204800599E-2</v>
      </c>
      <c r="AH40">
        <v>5.1663231815119899E-3</v>
      </c>
      <c r="AI40">
        <v>2.56038340505784E-3</v>
      </c>
      <c r="AJ40">
        <v>1.1645295950417499E-3</v>
      </c>
      <c r="AK40">
        <v>4.6264842994867602E-4</v>
      </c>
      <c r="AL40">
        <v>1.9771300425157099E-4</v>
      </c>
      <c r="AM40" s="12">
        <v>8.9712275679150295E-5</v>
      </c>
      <c r="AN40" s="12">
        <v>4.1190209219077302E-5</v>
      </c>
      <c r="AO40" s="12">
        <v>1.94417787514045E-5</v>
      </c>
      <c r="AP40" s="12">
        <v>9.8856502125785501E-6</v>
      </c>
      <c r="AQ40" s="12">
        <v>9.4737481203877798E-6</v>
      </c>
      <c r="AR40" s="12">
        <v>9.7208893757022399E-6</v>
      </c>
      <c r="AS40">
        <v>0</v>
      </c>
      <c r="AT40" s="12">
        <v>1.04623131416456E-5</v>
      </c>
    </row>
    <row r="41" spans="1:46" x14ac:dyDescent="0.25">
      <c r="A41">
        <v>2</v>
      </c>
      <c r="B41">
        <v>2</v>
      </c>
      <c r="C41">
        <v>1980</v>
      </c>
      <c r="D41">
        <v>1</v>
      </c>
      <c r="E41">
        <v>6</v>
      </c>
      <c r="F41">
        <v>0</v>
      </c>
      <c r="G41">
        <v>0</v>
      </c>
      <c r="H41">
        <v>0</v>
      </c>
      <c r="I41">
        <v>0</v>
      </c>
      <c r="J41" s="12">
        <v>1.0578383074187899E-5</v>
      </c>
      <c r="K41">
        <v>7.2122617431279201E-4</v>
      </c>
      <c r="L41">
        <v>8.8871391311854293E-3</v>
      </c>
      <c r="M41">
        <v>2.3785594138378201E-2</v>
      </c>
      <c r="N41">
        <v>3.2588405593170403E-2</v>
      </c>
      <c r="O41">
        <v>3.2186027852084298E-2</v>
      </c>
      <c r="P41">
        <v>2.9696315579114101E-2</v>
      </c>
      <c r="Q41">
        <v>2.9233062237317999E-2</v>
      </c>
      <c r="R41">
        <v>2.8016248795586202E-2</v>
      </c>
      <c r="S41">
        <v>2.97591871011588E-2</v>
      </c>
      <c r="T41">
        <v>2.7840308329927801E-2</v>
      </c>
      <c r="U41">
        <v>2.65186092220547E-2</v>
      </c>
      <c r="V41">
        <v>2.52374273172771E-2</v>
      </c>
      <c r="W41">
        <v>2.30289403603736E-2</v>
      </c>
      <c r="X41">
        <v>2.3283220738421002E-2</v>
      </c>
      <c r="Y41">
        <v>2.0387138881695299E-2</v>
      </c>
      <c r="Z41">
        <v>1.89852037361651E-2</v>
      </c>
      <c r="AA41">
        <v>1.7073909466006201E-2</v>
      </c>
      <c r="AB41">
        <v>1.8281441873531399E-2</v>
      </c>
      <c r="AC41">
        <v>1.5692133125957099E-2</v>
      </c>
      <c r="AD41">
        <v>1.7004850587823798E-2</v>
      </c>
      <c r="AE41">
        <v>1.5222093651622901E-2</v>
      </c>
      <c r="AF41">
        <v>1.4930589340682299E-2</v>
      </c>
      <c r="AG41">
        <v>1.27647153042757E-2</v>
      </c>
      <c r="AH41">
        <v>1.3273475652504099E-2</v>
      </c>
      <c r="AI41">
        <v>1.4259261199738299E-2</v>
      </c>
      <c r="AJ41">
        <v>1.49734018533128E-2</v>
      </c>
      <c r="AK41">
        <v>1.44464786209381E-2</v>
      </c>
      <c r="AL41">
        <v>1.5501323046354799E-2</v>
      </c>
      <c r="AM41">
        <v>1.5188961357466E-2</v>
      </c>
      <c r="AN41">
        <v>1.6016270750720901E-2</v>
      </c>
      <c r="AO41">
        <v>1.54418445905792E-2</v>
      </c>
      <c r="AP41">
        <v>1.419130007829E-2</v>
      </c>
      <c r="AQ41">
        <v>1.36125826872785E-2</v>
      </c>
      <c r="AR41">
        <v>1.3760380662116999E-2</v>
      </c>
      <c r="AS41">
        <v>1.33774631540447E-2</v>
      </c>
      <c r="AT41">
        <v>0.33482288942545901</v>
      </c>
    </row>
    <row r="42" spans="1:46" x14ac:dyDescent="0.25">
      <c r="A42">
        <v>2</v>
      </c>
      <c r="B42">
        <v>2</v>
      </c>
      <c r="C42">
        <v>1981</v>
      </c>
      <c r="D42">
        <v>1</v>
      </c>
      <c r="E42">
        <v>10</v>
      </c>
      <c r="F42">
        <v>0</v>
      </c>
      <c r="G42">
        <v>0</v>
      </c>
      <c r="H42">
        <v>0</v>
      </c>
      <c r="I42">
        <v>0</v>
      </c>
      <c r="J42" s="12">
        <v>1.0430366529941901E-5</v>
      </c>
      <c r="K42">
        <v>8.4403623893609199E-4</v>
      </c>
      <c r="L42">
        <v>9.5002797671338308E-3</v>
      </c>
      <c r="M42">
        <v>2.4981414047535299E-2</v>
      </c>
      <c r="N42">
        <v>3.12007945743429E-2</v>
      </c>
      <c r="O42">
        <v>3.3462262728032197E-2</v>
      </c>
      <c r="P42">
        <v>2.9304526490866501E-2</v>
      </c>
      <c r="Q42">
        <v>2.7966557500071699E-2</v>
      </c>
      <c r="R42">
        <v>2.75293055558034E-2</v>
      </c>
      <c r="S42">
        <v>2.5424841866722701E-2</v>
      </c>
      <c r="T42">
        <v>2.45569255780996E-2</v>
      </c>
      <c r="U42">
        <v>2.2875440700141102E-2</v>
      </c>
      <c r="V42">
        <v>2.45419662366291E-2</v>
      </c>
      <c r="W42">
        <v>2.0433362515486001E-2</v>
      </c>
      <c r="X42">
        <v>1.66910567978747E-2</v>
      </c>
      <c r="Y42">
        <v>1.43403815620215E-2</v>
      </c>
      <c r="Z42">
        <v>1.23756298877761E-2</v>
      </c>
      <c r="AA42">
        <v>1.45454206093338E-2</v>
      </c>
      <c r="AB42">
        <v>1.6162401904804499E-2</v>
      </c>
      <c r="AC42">
        <v>1.78820399655963E-2</v>
      </c>
      <c r="AD42">
        <v>1.9159485382184399E-2</v>
      </c>
      <c r="AE42">
        <v>1.6279606286601501E-2</v>
      </c>
      <c r="AF42">
        <v>1.41328721647416E-2</v>
      </c>
      <c r="AG42">
        <v>1.5420747947859701E-2</v>
      </c>
      <c r="AH42">
        <v>1.7354345764180101E-2</v>
      </c>
      <c r="AI42">
        <v>1.8207988919656901E-2</v>
      </c>
      <c r="AJ42">
        <v>1.7387421005413201E-2</v>
      </c>
      <c r="AK42">
        <v>1.6381439601933299E-2</v>
      </c>
      <c r="AL42">
        <v>1.4753753456602899E-2</v>
      </c>
      <c r="AM42">
        <v>1.5893682724993599E-2</v>
      </c>
      <c r="AN42">
        <v>1.7289155973368001E-2</v>
      </c>
      <c r="AO42">
        <v>1.56653125946539E-2</v>
      </c>
      <c r="AP42">
        <v>1.3374886449677501E-2</v>
      </c>
      <c r="AQ42">
        <v>1.4371123694951899E-2</v>
      </c>
      <c r="AR42">
        <v>1.5056783052630701E-2</v>
      </c>
      <c r="AS42">
        <v>1.3691228487197501E-2</v>
      </c>
      <c r="AT42">
        <v>0.35095109159961602</v>
      </c>
    </row>
    <row r="43" spans="1:46" x14ac:dyDescent="0.25">
      <c r="A43">
        <v>2</v>
      </c>
      <c r="B43">
        <v>2</v>
      </c>
      <c r="C43">
        <v>1984</v>
      </c>
      <c r="D43">
        <v>1</v>
      </c>
      <c r="E43">
        <v>9</v>
      </c>
      <c r="F43">
        <v>0</v>
      </c>
      <c r="G43">
        <v>0</v>
      </c>
      <c r="H43">
        <v>0</v>
      </c>
      <c r="I43">
        <v>0</v>
      </c>
      <c r="J43" s="12">
        <v>8.7508145881382698E-6</v>
      </c>
      <c r="K43">
        <v>8.4127149335965705E-4</v>
      </c>
      <c r="L43">
        <v>9.2846142780147103E-3</v>
      </c>
      <c r="M43">
        <v>2.9736859027691701E-2</v>
      </c>
      <c r="N43">
        <v>3.8470437162853303E-2</v>
      </c>
      <c r="O43">
        <v>3.9044344752925397E-2</v>
      </c>
      <c r="P43">
        <v>3.6623484932356898E-2</v>
      </c>
      <c r="Q43">
        <v>3.5035079496509997E-2</v>
      </c>
      <c r="R43">
        <v>3.15425100650941E-2</v>
      </c>
      <c r="S43">
        <v>2.99960024687904E-2</v>
      </c>
      <c r="T43">
        <v>2.61838294227578E-2</v>
      </c>
      <c r="U43">
        <v>2.3305010305410101E-2</v>
      </c>
      <c r="V43">
        <v>2.17716289309886E-2</v>
      </c>
      <c r="W43">
        <v>1.90978573100129E-2</v>
      </c>
      <c r="X43">
        <v>1.9827754799523499E-2</v>
      </c>
      <c r="Y43">
        <v>1.9366149329999201E-2</v>
      </c>
      <c r="Z43">
        <v>1.9979568173817699E-2</v>
      </c>
      <c r="AA43">
        <v>1.79781508070306E-2</v>
      </c>
      <c r="AB43">
        <v>1.6558994080604302E-2</v>
      </c>
      <c r="AC43">
        <v>1.69144627762224E-2</v>
      </c>
      <c r="AD43">
        <v>1.6181979818765301E-2</v>
      </c>
      <c r="AE43">
        <v>1.6101498842174398E-2</v>
      </c>
      <c r="AF43">
        <v>1.64795738088119E-2</v>
      </c>
      <c r="AG43">
        <v>1.6142866329318301E-2</v>
      </c>
      <c r="AH43">
        <v>1.6354476936631501E-2</v>
      </c>
      <c r="AI43">
        <v>1.5399511147675999E-2</v>
      </c>
      <c r="AJ43">
        <v>1.56018405880017E-2</v>
      </c>
      <c r="AK43">
        <v>1.5879944127374701E-2</v>
      </c>
      <c r="AL43">
        <v>1.5388837805640401E-2</v>
      </c>
      <c r="AM43">
        <v>1.55459547039275E-2</v>
      </c>
      <c r="AN43">
        <v>1.5000686143416601E-2</v>
      </c>
      <c r="AO43">
        <v>1.3982210654647101E-2</v>
      </c>
      <c r="AP43">
        <v>1.40713098577263E-2</v>
      </c>
      <c r="AQ43">
        <v>1.3504097966695199E-2</v>
      </c>
      <c r="AR43">
        <v>1.3487126689918199E-2</v>
      </c>
      <c r="AS43">
        <v>1.3007157768568801E-2</v>
      </c>
      <c r="AT43">
        <v>0.30630416638215502</v>
      </c>
    </row>
    <row r="44" spans="1:46" x14ac:dyDescent="0.25">
      <c r="A44">
        <v>2</v>
      </c>
      <c r="B44">
        <v>2</v>
      </c>
      <c r="C44">
        <v>1988</v>
      </c>
      <c r="D44">
        <v>1</v>
      </c>
      <c r="E44">
        <v>6</v>
      </c>
      <c r="F44">
        <v>0</v>
      </c>
      <c r="G44">
        <v>0</v>
      </c>
      <c r="H44">
        <v>0</v>
      </c>
      <c r="I44">
        <v>0</v>
      </c>
      <c r="J44" s="12">
        <v>1.0140160725498201E-5</v>
      </c>
      <c r="K44">
        <v>9.1327291729000103E-4</v>
      </c>
      <c r="L44">
        <v>1.02971356811449E-2</v>
      </c>
      <c r="M44">
        <v>3.4274796775376197E-2</v>
      </c>
      <c r="N44">
        <v>4.2005945031373899E-2</v>
      </c>
      <c r="O44">
        <v>3.82027263073169E-2</v>
      </c>
      <c r="P44">
        <v>3.1767674958596497E-2</v>
      </c>
      <c r="Q44">
        <v>3.10989511123098E-2</v>
      </c>
      <c r="R44">
        <v>3.0175538034294298E-2</v>
      </c>
      <c r="S44">
        <v>2.6578283094324001E-2</v>
      </c>
      <c r="T44">
        <v>2.7443489015967201E-2</v>
      </c>
      <c r="U44">
        <v>2.1346486921563101E-2</v>
      </c>
      <c r="V44">
        <v>2.3772619142937799E-2</v>
      </c>
      <c r="W44">
        <v>2.5831335151011998E-2</v>
      </c>
      <c r="X44">
        <v>2.7276505589994102E-2</v>
      </c>
      <c r="Y44">
        <v>2.94359647533281E-2</v>
      </c>
      <c r="Z44">
        <v>2.4889485417131998E-2</v>
      </c>
      <c r="AA44">
        <v>2.3700057733070899E-2</v>
      </c>
      <c r="AB44">
        <v>2.2991826767074501E-2</v>
      </c>
      <c r="AC44">
        <v>2.11086540609105E-2</v>
      </c>
      <c r="AD44">
        <v>2.1665441068019702E-2</v>
      </c>
      <c r="AE44">
        <v>2.0932715687803201E-2</v>
      </c>
      <c r="AF44">
        <v>1.8738226878326499E-2</v>
      </c>
      <c r="AG44">
        <v>1.6375174358088301E-2</v>
      </c>
      <c r="AH44">
        <v>1.68295062347503E-2</v>
      </c>
      <c r="AI44">
        <v>1.7034416495644699E-2</v>
      </c>
      <c r="AJ44">
        <v>1.6877441539998098E-2</v>
      </c>
      <c r="AK44">
        <v>1.48849658026372E-2</v>
      </c>
      <c r="AL44">
        <v>1.35555512244047E-2</v>
      </c>
      <c r="AM44">
        <v>1.35605554595679E-2</v>
      </c>
      <c r="AN44">
        <v>1.2525863994369999E-2</v>
      </c>
      <c r="AO44">
        <v>1.17146511363301E-2</v>
      </c>
      <c r="AP44">
        <v>1.02922631363807E-2</v>
      </c>
      <c r="AQ44">
        <v>1.10309145845537E-2</v>
      </c>
      <c r="AR44">
        <v>1.1216861427987499E-2</v>
      </c>
      <c r="AS44">
        <v>1.0536680516984901E-2</v>
      </c>
      <c r="AT44">
        <v>0.269107881828411</v>
      </c>
    </row>
    <row r="45" spans="1:46" x14ac:dyDescent="0.25">
      <c r="A45">
        <v>2</v>
      </c>
      <c r="B45">
        <v>2</v>
      </c>
      <c r="C45">
        <v>1990</v>
      </c>
      <c r="D45">
        <v>1</v>
      </c>
      <c r="E45">
        <v>6</v>
      </c>
      <c r="F45">
        <v>0</v>
      </c>
      <c r="G45">
        <v>0</v>
      </c>
      <c r="H45">
        <v>0</v>
      </c>
      <c r="I45">
        <v>0</v>
      </c>
      <c r="J45" s="12">
        <v>1.23703014392109E-5</v>
      </c>
      <c r="K45">
        <v>1.0264404884678599E-3</v>
      </c>
      <c r="L45">
        <v>1.3669183090328101E-2</v>
      </c>
      <c r="M45">
        <v>4.2651032176479399E-2</v>
      </c>
      <c r="N45">
        <v>5.0836048295423999E-2</v>
      </c>
      <c r="O45">
        <v>5.13449978403515E-2</v>
      </c>
      <c r="P45">
        <v>5.5966041755363398E-2</v>
      </c>
      <c r="Q45">
        <v>6.0064587700061997E-2</v>
      </c>
      <c r="R45">
        <v>6.22022936011523E-2</v>
      </c>
      <c r="S45">
        <v>5.3551034930344202E-2</v>
      </c>
      <c r="T45">
        <v>5.5240906466236403E-2</v>
      </c>
      <c r="U45">
        <v>4.9889131173351101E-2</v>
      </c>
      <c r="V45">
        <v>4.3789247174380201E-2</v>
      </c>
      <c r="W45">
        <v>4.3314610489397103E-2</v>
      </c>
      <c r="X45">
        <v>4.2473429991530802E-2</v>
      </c>
      <c r="Y45">
        <v>4.03952193497433E-2</v>
      </c>
      <c r="Z45">
        <v>3.5202343524154599E-2</v>
      </c>
      <c r="AA45">
        <v>3.0594258972555199E-2</v>
      </c>
      <c r="AB45">
        <v>2.8971245970632001E-2</v>
      </c>
      <c r="AC45">
        <v>2.3767767029523899E-2</v>
      </c>
      <c r="AD45">
        <v>2.2399081534571201E-2</v>
      </c>
      <c r="AE45">
        <v>1.8876490934262601E-2</v>
      </c>
      <c r="AF45">
        <v>1.5747540997608798E-2</v>
      </c>
      <c r="AG45">
        <v>1.4900911676489499E-2</v>
      </c>
      <c r="AH45">
        <v>1.4559402997471301E-2</v>
      </c>
      <c r="AI45">
        <v>1.21287860301597E-2</v>
      </c>
      <c r="AJ45">
        <v>1.11558029157684E-2</v>
      </c>
      <c r="AK45">
        <v>9.1820035087476406E-3</v>
      </c>
      <c r="AL45">
        <v>7.2613669448168203E-3</v>
      </c>
      <c r="AM45">
        <v>7.6689978303374796E-3</v>
      </c>
      <c r="AN45">
        <v>6.0190352431360597E-3</v>
      </c>
      <c r="AO45">
        <v>6.5938124635793998E-3</v>
      </c>
      <c r="AP45">
        <v>4.8759604839556398E-3</v>
      </c>
      <c r="AQ45">
        <v>3.4536703494330301E-3</v>
      </c>
      <c r="AR45">
        <v>2.4091162052863298E-3</v>
      </c>
      <c r="AS45">
        <v>2.0603915170952398E-3</v>
      </c>
      <c r="AT45">
        <v>5.5745438046364101E-2</v>
      </c>
    </row>
    <row r="46" spans="1:46" x14ac:dyDescent="0.25">
      <c r="A46">
        <v>2</v>
      </c>
      <c r="B46">
        <v>2</v>
      </c>
      <c r="C46">
        <v>1992</v>
      </c>
      <c r="D46">
        <v>1</v>
      </c>
      <c r="E46">
        <v>6</v>
      </c>
      <c r="F46">
        <v>0</v>
      </c>
      <c r="G46">
        <v>0</v>
      </c>
      <c r="H46">
        <v>0</v>
      </c>
      <c r="I46">
        <v>0</v>
      </c>
      <c r="J46" s="12">
        <v>1.18439679544943E-5</v>
      </c>
      <c r="K46">
        <v>1.17371780794948E-3</v>
      </c>
      <c r="L46">
        <v>1.39716105913033E-2</v>
      </c>
      <c r="M46">
        <v>4.09693530533458E-2</v>
      </c>
      <c r="N46">
        <v>5.0788876222962499E-2</v>
      </c>
      <c r="O46">
        <v>5.1086140402279399E-2</v>
      </c>
      <c r="P46">
        <v>4.7657020434339697E-2</v>
      </c>
      <c r="Q46">
        <v>4.4188096967536498E-2</v>
      </c>
      <c r="R46">
        <v>4.0251239684826197E-2</v>
      </c>
      <c r="S46">
        <v>3.61547800798439E-2</v>
      </c>
      <c r="T46">
        <v>3.8024767872790403E-2</v>
      </c>
      <c r="U46">
        <v>3.4306344425306397E-2</v>
      </c>
      <c r="V46">
        <v>3.20122066652027E-2</v>
      </c>
      <c r="W46">
        <v>3.1409038034864403E-2</v>
      </c>
      <c r="X46">
        <v>3.11577905835018E-2</v>
      </c>
      <c r="Y46">
        <v>3.1449618187364199E-2</v>
      </c>
      <c r="Z46">
        <v>2.7454706045336001E-2</v>
      </c>
      <c r="AA46">
        <v>2.5136006613982399E-2</v>
      </c>
      <c r="AB46">
        <v>2.4738554115575E-2</v>
      </c>
      <c r="AC46">
        <v>2.4849615585574501E-2</v>
      </c>
      <c r="AD46">
        <v>2.3750456526715601E-2</v>
      </c>
      <c r="AE46">
        <v>2.03565772175257E-2</v>
      </c>
      <c r="AF46">
        <v>1.82279637636713E-2</v>
      </c>
      <c r="AG46">
        <v>1.6963086235153999E-2</v>
      </c>
      <c r="AH46">
        <v>1.4692345165845701E-2</v>
      </c>
      <c r="AI46">
        <v>1.42519825540294E-2</v>
      </c>
      <c r="AJ46">
        <v>1.24594659613098E-2</v>
      </c>
      <c r="AK46">
        <v>1.21064768835841E-2</v>
      </c>
      <c r="AL46">
        <v>1.2344424141424001E-2</v>
      </c>
      <c r="AM46">
        <v>1.11995395997244E-2</v>
      </c>
      <c r="AN46">
        <v>1.02712443408647E-2</v>
      </c>
      <c r="AO46">
        <v>8.7549251975758292E-3</v>
      </c>
      <c r="AP46">
        <v>8.0440929568970903E-3</v>
      </c>
      <c r="AQ46">
        <v>7.7477995946256401E-3</v>
      </c>
      <c r="AR46">
        <v>8.0383651363289295E-3</v>
      </c>
      <c r="AS46">
        <v>7.8395418054207008E-3</v>
      </c>
      <c r="AT46">
        <v>0.16616038557746399</v>
      </c>
    </row>
    <row r="47" spans="1:46" x14ac:dyDescent="0.25">
      <c r="A47">
        <v>2</v>
      </c>
      <c r="B47">
        <v>2</v>
      </c>
      <c r="C47">
        <v>1993</v>
      </c>
      <c r="D47">
        <v>1</v>
      </c>
      <c r="E47">
        <v>6</v>
      </c>
      <c r="F47">
        <v>0</v>
      </c>
      <c r="G47">
        <v>0</v>
      </c>
      <c r="H47">
        <v>0</v>
      </c>
      <c r="I47">
        <v>0</v>
      </c>
      <c r="J47" s="12">
        <v>8.1516374112551597E-6</v>
      </c>
      <c r="K47">
        <v>9.6849604083122599E-4</v>
      </c>
      <c r="L47">
        <v>1.0194030164645099E-2</v>
      </c>
      <c r="M47">
        <v>2.9885859142640098E-2</v>
      </c>
      <c r="N47">
        <v>4.3302802190573197E-2</v>
      </c>
      <c r="O47">
        <v>4.5914097718894702E-2</v>
      </c>
      <c r="P47">
        <v>4.2555949170953997E-2</v>
      </c>
      <c r="Q47">
        <v>4.2167849713804197E-2</v>
      </c>
      <c r="R47">
        <v>4.2857233689674E-2</v>
      </c>
      <c r="S47">
        <v>4.1803716070643399E-2</v>
      </c>
      <c r="T47">
        <v>3.8642185017062201E-2</v>
      </c>
      <c r="U47">
        <v>3.6646908727909301E-2</v>
      </c>
      <c r="V47">
        <v>3.3233410561946203E-2</v>
      </c>
      <c r="W47">
        <v>3.3535021146162601E-2</v>
      </c>
      <c r="X47">
        <v>3.0789712698800101E-2</v>
      </c>
      <c r="Y47">
        <v>2.9013307874139398E-2</v>
      </c>
      <c r="Z47">
        <v>2.9056837617915499E-2</v>
      </c>
      <c r="AA47">
        <v>2.6622758686914699E-2</v>
      </c>
      <c r="AB47">
        <v>2.5596141471341202E-2</v>
      </c>
      <c r="AC47">
        <v>2.4467954853623498E-2</v>
      </c>
      <c r="AD47">
        <v>2.40342877433447E-2</v>
      </c>
      <c r="AE47">
        <v>2.2217776862620602E-2</v>
      </c>
      <c r="AF47">
        <v>2.06885296842691E-2</v>
      </c>
      <c r="AG47">
        <v>1.8261950259686702E-2</v>
      </c>
      <c r="AH47">
        <v>1.6731235786601201E-2</v>
      </c>
      <c r="AI47">
        <v>1.5455178466243299E-2</v>
      </c>
      <c r="AJ47">
        <v>1.54277074481674E-2</v>
      </c>
      <c r="AK47">
        <v>1.3393140266692199E-2</v>
      </c>
      <c r="AL47">
        <v>1.22621820922547E-2</v>
      </c>
      <c r="AM47">
        <v>1.0583841465651399E-2</v>
      </c>
      <c r="AN47">
        <v>9.6034440341996995E-3</v>
      </c>
      <c r="AO47">
        <v>8.1516374112551599E-3</v>
      </c>
      <c r="AP47">
        <v>8.3077412676806992E-3</v>
      </c>
      <c r="AQ47">
        <v>8.4975929029888295E-3</v>
      </c>
      <c r="AR47">
        <v>7.9067622234210606E-3</v>
      </c>
      <c r="AS47">
        <v>7.4450534804475603E-3</v>
      </c>
      <c r="AT47">
        <v>0.17376951440859001</v>
      </c>
    </row>
    <row r="48" spans="1:46" x14ac:dyDescent="0.25">
      <c r="A48">
        <v>2</v>
      </c>
      <c r="B48">
        <v>2</v>
      </c>
      <c r="C48">
        <v>1994</v>
      </c>
      <c r="D48">
        <v>1</v>
      </c>
      <c r="E48">
        <v>12</v>
      </c>
      <c r="F48">
        <v>0</v>
      </c>
      <c r="G48">
        <v>0</v>
      </c>
      <c r="H48">
        <v>0</v>
      </c>
      <c r="I48">
        <v>0</v>
      </c>
      <c r="J48" s="12">
        <v>1.08821299145787E-5</v>
      </c>
      <c r="K48">
        <v>1.1135202703289799E-3</v>
      </c>
      <c r="L48">
        <v>1.2337298449667701E-2</v>
      </c>
      <c r="M48">
        <v>3.6916065119677703E-2</v>
      </c>
      <c r="N48">
        <v>5.06523499453405E-2</v>
      </c>
      <c r="O48">
        <v>5.2023667029769897E-2</v>
      </c>
      <c r="P48">
        <v>5.3508360723541898E-2</v>
      </c>
      <c r="Q48">
        <v>4.96630040566724E-2</v>
      </c>
      <c r="R48">
        <v>4.9580502327552602E-2</v>
      </c>
      <c r="S48">
        <v>4.4392341443781999E-2</v>
      </c>
      <c r="T48">
        <v>4.4944630626345898E-2</v>
      </c>
      <c r="U48">
        <v>3.9915652526674499E-2</v>
      </c>
      <c r="V48">
        <v>3.7539720828658203E-2</v>
      </c>
      <c r="W48">
        <v>3.2943497197682803E-2</v>
      </c>
      <c r="X48">
        <v>3.3016382160831602E-2</v>
      </c>
      <c r="Y48">
        <v>2.97133604801702E-2</v>
      </c>
      <c r="Z48">
        <v>2.9121591942567301E-2</v>
      </c>
      <c r="AA48">
        <v>2.6744732310992399E-2</v>
      </c>
      <c r="AB48">
        <v>2.3077707602568099E-2</v>
      </c>
      <c r="AC48">
        <v>2.0620370824182999E-2</v>
      </c>
      <c r="AD48">
        <v>1.8522734836152702E-2</v>
      </c>
      <c r="AE48">
        <v>1.7963106542716101E-2</v>
      </c>
      <c r="AF48">
        <v>1.51624343476463E-2</v>
      </c>
      <c r="AG48">
        <v>1.54759071752631E-2</v>
      </c>
      <c r="AH48">
        <v>1.34441544698939E-2</v>
      </c>
      <c r="AI48">
        <v>1.2915147983891401E-2</v>
      </c>
      <c r="AJ48">
        <v>1.3223053210156601E-2</v>
      </c>
      <c r="AK48">
        <v>1.24256208529278E-2</v>
      </c>
      <c r="AL48">
        <v>1.08348896606859E-2</v>
      </c>
      <c r="AM48">
        <v>1.07682471596586E-2</v>
      </c>
      <c r="AN48">
        <v>1.0028515398255999E-2</v>
      </c>
      <c r="AO48">
        <v>9.9342879632592293E-3</v>
      </c>
      <c r="AP48">
        <v>9.1102829632157892E-3</v>
      </c>
      <c r="AQ48">
        <v>8.2103561265589996E-3</v>
      </c>
      <c r="AR48">
        <v>7.1923286551703602E-3</v>
      </c>
      <c r="AS48">
        <v>6.9240714991365597E-3</v>
      </c>
      <c r="AT48">
        <v>0.14002922315848801</v>
      </c>
    </row>
    <row r="49" spans="1:46" x14ac:dyDescent="0.25">
      <c r="A49">
        <v>2</v>
      </c>
      <c r="B49">
        <v>2</v>
      </c>
      <c r="C49">
        <v>1995</v>
      </c>
      <c r="D49">
        <v>1</v>
      </c>
      <c r="E49">
        <v>15</v>
      </c>
      <c r="F49">
        <v>0</v>
      </c>
      <c r="G49">
        <v>0</v>
      </c>
      <c r="H49">
        <v>0</v>
      </c>
      <c r="I49">
        <v>0</v>
      </c>
      <c r="J49" s="12">
        <v>7.1464368091746403E-6</v>
      </c>
      <c r="K49">
        <v>8.2131365350072299E-4</v>
      </c>
      <c r="L49">
        <v>9.6698060336688901E-3</v>
      </c>
      <c r="M49">
        <v>2.9805982515452498E-2</v>
      </c>
      <c r="N49">
        <v>4.3302893524560897E-2</v>
      </c>
      <c r="O49">
        <v>4.3044719091623197E-2</v>
      </c>
      <c r="P49">
        <v>4.4499658400320503E-2</v>
      </c>
      <c r="Q49">
        <v>4.3172226569428998E-2</v>
      </c>
      <c r="R49">
        <v>3.8799509950021599E-2</v>
      </c>
      <c r="S49">
        <v>3.8898582131891901E-2</v>
      </c>
      <c r="T49">
        <v>3.77644802231012E-2</v>
      </c>
      <c r="U49">
        <v>3.6184139754815499E-2</v>
      </c>
      <c r="V49">
        <v>3.2358238389785902E-2</v>
      </c>
      <c r="W49">
        <v>2.8543620872349702E-2</v>
      </c>
      <c r="X49">
        <v>2.79933452380433E-2</v>
      </c>
      <c r="Y49">
        <v>2.7812427548295202E-2</v>
      </c>
      <c r="Z49">
        <v>2.7367843953114E-2</v>
      </c>
      <c r="AA49">
        <v>2.6741816088630299E-2</v>
      </c>
      <c r="AB49">
        <v>2.57533510394455E-2</v>
      </c>
      <c r="AC49">
        <v>2.57046048178418E-2</v>
      </c>
      <c r="AD49">
        <v>2.3415638720688501E-2</v>
      </c>
      <c r="AE49">
        <v>2.2799991995990799E-2</v>
      </c>
      <c r="AF49">
        <v>2.20146362034878E-2</v>
      </c>
      <c r="AG49">
        <v>2.0573764091456899E-2</v>
      </c>
      <c r="AH49">
        <v>2.01698775732626E-2</v>
      </c>
      <c r="AI49">
        <v>1.76765233833669E-2</v>
      </c>
      <c r="AJ49">
        <v>1.6262958182512201E-2</v>
      </c>
      <c r="AK49">
        <v>1.54552603717742E-2</v>
      </c>
      <c r="AL49">
        <v>1.3649543854222301E-2</v>
      </c>
      <c r="AM49">
        <v>1.20270770215878E-2</v>
      </c>
      <c r="AN49">
        <v>1.15949056587593E-2</v>
      </c>
      <c r="AO49">
        <v>1.05007485704493E-2</v>
      </c>
      <c r="AP49">
        <v>1.01956333315229E-2</v>
      </c>
      <c r="AQ49">
        <v>1.01569673471027E-2</v>
      </c>
      <c r="AR49">
        <v>9.47196257253069E-3</v>
      </c>
      <c r="AS49">
        <v>8.4965867865542909E-3</v>
      </c>
      <c r="AT49">
        <v>0.16729221810202999</v>
      </c>
    </row>
    <row r="50" spans="1:46" x14ac:dyDescent="0.25">
      <c r="A50">
        <v>2</v>
      </c>
      <c r="B50">
        <v>2</v>
      </c>
      <c r="C50">
        <v>1996</v>
      </c>
      <c r="D50">
        <v>1</v>
      </c>
      <c r="E50">
        <v>6</v>
      </c>
      <c r="F50">
        <v>0</v>
      </c>
      <c r="G50">
        <v>0</v>
      </c>
      <c r="H50">
        <v>0</v>
      </c>
      <c r="I50">
        <v>0</v>
      </c>
      <c r="J50" s="12">
        <v>1.4930337953260701E-5</v>
      </c>
      <c r="K50">
        <v>1.6963647537234399E-3</v>
      </c>
      <c r="L50">
        <v>2.0038158401016502E-2</v>
      </c>
      <c r="M50">
        <v>5.50033650198124E-2</v>
      </c>
      <c r="N50">
        <v>7.0773597747087899E-2</v>
      </c>
      <c r="O50">
        <v>7.7231475025024102E-2</v>
      </c>
      <c r="P50">
        <v>7.3747518622117106E-2</v>
      </c>
      <c r="Q50">
        <v>7.0068708656091203E-2</v>
      </c>
      <c r="R50">
        <v>6.3747228872338094E-2</v>
      </c>
      <c r="S50">
        <v>5.5829721267039098E-2</v>
      </c>
      <c r="T50">
        <v>5.22941413227343E-2</v>
      </c>
      <c r="U50">
        <v>4.4234289393728303E-2</v>
      </c>
      <c r="V50">
        <v>3.7491596940090501E-2</v>
      </c>
      <c r="W50">
        <v>3.0471174894864499E-2</v>
      </c>
      <c r="X50">
        <v>3.0592642051094399E-2</v>
      </c>
      <c r="Y50">
        <v>2.8554903977049802E-2</v>
      </c>
      <c r="Z50">
        <v>3.00669170155368E-2</v>
      </c>
      <c r="AA50">
        <v>2.9334318229525098E-2</v>
      </c>
      <c r="AB50">
        <v>2.6954321137145101E-2</v>
      </c>
      <c r="AC50">
        <v>2.3272094907350299E-2</v>
      </c>
      <c r="AD50">
        <v>2.0731153832965699E-2</v>
      </c>
      <c r="AE50">
        <v>1.7445973370097401E-2</v>
      </c>
      <c r="AF50">
        <v>1.4960072100879501E-2</v>
      </c>
      <c r="AG50">
        <v>1.22822274191608E-2</v>
      </c>
      <c r="AH50">
        <v>1.22874150789581E-2</v>
      </c>
      <c r="AI50">
        <v>1.20495418980078E-2</v>
      </c>
      <c r="AJ50">
        <v>1.00248362376004E-2</v>
      </c>
      <c r="AK50">
        <v>7.7130378923120297E-3</v>
      </c>
      <c r="AL50">
        <v>6.2718806949591498E-3</v>
      </c>
      <c r="AM50">
        <v>4.8483109296020696E-3</v>
      </c>
      <c r="AN50">
        <v>4.2513504680471203E-3</v>
      </c>
      <c r="AO50">
        <v>2.7223826390030299E-3</v>
      </c>
      <c r="AP50">
        <v>1.3832072415681899E-3</v>
      </c>
      <c r="AQ50">
        <v>1.50214383204331E-3</v>
      </c>
      <c r="AR50">
        <v>1.2994455150846401E-3</v>
      </c>
      <c r="AS50">
        <v>1.8650269612801901E-3</v>
      </c>
      <c r="AT50">
        <v>4.6944525317108403E-2</v>
      </c>
    </row>
    <row r="51" spans="1:46" x14ac:dyDescent="0.25">
      <c r="A51">
        <v>2</v>
      </c>
      <c r="B51">
        <v>2</v>
      </c>
      <c r="C51">
        <v>1997</v>
      </c>
      <c r="D51">
        <v>1</v>
      </c>
      <c r="E51">
        <v>2</v>
      </c>
      <c r="F51">
        <v>0</v>
      </c>
      <c r="G51">
        <v>0</v>
      </c>
      <c r="H51">
        <v>0</v>
      </c>
      <c r="I51">
        <v>0</v>
      </c>
      <c r="J51" s="12">
        <v>1.03541497762279E-5</v>
      </c>
      <c r="K51">
        <v>1.3149770215809401E-3</v>
      </c>
      <c r="L51">
        <v>1.5043688945308499E-2</v>
      </c>
      <c r="M51">
        <v>4.2482965196919201E-2</v>
      </c>
      <c r="N51">
        <v>5.7166930938711703E-2</v>
      </c>
      <c r="O51">
        <v>6.3185698002183502E-2</v>
      </c>
      <c r="P51">
        <v>6.5016378483586906E-2</v>
      </c>
      <c r="Q51">
        <v>6.2765074584392205E-2</v>
      </c>
      <c r="R51">
        <v>5.64544986331409E-2</v>
      </c>
      <c r="S51">
        <v>4.8622642009390898E-2</v>
      </c>
      <c r="T51">
        <v>4.62155805237775E-2</v>
      </c>
      <c r="U51">
        <v>4.0272632557054197E-2</v>
      </c>
      <c r="V51">
        <v>3.9212946561676301E-2</v>
      </c>
      <c r="W51">
        <v>3.8430150571604697E-2</v>
      </c>
      <c r="X51">
        <v>3.1972055819778099E-2</v>
      </c>
      <c r="Y51">
        <v>2.7952196337837399E-2</v>
      </c>
      <c r="Z51">
        <v>2.8823837613085702E-2</v>
      </c>
      <c r="AA51">
        <v>2.4692754522258401E-2</v>
      </c>
      <c r="AB51">
        <v>2.3246736271789099E-2</v>
      </c>
      <c r="AC51">
        <v>2.3294498962692301E-2</v>
      </c>
      <c r="AD51">
        <v>2.1025158802597099E-2</v>
      </c>
      <c r="AE51">
        <v>2.17103140469295E-2</v>
      </c>
      <c r="AF51">
        <v>1.85517416904608E-2</v>
      </c>
      <c r="AG51">
        <v>1.5539018110410001E-2</v>
      </c>
      <c r="AH51">
        <v>1.43742319280563E-2</v>
      </c>
      <c r="AI51">
        <v>1.28079719382501E-2</v>
      </c>
      <c r="AJ51">
        <v>1.15304034577962E-2</v>
      </c>
      <c r="AK51">
        <v>1.00762577564272E-2</v>
      </c>
      <c r="AL51">
        <v>1.04654847200583E-2</v>
      </c>
      <c r="AM51">
        <v>9.52648580379265E-3</v>
      </c>
      <c r="AN51">
        <v>9.5672343932345794E-3</v>
      </c>
      <c r="AO51">
        <v>7.9660152310656596E-3</v>
      </c>
      <c r="AP51">
        <v>6.53246649430533E-3</v>
      </c>
      <c r="AQ51">
        <v>5.9920466769525296E-3</v>
      </c>
      <c r="AR51">
        <v>4.8991828683132496E-3</v>
      </c>
      <c r="AS51">
        <v>4.8029894768437803E-3</v>
      </c>
      <c r="AT51">
        <v>7.8456398897962201E-2</v>
      </c>
    </row>
    <row r="52" spans="1:46" x14ac:dyDescent="0.25">
      <c r="A52">
        <v>2</v>
      </c>
      <c r="B52">
        <v>2</v>
      </c>
      <c r="C52">
        <v>1998</v>
      </c>
      <c r="D52">
        <v>1</v>
      </c>
      <c r="E52">
        <v>2</v>
      </c>
      <c r="F52">
        <v>0</v>
      </c>
      <c r="G52">
        <v>0</v>
      </c>
      <c r="H52">
        <v>0</v>
      </c>
      <c r="I52">
        <v>0</v>
      </c>
      <c r="J52" s="12">
        <v>1.5853123252012101E-5</v>
      </c>
      <c r="K52">
        <v>1.11276730518931E-3</v>
      </c>
      <c r="L52">
        <v>1.32506958797047E-2</v>
      </c>
      <c r="M52">
        <v>3.6961861729821202E-2</v>
      </c>
      <c r="N52">
        <v>4.8980053493620598E-2</v>
      </c>
      <c r="O52">
        <v>5.2529933631051899E-2</v>
      </c>
      <c r="P52">
        <v>5.3440802265594299E-2</v>
      </c>
      <c r="Q52">
        <v>4.8758033551153698E-2</v>
      </c>
      <c r="R52">
        <v>4.5593963557480501E-2</v>
      </c>
      <c r="S52">
        <v>4.39166573872544E-2</v>
      </c>
      <c r="T52">
        <v>4.3831599283652198E-2</v>
      </c>
      <c r="U52">
        <v>4.2758007484960697E-2</v>
      </c>
      <c r="V52">
        <v>3.8207246508368702E-2</v>
      </c>
      <c r="W52">
        <v>3.4623449833210702E-2</v>
      </c>
      <c r="X52">
        <v>3.2468873192772502E-2</v>
      </c>
      <c r="Y52">
        <v>3.2110348713073202E-2</v>
      </c>
      <c r="Z52">
        <v>3.0016364538910802E-2</v>
      </c>
      <c r="AA52">
        <v>2.6072214177524401E-2</v>
      </c>
      <c r="AB52">
        <v>2.5226434808641798E-2</v>
      </c>
      <c r="AC52">
        <v>2.3223453659301001E-2</v>
      </c>
      <c r="AD52">
        <v>2.0404341530236399E-2</v>
      </c>
      <c r="AE52">
        <v>1.7822187863626299E-2</v>
      </c>
      <c r="AF52">
        <v>1.6817038875897701E-2</v>
      </c>
      <c r="AG52">
        <v>1.6271249377784E-2</v>
      </c>
      <c r="AH52">
        <v>1.47476727729392E-2</v>
      </c>
      <c r="AI52">
        <v>1.33760727438853E-2</v>
      </c>
      <c r="AJ52">
        <v>1.32841551157991E-2</v>
      </c>
      <c r="AK52">
        <v>1.2511696441957E-2</v>
      </c>
      <c r="AL52">
        <v>1.2043419570512999E-2</v>
      </c>
      <c r="AM52">
        <v>1.1022493676471099E-2</v>
      </c>
      <c r="AN52">
        <v>1.1032401878503699E-2</v>
      </c>
      <c r="AO52">
        <v>1.03007192668723E-2</v>
      </c>
      <c r="AP52">
        <v>9.4224714820985902E-3</v>
      </c>
      <c r="AQ52">
        <v>9.0228660724336798E-3</v>
      </c>
      <c r="AR52">
        <v>8.1343290009338893E-3</v>
      </c>
      <c r="AS52">
        <v>7.0692734993780303E-3</v>
      </c>
      <c r="AT52">
        <v>0.12361899670613299</v>
      </c>
    </row>
    <row r="53" spans="1:46" x14ac:dyDescent="0.25">
      <c r="A53">
        <v>2</v>
      </c>
      <c r="B53">
        <v>2</v>
      </c>
      <c r="C53">
        <v>1999</v>
      </c>
      <c r="D53">
        <v>1</v>
      </c>
      <c r="E53">
        <v>7</v>
      </c>
      <c r="F53">
        <v>0</v>
      </c>
      <c r="G53">
        <v>0</v>
      </c>
      <c r="H53">
        <v>0</v>
      </c>
      <c r="I53">
        <v>0</v>
      </c>
      <c r="J53" s="12">
        <v>2.1583829187136101E-5</v>
      </c>
      <c r="K53">
        <v>1.6419312950310501E-3</v>
      </c>
      <c r="L53">
        <v>1.60950354202339E-2</v>
      </c>
      <c r="M53">
        <v>3.68992462952853E-2</v>
      </c>
      <c r="N53">
        <v>4.2122272912437399E-2</v>
      </c>
      <c r="O53">
        <v>4.9445172067976599E-2</v>
      </c>
      <c r="P53">
        <v>5.5037464196523098E-2</v>
      </c>
      <c r="Q53">
        <v>5.2435702618001498E-2</v>
      </c>
      <c r="R53">
        <v>4.47168832222525E-2</v>
      </c>
      <c r="S53">
        <v>4.3093805271993302E-2</v>
      </c>
      <c r="T53">
        <v>4.1706199096781797E-2</v>
      </c>
      <c r="U53">
        <v>3.6245230266301498E-2</v>
      </c>
      <c r="V53">
        <v>3.4207508754128098E-2</v>
      </c>
      <c r="W53">
        <v>2.6715579610978799E-2</v>
      </c>
      <c r="X53">
        <v>2.12533105498246E-2</v>
      </c>
      <c r="Y53">
        <v>2.3316776629341798E-2</v>
      </c>
      <c r="Z53">
        <v>2.2571614430115999E-2</v>
      </c>
      <c r="AA53">
        <v>2.2637666148351401E-2</v>
      </c>
      <c r="AB53">
        <v>2.07203459965833E-2</v>
      </c>
      <c r="AC53">
        <v>2.1259811703194301E-2</v>
      </c>
      <c r="AD53">
        <v>2.0158776368515499E-2</v>
      </c>
      <c r="AE53">
        <v>1.7195030570373498E-2</v>
      </c>
      <c r="AF53">
        <v>1.6651924217875501E-2</v>
      </c>
      <c r="AG53">
        <v>1.7069948379542E-2</v>
      </c>
      <c r="AH53">
        <v>1.63543014166143E-2</v>
      </c>
      <c r="AI53">
        <v>1.53780882266323E-2</v>
      </c>
      <c r="AJ53">
        <v>1.58222470248447E-2</v>
      </c>
      <c r="AK53">
        <v>1.56110895633994E-2</v>
      </c>
      <c r="AL53">
        <v>1.3679726920352899E-2</v>
      </c>
      <c r="AM53">
        <v>1.38739813830372E-2</v>
      </c>
      <c r="AN53">
        <v>1.38958252583591E-2</v>
      </c>
      <c r="AO53">
        <v>1.34012175099985E-2</v>
      </c>
      <c r="AP53">
        <v>1.3030261698728E-2</v>
      </c>
      <c r="AQ53">
        <v>1.2532923465952099E-2</v>
      </c>
      <c r="AR53">
        <v>1.08406732438402E-2</v>
      </c>
      <c r="AS53">
        <v>9.6240474022496296E-3</v>
      </c>
      <c r="AT53">
        <v>0.15273679703516199</v>
      </c>
    </row>
    <row r="54" spans="1:46" x14ac:dyDescent="0.25">
      <c r="A54">
        <v>2</v>
      </c>
      <c r="B54">
        <v>2</v>
      </c>
      <c r="C54">
        <v>2000</v>
      </c>
      <c r="D54">
        <v>1</v>
      </c>
      <c r="E54">
        <v>10</v>
      </c>
      <c r="F54">
        <v>0</v>
      </c>
      <c r="G54">
        <v>0</v>
      </c>
      <c r="H54">
        <v>0</v>
      </c>
      <c r="I54">
        <v>0</v>
      </c>
      <c r="J54" s="12">
        <v>2.3056628809603499E-5</v>
      </c>
      <c r="K54">
        <v>1.7729394723144699E-3</v>
      </c>
      <c r="L54">
        <v>2.21228353428146E-2</v>
      </c>
      <c r="M54">
        <v>5.9032347873804202E-2</v>
      </c>
      <c r="N54">
        <v>7.5119418926840806E-2</v>
      </c>
      <c r="O54">
        <v>7.0648738600658595E-2</v>
      </c>
      <c r="P54">
        <v>6.7138366864396504E-2</v>
      </c>
      <c r="Q54">
        <v>5.7521677554198902E-2</v>
      </c>
      <c r="R54">
        <v>5.5536501813692102E-2</v>
      </c>
      <c r="S54">
        <v>5.3250437067219901E-2</v>
      </c>
      <c r="T54">
        <v>5.0357752416767002E-2</v>
      </c>
      <c r="U54">
        <v>4.1817346539401799E-2</v>
      </c>
      <c r="V54">
        <v>3.7028945868223299E-2</v>
      </c>
      <c r="W54">
        <v>3.2960834281056797E-2</v>
      </c>
      <c r="X54">
        <v>2.6639052510895701E-2</v>
      </c>
      <c r="Y54">
        <v>2.6241902079650301E-2</v>
      </c>
      <c r="Z54">
        <v>2.5786303094372499E-2</v>
      </c>
      <c r="AA54">
        <v>2.33344611867593E-2</v>
      </c>
      <c r="AB54">
        <v>1.9596289957858198E-2</v>
      </c>
      <c r="AC54">
        <v>1.6939705186415702E-2</v>
      </c>
      <c r="AD54">
        <v>1.7155054099497399E-2</v>
      </c>
      <c r="AE54">
        <v>1.6343921897975601E-2</v>
      </c>
      <c r="AF54">
        <v>1.41317536468382E-2</v>
      </c>
      <c r="AG54">
        <v>1.3713621683376E-2</v>
      </c>
      <c r="AH54">
        <v>1.2209637786125599E-2</v>
      </c>
      <c r="AI54">
        <v>1.15293519530982E-2</v>
      </c>
      <c r="AJ54">
        <v>1.17242957496834E-2</v>
      </c>
      <c r="AK54">
        <v>9.8048314012839106E-3</v>
      </c>
      <c r="AL54">
        <v>8.1067106894566008E-3</v>
      </c>
      <c r="AM54">
        <v>6.8924333331988304E-3</v>
      </c>
      <c r="AN54">
        <v>7.1435200209354196E-3</v>
      </c>
      <c r="AO54">
        <v>6.9965340122741899E-3</v>
      </c>
      <c r="AP54">
        <v>6.7666594230424504E-3</v>
      </c>
      <c r="AQ54">
        <v>5.97074459653493E-3</v>
      </c>
      <c r="AR54">
        <v>5.3095957654195501E-3</v>
      </c>
      <c r="AS54">
        <v>4.70355227715912E-3</v>
      </c>
      <c r="AT54">
        <v>7.8628868397950497E-2</v>
      </c>
    </row>
    <row r="55" spans="1:46" x14ac:dyDescent="0.25">
      <c r="A55">
        <v>2</v>
      </c>
      <c r="B55">
        <v>2</v>
      </c>
      <c r="C55">
        <v>2001</v>
      </c>
      <c r="D55">
        <v>1</v>
      </c>
      <c r="E55">
        <v>10</v>
      </c>
      <c r="F55">
        <v>0</v>
      </c>
      <c r="G55">
        <v>0</v>
      </c>
      <c r="H55">
        <v>0</v>
      </c>
      <c r="I55">
        <v>0</v>
      </c>
      <c r="J55" s="12">
        <v>2.3245392038165201E-5</v>
      </c>
      <c r="K55">
        <v>1.9979723023954002E-3</v>
      </c>
      <c r="L55">
        <v>2.2153475746673399E-2</v>
      </c>
      <c r="M55">
        <v>6.2262679718508601E-2</v>
      </c>
      <c r="N55">
        <v>7.9594896587319303E-2</v>
      </c>
      <c r="O55">
        <v>7.5625694468944099E-2</v>
      </c>
      <c r="P55">
        <v>7.1174099037918506E-2</v>
      </c>
      <c r="Q55">
        <v>6.0503846958098802E-2</v>
      </c>
      <c r="R55">
        <v>5.4362126385607903E-2</v>
      </c>
      <c r="S55">
        <v>5.1167016393247E-2</v>
      </c>
      <c r="T55">
        <v>4.3634995094296601E-2</v>
      </c>
      <c r="U55">
        <v>4.2009360487379799E-2</v>
      </c>
      <c r="V55">
        <v>3.8694320729016601E-2</v>
      </c>
      <c r="W55">
        <v>3.6346741844595902E-2</v>
      </c>
      <c r="X55">
        <v>3.1696017745491099E-2</v>
      </c>
      <c r="Y55">
        <v>2.6843696441099602E-2</v>
      </c>
      <c r="Z55">
        <v>2.6133477715331799E-2</v>
      </c>
      <c r="AA55">
        <v>2.3155701852956002E-2</v>
      </c>
      <c r="AB55">
        <v>2.2219920539844399E-2</v>
      </c>
      <c r="AC55">
        <v>2.0542240940134199E-2</v>
      </c>
      <c r="AD55">
        <v>1.6948565044464001E-2</v>
      </c>
      <c r="AE55">
        <v>1.39079443390116E-2</v>
      </c>
      <c r="AF55">
        <v>1.22499101812451E-2</v>
      </c>
      <c r="AG55">
        <v>1.0207812776263999E-2</v>
      </c>
      <c r="AH55">
        <v>1.0190533015810899E-2</v>
      </c>
      <c r="AI55">
        <v>8.9422760345048008E-3</v>
      </c>
      <c r="AJ55">
        <v>8.4942365313267192E-3</v>
      </c>
      <c r="AK55">
        <v>7.9929177667514197E-3</v>
      </c>
      <c r="AL55">
        <v>8.1646868141130799E-3</v>
      </c>
      <c r="AM55">
        <v>7.0659820453003296E-3</v>
      </c>
      <c r="AN55">
        <v>7.0976616061311096E-3</v>
      </c>
      <c r="AO55">
        <v>6.3577175781551701E-3</v>
      </c>
      <c r="AP55">
        <v>5.5207806090642403E-3</v>
      </c>
      <c r="AQ55">
        <v>5.3662913221557296E-3</v>
      </c>
      <c r="AR55">
        <v>4.7062661862756101E-3</v>
      </c>
      <c r="AS55">
        <v>4.7786766110316696E-3</v>
      </c>
      <c r="AT55">
        <v>7.1866215157497304E-2</v>
      </c>
    </row>
    <row r="56" spans="1:46" x14ac:dyDescent="0.25">
      <c r="A56">
        <v>2</v>
      </c>
      <c r="B56">
        <v>2</v>
      </c>
      <c r="C56">
        <v>2002</v>
      </c>
      <c r="D56">
        <v>1</v>
      </c>
      <c r="E56">
        <v>3</v>
      </c>
      <c r="F56">
        <v>0</v>
      </c>
      <c r="G56">
        <v>0</v>
      </c>
      <c r="H56">
        <v>0</v>
      </c>
      <c r="I56">
        <v>0</v>
      </c>
      <c r="J56" s="12">
        <v>1.7063273224003602E-5</v>
      </c>
      <c r="K56">
        <v>1.5396049236074899E-3</v>
      </c>
      <c r="L56">
        <v>1.7566639784111701E-2</v>
      </c>
      <c r="M56">
        <v>5.06811208390201E-2</v>
      </c>
      <c r="N56">
        <v>6.9604409339393006E-2</v>
      </c>
      <c r="O56">
        <v>6.9131851467050504E-2</v>
      </c>
      <c r="P56">
        <v>7.0620622055844795E-2</v>
      </c>
      <c r="Q56">
        <v>7.3878640787052904E-2</v>
      </c>
      <c r="R56">
        <v>7.3988722598338399E-2</v>
      </c>
      <c r="S56">
        <v>6.6532072199448802E-2</v>
      </c>
      <c r="T56">
        <v>5.65795626066899E-2</v>
      </c>
      <c r="U56">
        <v>4.9860780279785501E-2</v>
      </c>
      <c r="V56">
        <v>4.5811333757861297E-2</v>
      </c>
      <c r="W56">
        <v>3.9110918148663298E-2</v>
      </c>
      <c r="X56">
        <v>3.6475590395178302E-2</v>
      </c>
      <c r="Y56">
        <v>3.2305989990968301E-2</v>
      </c>
      <c r="Z56">
        <v>2.77154955138996E-2</v>
      </c>
      <c r="AA56">
        <v>2.2154527372215599E-2</v>
      </c>
      <c r="AB56">
        <v>1.7508340267263001E-2</v>
      </c>
      <c r="AC56">
        <v>1.40307503882487E-2</v>
      </c>
      <c r="AD56">
        <v>1.26551424795164E-2</v>
      </c>
      <c r="AE56">
        <v>1.11849755983343E-2</v>
      </c>
      <c r="AF56">
        <v>8.8759829452584194E-3</v>
      </c>
      <c r="AG56">
        <v>8.1382333682261492E-3</v>
      </c>
      <c r="AH56">
        <v>7.4893550059022401E-3</v>
      </c>
      <c r="AI56">
        <v>6.7120281145865201E-3</v>
      </c>
      <c r="AJ56">
        <v>6.0337630039323797E-3</v>
      </c>
      <c r="AK56">
        <v>6.25890341452687E-3</v>
      </c>
      <c r="AL56">
        <v>4.9895854785857096E-3</v>
      </c>
      <c r="AM56">
        <v>5.0776272286234504E-3</v>
      </c>
      <c r="AN56">
        <v>5.3306139531598901E-3</v>
      </c>
      <c r="AO56">
        <v>5.2242054854157597E-3</v>
      </c>
      <c r="AP56">
        <v>5.0141139338452196E-3</v>
      </c>
      <c r="AQ56">
        <v>4.8118430491690097E-3</v>
      </c>
      <c r="AR56">
        <v>4.2871473975309004E-3</v>
      </c>
      <c r="AS56">
        <v>3.8214622324591299E-3</v>
      </c>
      <c r="AT56">
        <v>5.8980981323062502E-2</v>
      </c>
    </row>
    <row r="57" spans="1:46" x14ac:dyDescent="0.25">
      <c r="A57">
        <v>2</v>
      </c>
      <c r="B57">
        <v>2</v>
      </c>
      <c r="C57">
        <v>2003</v>
      </c>
      <c r="D57">
        <v>1</v>
      </c>
      <c r="E57">
        <v>6</v>
      </c>
      <c r="F57">
        <v>0</v>
      </c>
      <c r="G57">
        <v>0</v>
      </c>
      <c r="H57">
        <v>0</v>
      </c>
      <c r="I57">
        <v>0</v>
      </c>
      <c r="J57" s="12">
        <v>1.8145041380214901E-5</v>
      </c>
      <c r="K57">
        <v>1.8301850379796999E-3</v>
      </c>
      <c r="L57">
        <v>2.0960546967711598E-2</v>
      </c>
      <c r="M57">
        <v>5.7740209826122303E-2</v>
      </c>
      <c r="N57">
        <v>7.6237399416827306E-2</v>
      </c>
      <c r="O57">
        <v>8.7416088984178894E-2</v>
      </c>
      <c r="P57">
        <v>9.0394563924812696E-2</v>
      </c>
      <c r="Q57">
        <v>8.4331207936685901E-2</v>
      </c>
      <c r="R57">
        <v>8.3893710827851797E-2</v>
      </c>
      <c r="S57">
        <v>7.9002502111601203E-2</v>
      </c>
      <c r="T57">
        <v>6.4754948415999505E-2</v>
      </c>
      <c r="U57">
        <v>5.05621658638232E-2</v>
      </c>
      <c r="V57">
        <v>4.3647785033678603E-2</v>
      </c>
      <c r="W57">
        <v>3.4501228094482798E-2</v>
      </c>
      <c r="X57">
        <v>2.60323100463382E-2</v>
      </c>
      <c r="Y57">
        <v>2.3035130032182799E-2</v>
      </c>
      <c r="Z57">
        <v>1.99595455182364E-2</v>
      </c>
      <c r="AA57">
        <v>1.53789306275866E-2</v>
      </c>
      <c r="AB57">
        <v>1.4432700321536899E-2</v>
      </c>
      <c r="AC57">
        <v>1.15644397063236E-2</v>
      </c>
      <c r="AD57">
        <v>9.8162433738397097E-3</v>
      </c>
      <c r="AE57">
        <v>7.39914465170985E-3</v>
      </c>
      <c r="AF57">
        <v>5.5752319737134397E-3</v>
      </c>
      <c r="AG57">
        <v>5.8534559415434001E-3</v>
      </c>
      <c r="AH57">
        <v>4.89871314694493E-3</v>
      </c>
      <c r="AI57">
        <v>4.5669501064005101E-3</v>
      </c>
      <c r="AJ57">
        <v>4.2741653028950596E-3</v>
      </c>
      <c r="AK57">
        <v>3.8130348376954099E-3</v>
      </c>
      <c r="AL57">
        <v>3.6458092402839198E-3</v>
      </c>
      <c r="AM57">
        <v>3.1182589631184102E-3</v>
      </c>
      <c r="AN57">
        <v>3.1048181917256602E-3</v>
      </c>
      <c r="AO57">
        <v>3.1675417915585E-3</v>
      </c>
      <c r="AP57">
        <v>2.9583137835446699E-3</v>
      </c>
      <c r="AQ57">
        <v>2.8897658494416302E-3</v>
      </c>
      <c r="AR57">
        <v>2.85840404952521E-3</v>
      </c>
      <c r="AS57">
        <v>2.5528505131966498E-3</v>
      </c>
      <c r="AT57">
        <v>4.3813554547522601E-2</v>
      </c>
    </row>
    <row r="58" spans="1:46" x14ac:dyDescent="0.25">
      <c r="A58">
        <v>2</v>
      </c>
      <c r="B58">
        <v>2</v>
      </c>
      <c r="C58">
        <v>2004</v>
      </c>
      <c r="D58">
        <v>1</v>
      </c>
      <c r="E58">
        <v>2</v>
      </c>
      <c r="F58">
        <v>0</v>
      </c>
      <c r="G58">
        <v>0</v>
      </c>
      <c r="H58">
        <v>0</v>
      </c>
      <c r="I58">
        <v>0</v>
      </c>
      <c r="J58" s="12">
        <v>3.3984103860233299E-5</v>
      </c>
      <c r="K58">
        <v>2.7426876032806001E-3</v>
      </c>
      <c r="L58">
        <v>2.7599302754456701E-2</v>
      </c>
      <c r="M58">
        <v>7.3860991180974694E-2</v>
      </c>
      <c r="N58">
        <v>9.9945545235348501E-2</v>
      </c>
      <c r="O58">
        <v>9.7432726511570894E-2</v>
      </c>
      <c r="P58">
        <v>9.2190152188636507E-2</v>
      </c>
      <c r="Q58">
        <v>8.6306792048962799E-2</v>
      </c>
      <c r="R58">
        <v>7.4006551413437996E-2</v>
      </c>
      <c r="S58">
        <v>6.0170509978093797E-2</v>
      </c>
      <c r="T58">
        <v>5.4147203499219899E-2</v>
      </c>
      <c r="U58">
        <v>4.0978413377426498E-2</v>
      </c>
      <c r="V58">
        <v>3.3040568799665403E-2</v>
      </c>
      <c r="W58">
        <v>2.9329785352791099E-2</v>
      </c>
      <c r="X58">
        <v>2.4949745630486301E-2</v>
      </c>
      <c r="Y58">
        <v>2.3020170317501799E-2</v>
      </c>
      <c r="Z58">
        <v>1.9904760300792398E-2</v>
      </c>
      <c r="AA58">
        <v>1.6995961605782001E-2</v>
      </c>
      <c r="AB58">
        <v>1.5558504186159901E-2</v>
      </c>
      <c r="AC58">
        <v>1.2201797007233501E-2</v>
      </c>
      <c r="AD58">
        <v>1.04402374997644E-2</v>
      </c>
      <c r="AE58">
        <v>9.6863718330123406E-3</v>
      </c>
      <c r="AF58">
        <v>8.0003993884064303E-3</v>
      </c>
      <c r="AG58">
        <v>6.7780743784718401E-3</v>
      </c>
      <c r="AH58">
        <v>5.9096251402972104E-3</v>
      </c>
      <c r="AI58">
        <v>5.8344390698099697E-3</v>
      </c>
      <c r="AJ58">
        <v>5.0988185561627901E-3</v>
      </c>
      <c r="AK58">
        <v>4.6248455678112197E-3</v>
      </c>
      <c r="AL58">
        <v>4.4630451441226796E-3</v>
      </c>
      <c r="AM58">
        <v>4.2665588799160204E-3</v>
      </c>
      <c r="AN58">
        <v>3.9541858190650196E-3</v>
      </c>
      <c r="AO58">
        <v>3.8209561021616302E-3</v>
      </c>
      <c r="AP58">
        <v>3.4357026769849999E-3</v>
      </c>
      <c r="AQ58">
        <v>2.9641356428890199E-3</v>
      </c>
      <c r="AR58">
        <v>2.65527126532743E-3</v>
      </c>
      <c r="AS58">
        <v>2.2231017321667698E-3</v>
      </c>
      <c r="AT58">
        <v>3.1428078207949003E-2</v>
      </c>
    </row>
    <row r="59" spans="1:46" x14ac:dyDescent="0.25">
      <c r="A59">
        <v>2</v>
      </c>
      <c r="B59">
        <v>2</v>
      </c>
      <c r="C59">
        <v>2005</v>
      </c>
      <c r="D59">
        <v>1</v>
      </c>
      <c r="E59">
        <v>6</v>
      </c>
      <c r="F59">
        <v>0</v>
      </c>
      <c r="G59">
        <v>0</v>
      </c>
      <c r="H59">
        <v>0</v>
      </c>
      <c r="I59">
        <v>0</v>
      </c>
      <c r="J59" s="12">
        <v>3.0421143666279501E-5</v>
      </c>
      <c r="K59">
        <v>2.2141820644946998E-3</v>
      </c>
      <c r="L59">
        <v>2.73432397188677E-2</v>
      </c>
      <c r="M59">
        <v>8.0684542198855597E-2</v>
      </c>
      <c r="N59">
        <v>9.7176892303783E-2</v>
      </c>
      <c r="O59">
        <v>0.10183942254704401</v>
      </c>
      <c r="P59">
        <v>9.0554115593017598E-2</v>
      </c>
      <c r="Q59">
        <v>8.7260366388164104E-2</v>
      </c>
      <c r="R59">
        <v>7.9675105594175594E-2</v>
      </c>
      <c r="S59">
        <v>6.8900055806181998E-2</v>
      </c>
      <c r="T59">
        <v>6.3000569480400906E-2</v>
      </c>
      <c r="U59">
        <v>4.97908908529415E-2</v>
      </c>
      <c r="V59">
        <v>3.9321501127499603E-2</v>
      </c>
      <c r="W59">
        <v>3.1208514443524401E-2</v>
      </c>
      <c r="X59">
        <v>2.5642467712046198E-2</v>
      </c>
      <c r="Y59">
        <v>2.00290423926732E-2</v>
      </c>
      <c r="Z59">
        <v>1.5936248190176298E-2</v>
      </c>
      <c r="AA59">
        <v>1.3301453338183699E-2</v>
      </c>
      <c r="AB59">
        <v>1.15321698481474E-2</v>
      </c>
      <c r="AC59">
        <v>1.0467259393252401E-2</v>
      </c>
      <c r="AD59">
        <v>7.9929211617740994E-3</v>
      </c>
      <c r="AE59">
        <v>7.4674960305520302E-3</v>
      </c>
      <c r="AF59">
        <v>6.4924855940546302E-3</v>
      </c>
      <c r="AG59">
        <v>6.0943691144779997E-3</v>
      </c>
      <c r="AH59">
        <v>4.9628218686950101E-3</v>
      </c>
      <c r="AI59">
        <v>4.6321943128822297E-3</v>
      </c>
      <c r="AJ59">
        <v>4.1272203706795001E-3</v>
      </c>
      <c r="AK59">
        <v>3.6190935368363001E-3</v>
      </c>
      <c r="AL59">
        <v>3.2967316699188298E-3</v>
      </c>
      <c r="AM59">
        <v>3.0193624188439299E-3</v>
      </c>
      <c r="AN59">
        <v>2.8546451339506E-3</v>
      </c>
      <c r="AO59">
        <v>2.44579178013881E-3</v>
      </c>
      <c r="AP59">
        <v>2.0613094265750798E-3</v>
      </c>
      <c r="AQ59">
        <v>1.87026123581934E-3</v>
      </c>
      <c r="AR59">
        <v>1.5934884777574999E-3</v>
      </c>
      <c r="AS59">
        <v>1.3825003777078999E-3</v>
      </c>
      <c r="AT59">
        <v>2.01788473522399E-2</v>
      </c>
    </row>
    <row r="60" spans="1:46" x14ac:dyDescent="0.25">
      <c r="A60">
        <v>2</v>
      </c>
      <c r="B60">
        <v>2</v>
      </c>
      <c r="C60">
        <v>2006</v>
      </c>
      <c r="D60">
        <v>1</v>
      </c>
      <c r="E60">
        <v>10</v>
      </c>
      <c r="F60">
        <v>0</v>
      </c>
      <c r="G60">
        <v>0</v>
      </c>
      <c r="H60">
        <v>0</v>
      </c>
      <c r="I60">
        <v>0</v>
      </c>
      <c r="J60" s="12">
        <v>3.1693676288930303E-5</v>
      </c>
      <c r="K60">
        <v>2.56329101592521E-3</v>
      </c>
      <c r="L60">
        <v>2.69427422563733E-2</v>
      </c>
      <c r="M60">
        <v>7.4719660340776303E-2</v>
      </c>
      <c r="N60">
        <v>0.102604640006166</v>
      </c>
      <c r="O60">
        <v>0.108212775409171</v>
      </c>
      <c r="P60">
        <v>9.8511219864487895E-2</v>
      </c>
      <c r="Q60">
        <v>9.1049610561787703E-2</v>
      </c>
      <c r="R60">
        <v>8.4105837827961299E-2</v>
      </c>
      <c r="S60">
        <v>7.5261916627446496E-2</v>
      </c>
      <c r="T60">
        <v>6.05868785582322E-2</v>
      </c>
      <c r="U60">
        <v>4.8666679078580001E-2</v>
      </c>
      <c r="V60">
        <v>4.2253039367269499E-2</v>
      </c>
      <c r="W60">
        <v>3.4544028881078999E-2</v>
      </c>
      <c r="X60">
        <v>2.6747384514002201E-2</v>
      </c>
      <c r="Y60">
        <v>2.1017063927270801E-2</v>
      </c>
      <c r="Z60">
        <v>1.6256084904414599E-2</v>
      </c>
      <c r="AA60">
        <v>1.3893953478705701E-2</v>
      </c>
      <c r="AB60">
        <v>1.08814955258661E-2</v>
      </c>
      <c r="AC60">
        <v>8.3169921835254297E-3</v>
      </c>
      <c r="AD60">
        <v>6.54656264328724E-3</v>
      </c>
      <c r="AE60">
        <v>5.8881828049682904E-3</v>
      </c>
      <c r="AF60">
        <v>5.2534433317500901E-3</v>
      </c>
      <c r="AG60">
        <v>4.5711633440985002E-3</v>
      </c>
      <c r="AH60">
        <v>3.7362168228474999E-3</v>
      </c>
      <c r="AI60">
        <v>3.0093405420571202E-3</v>
      </c>
      <c r="AJ60">
        <v>2.5936857710547501E-3</v>
      </c>
      <c r="AK60">
        <v>2.0341105355928201E-3</v>
      </c>
      <c r="AL60">
        <v>1.57359968721978E-3</v>
      </c>
      <c r="AM60">
        <v>1.34438339996077E-3</v>
      </c>
      <c r="AN60">
        <v>1.0516065706359799E-3</v>
      </c>
      <c r="AO60">
        <v>1.0445058016313601E-3</v>
      </c>
      <c r="AP60">
        <v>9.8614094420310995E-4</v>
      </c>
      <c r="AQ60">
        <v>8.2299644658468101E-4</v>
      </c>
      <c r="AR60">
        <v>8.2438196248802299E-4</v>
      </c>
      <c r="AS60">
        <v>8.1364421423712802E-4</v>
      </c>
      <c r="AT60">
        <v>1.07390471720538E-2</v>
      </c>
    </row>
    <row r="61" spans="1:46" x14ac:dyDescent="0.25">
      <c r="A61">
        <v>2</v>
      </c>
      <c r="B61">
        <v>2</v>
      </c>
      <c r="C61">
        <v>2007</v>
      </c>
      <c r="D61">
        <v>1</v>
      </c>
      <c r="E61">
        <v>8</v>
      </c>
      <c r="F61">
        <v>0</v>
      </c>
      <c r="G61">
        <v>0</v>
      </c>
      <c r="H61">
        <v>0</v>
      </c>
      <c r="I61">
        <v>0</v>
      </c>
      <c r="J61" s="12">
        <v>2.8985343882924999E-5</v>
      </c>
      <c r="K61">
        <v>2.0547388219228999E-3</v>
      </c>
      <c r="L61">
        <v>2.3903850783449698E-2</v>
      </c>
      <c r="M61">
        <v>6.2357941621907102E-2</v>
      </c>
      <c r="N61">
        <v>8.64216143709335E-2</v>
      </c>
      <c r="O61">
        <v>9.7506696822159594E-2</v>
      </c>
      <c r="P61">
        <v>8.9480977160354205E-2</v>
      </c>
      <c r="Q61">
        <v>8.3022378295774496E-2</v>
      </c>
      <c r="R61">
        <v>7.4139376831209497E-2</v>
      </c>
      <c r="S61">
        <v>6.9071068037458702E-2</v>
      </c>
      <c r="T61">
        <v>6.4768556054837098E-2</v>
      </c>
      <c r="U61">
        <v>5.6401856028186703E-2</v>
      </c>
      <c r="V61">
        <v>4.9679973623337099E-2</v>
      </c>
      <c r="W61">
        <v>4.07084058302409E-2</v>
      </c>
      <c r="X61">
        <v>3.4771543155553898E-2</v>
      </c>
      <c r="Y61">
        <v>2.8329550477573798E-2</v>
      </c>
      <c r="Z61">
        <v>2.22246130657879E-2</v>
      </c>
      <c r="AA61">
        <v>1.7982990434031398E-2</v>
      </c>
      <c r="AB61">
        <v>1.39171920931203E-2</v>
      </c>
      <c r="AC61">
        <v>1.09379415735982E-2</v>
      </c>
      <c r="AD61">
        <v>9.3517991444492694E-3</v>
      </c>
      <c r="AE61">
        <v>8.0861057948948805E-3</v>
      </c>
      <c r="AF61">
        <v>6.64247463983698E-3</v>
      </c>
      <c r="AG61">
        <v>5.3930855462167304E-3</v>
      </c>
      <c r="AH61">
        <v>4.4328453865396904E-3</v>
      </c>
      <c r="AI61">
        <v>3.7592380719271299E-3</v>
      </c>
      <c r="AJ61">
        <v>3.2421314855713402E-3</v>
      </c>
      <c r="AK61">
        <v>2.63847144178737E-3</v>
      </c>
      <c r="AL61">
        <v>2.4233961644338602E-3</v>
      </c>
      <c r="AM61">
        <v>2.2677005846182801E-3</v>
      </c>
      <c r="AN61">
        <v>2.1144204501262901E-3</v>
      </c>
      <c r="AO61">
        <v>1.7798812728108599E-3</v>
      </c>
      <c r="AP61">
        <v>1.59721322021535E-3</v>
      </c>
      <c r="AQ61">
        <v>1.3550648265267401E-3</v>
      </c>
      <c r="AR61">
        <v>1.2821988925988299E-3</v>
      </c>
      <c r="AS61">
        <v>1.17189355615548E-3</v>
      </c>
      <c r="AT61">
        <v>1.47518290959713E-2</v>
      </c>
    </row>
    <row r="62" spans="1:46" x14ac:dyDescent="0.25">
      <c r="A62">
        <v>2</v>
      </c>
      <c r="B62">
        <v>2</v>
      </c>
      <c r="C62">
        <v>2008</v>
      </c>
      <c r="D62">
        <v>1</v>
      </c>
      <c r="E62">
        <v>4</v>
      </c>
      <c r="F62">
        <v>0</v>
      </c>
      <c r="G62">
        <v>0</v>
      </c>
      <c r="H62">
        <v>0</v>
      </c>
      <c r="I62">
        <v>0</v>
      </c>
      <c r="J62" s="12">
        <v>3.10605950795876E-5</v>
      </c>
      <c r="K62">
        <v>2.3635633779610001E-3</v>
      </c>
      <c r="L62">
        <v>2.6763879426911299E-2</v>
      </c>
      <c r="M62">
        <v>6.9713780067518799E-2</v>
      </c>
      <c r="N62">
        <v>9.55759161864847E-2</v>
      </c>
      <c r="O62">
        <v>9.1328798880872003E-2</v>
      </c>
      <c r="P62">
        <v>9.5822034425591507E-2</v>
      </c>
      <c r="Q62">
        <v>8.89705601763532E-2</v>
      </c>
      <c r="R62">
        <v>8.7015813392677804E-2</v>
      </c>
      <c r="S62">
        <v>7.5086572780841299E-2</v>
      </c>
      <c r="T62">
        <v>5.9246655340889097E-2</v>
      </c>
      <c r="U62">
        <v>5.2539341694845497E-2</v>
      </c>
      <c r="V62">
        <v>4.1587178659655499E-2</v>
      </c>
      <c r="W62">
        <v>3.5771945025310399E-2</v>
      </c>
      <c r="X62">
        <v>3.0281615076004301E-2</v>
      </c>
      <c r="Y62">
        <v>2.6921548923839099E-2</v>
      </c>
      <c r="Z62">
        <v>2.08194731590607E-2</v>
      </c>
      <c r="AA62">
        <v>1.6575511215487899E-2</v>
      </c>
      <c r="AB62">
        <v>1.4563474889776801E-2</v>
      </c>
      <c r="AC62">
        <v>1.10500778634886E-2</v>
      </c>
      <c r="AD62">
        <v>9.2318990930996495E-3</v>
      </c>
      <c r="AE62">
        <v>6.7718013577325702E-3</v>
      </c>
      <c r="AF62">
        <v>4.9412969543755399E-3</v>
      </c>
      <c r="AG62">
        <v>4.4214510583133601E-3</v>
      </c>
      <c r="AH62">
        <v>3.4905206514994299E-3</v>
      </c>
      <c r="AI62">
        <v>3.2068338831058702E-3</v>
      </c>
      <c r="AJ62">
        <v>2.77474649377649E-3</v>
      </c>
      <c r="AK62">
        <v>2.3517307703116298E-3</v>
      </c>
      <c r="AL62">
        <v>2.10590834639604E-3</v>
      </c>
      <c r="AM62">
        <v>1.88917441628514E-3</v>
      </c>
      <c r="AN62">
        <v>1.52650499183205E-3</v>
      </c>
      <c r="AO62">
        <v>1.2100813422752401E-3</v>
      </c>
      <c r="AP62">
        <v>1.14657968122363E-3</v>
      </c>
      <c r="AQ62">
        <v>1.0706537821402E-3</v>
      </c>
      <c r="AR62">
        <v>9.6139937151104495E-4</v>
      </c>
      <c r="AS62">
        <v>8.9809492058693296E-4</v>
      </c>
      <c r="AT62">
        <v>9.9725217268862593E-3</v>
      </c>
    </row>
    <row r="63" spans="1:46" x14ac:dyDescent="0.25">
      <c r="A63">
        <v>2</v>
      </c>
      <c r="B63">
        <v>2</v>
      </c>
      <c r="C63">
        <v>2009</v>
      </c>
      <c r="D63">
        <v>1</v>
      </c>
      <c r="E63">
        <v>5</v>
      </c>
      <c r="F63">
        <v>0</v>
      </c>
      <c r="G63">
        <v>0</v>
      </c>
      <c r="H63">
        <v>0</v>
      </c>
      <c r="I63">
        <v>0</v>
      </c>
      <c r="J63" s="12">
        <v>2.20247661153378E-5</v>
      </c>
      <c r="K63">
        <v>2.09738701321203E-3</v>
      </c>
      <c r="L63">
        <v>2.35411188224595E-2</v>
      </c>
      <c r="M63">
        <v>7.1423379876558502E-2</v>
      </c>
      <c r="N63">
        <v>9.3768239259439307E-2</v>
      </c>
      <c r="O63">
        <v>9.6173343719234097E-2</v>
      </c>
      <c r="P63">
        <v>8.9722079964374396E-2</v>
      </c>
      <c r="Q63">
        <v>8.8370598363601796E-2</v>
      </c>
      <c r="R63">
        <v>8.4490778492627094E-2</v>
      </c>
      <c r="S63">
        <v>8.1760966052388903E-2</v>
      </c>
      <c r="T63">
        <v>7.04612122368342E-2</v>
      </c>
      <c r="U63">
        <v>6.0480007752717703E-2</v>
      </c>
      <c r="V63">
        <v>4.8603309944779703E-2</v>
      </c>
      <c r="W63">
        <v>3.7699058000753197E-2</v>
      </c>
      <c r="X63">
        <v>3.2392452804859202E-2</v>
      </c>
      <c r="Y63">
        <v>2.6675662560026701E-2</v>
      </c>
      <c r="Z63">
        <v>2.0780366829821199E-2</v>
      </c>
      <c r="AA63">
        <v>1.59081739255926E-2</v>
      </c>
      <c r="AB63">
        <v>1.16239373968048E-2</v>
      </c>
      <c r="AC63">
        <v>9.1037797540169194E-3</v>
      </c>
      <c r="AD63">
        <v>7.9367817894199499E-3</v>
      </c>
      <c r="AE63">
        <v>6.7029753676064599E-3</v>
      </c>
      <c r="AF63">
        <v>4.9159277969433998E-3</v>
      </c>
      <c r="AG63">
        <v>3.4755080930003101E-3</v>
      </c>
      <c r="AH63">
        <v>2.3679769969147499E-3</v>
      </c>
      <c r="AI63">
        <v>1.81966520048148E-3</v>
      </c>
      <c r="AJ63">
        <v>1.4347561926562899E-3</v>
      </c>
      <c r="AK63">
        <v>1.2569848661539199E-3</v>
      </c>
      <c r="AL63">
        <v>1.00212685824787E-3</v>
      </c>
      <c r="AM63">
        <v>6.7962135441613895E-4</v>
      </c>
      <c r="AN63">
        <v>6.2760095444848397E-4</v>
      </c>
      <c r="AO63">
        <v>4.1008016909986102E-4</v>
      </c>
      <c r="AP63">
        <v>2.6723382886609899E-4</v>
      </c>
      <c r="AQ63">
        <v>2.1143775470724299E-4</v>
      </c>
      <c r="AR63">
        <v>1.9633505794244E-4</v>
      </c>
      <c r="AS63">
        <v>1.3655354991509399E-4</v>
      </c>
      <c r="AT63">
        <v>1.4605566329628299E-3</v>
      </c>
    </row>
    <row r="64" spans="1:46" x14ac:dyDescent="0.25">
      <c r="A64">
        <v>2</v>
      </c>
      <c r="B64">
        <v>2</v>
      </c>
      <c r="C64">
        <v>2010</v>
      </c>
      <c r="D64">
        <v>1</v>
      </c>
      <c r="E64">
        <v>7</v>
      </c>
      <c r="F64">
        <v>0</v>
      </c>
      <c r="G64">
        <v>0</v>
      </c>
      <c r="H64">
        <v>0</v>
      </c>
      <c r="I64">
        <v>0</v>
      </c>
      <c r="J64" s="12">
        <v>1.93128099002981E-5</v>
      </c>
      <c r="K64">
        <v>2.0883302133948801E-3</v>
      </c>
      <c r="L64">
        <v>2.4723155645224499E-2</v>
      </c>
      <c r="M64">
        <v>6.4465628875494702E-2</v>
      </c>
      <c r="N64">
        <v>8.6173757775130297E-2</v>
      </c>
      <c r="O64">
        <v>9.4260837749369997E-2</v>
      </c>
      <c r="P64">
        <v>8.6231696204831204E-2</v>
      </c>
      <c r="Q64">
        <v>9.0662500476188096E-2</v>
      </c>
      <c r="R64">
        <v>8.8324589334850906E-2</v>
      </c>
      <c r="S64">
        <v>7.6912947084916999E-2</v>
      </c>
      <c r="T64">
        <v>6.7446274574887402E-2</v>
      </c>
      <c r="U64">
        <v>5.5027501122955E-2</v>
      </c>
      <c r="V64">
        <v>4.4534915172727098E-2</v>
      </c>
      <c r="W64">
        <v>3.7386734879794201E-2</v>
      </c>
      <c r="X64">
        <v>3.3941732828073397E-2</v>
      </c>
      <c r="Y64">
        <v>2.65740019654498E-2</v>
      </c>
      <c r="Z64">
        <v>2.34783283213762E-2</v>
      </c>
      <c r="AA64">
        <v>1.8806432269285901E-2</v>
      </c>
      <c r="AB64">
        <v>1.53908238897761E-2</v>
      </c>
      <c r="AC64">
        <v>1.40151575845702E-2</v>
      </c>
      <c r="AD64">
        <v>1.02294223867513E-2</v>
      </c>
      <c r="AE64">
        <v>8.0617186469530196E-3</v>
      </c>
      <c r="AF64">
        <v>6.0886286069192696E-3</v>
      </c>
      <c r="AG64">
        <v>5.1049486740854001E-3</v>
      </c>
      <c r="AH64">
        <v>3.5718086881540399E-3</v>
      </c>
      <c r="AI64">
        <v>3.1401355525803401E-3</v>
      </c>
      <c r="AJ64">
        <v>2.3321809669711699E-3</v>
      </c>
      <c r="AK64">
        <v>1.6330996943164199E-3</v>
      </c>
      <c r="AL64">
        <v>1.1725634582323899E-3</v>
      </c>
      <c r="AM64">
        <v>1.01795486468989E-3</v>
      </c>
      <c r="AN64">
        <v>8.8541805389059198E-4</v>
      </c>
      <c r="AO64">
        <v>6.9738344321296404E-4</v>
      </c>
      <c r="AP64">
        <v>5.9593813406634295E-4</v>
      </c>
      <c r="AQ64">
        <v>5.1698906502336596E-4</v>
      </c>
      <c r="AR64">
        <v>4.8685259243169199E-4</v>
      </c>
      <c r="AS64">
        <v>4.0779740904860299E-4</v>
      </c>
      <c r="AT64">
        <v>3.5925009844757902E-3</v>
      </c>
    </row>
    <row r="65" spans="1:46" x14ac:dyDescent="0.25">
      <c r="A65">
        <v>2</v>
      </c>
      <c r="B65">
        <v>2</v>
      </c>
      <c r="C65">
        <v>2011</v>
      </c>
      <c r="D65">
        <v>1</v>
      </c>
      <c r="E65">
        <v>6</v>
      </c>
      <c r="F65">
        <v>0</v>
      </c>
      <c r="G65">
        <v>0</v>
      </c>
      <c r="H65">
        <v>0</v>
      </c>
      <c r="I65">
        <v>0</v>
      </c>
      <c r="J65" s="12">
        <v>1.67850266917746E-5</v>
      </c>
      <c r="K65">
        <v>1.43123056864498E-3</v>
      </c>
      <c r="L65">
        <v>1.8208888224311E-2</v>
      </c>
      <c r="M65">
        <v>5.7100818546390097E-2</v>
      </c>
      <c r="N65">
        <v>8.3525977336324803E-2</v>
      </c>
      <c r="O65">
        <v>9.4077720609750906E-2</v>
      </c>
      <c r="P65">
        <v>9.4019075364053406E-2</v>
      </c>
      <c r="Q65">
        <v>8.1970701326518597E-2</v>
      </c>
      <c r="R65">
        <v>8.2676388881639307E-2</v>
      </c>
      <c r="S65">
        <v>7.7865534127694994E-2</v>
      </c>
      <c r="T65">
        <v>6.4964808246934E-2</v>
      </c>
      <c r="U65">
        <v>5.9021885320808397E-2</v>
      </c>
      <c r="V65">
        <v>4.7888909324317698E-2</v>
      </c>
      <c r="W65">
        <v>3.96109230812847E-2</v>
      </c>
      <c r="X65">
        <v>3.1085869433166598E-2</v>
      </c>
      <c r="Y65">
        <v>2.6180752425666601E-2</v>
      </c>
      <c r="Z65">
        <v>2.15544306176081E-2</v>
      </c>
      <c r="AA65">
        <v>1.6984093014430102E-2</v>
      </c>
      <c r="AB65">
        <v>1.58057636711228E-2</v>
      </c>
      <c r="AC65">
        <v>1.4225310121279E-2</v>
      </c>
      <c r="AD65">
        <v>1.27707442716235E-2</v>
      </c>
      <c r="AE65">
        <v>9.3225471114248403E-3</v>
      </c>
      <c r="AF65">
        <v>8.2036817956048398E-3</v>
      </c>
      <c r="AG65">
        <v>6.7598624569410303E-3</v>
      </c>
      <c r="AH65">
        <v>5.7930858585843103E-3</v>
      </c>
      <c r="AI65">
        <v>5.0966095985993899E-3</v>
      </c>
      <c r="AJ65">
        <v>4.0822413087080603E-3</v>
      </c>
      <c r="AK65">
        <v>3.5584256586562199E-3</v>
      </c>
      <c r="AL65">
        <v>2.74967394573913E-3</v>
      </c>
      <c r="AM65">
        <v>2.0904522571920498E-3</v>
      </c>
      <c r="AN65">
        <v>1.6657092037111699E-3</v>
      </c>
      <c r="AO65">
        <v>1.3464866533962601E-3</v>
      </c>
      <c r="AP65">
        <v>1.06277876321578E-3</v>
      </c>
      <c r="AQ65">
        <v>8.9349562816580703E-4</v>
      </c>
      <c r="AR65">
        <v>7.1295424350549996E-4</v>
      </c>
      <c r="AS65">
        <v>6.0548913358864998E-4</v>
      </c>
      <c r="AT65">
        <v>5.0698968427057697E-3</v>
      </c>
    </row>
    <row r="66" spans="1:46" x14ac:dyDescent="0.25">
      <c r="A66">
        <v>2</v>
      </c>
      <c r="B66">
        <v>2</v>
      </c>
      <c r="C66">
        <v>2012</v>
      </c>
      <c r="D66">
        <v>1</v>
      </c>
      <c r="E66">
        <v>9</v>
      </c>
      <c r="F66">
        <v>0</v>
      </c>
      <c r="G66">
        <v>0</v>
      </c>
      <c r="H66">
        <v>0</v>
      </c>
      <c r="I66">
        <v>0</v>
      </c>
      <c r="J66" s="12">
        <v>1.68228176703879E-5</v>
      </c>
      <c r="K66">
        <v>1.3714760465145901E-3</v>
      </c>
      <c r="L66">
        <v>1.54616685020472E-2</v>
      </c>
      <c r="M66">
        <v>4.4813487835645399E-2</v>
      </c>
      <c r="N66">
        <v>6.61018475034897E-2</v>
      </c>
      <c r="O66">
        <v>7.2422729758673296E-2</v>
      </c>
      <c r="P66">
        <v>7.0983629316374794E-2</v>
      </c>
      <c r="Q66">
        <v>7.1965015867997806E-2</v>
      </c>
      <c r="R66">
        <v>7.2829142383581694E-2</v>
      </c>
      <c r="S66">
        <v>7.3137283103286904E-2</v>
      </c>
      <c r="T66">
        <v>6.6331870386685796E-2</v>
      </c>
      <c r="U66">
        <v>5.92754479054384E-2</v>
      </c>
      <c r="V66">
        <v>5.0770347635198998E-2</v>
      </c>
      <c r="W66">
        <v>4.46224405894282E-2</v>
      </c>
      <c r="X66">
        <v>4.0434808208635598E-2</v>
      </c>
      <c r="Y66">
        <v>3.7343657102339597E-2</v>
      </c>
      <c r="Z66">
        <v>3.0430145290015E-2</v>
      </c>
      <c r="AA66">
        <v>2.8441971397712099E-2</v>
      </c>
      <c r="AB66">
        <v>2.59304579695642E-2</v>
      </c>
      <c r="AC66">
        <v>2.0908930176228999E-2</v>
      </c>
      <c r="AD66">
        <v>1.7744408266133001E-2</v>
      </c>
      <c r="AE66">
        <v>1.49651455369439E-2</v>
      </c>
      <c r="AF66">
        <v>1.26514251383364E-2</v>
      </c>
      <c r="AG66">
        <v>1.0850217709746601E-2</v>
      </c>
      <c r="AH66">
        <v>9.1896723556383602E-3</v>
      </c>
      <c r="AI66">
        <v>7.1600243880887496E-3</v>
      </c>
      <c r="AJ66">
        <v>6.0379757619841096E-3</v>
      </c>
      <c r="AK66">
        <v>4.5977926631028398E-3</v>
      </c>
      <c r="AL66">
        <v>3.92204839291706E-3</v>
      </c>
      <c r="AM66">
        <v>3.08057438429528E-3</v>
      </c>
      <c r="AN66">
        <v>2.62635830719481E-3</v>
      </c>
      <c r="AO66">
        <v>2.2087859913565702E-3</v>
      </c>
      <c r="AP66">
        <v>1.67895051601495E-3</v>
      </c>
      <c r="AQ66">
        <v>1.4347698159675401E-3</v>
      </c>
      <c r="AR66">
        <v>1.2472203833253899E-3</v>
      </c>
      <c r="AS66">
        <v>9.8030389504027505E-4</v>
      </c>
      <c r="AT66">
        <v>6.0311466973852401E-3</v>
      </c>
    </row>
    <row r="67" spans="1:46" x14ac:dyDescent="0.25">
      <c r="A67">
        <v>2</v>
      </c>
      <c r="B67">
        <v>2</v>
      </c>
      <c r="C67">
        <v>2013</v>
      </c>
      <c r="D67">
        <v>1</v>
      </c>
      <c r="E67">
        <v>8</v>
      </c>
      <c r="F67">
        <v>0</v>
      </c>
      <c r="G67">
        <v>0</v>
      </c>
      <c r="H67">
        <v>0</v>
      </c>
      <c r="I67">
        <v>0</v>
      </c>
      <c r="J67" s="12">
        <v>2.44283619273839E-5</v>
      </c>
      <c r="K67">
        <v>2.2589321095492199E-3</v>
      </c>
      <c r="L67">
        <v>2.6423306408746201E-2</v>
      </c>
      <c r="M67">
        <v>7.0562245252226902E-2</v>
      </c>
      <c r="N67">
        <v>9.3618240243030004E-2</v>
      </c>
      <c r="O67">
        <v>8.8702608545755401E-2</v>
      </c>
      <c r="P67">
        <v>8.34399097441164E-2</v>
      </c>
      <c r="Q67">
        <v>8.2819060621169505E-2</v>
      </c>
      <c r="R67">
        <v>7.3115009073638507E-2</v>
      </c>
      <c r="S67">
        <v>6.4580062054952994E-2</v>
      </c>
      <c r="T67">
        <v>5.5356857461775703E-2</v>
      </c>
      <c r="U67">
        <v>5.0881281963561002E-2</v>
      </c>
      <c r="V67">
        <v>4.7424438294591503E-2</v>
      </c>
      <c r="W67">
        <v>3.7963057172622203E-2</v>
      </c>
      <c r="X67">
        <v>3.7127192373465401E-2</v>
      </c>
      <c r="Y67">
        <v>3.18241637290217E-2</v>
      </c>
      <c r="Z67">
        <v>2.7023875382168501E-2</v>
      </c>
      <c r="AA67">
        <v>2.1657356042338E-2</v>
      </c>
      <c r="AB67">
        <v>1.6953744090093599E-2</v>
      </c>
      <c r="AC67">
        <v>1.43942970375887E-2</v>
      </c>
      <c r="AD67">
        <v>1.04780388450132E-2</v>
      </c>
      <c r="AE67">
        <v>9.6203959307419006E-3</v>
      </c>
      <c r="AF67">
        <v>9.0391852818658396E-3</v>
      </c>
      <c r="AG67">
        <v>7.7371074998873598E-3</v>
      </c>
      <c r="AH67">
        <v>6.1594040493697204E-3</v>
      </c>
      <c r="AI67">
        <v>5.2129202528058902E-3</v>
      </c>
      <c r="AJ67">
        <v>3.9546291573010197E-3</v>
      </c>
      <c r="AK67">
        <v>3.1920494439263598E-3</v>
      </c>
      <c r="AL67">
        <v>2.7585612478375999E-3</v>
      </c>
      <c r="AM67">
        <v>2.17377852717027E-3</v>
      </c>
      <c r="AN67">
        <v>2.0896619978920199E-3</v>
      </c>
      <c r="AO67">
        <v>1.6740341607595899E-3</v>
      </c>
      <c r="AP67">
        <v>1.5689461132229201E-3</v>
      </c>
      <c r="AQ67">
        <v>1.16749133513327E-3</v>
      </c>
      <c r="AR67">
        <v>9.6203959307418995E-4</v>
      </c>
      <c r="AS67">
        <v>8.4416122396233301E-4</v>
      </c>
      <c r="AT67">
        <v>5.2175293776978498E-3</v>
      </c>
    </row>
    <row r="68" spans="1:46" x14ac:dyDescent="0.25">
      <c r="A68">
        <v>2</v>
      </c>
      <c r="B68">
        <v>2</v>
      </c>
      <c r="C68">
        <v>2014</v>
      </c>
      <c r="D68">
        <v>1</v>
      </c>
      <c r="E68">
        <v>5</v>
      </c>
      <c r="F68">
        <v>0</v>
      </c>
      <c r="G68">
        <v>0</v>
      </c>
      <c r="H68">
        <v>0</v>
      </c>
      <c r="I68">
        <v>0</v>
      </c>
      <c r="J68" s="12">
        <v>1.6717437784403001E-5</v>
      </c>
      <c r="K68">
        <v>1.5395593866566501E-3</v>
      </c>
      <c r="L68">
        <v>1.83277546984262E-2</v>
      </c>
      <c r="M68">
        <v>5.1862934893938499E-2</v>
      </c>
      <c r="N68">
        <v>6.7332590897666106E-2</v>
      </c>
      <c r="O68">
        <v>6.4547776784882896E-2</v>
      </c>
      <c r="P68">
        <v>6.9655440000046698E-2</v>
      </c>
      <c r="Q68">
        <v>6.6418185928621601E-2</v>
      </c>
      <c r="R68">
        <v>5.6766975829111999E-2</v>
      </c>
      <c r="S68">
        <v>5.5049356291170297E-2</v>
      </c>
      <c r="T68">
        <v>5.3212479217406197E-2</v>
      </c>
      <c r="U68">
        <v>5.37927298195741E-2</v>
      </c>
      <c r="V68">
        <v>5.2033997048011503E-2</v>
      </c>
      <c r="W68">
        <v>5.0373916598258003E-2</v>
      </c>
      <c r="X68">
        <v>4.8594092640653397E-2</v>
      </c>
      <c r="Y68">
        <v>4.14631334815483E-2</v>
      </c>
      <c r="Z68">
        <v>3.5946379012695297E-2</v>
      </c>
      <c r="AA68">
        <v>2.9371177465515898E-2</v>
      </c>
      <c r="AB68">
        <v>2.7951653169927499E-2</v>
      </c>
      <c r="AC68">
        <v>2.4253503226562698E-2</v>
      </c>
      <c r="AD68">
        <v>2.03326808996858E-2</v>
      </c>
      <c r="AE68">
        <v>1.59544616994753E-2</v>
      </c>
      <c r="AF68">
        <v>1.4295741971401901E-2</v>
      </c>
      <c r="AG68">
        <v>1.29532928395521E-2</v>
      </c>
      <c r="AH68">
        <v>1.1225953861038101E-2</v>
      </c>
      <c r="AI68">
        <v>9.1487150219202607E-3</v>
      </c>
      <c r="AJ68">
        <v>8.2768812025824992E-3</v>
      </c>
      <c r="AK68">
        <v>6.36817746298886E-3</v>
      </c>
      <c r="AL68">
        <v>5.1957213467490101E-3</v>
      </c>
      <c r="AM68">
        <v>4.4615148059154097E-3</v>
      </c>
      <c r="AN68">
        <v>3.8083683994550102E-3</v>
      </c>
      <c r="AO68">
        <v>3.2696198085309098E-3</v>
      </c>
      <c r="AP68">
        <v>2.5799283055185601E-3</v>
      </c>
      <c r="AQ68">
        <v>2.1572298350280498E-3</v>
      </c>
      <c r="AR68">
        <v>1.83114260382647E-3</v>
      </c>
      <c r="AS68">
        <v>1.4565553641689699E-3</v>
      </c>
      <c r="AT68">
        <v>8.1736607437043803E-3</v>
      </c>
    </row>
    <row r="69" spans="1:46" x14ac:dyDescent="0.25">
      <c r="A69">
        <v>2</v>
      </c>
      <c r="B69">
        <v>2</v>
      </c>
      <c r="C69">
        <v>2015</v>
      </c>
      <c r="D69">
        <v>1</v>
      </c>
      <c r="E69">
        <v>5</v>
      </c>
      <c r="F69">
        <v>0</v>
      </c>
      <c r="G69">
        <v>0</v>
      </c>
      <c r="H69">
        <v>0</v>
      </c>
      <c r="I69">
        <v>0</v>
      </c>
      <c r="J69" s="12">
        <v>2.4586797994754899E-5</v>
      </c>
      <c r="K69">
        <v>2.0057413556822099E-3</v>
      </c>
      <c r="L69">
        <v>2.3246028019701499E-2</v>
      </c>
      <c r="M69">
        <v>6.3652174854540305E-2</v>
      </c>
      <c r="N69">
        <v>8.0512515187704997E-2</v>
      </c>
      <c r="O69">
        <v>7.7148184067597006E-2</v>
      </c>
      <c r="P69">
        <v>7.3120234968584705E-2</v>
      </c>
      <c r="Q69">
        <v>7.5801774918691597E-2</v>
      </c>
      <c r="R69">
        <v>7.3951900328278794E-2</v>
      </c>
      <c r="S69">
        <v>7.20449572984838E-2</v>
      </c>
      <c r="T69">
        <v>6.3800710693802207E-2</v>
      </c>
      <c r="U69">
        <v>5.6358129043921998E-2</v>
      </c>
      <c r="V69">
        <v>4.9340064401621003E-2</v>
      </c>
      <c r="W69">
        <v>4.3007723299724201E-2</v>
      </c>
      <c r="X69">
        <v>3.4854605744491E-2</v>
      </c>
      <c r="Y69">
        <v>2.9611527463848101E-2</v>
      </c>
      <c r="Z69">
        <v>2.9964314180029698E-2</v>
      </c>
      <c r="AA69">
        <v>2.4115024710295901E-2</v>
      </c>
      <c r="AB69">
        <v>2.0668700002379699E-2</v>
      </c>
      <c r="AC69">
        <v>1.7261962294904599E-2</v>
      </c>
      <c r="AD69">
        <v>1.4969750907540399E-2</v>
      </c>
      <c r="AE69">
        <v>1.31223575536226E-2</v>
      </c>
      <c r="AF69">
        <v>1.2684080961844601E-2</v>
      </c>
      <c r="AG69">
        <v>1.07133024840448E-2</v>
      </c>
      <c r="AH69">
        <v>9.7814853967390005E-3</v>
      </c>
      <c r="AI69">
        <v>7.2686695282842299E-3</v>
      </c>
      <c r="AJ69">
        <v>5.3346584639995696E-3</v>
      </c>
      <c r="AK69">
        <v>3.87490192066878E-3</v>
      </c>
      <c r="AL69">
        <v>3.0618458346862599E-3</v>
      </c>
      <c r="AM69">
        <v>2.9795138964469501E-3</v>
      </c>
      <c r="AN69">
        <v>2.3440917868026798E-3</v>
      </c>
      <c r="AO69">
        <v>1.54287796590939E-3</v>
      </c>
      <c r="AP69">
        <v>9.4106533242309398E-4</v>
      </c>
      <c r="AQ69">
        <v>4.9737513374710496E-4</v>
      </c>
      <c r="AR69">
        <v>2.2669478885072099E-4</v>
      </c>
      <c r="AS69">
        <v>1.66468412111275E-4</v>
      </c>
      <c r="AT69" s="12">
        <v>0</v>
      </c>
    </row>
    <row r="70" spans="1:46" x14ac:dyDescent="0.25">
      <c r="A70">
        <v>2</v>
      </c>
      <c r="B70">
        <v>2</v>
      </c>
      <c r="C70">
        <v>2016</v>
      </c>
      <c r="D70">
        <v>1</v>
      </c>
      <c r="E70">
        <v>6</v>
      </c>
      <c r="F70">
        <v>0</v>
      </c>
      <c r="G70">
        <v>0</v>
      </c>
      <c r="H70">
        <v>0</v>
      </c>
      <c r="I70">
        <v>0</v>
      </c>
      <c r="J70" s="12">
        <v>1.6841069980540101E-5</v>
      </c>
      <c r="K70">
        <v>1.3986508618838601E-3</v>
      </c>
      <c r="L70">
        <v>1.5056665054602E-2</v>
      </c>
      <c r="M70">
        <v>4.6099902911231602E-2</v>
      </c>
      <c r="N70">
        <v>5.9846426282847497E-2</v>
      </c>
      <c r="O70">
        <v>6.2792490791443306E-2</v>
      </c>
      <c r="P70">
        <v>6.6233963441966706E-2</v>
      </c>
      <c r="Q70">
        <v>6.6163230948048393E-2</v>
      </c>
      <c r="R70">
        <v>6.16453332412688E-2</v>
      </c>
      <c r="S70">
        <v>6.2155430538679397E-2</v>
      </c>
      <c r="T70">
        <v>6.2266113793051497E-2</v>
      </c>
      <c r="U70">
        <v>5.3970015597637699E-2</v>
      </c>
      <c r="V70">
        <v>4.8506398249950899E-2</v>
      </c>
      <c r="W70">
        <v>4.1201677707391499E-2</v>
      </c>
      <c r="X70">
        <v>4.1370556214696298E-2</v>
      </c>
      <c r="Y70">
        <v>3.95807247217645E-2</v>
      </c>
      <c r="Z70">
        <v>3.3358323609954499E-2</v>
      </c>
      <c r="AA70">
        <v>3.20850451579257E-2</v>
      </c>
      <c r="AB70">
        <v>2.79365282527194E-2</v>
      </c>
      <c r="AC70">
        <v>2.6787967280046499E-2</v>
      </c>
      <c r="AD70">
        <v>2.22349840108075E-2</v>
      </c>
      <c r="AE70">
        <v>2.0244088854607999E-2</v>
      </c>
      <c r="AF70">
        <v>1.66217618247936E-2</v>
      </c>
      <c r="AG70">
        <v>1.3790965084064501E-2</v>
      </c>
      <c r="AH70">
        <v>1.1233274361519999E-2</v>
      </c>
      <c r="AI70">
        <v>1.0305986336091401E-2</v>
      </c>
      <c r="AJ70">
        <v>9.2951478912594605E-3</v>
      </c>
      <c r="AK70">
        <v>8.6450825900106099E-3</v>
      </c>
      <c r="AL70">
        <v>6.7364279922160599E-3</v>
      </c>
      <c r="AM70">
        <v>5.2851020058930697E-3</v>
      </c>
      <c r="AN70">
        <v>4.5820808957054097E-3</v>
      </c>
      <c r="AO70">
        <v>3.9932048153858502E-3</v>
      </c>
      <c r="AP70">
        <v>3.59051611985116E-3</v>
      </c>
      <c r="AQ70">
        <v>2.9393280806036099E-3</v>
      </c>
      <c r="AR70">
        <v>2.2275121894261098E-3</v>
      </c>
      <c r="AS70">
        <v>1.8644935698455801E-3</v>
      </c>
      <c r="AT70">
        <v>7.9377576508279195E-3</v>
      </c>
    </row>
    <row r="71" spans="1:46" x14ac:dyDescent="0.25">
      <c r="A71">
        <v>2</v>
      </c>
      <c r="B71">
        <v>2</v>
      </c>
      <c r="C71">
        <v>2017</v>
      </c>
      <c r="D71">
        <v>1</v>
      </c>
      <c r="E71">
        <v>7</v>
      </c>
      <c r="F71">
        <v>0</v>
      </c>
      <c r="G71">
        <v>0</v>
      </c>
      <c r="H71">
        <v>0</v>
      </c>
      <c r="I71">
        <v>0</v>
      </c>
      <c r="J71" s="12">
        <v>1.56493574676715E-5</v>
      </c>
      <c r="K71">
        <v>1.28097563142633E-3</v>
      </c>
      <c r="L71">
        <v>1.33191176589369E-2</v>
      </c>
      <c r="M71">
        <v>4.4566341160031303E-2</v>
      </c>
      <c r="N71">
        <v>6.74234897865226E-2</v>
      </c>
      <c r="O71">
        <v>7.8227225641522694E-2</v>
      </c>
      <c r="P71">
        <v>6.96497370907945E-2</v>
      </c>
      <c r="Q71">
        <v>6.8204695614949101E-2</v>
      </c>
      <c r="R71">
        <v>5.8402897251366999E-2</v>
      </c>
      <c r="S71">
        <v>5.3020401713957999E-2</v>
      </c>
      <c r="T71">
        <v>4.6153488898042903E-2</v>
      </c>
      <c r="U71">
        <v>4.0159280169941899E-2</v>
      </c>
      <c r="V71">
        <v>4.1480893648985898E-2</v>
      </c>
      <c r="W71">
        <v>3.5387109573772099E-2</v>
      </c>
      <c r="X71">
        <v>3.1072556479035899E-2</v>
      </c>
      <c r="Y71">
        <v>3.3331364543200299E-2</v>
      </c>
      <c r="Z71">
        <v>3.3307890506998797E-2</v>
      </c>
      <c r="AA71">
        <v>3.2068562359155797E-2</v>
      </c>
      <c r="AB71">
        <v>2.84280674759908E-2</v>
      </c>
      <c r="AC71">
        <v>2.7810927491983502E-2</v>
      </c>
      <c r="AD71">
        <v>2.6079654219874501E-2</v>
      </c>
      <c r="AE71">
        <v>2.1075141147108001E-2</v>
      </c>
      <c r="AF71">
        <v>1.7910942030741402E-2</v>
      </c>
      <c r="AG71">
        <v>1.69170816270485E-2</v>
      </c>
      <c r="AH71">
        <v>1.5151606936602899E-2</v>
      </c>
      <c r="AI71">
        <v>1.45917637936466E-2</v>
      </c>
      <c r="AJ71">
        <v>1.3221182970268201E-2</v>
      </c>
      <c r="AK71">
        <v>1.19010839451727E-2</v>
      </c>
      <c r="AL71">
        <v>1.06592317074156E-2</v>
      </c>
      <c r="AM71">
        <v>9.48477267036597E-3</v>
      </c>
      <c r="AN71">
        <v>7.5445047533661304E-3</v>
      </c>
      <c r="AO71">
        <v>6.3902384356296499E-3</v>
      </c>
      <c r="AP71">
        <v>5.3914560566042302E-3</v>
      </c>
      <c r="AQ71">
        <v>4.1393812546948097E-3</v>
      </c>
      <c r="AR71">
        <v>3.09024328188228E-3</v>
      </c>
      <c r="AS71">
        <v>2.51777968935521E-3</v>
      </c>
      <c r="AT71">
        <v>1.0623263426139101E-2</v>
      </c>
    </row>
    <row r="72" spans="1:46" x14ac:dyDescent="0.25">
      <c r="A72">
        <v>2</v>
      </c>
      <c r="B72">
        <v>2</v>
      </c>
      <c r="C72">
        <v>2018</v>
      </c>
      <c r="D72">
        <v>1</v>
      </c>
      <c r="E72">
        <v>13</v>
      </c>
      <c r="F72">
        <v>0</v>
      </c>
      <c r="G72">
        <v>0</v>
      </c>
      <c r="H72">
        <v>0</v>
      </c>
      <c r="I72">
        <v>0</v>
      </c>
      <c r="J72" s="12">
        <v>9.7001372962676305E-6</v>
      </c>
      <c r="K72">
        <v>1.08152161422169E-3</v>
      </c>
      <c r="L72">
        <v>1.3726043828715799E-2</v>
      </c>
      <c r="M72">
        <v>4.6087886564671901E-2</v>
      </c>
      <c r="N72">
        <v>6.4377451742472405E-2</v>
      </c>
      <c r="O72">
        <v>6.2294281716630699E-2</v>
      </c>
      <c r="P72">
        <v>6.4086622400832904E-2</v>
      </c>
      <c r="Q72">
        <v>5.6662958767337998E-2</v>
      </c>
      <c r="R72">
        <v>5.2331978547490998E-2</v>
      </c>
      <c r="S72">
        <v>4.5333198405297398E-2</v>
      </c>
      <c r="T72">
        <v>4.2675622951993002E-2</v>
      </c>
      <c r="U72">
        <v>4.23403128005896E-2</v>
      </c>
      <c r="V72">
        <v>4.2348789497145801E-2</v>
      </c>
      <c r="W72">
        <v>4.2748505064651401E-2</v>
      </c>
      <c r="X72">
        <v>4.22196291104441E-2</v>
      </c>
      <c r="Y72">
        <v>3.87279292382849E-2</v>
      </c>
      <c r="Z72">
        <v>3.3898396916859398E-2</v>
      </c>
      <c r="AA72">
        <v>3.3622773195846598E-2</v>
      </c>
      <c r="AB72">
        <v>3.3127279696118297E-2</v>
      </c>
      <c r="AC72">
        <v>3.0691758737136501E-2</v>
      </c>
      <c r="AD72">
        <v>2.6106477620603499E-2</v>
      </c>
      <c r="AE72">
        <v>2.1707334273809699E-2</v>
      </c>
      <c r="AF72">
        <v>1.9678257806404E-2</v>
      </c>
      <c r="AG72">
        <v>1.7939748514764799E-2</v>
      </c>
      <c r="AH72">
        <v>1.6677944168631401E-2</v>
      </c>
      <c r="AI72">
        <v>1.49707200044883E-2</v>
      </c>
      <c r="AJ72">
        <v>1.24561997291477E-2</v>
      </c>
      <c r="AK72">
        <v>1.1826302525260299E-2</v>
      </c>
      <c r="AL72">
        <v>1.0246141420835899E-2</v>
      </c>
      <c r="AM72">
        <v>9.3213949985917408E-3</v>
      </c>
      <c r="AN72">
        <v>7.81883499253745E-3</v>
      </c>
      <c r="AO72">
        <v>7.0019261326679898E-3</v>
      </c>
      <c r="AP72">
        <v>6.1360796431957397E-3</v>
      </c>
      <c r="AQ72">
        <v>4.9549349972826499E-3</v>
      </c>
      <c r="AR72">
        <v>4.0709990625822298E-3</v>
      </c>
      <c r="AS72">
        <v>3.28624921645175E-3</v>
      </c>
      <c r="AT72">
        <v>1.7407813958707299E-2</v>
      </c>
    </row>
    <row r="73" spans="1:46" x14ac:dyDescent="0.25">
      <c r="A73">
        <v>2</v>
      </c>
      <c r="B73">
        <v>2</v>
      </c>
      <c r="C73">
        <v>2019</v>
      </c>
      <c r="D73">
        <v>1</v>
      </c>
      <c r="E73">
        <v>5</v>
      </c>
      <c r="F73">
        <v>0</v>
      </c>
      <c r="G73">
        <v>0</v>
      </c>
      <c r="H73">
        <v>0</v>
      </c>
      <c r="I73">
        <v>0</v>
      </c>
      <c r="J73" s="12">
        <v>1.9251463408922098E-5</v>
      </c>
      <c r="K73">
        <v>1.3420453151663E-3</v>
      </c>
      <c r="L73">
        <v>1.485538181606E-2</v>
      </c>
      <c r="M73">
        <v>4.3383668963743398E-2</v>
      </c>
      <c r="N73">
        <v>5.4062574797889403E-2</v>
      </c>
      <c r="O73">
        <v>5.9284087692995903E-2</v>
      </c>
      <c r="P73">
        <v>5.4485213883758501E-2</v>
      </c>
      <c r="Q73">
        <v>5.72217002495546E-2</v>
      </c>
      <c r="R73">
        <v>5.6712429578345297E-2</v>
      </c>
      <c r="S73">
        <v>5.2109940542748402E-2</v>
      </c>
      <c r="T73">
        <v>4.4181314648696499E-2</v>
      </c>
      <c r="U73">
        <v>4.5268923096953198E-2</v>
      </c>
      <c r="V73">
        <v>4.0377463641527403E-2</v>
      </c>
      <c r="W73">
        <v>4.0447324622145397E-2</v>
      </c>
      <c r="X73">
        <v>4.0383616171070502E-2</v>
      </c>
      <c r="Y73">
        <v>3.8281634222989101E-2</v>
      </c>
      <c r="Z73">
        <v>3.5409196801161003E-2</v>
      </c>
      <c r="AA73">
        <v>3.3723006768973302E-2</v>
      </c>
      <c r="AB73">
        <v>2.91759897336114E-2</v>
      </c>
      <c r="AC73">
        <v>2.68331660242235E-2</v>
      </c>
      <c r="AD73">
        <v>2.5536470805850399E-2</v>
      </c>
      <c r="AE73">
        <v>2.4217944031034201E-2</v>
      </c>
      <c r="AF73">
        <v>2.3068016412567199E-2</v>
      </c>
      <c r="AG73">
        <v>1.9584692347721901E-2</v>
      </c>
      <c r="AH73">
        <v>1.6681789981220899E-2</v>
      </c>
      <c r="AI73">
        <v>1.49729745178104E-2</v>
      </c>
      <c r="AJ73">
        <v>1.3399613938694601E-2</v>
      </c>
      <c r="AK73">
        <v>1.2520397620122199E-2</v>
      </c>
      <c r="AL73">
        <v>1.0617579007410401E-2</v>
      </c>
      <c r="AM73">
        <v>9.5775038115912901E-3</v>
      </c>
      <c r="AN73">
        <v>9.1629027078671908E-3</v>
      </c>
      <c r="AO73">
        <v>7.9769530212690995E-3</v>
      </c>
      <c r="AP73">
        <v>6.8514370522794396E-3</v>
      </c>
      <c r="AQ73">
        <v>6.0183647052799404E-3</v>
      </c>
      <c r="AR73">
        <v>4.7930189827368004E-3</v>
      </c>
      <c r="AS73">
        <v>4.41235602584698E-3</v>
      </c>
      <c r="AT73">
        <v>2.30500549956754E-2</v>
      </c>
    </row>
    <row r="74" spans="1:46" x14ac:dyDescent="0.25">
      <c r="A74">
        <v>2</v>
      </c>
      <c r="B74">
        <v>2</v>
      </c>
      <c r="C74">
        <v>2020</v>
      </c>
      <c r="D74">
        <v>1</v>
      </c>
      <c r="E74">
        <v>2</v>
      </c>
      <c r="F74">
        <v>0</v>
      </c>
      <c r="G74">
        <v>0</v>
      </c>
      <c r="H74">
        <v>0</v>
      </c>
      <c r="I74">
        <v>0</v>
      </c>
      <c r="J74" s="12">
        <v>2.4817050931280701E-5</v>
      </c>
      <c r="K74">
        <v>1.9164897870864301E-3</v>
      </c>
      <c r="L74">
        <v>1.8356810077618801E-2</v>
      </c>
      <c r="M74">
        <v>4.26347175484992E-2</v>
      </c>
      <c r="N74">
        <v>6.24720459622937E-2</v>
      </c>
      <c r="O74">
        <v>6.1329903932916999E-2</v>
      </c>
      <c r="P74">
        <v>5.2109951247042902E-2</v>
      </c>
      <c r="Q74">
        <v>4.82393278315697E-2</v>
      </c>
      <c r="R74">
        <v>5.1226994036100197E-2</v>
      </c>
      <c r="S74">
        <v>4.7260587957763098E-2</v>
      </c>
      <c r="T74">
        <v>5.0719359865084503E-2</v>
      </c>
      <c r="U74">
        <v>4.74182738263208E-2</v>
      </c>
      <c r="V74">
        <v>4.21648666404182E-2</v>
      </c>
      <c r="W74">
        <v>3.8946597052515103E-2</v>
      </c>
      <c r="X74">
        <v>4.0310280059025497E-2</v>
      </c>
      <c r="Y74">
        <v>3.3540662598529301E-2</v>
      </c>
      <c r="Z74">
        <v>3.3933552764396399E-2</v>
      </c>
      <c r="AA74">
        <v>3.02812636284648E-2</v>
      </c>
      <c r="AB74">
        <v>2.4241657845924601E-2</v>
      </c>
      <c r="AC74">
        <v>2.5588331413032701E-2</v>
      </c>
      <c r="AD74">
        <v>2.6784847879843102E-2</v>
      </c>
      <c r="AE74">
        <v>2.75195998933703E-2</v>
      </c>
      <c r="AF74">
        <v>2.4732421999172399E-2</v>
      </c>
      <c r="AG74">
        <v>1.98606118267469E-2</v>
      </c>
      <c r="AH74">
        <v>1.9616623966467399E-2</v>
      </c>
      <c r="AI74">
        <v>1.8563154096597999E-2</v>
      </c>
      <c r="AJ74">
        <v>1.6532756834169701E-2</v>
      </c>
      <c r="AK74">
        <v>1.6225192708583101E-2</v>
      </c>
      <c r="AL74">
        <v>1.4543070688999399E-2</v>
      </c>
      <c r="AM74">
        <v>1.17624456116204E-2</v>
      </c>
      <c r="AN74">
        <v>9.6154918627957293E-3</v>
      </c>
      <c r="AO74">
        <v>7.7696888443731099E-3</v>
      </c>
      <c r="AP74">
        <v>6.1986858674423703E-3</v>
      </c>
      <c r="AQ74">
        <v>4.8680457882954997E-3</v>
      </c>
      <c r="AR74">
        <v>3.5335019033841501E-3</v>
      </c>
      <c r="AS74">
        <v>3.3422154209250699E-3</v>
      </c>
      <c r="AT74">
        <v>1.5815153681679201E-2</v>
      </c>
    </row>
    <row r="75" spans="1:46" x14ac:dyDescent="0.25">
      <c r="A75">
        <v>2</v>
      </c>
      <c r="B75">
        <v>2</v>
      </c>
      <c r="C75">
        <v>2021</v>
      </c>
      <c r="D75">
        <v>1</v>
      </c>
      <c r="E75">
        <v>5</v>
      </c>
      <c r="F75">
        <v>0</v>
      </c>
      <c r="G75">
        <v>0</v>
      </c>
      <c r="H75">
        <v>0</v>
      </c>
      <c r="I75">
        <v>0</v>
      </c>
      <c r="J75" s="12">
        <v>1.8312146796752902E-5</v>
      </c>
      <c r="K75">
        <v>1.45108331779887E-3</v>
      </c>
      <c r="L75">
        <v>1.44161861271291E-2</v>
      </c>
      <c r="M75">
        <v>4.3344851467914003E-2</v>
      </c>
      <c r="N75">
        <v>6.0722770146344897E-2</v>
      </c>
      <c r="O75">
        <v>5.9910554421848498E-2</v>
      </c>
      <c r="P75">
        <v>6.20662438824056E-2</v>
      </c>
      <c r="Q75">
        <v>5.3588337178884199E-2</v>
      </c>
      <c r="R75">
        <v>5.4083793914688399E-2</v>
      </c>
      <c r="S75">
        <v>4.7652732563235503E-2</v>
      </c>
      <c r="T75">
        <v>4.4232681955868998E-2</v>
      </c>
      <c r="U75">
        <v>4.0972708317130201E-2</v>
      </c>
      <c r="V75">
        <v>3.6606804464542501E-2</v>
      </c>
      <c r="W75">
        <v>3.3382837856022099E-2</v>
      </c>
      <c r="X75">
        <v>3.5355200094153202E-2</v>
      </c>
      <c r="Y75">
        <v>3.229521978897E-2</v>
      </c>
      <c r="Z75">
        <v>3.0968926550184898E-2</v>
      </c>
      <c r="AA75">
        <v>3.03559840186397E-2</v>
      </c>
      <c r="AB75">
        <v>3.1185688872099299E-2</v>
      </c>
      <c r="AC75">
        <v>2.8755214332361799E-2</v>
      </c>
      <c r="AD75">
        <v>2.7668830792059999E-2</v>
      </c>
      <c r="AE75">
        <v>2.5809839260502E-2</v>
      </c>
      <c r="AF75">
        <v>2.4229645020063102E-2</v>
      </c>
      <c r="AG75">
        <v>2.3650137588006302E-2</v>
      </c>
      <c r="AH75">
        <v>2.13492883570548E-2</v>
      </c>
      <c r="AI75">
        <v>1.8278711697264399E-2</v>
      </c>
      <c r="AJ75">
        <v>1.5133754800765901E-2</v>
      </c>
      <c r="AK75">
        <v>1.2763772071795101E-2</v>
      </c>
      <c r="AL75">
        <v>1.0808693208168799E-2</v>
      </c>
      <c r="AM75">
        <v>1.0470021369658E-2</v>
      </c>
      <c r="AN75">
        <v>9.3904277264831894E-3</v>
      </c>
      <c r="AO75">
        <v>7.6386342677466296E-3</v>
      </c>
      <c r="AP75">
        <v>6.2845641770788701E-3</v>
      </c>
      <c r="AQ75">
        <v>6.2571988341129396E-3</v>
      </c>
      <c r="AR75">
        <v>5.7183279075882602E-3</v>
      </c>
      <c r="AS75">
        <v>4.8364642989266599E-3</v>
      </c>
      <c r="AT75">
        <v>2.83455572057063E-2</v>
      </c>
    </row>
    <row r="76" spans="1:46" x14ac:dyDescent="0.25">
      <c r="A76">
        <v>2</v>
      </c>
      <c r="B76">
        <v>2</v>
      </c>
      <c r="C76">
        <v>2022</v>
      </c>
      <c r="D76">
        <v>1</v>
      </c>
      <c r="E76">
        <v>6</v>
      </c>
      <c r="F76">
        <v>0</v>
      </c>
      <c r="G76">
        <v>0</v>
      </c>
      <c r="H76">
        <v>0</v>
      </c>
      <c r="I76">
        <v>0</v>
      </c>
      <c r="J76" s="12">
        <v>8.9899171844891799E-6</v>
      </c>
      <c r="K76">
        <v>1.15202179628388E-3</v>
      </c>
      <c r="L76">
        <v>1.39040552728981E-2</v>
      </c>
      <c r="M76">
        <v>4.4195351556617302E-2</v>
      </c>
      <c r="N76">
        <v>5.55805239021884E-2</v>
      </c>
      <c r="O76">
        <v>5.6740682557821699E-2</v>
      </c>
      <c r="P76">
        <v>5.3657009723875E-2</v>
      </c>
      <c r="Q76">
        <v>5.1488930426243501E-2</v>
      </c>
      <c r="R76">
        <v>5.1174677043787101E-2</v>
      </c>
      <c r="S76">
        <v>4.7699056944563403E-2</v>
      </c>
      <c r="T76">
        <v>4.4214643787655501E-2</v>
      </c>
      <c r="U76">
        <v>4.1866109947999601E-2</v>
      </c>
      <c r="V76">
        <v>3.7985024897805302E-2</v>
      </c>
      <c r="W76">
        <v>3.3687975723286398E-2</v>
      </c>
      <c r="X76">
        <v>3.2721658055703998E-2</v>
      </c>
      <c r="Y76">
        <v>3.2393230789219601E-2</v>
      </c>
      <c r="Z76">
        <v>3.0897098586253498E-2</v>
      </c>
      <c r="AA76">
        <v>2.8240151529319399E-2</v>
      </c>
      <c r="AB76">
        <v>2.7728316828304699E-2</v>
      </c>
      <c r="AC76">
        <v>2.7129863947118301E-2</v>
      </c>
      <c r="AD76">
        <v>2.4005244337090399E-2</v>
      </c>
      <c r="AE76">
        <v>2.35954484771113E-2</v>
      </c>
      <c r="AF76">
        <v>2.1990190491095601E-2</v>
      </c>
      <c r="AG76">
        <v>2.0437625231350901E-2</v>
      </c>
      <c r="AH76">
        <v>1.8156745439995799E-2</v>
      </c>
      <c r="AI76">
        <v>1.7300012894297299E-2</v>
      </c>
      <c r="AJ76">
        <v>1.56763157350783E-2</v>
      </c>
      <c r="AK76">
        <v>1.5102667150940999E-2</v>
      </c>
      <c r="AL76">
        <v>1.42398319607305E-2</v>
      </c>
      <c r="AM76">
        <v>1.29620169436972E-2</v>
      </c>
      <c r="AN76">
        <v>1.14531544930392E-2</v>
      </c>
      <c r="AO76">
        <v>1.07154563252434E-2</v>
      </c>
      <c r="AP76">
        <v>1.01332771627559E-2</v>
      </c>
      <c r="AQ76">
        <v>9.1667626356731098E-3</v>
      </c>
      <c r="AR76">
        <v>7.9869836498341999E-3</v>
      </c>
      <c r="AS76">
        <v>7.4752801884864096E-3</v>
      </c>
      <c r="AT76">
        <v>4.7137613649450301E-2</v>
      </c>
    </row>
    <row r="77" spans="1:46" x14ac:dyDescent="0.25">
      <c r="A77">
        <v>2</v>
      </c>
      <c r="B77">
        <v>2</v>
      </c>
      <c r="C77">
        <v>2023</v>
      </c>
      <c r="D77">
        <v>1</v>
      </c>
      <c r="E77">
        <v>8</v>
      </c>
      <c r="F77">
        <v>0</v>
      </c>
      <c r="G77">
        <v>0</v>
      </c>
      <c r="H77">
        <v>0</v>
      </c>
      <c r="I77">
        <v>0</v>
      </c>
      <c r="J77" s="12">
        <v>1.30063656869777E-5</v>
      </c>
      <c r="K77">
        <v>1.4771515315924601E-3</v>
      </c>
      <c r="L77">
        <v>1.96396121873363E-2</v>
      </c>
      <c r="M77">
        <v>5.5797308797134099E-2</v>
      </c>
      <c r="N77">
        <v>7.8620383824044904E-2</v>
      </c>
      <c r="O77">
        <v>7.9182754302319899E-2</v>
      </c>
      <c r="P77">
        <v>7.30590270164925E-2</v>
      </c>
      <c r="Q77">
        <v>6.4102802314389806E-2</v>
      </c>
      <c r="R77">
        <v>4.9297842058127303E-2</v>
      </c>
      <c r="S77">
        <v>3.6540661821692202E-2</v>
      </c>
      <c r="T77">
        <v>2.60368860530883E-2</v>
      </c>
      <c r="U77">
        <v>3.1876744246541203E-2</v>
      </c>
      <c r="V77">
        <v>3.0073401321529299E-2</v>
      </c>
      <c r="W77">
        <v>3.2992401392135301E-2</v>
      </c>
      <c r="X77">
        <v>3.3534126845510402E-2</v>
      </c>
      <c r="Y77">
        <v>3.10986332580616E-2</v>
      </c>
      <c r="Z77">
        <v>3.4518481632740697E-2</v>
      </c>
      <c r="AA77">
        <v>2.9053330641222098E-2</v>
      </c>
      <c r="AB77">
        <v>2.6150020789540099E-2</v>
      </c>
      <c r="AC77">
        <v>2.1305046346016401E-2</v>
      </c>
      <c r="AD77">
        <v>1.74136656026221E-2</v>
      </c>
      <c r="AE77">
        <v>1.9775456451178001E-2</v>
      </c>
      <c r="AF77">
        <v>2.0841152636514201E-2</v>
      </c>
      <c r="AG77">
        <v>1.58031472101758E-2</v>
      </c>
      <c r="AH77">
        <v>1.5633238655249099E-2</v>
      </c>
      <c r="AI77">
        <v>1.37260512549904E-2</v>
      </c>
      <c r="AJ77">
        <v>1.2590161984994399E-2</v>
      </c>
      <c r="AK77">
        <v>1.34341306029049E-2</v>
      </c>
      <c r="AL77">
        <v>1.30113204929536E-2</v>
      </c>
      <c r="AM77">
        <v>1.1613445856977E-2</v>
      </c>
      <c r="AN77">
        <v>1.07568837738775E-2</v>
      </c>
      <c r="AO77">
        <v>1.0310125435042301E-2</v>
      </c>
      <c r="AP77">
        <v>7.9662957581493107E-3</v>
      </c>
      <c r="AQ77">
        <v>6.8840835528931697E-3</v>
      </c>
      <c r="AR77">
        <v>5.0873470358492601E-3</v>
      </c>
      <c r="AS77">
        <v>5.8024906983840299E-3</v>
      </c>
      <c r="AT77">
        <v>4.4981380252042701E-2</v>
      </c>
    </row>
    <row r="78" spans="1:46" x14ac:dyDescent="0.25">
      <c r="A78">
        <v>2</v>
      </c>
      <c r="B78">
        <v>2</v>
      </c>
      <c r="C78">
        <v>2024</v>
      </c>
      <c r="D78">
        <v>1</v>
      </c>
      <c r="E78">
        <v>14</v>
      </c>
      <c r="F78">
        <v>0</v>
      </c>
      <c r="G78">
        <v>0</v>
      </c>
      <c r="H78">
        <v>0</v>
      </c>
      <c r="I78">
        <v>0</v>
      </c>
      <c r="J78" s="12">
        <v>2.0573960471483099E-5</v>
      </c>
      <c r="K78">
        <v>1.5018991144182599E-3</v>
      </c>
      <c r="L78">
        <v>1.5840464844244999E-2</v>
      </c>
      <c r="M78">
        <v>4.0526460075116198E-2</v>
      </c>
      <c r="N78">
        <v>5.2865427739531498E-2</v>
      </c>
      <c r="O78">
        <v>5.0811955592060802E-2</v>
      </c>
      <c r="P78">
        <v>5.5394858312755001E-2</v>
      </c>
      <c r="Q78">
        <v>5.1720815598455698E-2</v>
      </c>
      <c r="R78">
        <v>5.4070913351280801E-2</v>
      </c>
      <c r="S78">
        <v>5.3460481823065002E-2</v>
      </c>
      <c r="T78">
        <v>4.8688277455764699E-2</v>
      </c>
      <c r="U78">
        <v>4.47451824851966E-2</v>
      </c>
      <c r="V78">
        <v>4.3831444117040402E-2</v>
      </c>
      <c r="W78">
        <v>4.1523872952612499E-2</v>
      </c>
      <c r="X78">
        <v>3.6545292672541599E-2</v>
      </c>
      <c r="Y78">
        <v>3.4233373403065599E-2</v>
      </c>
      <c r="Z78">
        <v>3.1459706587750297E-2</v>
      </c>
      <c r="AA78">
        <v>2.70208215903565E-2</v>
      </c>
      <c r="AB78">
        <v>2.5747993376033101E-2</v>
      </c>
      <c r="AC78">
        <v>2.1618354093767399E-2</v>
      </c>
      <c r="AD78">
        <v>2.25364405669717E-2</v>
      </c>
      <c r="AE78">
        <v>1.9408244113222499E-2</v>
      </c>
      <c r="AF78">
        <v>1.7446082171761801E-2</v>
      </c>
      <c r="AG78">
        <v>1.8167231301690099E-2</v>
      </c>
      <c r="AH78">
        <v>1.55959104481253E-2</v>
      </c>
      <c r="AI78">
        <v>1.57706830607902E-2</v>
      </c>
      <c r="AJ78">
        <v>1.3169985985315101E-2</v>
      </c>
      <c r="AK78">
        <v>1.1411124467688501E-2</v>
      </c>
      <c r="AL78">
        <v>1.13946865095799E-2</v>
      </c>
      <c r="AM78">
        <v>1.14047613871304E-2</v>
      </c>
      <c r="AN78">
        <v>1.1075365916901401E-2</v>
      </c>
      <c r="AO78">
        <v>1.0900699355579E-2</v>
      </c>
      <c r="AP78">
        <v>1.05550780299266E-2</v>
      </c>
      <c r="AQ78">
        <v>8.7458421245477595E-3</v>
      </c>
      <c r="AR78">
        <v>7.3913543763942397E-3</v>
      </c>
      <c r="AS78">
        <v>7.0146600073493597E-3</v>
      </c>
      <c r="AT78">
        <v>5.6383681031497802E-2</v>
      </c>
    </row>
    <row r="79" spans="1:46" x14ac:dyDescent="0.25">
      <c r="A79">
        <v>4</v>
      </c>
      <c r="B79">
        <v>1</v>
      </c>
      <c r="C79">
        <v>1990</v>
      </c>
      <c r="D79">
        <v>1</v>
      </c>
      <c r="E79">
        <v>13</v>
      </c>
      <c r="F79">
        <v>0</v>
      </c>
      <c r="G79">
        <v>0</v>
      </c>
      <c r="H79">
        <v>0</v>
      </c>
      <c r="I79">
        <v>0</v>
      </c>
      <c r="J79" s="12">
        <v>8.2622594877879496E-6</v>
      </c>
      <c r="K79">
        <v>4.4616201234054899E-4</v>
      </c>
      <c r="L79">
        <v>6.1985199987510597E-3</v>
      </c>
      <c r="M79">
        <v>3.1607177597748101E-2</v>
      </c>
      <c r="N79">
        <v>4.2796102327122998E-2</v>
      </c>
      <c r="O79">
        <v>3.9031682402588197E-2</v>
      </c>
      <c r="P79">
        <v>3.6130380376172999E-2</v>
      </c>
      <c r="Q79">
        <v>4.05920004995785E-2</v>
      </c>
      <c r="R79">
        <v>3.9677003297698299E-2</v>
      </c>
      <c r="S79">
        <v>4.1096478692257299E-2</v>
      </c>
      <c r="T79">
        <v>4.3258692785654397E-2</v>
      </c>
      <c r="U79">
        <v>4.5475091929645897E-2</v>
      </c>
      <c r="V79">
        <v>4.6340899865738298E-2</v>
      </c>
      <c r="W79">
        <v>4.9330684926900598E-2</v>
      </c>
      <c r="X79">
        <v>5.1298063412841599E-2</v>
      </c>
      <c r="Y79">
        <v>4.80930753138578E-2</v>
      </c>
      <c r="Z79">
        <v>4.9274578420611503E-2</v>
      </c>
      <c r="AA79">
        <v>4.41752271520904E-2</v>
      </c>
      <c r="AB79">
        <v>4.0867921537356702E-2</v>
      </c>
      <c r="AC79">
        <v>3.8705419225605303E-2</v>
      </c>
      <c r="AD79">
        <v>3.8139070159552903E-2</v>
      </c>
      <c r="AE79">
        <v>3.5299254715372402E-2</v>
      </c>
      <c r="AF79">
        <v>3.0787964962255401E-2</v>
      </c>
      <c r="AG79">
        <v>2.5467934507182599E-2</v>
      </c>
      <c r="AH79">
        <v>2.3274208540390199E-2</v>
      </c>
      <c r="AI79">
        <v>1.9405069280486902E-2</v>
      </c>
      <c r="AJ79">
        <v>1.6126777646745201E-2</v>
      </c>
      <c r="AK79">
        <v>1.26921755922287E-2</v>
      </c>
      <c r="AL79">
        <v>9.9973339802234204E-3</v>
      </c>
      <c r="AM79">
        <v>8.4251989307099102E-3</v>
      </c>
      <c r="AN79">
        <v>7.2907714884796696E-3</v>
      </c>
      <c r="AO79">
        <v>6.2801818657815204E-3</v>
      </c>
      <c r="AP79">
        <v>5.1474837336766398E-3</v>
      </c>
      <c r="AQ79">
        <v>4.4414448386097304E-3</v>
      </c>
      <c r="AR79">
        <v>3.80448227577213E-3</v>
      </c>
      <c r="AS79">
        <v>3.3002923014475798E-3</v>
      </c>
      <c r="AT79">
        <v>1.5716931147037001E-2</v>
      </c>
    </row>
    <row r="80" spans="1:46" x14ac:dyDescent="0.25">
      <c r="A80">
        <v>4</v>
      </c>
      <c r="B80">
        <v>1</v>
      </c>
      <c r="C80">
        <v>1991</v>
      </c>
      <c r="D80">
        <v>1</v>
      </c>
      <c r="E80">
        <v>5</v>
      </c>
      <c r="F80">
        <v>0</v>
      </c>
      <c r="G80">
        <v>0</v>
      </c>
      <c r="H80">
        <v>0</v>
      </c>
      <c r="I80">
        <v>0</v>
      </c>
      <c r="J80" s="12">
        <v>1.88455596347267E-5</v>
      </c>
      <c r="K80">
        <v>6.1294410352947203E-4</v>
      </c>
      <c r="L80">
        <v>6.7646290780651796E-3</v>
      </c>
      <c r="M80">
        <v>2.6643296113095599E-2</v>
      </c>
      <c r="N80">
        <v>3.7464818082036402E-2</v>
      </c>
      <c r="O80">
        <v>3.8988991335444999E-2</v>
      </c>
      <c r="P80">
        <v>4.4151129957357302E-2</v>
      </c>
      <c r="Q80">
        <v>4.69652972149429E-2</v>
      </c>
      <c r="R80">
        <v>4.8027136370099602E-2</v>
      </c>
      <c r="S80">
        <v>4.6624918603015701E-2</v>
      </c>
      <c r="T80">
        <v>4.83496734890939E-2</v>
      </c>
      <c r="U80">
        <v>5.1341328845206702E-2</v>
      </c>
      <c r="V80">
        <v>4.6882577565890503E-2</v>
      </c>
      <c r="W80">
        <v>4.2252285352358303E-2</v>
      </c>
      <c r="X80">
        <v>4.3614572159068603E-2</v>
      </c>
      <c r="Y80">
        <v>4.3088055027798403E-2</v>
      </c>
      <c r="Z80">
        <v>4.4982728894189701E-2</v>
      </c>
      <c r="AA80">
        <v>4.0037159736276501E-2</v>
      </c>
      <c r="AB80">
        <v>3.68628414763272E-2</v>
      </c>
      <c r="AC80">
        <v>3.3943556158647803E-2</v>
      </c>
      <c r="AD80">
        <v>3.3317713659794503E-2</v>
      </c>
      <c r="AE80">
        <v>3.3307981936376602E-2</v>
      </c>
      <c r="AF80">
        <v>3.26645296522909E-2</v>
      </c>
      <c r="AG80">
        <v>2.9982976435249602E-2</v>
      </c>
      <c r="AH80">
        <v>2.7170044952066201E-2</v>
      </c>
      <c r="AI80">
        <v>2.3673112337222399E-2</v>
      </c>
      <c r="AJ80">
        <v>1.7873545831435599E-2</v>
      </c>
      <c r="AK80">
        <v>1.35869533735367E-2</v>
      </c>
      <c r="AL80">
        <v>1.07302291349726E-2</v>
      </c>
      <c r="AM80">
        <v>8.9156488970288696E-3</v>
      </c>
      <c r="AN80">
        <v>7.0816052122492697E-3</v>
      </c>
      <c r="AO80">
        <v>6.1267377787897403E-3</v>
      </c>
      <c r="AP80">
        <v>5.0345449148771603E-3</v>
      </c>
      <c r="AQ80">
        <v>4.22449479418448E-3</v>
      </c>
      <c r="AR80">
        <v>3.2858468997548299E-3</v>
      </c>
      <c r="AS80">
        <v>2.7399435575488902E-3</v>
      </c>
      <c r="AT80">
        <v>1.2667305510542E-2</v>
      </c>
    </row>
    <row r="81" spans="1:46" x14ac:dyDescent="0.25">
      <c r="A81">
        <v>4</v>
      </c>
      <c r="B81">
        <v>1</v>
      </c>
      <c r="C81">
        <v>1992</v>
      </c>
      <c r="D81">
        <v>1</v>
      </c>
      <c r="E81">
        <v>9</v>
      </c>
      <c r="F81">
        <v>0</v>
      </c>
      <c r="G81">
        <v>0</v>
      </c>
      <c r="H81">
        <v>0</v>
      </c>
      <c r="I81">
        <v>0</v>
      </c>
      <c r="J81" s="12">
        <v>1.78686021618864E-5</v>
      </c>
      <c r="K81">
        <v>5.3605806485659303E-4</v>
      </c>
      <c r="L81">
        <v>7.6248899145201802E-3</v>
      </c>
      <c r="M81">
        <v>3.6034895235789899E-2</v>
      </c>
      <c r="N81">
        <v>4.5128941620060398E-2</v>
      </c>
      <c r="O81">
        <v>4.2142502578737098E-2</v>
      </c>
      <c r="P81">
        <v>4.3797373386956599E-2</v>
      </c>
      <c r="Q81">
        <v>4.8006024816152897E-2</v>
      </c>
      <c r="R81">
        <v>4.8361014379102403E-2</v>
      </c>
      <c r="S81">
        <v>5.3242716489729801E-2</v>
      </c>
      <c r="T81">
        <v>5.1930208098932E-2</v>
      </c>
      <c r="U81">
        <v>5.35200371952822E-2</v>
      </c>
      <c r="V81">
        <v>5.0885252244504901E-2</v>
      </c>
      <c r="W81">
        <v>5.3204120309060098E-2</v>
      </c>
      <c r="X81">
        <v>5.1610598368263101E-2</v>
      </c>
      <c r="Y81">
        <v>5.3444274322115903E-2</v>
      </c>
      <c r="Z81">
        <v>4.9066824164496897E-2</v>
      </c>
      <c r="AA81">
        <v>4.9224425235564799E-2</v>
      </c>
      <c r="AB81">
        <v>4.2291526720767199E-2</v>
      </c>
      <c r="AC81">
        <v>3.82521505160512E-2</v>
      </c>
      <c r="AD81">
        <v>3.4428507901436298E-2</v>
      </c>
      <c r="AE81">
        <v>2.9607320790130499E-2</v>
      </c>
      <c r="AF81">
        <v>2.3595131782727801E-2</v>
      </c>
      <c r="AG81">
        <v>1.84318205020291E-2</v>
      </c>
      <c r="AH81">
        <v>1.5528649146780199E-2</v>
      </c>
      <c r="AI81">
        <v>1.3730710397251201E-2</v>
      </c>
      <c r="AJ81">
        <v>1.0554149428925399E-2</v>
      </c>
      <c r="AK81">
        <v>8.5235614792486605E-3</v>
      </c>
      <c r="AL81">
        <v>5.9413102188272402E-3</v>
      </c>
      <c r="AM81">
        <v>4.6987276244896603E-3</v>
      </c>
      <c r="AN81">
        <v>3.1620278385674299E-3</v>
      </c>
      <c r="AO81">
        <v>2.1347023382733699E-3</v>
      </c>
      <c r="AP81">
        <v>1.95661193672657E-3</v>
      </c>
      <c r="AQ81">
        <v>1.8165220957773801E-3</v>
      </c>
      <c r="AR81">
        <v>1.45926917655406E-3</v>
      </c>
      <c r="AS81">
        <v>1.0295888565679001E-3</v>
      </c>
      <c r="AT81">
        <v>5.0796862225810802E-3</v>
      </c>
    </row>
    <row r="82" spans="1:46" x14ac:dyDescent="0.25">
      <c r="A82">
        <v>4</v>
      </c>
      <c r="B82">
        <v>1</v>
      </c>
      <c r="C82">
        <v>1993</v>
      </c>
      <c r="D82">
        <v>1</v>
      </c>
      <c r="E82">
        <v>6</v>
      </c>
      <c r="F82">
        <v>0</v>
      </c>
      <c r="G82">
        <v>0</v>
      </c>
      <c r="H82">
        <v>0</v>
      </c>
      <c r="I82">
        <v>0</v>
      </c>
      <c r="J82" s="12">
        <v>1.6378076694438599E-5</v>
      </c>
      <c r="K82">
        <v>6.2840094264451397E-4</v>
      </c>
      <c r="L82">
        <v>8.1129664909938403E-3</v>
      </c>
      <c r="M82">
        <v>3.4561728593934603E-2</v>
      </c>
      <c r="N82">
        <v>4.3107959863799103E-2</v>
      </c>
      <c r="O82">
        <v>3.9913911656869798E-2</v>
      </c>
      <c r="P82">
        <v>3.7595875052083901E-2</v>
      </c>
      <c r="Q82">
        <v>4.0634654781929701E-2</v>
      </c>
      <c r="R82">
        <v>3.91224842008129E-2</v>
      </c>
      <c r="S82">
        <v>4.6385837963282703E-2</v>
      </c>
      <c r="T82">
        <v>5.3325832461542003E-2</v>
      </c>
      <c r="U82">
        <v>5.8982410699883699E-2</v>
      </c>
      <c r="V82">
        <v>5.7485109688397401E-2</v>
      </c>
      <c r="W82">
        <v>5.6194043142655498E-2</v>
      </c>
      <c r="X82">
        <v>5.2640108250466902E-2</v>
      </c>
      <c r="Y82">
        <v>5.4141611531631398E-2</v>
      </c>
      <c r="Z82">
        <v>5.0539296662891399E-2</v>
      </c>
      <c r="AA82">
        <v>4.6061401194026401E-2</v>
      </c>
      <c r="AB82">
        <v>4.04353163484776E-2</v>
      </c>
      <c r="AC82">
        <v>3.3438968336328999E-2</v>
      </c>
      <c r="AD82">
        <v>2.91944604603597E-2</v>
      </c>
      <c r="AE82">
        <v>2.69178000493282E-2</v>
      </c>
      <c r="AF82">
        <v>2.4776258771025801E-2</v>
      </c>
      <c r="AG82">
        <v>2.1600312648864101E-2</v>
      </c>
      <c r="AH82">
        <v>1.80654495959841E-2</v>
      </c>
      <c r="AI82">
        <v>1.6524617380652001E-2</v>
      </c>
      <c r="AJ82">
        <v>1.3032531278085799E-2</v>
      </c>
      <c r="AK82">
        <v>1.04622507421047E-2</v>
      </c>
      <c r="AL82">
        <v>7.6567508546500603E-3</v>
      </c>
      <c r="AM82">
        <v>6.4518847125631402E-3</v>
      </c>
      <c r="AN82">
        <v>5.6353513889417202E-3</v>
      </c>
      <c r="AO82">
        <v>4.6723851296114702E-3</v>
      </c>
      <c r="AP82">
        <v>3.6482165836862102E-3</v>
      </c>
      <c r="AQ82">
        <v>3.1678648343190499E-3</v>
      </c>
      <c r="AR82">
        <v>2.6648854789924799E-3</v>
      </c>
      <c r="AS82">
        <v>2.1269949601856498E-3</v>
      </c>
      <c r="AT82">
        <v>1.0077689191299101E-2</v>
      </c>
    </row>
    <row r="83" spans="1:46" x14ac:dyDescent="0.25">
      <c r="A83">
        <v>4</v>
      </c>
      <c r="B83">
        <v>1</v>
      </c>
      <c r="C83">
        <v>1994</v>
      </c>
      <c r="D83">
        <v>1</v>
      </c>
      <c r="E83">
        <v>10</v>
      </c>
      <c r="F83">
        <v>0</v>
      </c>
      <c r="G83">
        <v>0</v>
      </c>
      <c r="H83">
        <v>0</v>
      </c>
      <c r="I83">
        <v>0</v>
      </c>
      <c r="J83" s="12">
        <v>1.93360449749245E-5</v>
      </c>
      <c r="K83">
        <v>6.6736210781510104E-4</v>
      </c>
      <c r="L83">
        <v>8.4031228786859199E-3</v>
      </c>
      <c r="M83">
        <v>4.0355042012481197E-2</v>
      </c>
      <c r="N83">
        <v>5.5056881541748801E-2</v>
      </c>
      <c r="O83">
        <v>5.1133454786373898E-2</v>
      </c>
      <c r="P83">
        <v>4.9956104492345103E-2</v>
      </c>
      <c r="Q83">
        <v>4.9729085001343203E-2</v>
      </c>
      <c r="R83">
        <v>4.7561299514709998E-2</v>
      </c>
      <c r="S83">
        <v>5.1974662261509798E-2</v>
      </c>
      <c r="T83">
        <v>5.2192819398564898E-2</v>
      </c>
      <c r="U83">
        <v>4.8576441875893599E-2</v>
      </c>
      <c r="V83">
        <v>4.8456128707160699E-2</v>
      </c>
      <c r="W83">
        <v>4.5004286604229699E-2</v>
      </c>
      <c r="X83">
        <v>4.30822300224862E-2</v>
      </c>
      <c r="Y83">
        <v>4.2976418887484498E-2</v>
      </c>
      <c r="Z83">
        <v>4.5641659938588403E-2</v>
      </c>
      <c r="AA83">
        <v>4.2470369525247298E-2</v>
      </c>
      <c r="AB83">
        <v>3.8974931802396001E-2</v>
      </c>
      <c r="AC83">
        <v>3.38780935769687E-2</v>
      </c>
      <c r="AD83">
        <v>3.1057985128611999E-2</v>
      </c>
      <c r="AE83">
        <v>2.65252939190735E-2</v>
      </c>
      <c r="AF83">
        <v>2.2784306328785999E-2</v>
      </c>
      <c r="AG83">
        <v>2.1701487810190202E-2</v>
      </c>
      <c r="AH83">
        <v>1.79692730551229E-2</v>
      </c>
      <c r="AI83">
        <v>1.55682017666163E-2</v>
      </c>
      <c r="AJ83">
        <v>1.2559835435934299E-2</v>
      </c>
      <c r="AK83">
        <v>1.05315201255554E-2</v>
      </c>
      <c r="AL83">
        <v>8.5404446054985796E-3</v>
      </c>
      <c r="AM83">
        <v>7.2553137644799899E-3</v>
      </c>
      <c r="AN83">
        <v>5.6674305896410601E-3</v>
      </c>
      <c r="AO83">
        <v>4.2593010180875298E-3</v>
      </c>
      <c r="AP83">
        <v>3.5247998652206099E-3</v>
      </c>
      <c r="AQ83">
        <v>2.99082066024179E-3</v>
      </c>
      <c r="AR83">
        <v>2.5002580377298201E-3</v>
      </c>
      <c r="AS83">
        <v>1.92465262481887E-3</v>
      </c>
      <c r="AT83">
        <v>8.5293442833833492E-3</v>
      </c>
    </row>
    <row r="84" spans="1:46" x14ac:dyDescent="0.25">
      <c r="A84">
        <v>4</v>
      </c>
      <c r="B84">
        <v>1</v>
      </c>
      <c r="C84">
        <v>1995</v>
      </c>
      <c r="D84">
        <v>1</v>
      </c>
      <c r="E84">
        <v>14</v>
      </c>
      <c r="F84">
        <v>0</v>
      </c>
      <c r="G84">
        <v>0</v>
      </c>
      <c r="H84">
        <v>0</v>
      </c>
      <c r="I84">
        <v>0</v>
      </c>
      <c r="J84" s="12">
        <v>1.7518235060276999E-5</v>
      </c>
      <c r="K84">
        <v>5.7525691539815399E-4</v>
      </c>
      <c r="L84">
        <v>7.8356669768542206E-3</v>
      </c>
      <c r="M84">
        <v>3.3304410777158303E-2</v>
      </c>
      <c r="N84">
        <v>4.55126741436091E-2</v>
      </c>
      <c r="O84">
        <v>4.7092010412120203E-2</v>
      </c>
      <c r="P84">
        <v>5.0193786117322801E-2</v>
      </c>
      <c r="Q84">
        <v>4.9408010924191698E-2</v>
      </c>
      <c r="R84">
        <v>4.48646491748836E-2</v>
      </c>
      <c r="S84">
        <v>4.3279398630433397E-2</v>
      </c>
      <c r="T84">
        <v>4.5682466268039498E-2</v>
      </c>
      <c r="U84">
        <v>4.6673070055721501E-2</v>
      </c>
      <c r="V84">
        <v>4.9103313416946702E-2</v>
      </c>
      <c r="W84">
        <v>5.0711247829872498E-2</v>
      </c>
      <c r="X84">
        <v>5.0733257920076401E-2</v>
      </c>
      <c r="Y84">
        <v>4.7038257878901098E-2</v>
      </c>
      <c r="Z84">
        <v>4.8197605691479899E-2</v>
      </c>
      <c r="AA84">
        <v>4.3794839008168399E-2</v>
      </c>
      <c r="AB84">
        <v>4.2571781716802003E-2</v>
      </c>
      <c r="AC84">
        <v>3.9781965351326699E-2</v>
      </c>
      <c r="AD84">
        <v>3.4175830675028503E-2</v>
      </c>
      <c r="AE84">
        <v>3.1353373495509297E-2</v>
      </c>
      <c r="AF84">
        <v>2.5332565725198802E-2</v>
      </c>
      <c r="AG84">
        <v>2.2713814176444601E-2</v>
      </c>
      <c r="AH84">
        <v>1.8335528103666E-2</v>
      </c>
      <c r="AI84">
        <v>1.53798874191373E-2</v>
      </c>
      <c r="AJ84">
        <v>1.23081322791448E-2</v>
      </c>
      <c r="AK84">
        <v>1.0364955743997199E-2</v>
      </c>
      <c r="AL84">
        <v>7.6635540605996203E-3</v>
      </c>
      <c r="AM84">
        <v>6.2302030842574701E-3</v>
      </c>
      <c r="AN84">
        <v>5.1544037773507204E-3</v>
      </c>
      <c r="AO84">
        <v>3.9398061465048496E-3</v>
      </c>
      <c r="AP84">
        <v>3.39681572388866E-3</v>
      </c>
      <c r="AQ84">
        <v>2.9255452550662501E-3</v>
      </c>
      <c r="AR84">
        <v>2.50233763628101E-3</v>
      </c>
      <c r="AS84">
        <v>2.0686490221605699E-3</v>
      </c>
      <c r="AT84">
        <v>9.7834102313979193E-3</v>
      </c>
    </row>
    <row r="85" spans="1:46" x14ac:dyDescent="0.25">
      <c r="A85">
        <v>4</v>
      </c>
      <c r="B85">
        <v>1</v>
      </c>
      <c r="C85">
        <v>1996</v>
      </c>
      <c r="D85">
        <v>1</v>
      </c>
      <c r="E85">
        <v>13</v>
      </c>
      <c r="F85">
        <v>0</v>
      </c>
      <c r="G85">
        <v>0</v>
      </c>
      <c r="H85">
        <v>0</v>
      </c>
      <c r="I85">
        <v>0</v>
      </c>
      <c r="J85" s="12">
        <v>2.1575875235388301E-5</v>
      </c>
      <c r="K85">
        <v>7.86296071722658E-4</v>
      </c>
      <c r="L85">
        <v>9.7725368914101697E-3</v>
      </c>
      <c r="M85">
        <v>4.6999040429631302E-2</v>
      </c>
      <c r="N85">
        <v>6.8362604604069302E-2</v>
      </c>
      <c r="O85">
        <v>6.7629247277769602E-2</v>
      </c>
      <c r="P85">
        <v>6.8058762897146199E-2</v>
      </c>
      <c r="Q85">
        <v>6.8080783635788497E-2</v>
      </c>
      <c r="R85">
        <v>6.6545337586820602E-2</v>
      </c>
      <c r="S85">
        <v>6.32328846589299E-2</v>
      </c>
      <c r="T85">
        <v>5.58707289220381E-2</v>
      </c>
      <c r="U85">
        <v>5.0236311441753403E-2</v>
      </c>
      <c r="V85">
        <v>4.81883827480191E-2</v>
      </c>
      <c r="W85">
        <v>4.25022498966805E-2</v>
      </c>
      <c r="X85">
        <v>4.0689876376907803E-2</v>
      </c>
      <c r="Y85">
        <v>3.74487128099752E-2</v>
      </c>
      <c r="Z85">
        <v>3.3569392685822798E-2</v>
      </c>
      <c r="AA85">
        <v>2.8384954541632802E-2</v>
      </c>
      <c r="AB85">
        <v>2.96121102496084E-2</v>
      </c>
      <c r="AC85">
        <v>2.4489730550683101E-2</v>
      </c>
      <c r="AD85">
        <v>2.2541006396690901E-2</v>
      </c>
      <c r="AE85">
        <v>2.2117607649159401E-2</v>
      </c>
      <c r="AF85">
        <v>2.0281767584672001E-2</v>
      </c>
      <c r="AG85">
        <v>1.61735652376616E-2</v>
      </c>
      <c r="AH85">
        <v>1.2026659774249601E-2</v>
      </c>
      <c r="AI85">
        <v>1.0141551087446399E-2</v>
      </c>
      <c r="AJ85">
        <v>8.5840842998361495E-3</v>
      </c>
      <c r="AK85">
        <v>7.2790774956503499E-3</v>
      </c>
      <c r="AL85">
        <v>6.4082573766137997E-3</v>
      </c>
      <c r="AM85">
        <v>4.6888603088864602E-3</v>
      </c>
      <c r="AN85">
        <v>3.2308204927218101E-3</v>
      </c>
      <c r="AO85">
        <v>2.8174311718458401E-3</v>
      </c>
      <c r="AP85">
        <v>2.1727128793739502E-3</v>
      </c>
      <c r="AQ85">
        <v>1.88021518932719E-3</v>
      </c>
      <c r="AR85">
        <v>1.5868277724666001E-3</v>
      </c>
      <c r="AS85">
        <v>1.4055459341486499E-3</v>
      </c>
      <c r="AT85">
        <v>6.1824891976043203E-3</v>
      </c>
    </row>
    <row r="86" spans="1:46" x14ac:dyDescent="0.25">
      <c r="A86">
        <v>4</v>
      </c>
      <c r="B86">
        <v>1</v>
      </c>
      <c r="C86">
        <v>1997</v>
      </c>
      <c r="D86">
        <v>1</v>
      </c>
      <c r="E86">
        <v>3</v>
      </c>
      <c r="F86">
        <v>0</v>
      </c>
      <c r="G86">
        <v>0</v>
      </c>
      <c r="H86">
        <v>0</v>
      </c>
      <c r="I86">
        <v>0</v>
      </c>
      <c r="J86" s="12">
        <v>2.60653175642203E-5</v>
      </c>
      <c r="K86">
        <v>1.0056363218381699E-3</v>
      </c>
      <c r="L86">
        <v>1.25895483835184E-2</v>
      </c>
      <c r="M86">
        <v>4.9196771477026002E-2</v>
      </c>
      <c r="N86">
        <v>5.7484633207184201E-2</v>
      </c>
      <c r="O86">
        <v>5.72257985420698E-2</v>
      </c>
      <c r="P86">
        <v>5.1296544966385603E-2</v>
      </c>
      <c r="Q86">
        <v>5.9586225207071498E-2</v>
      </c>
      <c r="R86">
        <v>5.4810361933604002E-2</v>
      </c>
      <c r="S86">
        <v>5.5565801515334502E-2</v>
      </c>
      <c r="T86">
        <v>5.33390353741214E-2</v>
      </c>
      <c r="U86">
        <v>5.6229254772870302E-2</v>
      </c>
      <c r="V86">
        <v>4.7635883274052403E-2</v>
      </c>
      <c r="W86">
        <v>5.0822519888822297E-2</v>
      </c>
      <c r="X86">
        <v>4.8400263865877501E-2</v>
      </c>
      <c r="Y86">
        <v>4.6863925555028302E-2</v>
      </c>
      <c r="Z86">
        <v>4.66334293456378E-2</v>
      </c>
      <c r="AA86">
        <v>4.0157258728736898E-2</v>
      </c>
      <c r="AB86">
        <v>3.3830660602742299E-2</v>
      </c>
      <c r="AC86">
        <v>2.92552881149577E-2</v>
      </c>
      <c r="AD86">
        <v>2.9990875623427098E-2</v>
      </c>
      <c r="AE86">
        <v>2.23404018332405E-2</v>
      </c>
      <c r="AF86">
        <v>1.9820249326885898E-2</v>
      </c>
      <c r="AG86">
        <v>1.50163506827825E-2</v>
      </c>
      <c r="AH86">
        <v>1.15620899353474E-2</v>
      </c>
      <c r="AI86">
        <v>9.66114026368705E-3</v>
      </c>
      <c r="AJ86">
        <v>6.7966830974144198E-3</v>
      </c>
      <c r="AK86">
        <v>5.0371226192855801E-3</v>
      </c>
      <c r="AL86">
        <v>4.0740697523052299E-3</v>
      </c>
      <c r="AM86">
        <v>3.71749014632493E-3</v>
      </c>
      <c r="AN86">
        <v>3.4460774500602899E-3</v>
      </c>
      <c r="AO86">
        <v>2.72776579160445E-3</v>
      </c>
      <c r="AP86">
        <v>2.1731200806448798E-3</v>
      </c>
      <c r="AQ86">
        <v>2.0180920581553598E-3</v>
      </c>
      <c r="AR86">
        <v>1.77304776454289E-3</v>
      </c>
      <c r="AS86">
        <v>1.3190263027847301E-3</v>
      </c>
      <c r="AT86">
        <v>6.5714908770630803E-3</v>
      </c>
    </row>
    <row r="87" spans="1:46" x14ac:dyDescent="0.25">
      <c r="A87">
        <v>4</v>
      </c>
      <c r="B87">
        <v>1</v>
      </c>
      <c r="C87">
        <v>1998</v>
      </c>
      <c r="D87">
        <v>1</v>
      </c>
      <c r="E87">
        <v>9</v>
      </c>
      <c r="F87">
        <v>0</v>
      </c>
      <c r="G87">
        <v>0</v>
      </c>
      <c r="H87">
        <v>0</v>
      </c>
      <c r="I87">
        <v>0</v>
      </c>
      <c r="J87" s="12">
        <v>2.52241185055639E-5</v>
      </c>
      <c r="K87">
        <v>7.5406838479791097E-4</v>
      </c>
      <c r="L87">
        <v>7.8606318774444208E-3</v>
      </c>
      <c r="M87">
        <v>3.5445860633647602E-2</v>
      </c>
      <c r="N87">
        <v>5.2482982570576597E-2</v>
      </c>
      <c r="O87">
        <v>5.0158159648313799E-2</v>
      </c>
      <c r="P87">
        <v>5.2205959795410303E-2</v>
      </c>
      <c r="Q87">
        <v>5.1946195627642397E-2</v>
      </c>
      <c r="R87">
        <v>5.3680021878603802E-2</v>
      </c>
      <c r="S87">
        <v>5.4243803053622898E-2</v>
      </c>
      <c r="T87">
        <v>5.2569607503865502E-2</v>
      </c>
      <c r="U87">
        <v>5.1586862571036902E-2</v>
      </c>
      <c r="V87">
        <v>5.3296460392381097E-2</v>
      </c>
      <c r="W87">
        <v>4.7338589980626102E-2</v>
      </c>
      <c r="X87">
        <v>4.82749800640958E-2</v>
      </c>
      <c r="Y87">
        <v>4.0783859396338197E-2</v>
      </c>
      <c r="Z87">
        <v>4.1143856245536001E-2</v>
      </c>
      <c r="AA87">
        <v>4.0342879850885603E-2</v>
      </c>
      <c r="AB87">
        <v>4.1271083159050898E-2</v>
      </c>
      <c r="AC87">
        <v>3.5674869077974403E-2</v>
      </c>
      <c r="AD87">
        <v>2.9028977644350602E-2</v>
      </c>
      <c r="AE87">
        <v>2.7718982963541899E-2</v>
      </c>
      <c r="AF87">
        <v>2.5107622905623701E-2</v>
      </c>
      <c r="AG87">
        <v>2.1064351594120002E-2</v>
      </c>
      <c r="AH87">
        <v>1.66887414580957E-2</v>
      </c>
      <c r="AI87">
        <v>1.2598783400936901E-2</v>
      </c>
      <c r="AJ87">
        <v>1.0394770730463901E-2</v>
      </c>
      <c r="AK87">
        <v>8.7523265930358404E-3</v>
      </c>
      <c r="AL87">
        <v>7.1689599963181702E-3</v>
      </c>
      <c r="AM87">
        <v>5.7497714340840698E-3</v>
      </c>
      <c r="AN87">
        <v>4.8180278987601296E-3</v>
      </c>
      <c r="AO87">
        <v>3.9285458251428701E-3</v>
      </c>
      <c r="AP87">
        <v>2.8808598503722999E-3</v>
      </c>
      <c r="AQ87">
        <v>2.3931935592647301E-3</v>
      </c>
      <c r="AR87">
        <v>2.04614066561581E-3</v>
      </c>
      <c r="AS87">
        <v>1.53502036958201E-3</v>
      </c>
      <c r="AT87">
        <v>7.0389672803355396E-3</v>
      </c>
    </row>
    <row r="88" spans="1:46" x14ac:dyDescent="0.25">
      <c r="A88">
        <v>4</v>
      </c>
      <c r="B88">
        <v>1</v>
      </c>
      <c r="C88">
        <v>1999</v>
      </c>
      <c r="D88">
        <v>1</v>
      </c>
      <c r="E88">
        <v>5</v>
      </c>
      <c r="F88">
        <v>0</v>
      </c>
      <c r="G88">
        <v>0</v>
      </c>
      <c r="H88">
        <v>0</v>
      </c>
      <c r="I88">
        <v>0</v>
      </c>
      <c r="J88" s="12">
        <v>2.61191962524041E-5</v>
      </c>
      <c r="K88">
        <v>8.2269814689390705E-4</v>
      </c>
      <c r="L88">
        <v>1.1170309597278201E-2</v>
      </c>
      <c r="M88">
        <v>4.8217845403756399E-2</v>
      </c>
      <c r="N88">
        <v>6.4232870160457797E-2</v>
      </c>
      <c r="O88">
        <v>5.7502936996202E-2</v>
      </c>
      <c r="P88">
        <v>6.22008871481117E-2</v>
      </c>
      <c r="Q88">
        <v>6.6828733829560394E-2</v>
      </c>
      <c r="R88">
        <v>6.3152824434903804E-2</v>
      </c>
      <c r="S88">
        <v>5.9452039615244999E-2</v>
      </c>
      <c r="T88">
        <v>5.6859115769097197E-2</v>
      </c>
      <c r="U88">
        <v>4.8315085701492601E-2</v>
      </c>
      <c r="V88">
        <v>4.99740504089181E-2</v>
      </c>
      <c r="W88">
        <v>4.6733687092028901E-2</v>
      </c>
      <c r="X88">
        <v>4.5662800045680303E-2</v>
      </c>
      <c r="Y88">
        <v>3.9341615342257601E-2</v>
      </c>
      <c r="Z88">
        <v>3.3081601570317698E-2</v>
      </c>
      <c r="AA88">
        <v>3.1236523455829699E-2</v>
      </c>
      <c r="AB88">
        <v>3.2716837383693201E-2</v>
      </c>
      <c r="AC88">
        <v>3.1788418680539603E-2</v>
      </c>
      <c r="AD88">
        <v>2.7512898473214201E-2</v>
      </c>
      <c r="AE88">
        <v>2.3924505346520301E-2</v>
      </c>
      <c r="AF88">
        <v>1.8520319264772898E-2</v>
      </c>
      <c r="AG88">
        <v>1.6078230950229901E-2</v>
      </c>
      <c r="AH88">
        <v>1.2493342997059001E-2</v>
      </c>
      <c r="AI88">
        <v>1.03119943645855E-2</v>
      </c>
      <c r="AJ88">
        <v>8.6783573626169792E-3</v>
      </c>
      <c r="AK88">
        <v>7.0292297550788203E-3</v>
      </c>
      <c r="AL88">
        <v>5.2012252277514699E-3</v>
      </c>
      <c r="AM88">
        <v>4.26862293039291E-3</v>
      </c>
      <c r="AN88">
        <v>3.42783356531552E-3</v>
      </c>
      <c r="AO88">
        <v>2.8109230252587299E-3</v>
      </c>
      <c r="AP88">
        <v>2.0441945846199801E-3</v>
      </c>
      <c r="AQ88">
        <v>1.7462548351607301E-3</v>
      </c>
      <c r="AR88">
        <v>1.36532162228476E-3</v>
      </c>
      <c r="AS88">
        <v>1.0309732962312599E-3</v>
      </c>
      <c r="AT88">
        <v>4.2387724203901602E-3</v>
      </c>
    </row>
    <row r="89" spans="1:46" x14ac:dyDescent="0.25">
      <c r="A89">
        <v>4</v>
      </c>
      <c r="B89">
        <v>1</v>
      </c>
      <c r="C89">
        <v>2000</v>
      </c>
      <c r="D89">
        <v>1</v>
      </c>
      <c r="E89">
        <v>6</v>
      </c>
      <c r="F89">
        <v>0</v>
      </c>
      <c r="G89">
        <v>0</v>
      </c>
      <c r="H89">
        <v>0</v>
      </c>
      <c r="I89">
        <v>0</v>
      </c>
      <c r="J89" s="12">
        <v>2.5056520240177599E-5</v>
      </c>
      <c r="K89">
        <v>8.7666886865016302E-4</v>
      </c>
      <c r="L89">
        <v>1.14331973836662E-2</v>
      </c>
      <c r="M89">
        <v>5.2165355091879299E-2</v>
      </c>
      <c r="N89">
        <v>7.2251636136637196E-2</v>
      </c>
      <c r="O89">
        <v>7.0531784427929498E-2</v>
      </c>
      <c r="P89">
        <v>7.2876115769166402E-2</v>
      </c>
      <c r="Q89">
        <v>7.6834581957480302E-2</v>
      </c>
      <c r="R89">
        <v>6.8521849362984402E-2</v>
      </c>
      <c r="S89">
        <v>6.8874806024639204E-2</v>
      </c>
      <c r="T89">
        <v>5.8001049589792297E-2</v>
      </c>
      <c r="U89">
        <v>4.8218334474539298E-2</v>
      </c>
      <c r="V89">
        <v>4.5096168316710698E-2</v>
      </c>
      <c r="W89">
        <v>4.3592158422787998E-2</v>
      </c>
      <c r="X89">
        <v>3.89671423951218E-2</v>
      </c>
      <c r="Y89">
        <v>3.2692572118310698E-2</v>
      </c>
      <c r="Z89">
        <v>3.20746659555977E-2</v>
      </c>
      <c r="AA89">
        <v>2.7595580957848899E-2</v>
      </c>
      <c r="AB89">
        <v>2.56153425094847E-2</v>
      </c>
      <c r="AC89">
        <v>2.44512196725237E-2</v>
      </c>
      <c r="AD89">
        <v>2.3826894709872599E-2</v>
      </c>
      <c r="AE89">
        <v>2.2036590871724101E-2</v>
      </c>
      <c r="AF89">
        <v>1.77010395207832E-2</v>
      </c>
      <c r="AG89">
        <v>1.43781118612772E-2</v>
      </c>
      <c r="AH89">
        <v>1.1368545374651399E-2</v>
      </c>
      <c r="AI89">
        <v>8.7015726678527795E-3</v>
      </c>
      <c r="AJ89">
        <v>6.7097339786366898E-3</v>
      </c>
      <c r="AK89">
        <v>5.23820475909935E-3</v>
      </c>
      <c r="AL89">
        <v>3.9836773784321803E-3</v>
      </c>
      <c r="AM89">
        <v>3.1466813334956301E-3</v>
      </c>
      <c r="AN89">
        <v>2.4792034748753501E-3</v>
      </c>
      <c r="AO89">
        <v>1.87421224697748E-3</v>
      </c>
      <c r="AP89">
        <v>1.4226535380811899E-3</v>
      </c>
      <c r="AQ89">
        <v>1.09444405691047E-3</v>
      </c>
      <c r="AR89">
        <v>9.4217156199408495E-4</v>
      </c>
      <c r="AS89">
        <v>7.9345647427228995E-4</v>
      </c>
      <c r="AT89">
        <v>3.6075202350734701E-3</v>
      </c>
    </row>
    <row r="90" spans="1:46" x14ac:dyDescent="0.25">
      <c r="A90">
        <v>4</v>
      </c>
      <c r="B90">
        <v>1</v>
      </c>
      <c r="C90">
        <v>2001</v>
      </c>
      <c r="D90">
        <v>1</v>
      </c>
      <c r="E90">
        <v>18</v>
      </c>
      <c r="F90">
        <v>0</v>
      </c>
      <c r="G90">
        <v>0</v>
      </c>
      <c r="H90">
        <v>0</v>
      </c>
      <c r="I90">
        <v>0</v>
      </c>
      <c r="J90" s="12">
        <v>2.7054975710643999E-5</v>
      </c>
      <c r="K90">
        <v>9.7798727013291E-4</v>
      </c>
      <c r="L90">
        <v>1.3254647729901399E-2</v>
      </c>
      <c r="M90">
        <v>5.9717631942392699E-2</v>
      </c>
      <c r="N90">
        <v>8.6131304525080707E-2</v>
      </c>
      <c r="O90">
        <v>8.1250815943711904E-2</v>
      </c>
      <c r="P90">
        <v>7.7445941581865796E-2</v>
      </c>
      <c r="Q90">
        <v>8.1175663233404596E-2</v>
      </c>
      <c r="R90">
        <v>8.6650216096250399E-2</v>
      </c>
      <c r="S90">
        <v>7.9910950479946702E-2</v>
      </c>
      <c r="T90">
        <v>6.4005058278421803E-2</v>
      </c>
      <c r="U90">
        <v>4.73281708431533E-2</v>
      </c>
      <c r="V90">
        <v>3.9831795351010398E-2</v>
      </c>
      <c r="W90">
        <v>3.2662226787689701E-2</v>
      </c>
      <c r="X90">
        <v>3.4550492314669098E-2</v>
      </c>
      <c r="Y90">
        <v>3.55287658808413E-2</v>
      </c>
      <c r="Z90">
        <v>2.9987219744807201E-2</v>
      </c>
      <c r="AA90">
        <v>2.6816634257955E-2</v>
      </c>
      <c r="AB90">
        <v>2.54766256461702E-2</v>
      </c>
      <c r="AC90">
        <v>2.27880195414225E-2</v>
      </c>
      <c r="AD90">
        <v>1.9351321886072501E-2</v>
      </c>
      <c r="AE90">
        <v>1.4807231150841401E-2</v>
      </c>
      <c r="AF90">
        <v>1.118773347442E-2</v>
      </c>
      <c r="AG90">
        <v>8.32949696640717E-3</v>
      </c>
      <c r="AH90">
        <v>5.7725870397218604E-3</v>
      </c>
      <c r="AI90">
        <v>4.2192878786837702E-3</v>
      </c>
      <c r="AJ90">
        <v>2.54059105244714E-3</v>
      </c>
      <c r="AK90">
        <v>1.57749117635607E-3</v>
      </c>
      <c r="AL90">
        <v>1.3650595152206401E-3</v>
      </c>
      <c r="AM90">
        <v>1.04283332302668E-3</v>
      </c>
      <c r="AN90">
        <v>1.09164679772154E-3</v>
      </c>
      <c r="AO90">
        <v>7.5238599119124296E-4</v>
      </c>
      <c r="AP90">
        <v>4.4833959749067197E-4</v>
      </c>
      <c r="AQ90">
        <v>3.4241006296222498E-4</v>
      </c>
      <c r="AR90">
        <v>3.13494162996351E-4</v>
      </c>
      <c r="AS90">
        <v>1.9425186264203099E-4</v>
      </c>
      <c r="AT90">
        <v>1.14661563726063E-3</v>
      </c>
    </row>
    <row r="91" spans="1:46" x14ac:dyDescent="0.25">
      <c r="A91">
        <v>4</v>
      </c>
      <c r="B91">
        <v>1</v>
      </c>
      <c r="C91">
        <v>2002</v>
      </c>
      <c r="D91">
        <v>1</v>
      </c>
      <c r="E91">
        <v>11</v>
      </c>
      <c r="F91">
        <v>0</v>
      </c>
      <c r="G91">
        <v>0</v>
      </c>
      <c r="H91">
        <v>0</v>
      </c>
      <c r="I91">
        <v>0</v>
      </c>
      <c r="J91" s="12">
        <v>2.4039978124815899E-5</v>
      </c>
      <c r="K91">
        <v>9.1656901671406405E-4</v>
      </c>
      <c r="L91">
        <v>1.1772951376752201E-2</v>
      </c>
      <c r="M91">
        <v>5.5337697406642503E-2</v>
      </c>
      <c r="N91">
        <v>7.7203851539380905E-2</v>
      </c>
      <c r="O91">
        <v>7.0550937095689603E-2</v>
      </c>
      <c r="P91">
        <v>7.4738019554309601E-2</v>
      </c>
      <c r="Q91">
        <v>8.0203646123149896E-2</v>
      </c>
      <c r="R91">
        <v>8.2412752670186801E-2</v>
      </c>
      <c r="S91">
        <v>7.9919472053375906E-2</v>
      </c>
      <c r="T91">
        <v>6.8076433974229994E-2</v>
      </c>
      <c r="U91">
        <v>5.8861886438611802E-2</v>
      </c>
      <c r="V91">
        <v>4.8652550255962997E-2</v>
      </c>
      <c r="W91">
        <v>4.26908748847711E-2</v>
      </c>
      <c r="X91">
        <v>3.5469552500591299E-2</v>
      </c>
      <c r="Y91">
        <v>3.30241126362677E-2</v>
      </c>
      <c r="Z91">
        <v>2.8729567887373301E-2</v>
      </c>
      <c r="AA91">
        <v>2.6210034657635099E-2</v>
      </c>
      <c r="AB91">
        <v>2.2081377717990101E-2</v>
      </c>
      <c r="AC91">
        <v>1.8987516254643198E-2</v>
      </c>
      <c r="AD91">
        <v>1.6877499866195401E-2</v>
      </c>
      <c r="AE91">
        <v>1.38778846852482E-2</v>
      </c>
      <c r="AF91">
        <v>1.1731748528672601E-2</v>
      </c>
      <c r="AG91">
        <v>9.57771864793662E-3</v>
      </c>
      <c r="AH91">
        <v>7.6667795907761904E-3</v>
      </c>
      <c r="AI91">
        <v>5.4628159246316796E-3</v>
      </c>
      <c r="AJ91">
        <v>4.0037327747128098E-3</v>
      </c>
      <c r="AK91">
        <v>3.1119213474108702E-3</v>
      </c>
      <c r="AL91">
        <v>2.4923836027016901E-3</v>
      </c>
      <c r="AM91">
        <v>1.9483146450410499E-3</v>
      </c>
      <c r="AN91">
        <v>1.51152857483295E-3</v>
      </c>
      <c r="AO91">
        <v>1.1988892573291301E-3</v>
      </c>
      <c r="AP91">
        <v>8.8935958873697198E-4</v>
      </c>
      <c r="AQ91">
        <v>7.0325906156177903E-4</v>
      </c>
      <c r="AR91">
        <v>5.82700365294046E-4</v>
      </c>
      <c r="AS91">
        <v>4.6824136496842998E-4</v>
      </c>
      <c r="AT91">
        <v>2.0313781515469498E-3</v>
      </c>
    </row>
    <row r="92" spans="1:46" x14ac:dyDescent="0.25">
      <c r="A92">
        <v>4</v>
      </c>
      <c r="B92">
        <v>1</v>
      </c>
      <c r="C92">
        <v>2003</v>
      </c>
      <c r="D92">
        <v>1</v>
      </c>
      <c r="E92">
        <v>4</v>
      </c>
      <c r="F92">
        <v>0</v>
      </c>
      <c r="G92">
        <v>0</v>
      </c>
      <c r="H92">
        <v>0</v>
      </c>
      <c r="I92">
        <v>0</v>
      </c>
      <c r="J92" s="12">
        <v>2.84815814196202E-5</v>
      </c>
      <c r="K92">
        <v>1.0783715999566599E-3</v>
      </c>
      <c r="L92">
        <v>1.40677187246319E-2</v>
      </c>
      <c r="M92">
        <v>5.8161353505858999E-2</v>
      </c>
      <c r="N92">
        <v>8.3792812536522696E-2</v>
      </c>
      <c r="O92">
        <v>6.9557914567696E-2</v>
      </c>
      <c r="P92">
        <v>7.4768516219824097E-2</v>
      </c>
      <c r="Q92">
        <v>8.0261751189488001E-2</v>
      </c>
      <c r="R92">
        <v>8.9050883491016905E-2</v>
      </c>
      <c r="S92">
        <v>8.30765171325442E-2</v>
      </c>
      <c r="T92">
        <v>7.6880845612696105E-2</v>
      </c>
      <c r="U92">
        <v>6.2483897266826703E-2</v>
      </c>
      <c r="V92">
        <v>5.2558338954171599E-2</v>
      </c>
      <c r="W92">
        <v>4.7090748320268702E-2</v>
      </c>
      <c r="X92">
        <v>3.7996393860767801E-2</v>
      </c>
      <c r="Y92">
        <v>2.9234542767495299E-2</v>
      </c>
      <c r="Z92">
        <v>2.5087799112531398E-2</v>
      </c>
      <c r="AA92">
        <v>2.0659076889030001E-2</v>
      </c>
      <c r="AB92">
        <v>1.6680712851424199E-2</v>
      </c>
      <c r="AC92">
        <v>1.4849707278091699E-2</v>
      </c>
      <c r="AD92">
        <v>1.3112003436995701E-2</v>
      </c>
      <c r="AE92">
        <v>1.01382426122215E-2</v>
      </c>
      <c r="AF92">
        <v>7.9463612160740396E-3</v>
      </c>
      <c r="AG92">
        <v>6.4216690490436499E-3</v>
      </c>
      <c r="AH92">
        <v>4.99955422505709E-3</v>
      </c>
      <c r="AI92">
        <v>3.9481364588576998E-3</v>
      </c>
      <c r="AJ92">
        <v>3.1653840315667599E-3</v>
      </c>
      <c r="AK92">
        <v>2.5093255354182698E-3</v>
      </c>
      <c r="AL92">
        <v>2.0101885491602498E-3</v>
      </c>
      <c r="AM92">
        <v>1.68532392124374E-3</v>
      </c>
      <c r="AN92">
        <v>1.3732268987911901E-3</v>
      </c>
      <c r="AO92">
        <v>1.02904717542919E-3</v>
      </c>
      <c r="AP92">
        <v>7.8024255613135896E-4</v>
      </c>
      <c r="AQ92">
        <v>6.2888641272517798E-4</v>
      </c>
      <c r="AR92">
        <v>4.8320476063631602E-4</v>
      </c>
      <c r="AS92">
        <v>4.2493209980077099E-4</v>
      </c>
      <c r="AT92">
        <v>1.9778875985847402E-3</v>
      </c>
    </row>
    <row r="93" spans="1:46" x14ac:dyDescent="0.25">
      <c r="A93">
        <v>4</v>
      </c>
      <c r="B93">
        <v>1</v>
      </c>
      <c r="C93">
        <v>2004</v>
      </c>
      <c r="D93">
        <v>1</v>
      </c>
      <c r="E93">
        <v>8</v>
      </c>
      <c r="F93">
        <v>0</v>
      </c>
      <c r="G93">
        <v>0</v>
      </c>
      <c r="H93">
        <v>0</v>
      </c>
      <c r="I93">
        <v>0</v>
      </c>
      <c r="J93" s="12">
        <v>4.7667967100342099E-5</v>
      </c>
      <c r="K93">
        <v>1.5021851253783499E-3</v>
      </c>
      <c r="L93">
        <v>1.85312442911168E-2</v>
      </c>
      <c r="M93">
        <v>7.1166643004459601E-2</v>
      </c>
      <c r="N93">
        <v>9.3219991790803106E-2</v>
      </c>
      <c r="O93">
        <v>8.1919505723548697E-2</v>
      </c>
      <c r="P93">
        <v>8.0567796775395203E-2</v>
      </c>
      <c r="Q93">
        <v>8.2289512214122104E-2</v>
      </c>
      <c r="R93">
        <v>8.7053818165515107E-2</v>
      </c>
      <c r="S93">
        <v>8.1457770604392896E-2</v>
      </c>
      <c r="T93">
        <v>7.57018850490839E-2</v>
      </c>
      <c r="U93">
        <v>6.15921667873826E-2</v>
      </c>
      <c r="V93">
        <v>5.4055990021162001E-2</v>
      </c>
      <c r="W93">
        <v>4.5304151261539201E-2</v>
      </c>
      <c r="X93">
        <v>3.5419274984821399E-2</v>
      </c>
      <c r="Y93">
        <v>2.7407277429887501E-2</v>
      </c>
      <c r="Z93">
        <v>2.0523164098308001E-2</v>
      </c>
      <c r="AA93">
        <v>1.6341609780745399E-2</v>
      </c>
      <c r="AB93">
        <v>1.3864421479649801E-2</v>
      </c>
      <c r="AC93">
        <v>1.2542601635191599E-2</v>
      </c>
      <c r="AD93">
        <v>9.8573920434347102E-3</v>
      </c>
      <c r="AE93">
        <v>7.6433652760245904E-3</v>
      </c>
      <c r="AF93">
        <v>5.6799603608645496E-3</v>
      </c>
      <c r="AG93">
        <v>4.41894938254523E-3</v>
      </c>
      <c r="AH93">
        <v>3.08424630373565E-3</v>
      </c>
      <c r="AI93">
        <v>2.4151769997506701E-3</v>
      </c>
      <c r="AJ93">
        <v>1.7013599284516701E-3</v>
      </c>
      <c r="AK93">
        <v>1.13269396417894E-3</v>
      </c>
      <c r="AL93">
        <v>8.5853873718021601E-4</v>
      </c>
      <c r="AM93">
        <v>6.4003908257972899E-4</v>
      </c>
      <c r="AN93">
        <v>4.5142853167459099E-4</v>
      </c>
      <c r="AO93">
        <v>3.3779840469485699E-4</v>
      </c>
      <c r="AP93">
        <v>2.2803324802055599E-4</v>
      </c>
      <c r="AQ93">
        <v>1.9479450339383099E-4</v>
      </c>
      <c r="AR93">
        <v>1.3707761349936201E-4</v>
      </c>
      <c r="AS93">
        <v>1.2642747310216899E-4</v>
      </c>
      <c r="AT93">
        <v>5.8403995726545295E-4</v>
      </c>
    </row>
    <row r="94" spans="1:46" x14ac:dyDescent="0.25">
      <c r="A94">
        <v>4</v>
      </c>
      <c r="B94">
        <v>1</v>
      </c>
      <c r="C94">
        <v>2005</v>
      </c>
      <c r="D94">
        <v>1</v>
      </c>
      <c r="E94">
        <v>12</v>
      </c>
      <c r="F94">
        <v>0</v>
      </c>
      <c r="G94">
        <v>0</v>
      </c>
      <c r="H94">
        <v>0</v>
      </c>
      <c r="I94">
        <v>0</v>
      </c>
      <c r="J94" s="12">
        <v>3.7087861143047901E-5</v>
      </c>
      <c r="K94">
        <v>1.3935218414777601E-3</v>
      </c>
      <c r="L94">
        <v>1.9596025926596601E-2</v>
      </c>
      <c r="M94">
        <v>8.7262192270744304E-2</v>
      </c>
      <c r="N94">
        <v>0.121329665271145</v>
      </c>
      <c r="O94">
        <v>9.40691783148003E-2</v>
      </c>
      <c r="P94">
        <v>8.4484693257935894E-2</v>
      </c>
      <c r="Q94">
        <v>8.8442186205788198E-2</v>
      </c>
      <c r="R94">
        <v>8.9337567167207393E-2</v>
      </c>
      <c r="S94">
        <v>8.4474148669963903E-2</v>
      </c>
      <c r="T94">
        <v>7.7251833122078006E-2</v>
      </c>
      <c r="U94">
        <v>5.7731073737212903E-2</v>
      </c>
      <c r="V94">
        <v>4.2893747641103E-2</v>
      </c>
      <c r="W94">
        <v>3.3957936547760102E-2</v>
      </c>
      <c r="X94">
        <v>2.4678699132362199E-2</v>
      </c>
      <c r="Y94">
        <v>1.9128609794249601E-2</v>
      </c>
      <c r="Z94">
        <v>1.4875050268596099E-2</v>
      </c>
      <c r="AA94">
        <v>1.1852025978955899E-2</v>
      </c>
      <c r="AB94">
        <v>1.0463140120120999E-2</v>
      </c>
      <c r="AC94">
        <v>9.1784275183203097E-3</v>
      </c>
      <c r="AD94">
        <v>7.2108619437093596E-3</v>
      </c>
      <c r="AE94">
        <v>5.3319254490358297E-3</v>
      </c>
      <c r="AF94">
        <v>3.8687729662944099E-3</v>
      </c>
      <c r="AG94">
        <v>3.2359158847309298E-3</v>
      </c>
      <c r="AH94">
        <v>2.3038106686504999E-3</v>
      </c>
      <c r="AI94">
        <v>1.5421459909112901E-3</v>
      </c>
      <c r="AJ94">
        <v>1.03609666987368E-3</v>
      </c>
      <c r="AK94">
        <v>6.8857977489849903E-4</v>
      </c>
      <c r="AL94">
        <v>5.6649889863596699E-4</v>
      </c>
      <c r="AM94">
        <v>4.1123893090967798E-4</v>
      </c>
      <c r="AN94">
        <v>3.0679296901418298E-4</v>
      </c>
      <c r="AO94">
        <v>2.5197929188364903E-4</v>
      </c>
      <c r="AP94">
        <v>1.7053143996166101E-4</v>
      </c>
      <c r="AQ94">
        <v>1.51987509390137E-4</v>
      </c>
      <c r="AR94">
        <v>1.14536041765295E-4</v>
      </c>
      <c r="AS94" s="12">
        <v>7.7629983863144301E-5</v>
      </c>
      <c r="AT94">
        <v>2.9388493891047498E-4</v>
      </c>
    </row>
    <row r="95" spans="1:46" x14ac:dyDescent="0.25">
      <c r="A95">
        <v>4</v>
      </c>
      <c r="B95">
        <v>1</v>
      </c>
      <c r="C95">
        <v>2006</v>
      </c>
      <c r="D95">
        <v>1</v>
      </c>
      <c r="E95">
        <v>7</v>
      </c>
      <c r="F95">
        <v>0</v>
      </c>
      <c r="G95">
        <v>0</v>
      </c>
      <c r="H95">
        <v>0</v>
      </c>
      <c r="I95">
        <v>0</v>
      </c>
      <c r="J95" s="12">
        <v>6.4399286580951899E-5</v>
      </c>
      <c r="K95">
        <v>2.00550632657341E-3</v>
      </c>
      <c r="L95">
        <v>2.3516618704829101E-2</v>
      </c>
      <c r="M95">
        <v>9.3553531375519999E-2</v>
      </c>
      <c r="N95">
        <v>0.11931799779992</v>
      </c>
      <c r="O95">
        <v>0.103617951920118</v>
      </c>
      <c r="P95">
        <v>0.106200050694118</v>
      </c>
      <c r="Q95">
        <v>0.104142024561013</v>
      </c>
      <c r="R95">
        <v>9.1114361503582E-2</v>
      </c>
      <c r="S95">
        <v>8.5284662978525799E-2</v>
      </c>
      <c r="T95">
        <v>6.6420548849484895E-2</v>
      </c>
      <c r="U95">
        <v>4.5175036635691203E-2</v>
      </c>
      <c r="V95">
        <v>3.7000203701821097E-2</v>
      </c>
      <c r="W95">
        <v>2.7480363532096999E-2</v>
      </c>
      <c r="X95">
        <v>2.1855367205357301E-2</v>
      </c>
      <c r="Y95">
        <v>1.8417945867835399E-2</v>
      </c>
      <c r="Z95">
        <v>1.2049544184350501E-2</v>
      </c>
      <c r="AA95">
        <v>9.5323448855649702E-3</v>
      </c>
      <c r="AB95">
        <v>7.4944513449634702E-3</v>
      </c>
      <c r="AC95">
        <v>5.6991492916766201E-3</v>
      </c>
      <c r="AD95">
        <v>5.07566415984628E-3</v>
      </c>
      <c r="AE95">
        <v>3.5327072722300401E-3</v>
      </c>
      <c r="AF95">
        <v>2.95373892879352E-3</v>
      </c>
      <c r="AG95">
        <v>2.00450594930613E-3</v>
      </c>
      <c r="AH95">
        <v>1.63461645473049E-3</v>
      </c>
      <c r="AI95">
        <v>1.1816956469708601E-3</v>
      </c>
      <c r="AJ95">
        <v>8.5532256352176803E-4</v>
      </c>
      <c r="AK95">
        <v>6.8025654174830698E-4</v>
      </c>
      <c r="AL95">
        <v>4.40791233393894E-4</v>
      </c>
      <c r="AM95">
        <v>3.4212902540870698E-4</v>
      </c>
      <c r="AN95">
        <v>2.6960167353113002E-4</v>
      </c>
      <c r="AO95">
        <v>2.2008299880092299E-4</v>
      </c>
      <c r="AP95">
        <v>1.6581253205115001E-4</v>
      </c>
      <c r="AQ95">
        <v>1.4705545828970799E-4</v>
      </c>
      <c r="AR95">
        <v>1.1004149940046101E-4</v>
      </c>
      <c r="AS95" s="12">
        <v>9.2284802906296095E-5</v>
      </c>
      <c r="AT95">
        <v>3.51632609447838E-4</v>
      </c>
    </row>
    <row r="96" spans="1:46" x14ac:dyDescent="0.25">
      <c r="A96">
        <v>4</v>
      </c>
      <c r="B96">
        <v>1</v>
      </c>
      <c r="C96">
        <v>2007</v>
      </c>
      <c r="D96">
        <v>1</v>
      </c>
      <c r="E96">
        <v>17</v>
      </c>
      <c r="F96">
        <v>0</v>
      </c>
      <c r="G96">
        <v>0</v>
      </c>
      <c r="H96">
        <v>0</v>
      </c>
      <c r="I96">
        <v>0</v>
      </c>
      <c r="J96" s="12">
        <v>4.7688250396203E-5</v>
      </c>
      <c r="K96">
        <v>1.6605925813252501E-3</v>
      </c>
      <c r="L96">
        <v>1.9383492328426798E-2</v>
      </c>
      <c r="M96">
        <v>7.5544218176486294E-2</v>
      </c>
      <c r="N96">
        <v>0.107190031511245</v>
      </c>
      <c r="O96">
        <v>9.0071594041435304E-2</v>
      </c>
      <c r="P96">
        <v>8.9531127203611699E-2</v>
      </c>
      <c r="Q96">
        <v>9.3958597554332807E-2</v>
      </c>
      <c r="R96">
        <v>9.8083220107997401E-2</v>
      </c>
      <c r="S96">
        <v>9.4236641979774993E-2</v>
      </c>
      <c r="T96">
        <v>7.5216841078220395E-2</v>
      </c>
      <c r="U96">
        <v>5.8798379421697702E-2</v>
      </c>
      <c r="V96">
        <v>4.71694351203409E-2</v>
      </c>
      <c r="W96">
        <v>3.5689722154275599E-2</v>
      </c>
      <c r="X96">
        <v>3.0159803601148099E-2</v>
      </c>
      <c r="Y96">
        <v>2.2466099203893999E-2</v>
      </c>
      <c r="Z96">
        <v>1.6204412670548899E-2</v>
      </c>
      <c r="AA96">
        <v>1.20590978013387E-2</v>
      </c>
      <c r="AB96">
        <v>7.8822648356022904E-3</v>
      </c>
      <c r="AC96">
        <v>5.9856976359372099E-3</v>
      </c>
      <c r="AD96">
        <v>4.8938011441068997E-3</v>
      </c>
      <c r="AE96">
        <v>3.5789483781541202E-3</v>
      </c>
      <c r="AF96">
        <v>2.6343647287833498E-3</v>
      </c>
      <c r="AG96">
        <v>1.9313741410462201E-3</v>
      </c>
      <c r="AH96">
        <v>1.4306475118860901E-3</v>
      </c>
      <c r="AI96">
        <v>1.15644007210792E-3</v>
      </c>
      <c r="AJ96">
        <v>7.7740070257948204E-4</v>
      </c>
      <c r="AK96">
        <v>5.0648210765622502E-4</v>
      </c>
      <c r="AL96">
        <v>3.9027625611605198E-4</v>
      </c>
      <c r="AM96">
        <v>3.0586257150668199E-4</v>
      </c>
      <c r="AN96">
        <v>2.3679682955355999E-4</v>
      </c>
      <c r="AO96">
        <v>1.7458284771483499E-4</v>
      </c>
      <c r="AP96">
        <v>1.4018701194056199E-4</v>
      </c>
      <c r="AQ96">
        <v>1.1839841477677999E-4</v>
      </c>
      <c r="AR96" s="12">
        <v>8.5372931025386501E-5</v>
      </c>
      <c r="AS96" s="12">
        <v>6.65991083119387E-5</v>
      </c>
      <c r="AT96">
        <v>2.3350798469864899E-4</v>
      </c>
    </row>
    <row r="97" spans="1:46" x14ac:dyDescent="0.25">
      <c r="A97">
        <v>4</v>
      </c>
      <c r="B97">
        <v>1</v>
      </c>
      <c r="C97">
        <v>2008</v>
      </c>
      <c r="D97">
        <v>1</v>
      </c>
      <c r="E97">
        <v>13</v>
      </c>
      <c r="F97">
        <v>0</v>
      </c>
      <c r="G97">
        <v>0</v>
      </c>
      <c r="H97">
        <v>0</v>
      </c>
      <c r="I97">
        <v>0</v>
      </c>
      <c r="J97" s="12">
        <v>5.0841432187581001E-5</v>
      </c>
      <c r="K97">
        <v>1.8676444477070599E-3</v>
      </c>
      <c r="L97">
        <v>2.3280706830792801E-2</v>
      </c>
      <c r="M97">
        <v>8.9562889489792005E-2</v>
      </c>
      <c r="N97">
        <v>0.120371759815217</v>
      </c>
      <c r="O97">
        <v>0.10602980682719999</v>
      </c>
      <c r="P97">
        <v>9.9763340915018706E-2</v>
      </c>
      <c r="Q97">
        <v>9.3671188484623094E-2</v>
      </c>
      <c r="R97">
        <v>9.2546840587597295E-2</v>
      </c>
      <c r="S97">
        <v>8.3307318170221994E-2</v>
      </c>
      <c r="T97">
        <v>7.7722153388860293E-2</v>
      </c>
      <c r="U97">
        <v>6.1940428108204597E-2</v>
      </c>
      <c r="V97">
        <v>4.4387164250380001E-2</v>
      </c>
      <c r="W97">
        <v>2.8555246025192198E-2</v>
      </c>
      <c r="X97">
        <v>2.1986195772975899E-2</v>
      </c>
      <c r="Y97">
        <v>1.3549241677990299E-2</v>
      </c>
      <c r="Z97">
        <v>9.6982625848432598E-3</v>
      </c>
      <c r="AA97">
        <v>7.9219251990241008E-3</v>
      </c>
      <c r="AB97">
        <v>6.1523320848216696E-3</v>
      </c>
      <c r="AC97">
        <v>4.54771423016669E-3</v>
      </c>
      <c r="AD97">
        <v>3.4426912652733401E-3</v>
      </c>
      <c r="AE97">
        <v>2.5003090043678199E-3</v>
      </c>
      <c r="AF97">
        <v>1.9738667256704E-3</v>
      </c>
      <c r="AG97">
        <v>1.3991769654072E-3</v>
      </c>
      <c r="AH97">
        <v>1.0855683352297299E-3</v>
      </c>
      <c r="AI97">
        <v>7.0814851975559297E-4</v>
      </c>
      <c r="AJ97">
        <v>4.6535474155367498E-4</v>
      </c>
      <c r="AK97">
        <v>3.4862696357198402E-4</v>
      </c>
      <c r="AL97">
        <v>2.6250780292771399E-4</v>
      </c>
      <c r="AM97">
        <v>2.0284693862596099E-4</v>
      </c>
      <c r="AN97">
        <v>1.6186251880127801E-4</v>
      </c>
      <c r="AO97">
        <v>1.18024753292599E-4</v>
      </c>
      <c r="AP97" s="12">
        <v>9.3382222385352898E-5</v>
      </c>
      <c r="AQ97" s="12">
        <v>6.6923926042836295E-5</v>
      </c>
      <c r="AR97" s="12">
        <v>5.1230524780853297E-5</v>
      </c>
      <c r="AS97" s="12">
        <v>4.4615950695224197E-5</v>
      </c>
      <c r="AT97">
        <v>1.6186251880127801E-4</v>
      </c>
    </row>
    <row r="98" spans="1:46" x14ac:dyDescent="0.25">
      <c r="A98">
        <v>4</v>
      </c>
      <c r="B98">
        <v>1</v>
      </c>
      <c r="C98">
        <v>2009</v>
      </c>
      <c r="D98">
        <v>1</v>
      </c>
      <c r="E98">
        <v>8</v>
      </c>
      <c r="F98">
        <v>0</v>
      </c>
      <c r="G98">
        <v>0</v>
      </c>
      <c r="H98">
        <v>0</v>
      </c>
      <c r="I98">
        <v>0</v>
      </c>
      <c r="J98" s="12">
        <v>2.4888799527795999E-5</v>
      </c>
      <c r="K98">
        <v>1.0287370471489001E-3</v>
      </c>
      <c r="L98">
        <v>1.34460519409725E-2</v>
      </c>
      <c r="M98">
        <v>6.5032806447207603E-2</v>
      </c>
      <c r="N98">
        <v>8.9241312121243893E-2</v>
      </c>
      <c r="O98">
        <v>7.7093056537348201E-2</v>
      </c>
      <c r="P98">
        <v>8.3705668960909696E-2</v>
      </c>
      <c r="Q98">
        <v>9.0418243262313194E-2</v>
      </c>
      <c r="R98">
        <v>9.2489137787728895E-2</v>
      </c>
      <c r="S98">
        <v>8.8848378165300196E-2</v>
      </c>
      <c r="T98">
        <v>8.1474217277755806E-2</v>
      </c>
      <c r="U98">
        <v>7.4472981703397598E-2</v>
      </c>
      <c r="V98">
        <v>6.4382932237315199E-2</v>
      </c>
      <c r="W98">
        <v>5.1343885370973598E-2</v>
      </c>
      <c r="X98">
        <v>3.7383627578318999E-2</v>
      </c>
      <c r="Y98">
        <v>2.72195624012226E-2</v>
      </c>
      <c r="Z98">
        <v>1.9966348065631901E-2</v>
      </c>
      <c r="AA98">
        <v>1.43932090341137E-2</v>
      </c>
      <c r="AB98">
        <v>9.0892919844157097E-3</v>
      </c>
      <c r="AC98">
        <v>5.9504564857974802E-3</v>
      </c>
      <c r="AD98">
        <v>3.7857816144485799E-3</v>
      </c>
      <c r="AE98">
        <v>2.6209695293584901E-3</v>
      </c>
      <c r="AF98">
        <v>1.87398019973994E-3</v>
      </c>
      <c r="AG98">
        <v>1.3583103010267801E-3</v>
      </c>
      <c r="AH98">
        <v>9.4707575719495704E-4</v>
      </c>
      <c r="AI98">
        <v>6.7102155589646205E-4</v>
      </c>
      <c r="AJ98">
        <v>4.4694102420012797E-4</v>
      </c>
      <c r="AK98">
        <v>3.02569719749677E-4</v>
      </c>
      <c r="AL98">
        <v>2.2676461791991899E-4</v>
      </c>
      <c r="AM98">
        <v>1.7023613533227801E-4</v>
      </c>
      <c r="AN98">
        <v>1.3176423279421401E-4</v>
      </c>
      <c r="AO98" s="12">
        <v>9.2804314579134905E-5</v>
      </c>
      <c r="AP98" s="12">
        <v>7.8570523999512998E-5</v>
      </c>
      <c r="AQ98" s="12">
        <v>5.1729661763654501E-5</v>
      </c>
      <c r="AR98" s="12">
        <v>4.8801567701560799E-5</v>
      </c>
      <c r="AS98" s="12">
        <v>3.8553238484233102E-5</v>
      </c>
      <c r="AT98">
        <v>1.4933279716677599E-4</v>
      </c>
    </row>
    <row r="99" spans="1:46" x14ac:dyDescent="0.25">
      <c r="A99">
        <v>4</v>
      </c>
      <c r="B99">
        <v>1</v>
      </c>
      <c r="C99">
        <v>2010</v>
      </c>
      <c r="D99">
        <v>1</v>
      </c>
      <c r="E99">
        <v>6</v>
      </c>
      <c r="F99">
        <v>0</v>
      </c>
      <c r="G99">
        <v>0</v>
      </c>
      <c r="H99">
        <v>0</v>
      </c>
      <c r="I99">
        <v>0</v>
      </c>
      <c r="J99" s="12">
        <v>4.08249622294601E-5</v>
      </c>
      <c r="K99">
        <v>1.29805500344181E-3</v>
      </c>
      <c r="L99">
        <v>1.5496500078968E-2</v>
      </c>
      <c r="M99">
        <v>6.7205486636529699E-2</v>
      </c>
      <c r="N99">
        <v>9.0488528781598396E-2</v>
      </c>
      <c r="O99">
        <v>9.0603106869023398E-2</v>
      </c>
      <c r="P99">
        <v>8.9103608986259603E-2</v>
      </c>
      <c r="Q99">
        <v>8.2955056782456599E-2</v>
      </c>
      <c r="R99">
        <v>8.6174194451976993E-2</v>
      </c>
      <c r="S99">
        <v>8.5198269259995393E-2</v>
      </c>
      <c r="T99">
        <v>8.3173261735686704E-2</v>
      </c>
      <c r="U99">
        <v>6.9899189162611494E-2</v>
      </c>
      <c r="V99">
        <v>6.4207012357745896E-2</v>
      </c>
      <c r="W99">
        <v>4.9689864383647399E-2</v>
      </c>
      <c r="X99">
        <v>3.7864407486761703E-2</v>
      </c>
      <c r="Y99">
        <v>2.8525846372985199E-2</v>
      </c>
      <c r="Z99">
        <v>1.9815751283602401E-2</v>
      </c>
      <c r="AA99">
        <v>1.39745037681142E-2</v>
      </c>
      <c r="AB99">
        <v>8.9591422586037892E-3</v>
      </c>
      <c r="AC99">
        <v>5.6030025716746297E-3</v>
      </c>
      <c r="AD99">
        <v>3.4094058329037298E-3</v>
      </c>
      <c r="AE99">
        <v>2.1433105170466601E-3</v>
      </c>
      <c r="AF99">
        <v>1.33761349786488E-3</v>
      </c>
      <c r="AG99">
        <v>8.9159333569740703E-4</v>
      </c>
      <c r="AH99">
        <v>6.0343466069092495E-4</v>
      </c>
      <c r="AI99">
        <v>4.0988858063228001E-4</v>
      </c>
      <c r="AJ99">
        <v>2.6141385485981E-4</v>
      </c>
      <c r="AK99">
        <v>1.7730549289437101E-4</v>
      </c>
      <c r="AL99">
        <v>1.1368411014992001E-4</v>
      </c>
      <c r="AM99" s="12">
        <v>8.6417803259441095E-5</v>
      </c>
      <c r="AN99" s="12">
        <v>6.1013949025415802E-5</v>
      </c>
      <c r="AO99" s="12">
        <v>5.0062727405469398E-5</v>
      </c>
      <c r="AP99" s="12">
        <v>3.3077159178613699E-5</v>
      </c>
      <c r="AQ99" s="12">
        <v>2.7042812571704401E-5</v>
      </c>
      <c r="AR99" s="12">
        <v>2.52548580215091E-5</v>
      </c>
      <c r="AS99" s="12">
        <v>1.7432556864404501E-5</v>
      </c>
      <c r="AT99" s="12">
        <v>7.6435057020850494E-5</v>
      </c>
    </row>
    <row r="100" spans="1:46" x14ac:dyDescent="0.25">
      <c r="A100">
        <v>4</v>
      </c>
      <c r="B100">
        <v>1</v>
      </c>
      <c r="C100">
        <v>2011</v>
      </c>
      <c r="D100">
        <v>1</v>
      </c>
      <c r="E100">
        <v>7</v>
      </c>
      <c r="F100">
        <v>0</v>
      </c>
      <c r="G100">
        <v>0</v>
      </c>
      <c r="H100">
        <v>0</v>
      </c>
      <c r="I100">
        <v>0</v>
      </c>
      <c r="J100" s="12">
        <v>2.6871499039081601E-5</v>
      </c>
      <c r="K100">
        <v>1.03854712502397E-3</v>
      </c>
      <c r="L100">
        <v>1.41211744830182E-2</v>
      </c>
      <c r="M100">
        <v>6.7106364010202493E-2</v>
      </c>
      <c r="N100">
        <v>8.74572073395182E-2</v>
      </c>
      <c r="O100">
        <v>7.7448017771017993E-2</v>
      </c>
      <c r="P100">
        <v>8.3912509626936402E-2</v>
      </c>
      <c r="Q100">
        <v>8.8574997143390205E-2</v>
      </c>
      <c r="R100">
        <v>9.0668311127092394E-2</v>
      </c>
      <c r="S100">
        <v>8.9866765781881505E-2</v>
      </c>
      <c r="T100">
        <v>7.6750811309463499E-2</v>
      </c>
      <c r="U100">
        <v>6.9845804398727201E-2</v>
      </c>
      <c r="V100">
        <v>6.0654702689861298E-2</v>
      </c>
      <c r="W100">
        <v>4.8373943457847103E-2</v>
      </c>
      <c r="X100">
        <v>3.9432189893217701E-2</v>
      </c>
      <c r="Y100">
        <v>3.29139550392211E-2</v>
      </c>
      <c r="Z100">
        <v>2.5378315200585699E-2</v>
      </c>
      <c r="AA100">
        <v>1.7165562003280701E-2</v>
      </c>
      <c r="AB100">
        <v>1.11630501233345E-2</v>
      </c>
      <c r="AC100">
        <v>7.0864097030481502E-3</v>
      </c>
      <c r="AD100">
        <v>4.0583226116321196E-3</v>
      </c>
      <c r="AE100">
        <v>2.48331384813423E-3</v>
      </c>
      <c r="AF100">
        <v>1.53385421542001E-3</v>
      </c>
      <c r="AG100">
        <v>9.3299781348306896E-4</v>
      </c>
      <c r="AH100">
        <v>6.45803624053365E-4</v>
      </c>
      <c r="AI100">
        <v>4.0960879616329902E-4</v>
      </c>
      <c r="AJ100">
        <v>2.73072530775532E-4</v>
      </c>
      <c r="AK100">
        <v>1.70428246157779E-4</v>
      </c>
      <c r="AL100">
        <v>1.1539412500266301E-4</v>
      </c>
      <c r="AM100" s="12">
        <v>8.9087492309748194E-5</v>
      </c>
      <c r="AN100" s="12">
        <v>6.9236475001597801E-5</v>
      </c>
      <c r="AO100" s="12">
        <v>4.5189307693350498E-5</v>
      </c>
      <c r="AP100" s="12">
        <v>3.2197381731512201E-5</v>
      </c>
      <c r="AQ100" s="12">
        <v>3.4134066346941601E-5</v>
      </c>
      <c r="AR100" s="12">
        <v>2.2917434615913501E-5</v>
      </c>
      <c r="AS100" s="12">
        <v>2.2110482692817899E-5</v>
      </c>
      <c r="AT100" s="12">
        <v>7.68218230786959E-5</v>
      </c>
    </row>
    <row r="101" spans="1:46" x14ac:dyDescent="0.25">
      <c r="A101">
        <v>4</v>
      </c>
      <c r="B101">
        <v>1</v>
      </c>
      <c r="C101">
        <v>2012</v>
      </c>
      <c r="D101">
        <v>1</v>
      </c>
      <c r="E101">
        <v>12</v>
      </c>
      <c r="F101">
        <v>0</v>
      </c>
      <c r="G101">
        <v>0</v>
      </c>
      <c r="H101">
        <v>0</v>
      </c>
      <c r="I101">
        <v>0</v>
      </c>
      <c r="J101" s="12">
        <v>3.1259237550586203E-5</v>
      </c>
      <c r="K101">
        <v>1.1334993796496399E-3</v>
      </c>
      <c r="L101">
        <v>1.3940493488550599E-2</v>
      </c>
      <c r="M101">
        <v>6.1842599694673303E-2</v>
      </c>
      <c r="N101">
        <v>8.3427619517066301E-2</v>
      </c>
      <c r="O101">
        <v>8.6601042293748404E-2</v>
      </c>
      <c r="P101">
        <v>8.4910508933242396E-2</v>
      </c>
      <c r="Q101">
        <v>7.7556702895778706E-2</v>
      </c>
      <c r="R101">
        <v>8.3719935630377204E-2</v>
      </c>
      <c r="S101">
        <v>8.4431200624133396E-2</v>
      </c>
      <c r="T101">
        <v>8.5963748108370194E-2</v>
      </c>
      <c r="U101">
        <v>7.4636639524949699E-2</v>
      </c>
      <c r="V101">
        <v>6.9744709655659307E-2</v>
      </c>
      <c r="W101">
        <v>5.6067056602969498E-2</v>
      </c>
      <c r="X101">
        <v>4.48168288470382E-2</v>
      </c>
      <c r="Y101">
        <v>3.3162953278892203E-2</v>
      </c>
      <c r="Z101">
        <v>2.3174641229845399E-2</v>
      </c>
      <c r="AA101">
        <v>1.4998332371305999E-2</v>
      </c>
      <c r="AB101">
        <v>8.8248676340258493E-3</v>
      </c>
      <c r="AC101">
        <v>4.7725252141422002E-3</v>
      </c>
      <c r="AD101">
        <v>2.4720142992706801E-3</v>
      </c>
      <c r="AE101">
        <v>1.3509998403244299E-3</v>
      </c>
      <c r="AF101">
        <v>8.3226546583632796E-4</v>
      </c>
      <c r="AG101">
        <v>5.0803301388520296E-4</v>
      </c>
      <c r="AH101">
        <v>3.2855054482598098E-4</v>
      </c>
      <c r="AI101">
        <v>2.1327623938418E-4</v>
      </c>
      <c r="AJ101">
        <v>1.30106015751089E-4</v>
      </c>
      <c r="AK101" s="12">
        <v>9.7250961268490404E-5</v>
      </c>
      <c r="AL101" s="12">
        <v>7.8852130758235494E-5</v>
      </c>
      <c r="AM101" s="12">
        <v>5.2568087172157E-5</v>
      </c>
      <c r="AN101" s="12">
        <v>4.1772854985017598E-5</v>
      </c>
      <c r="AO101" s="12">
        <v>3.7173147357453901E-5</v>
      </c>
      <c r="AP101" s="12">
        <v>2.7598245765382399E-5</v>
      </c>
      <c r="AQ101" s="12">
        <v>1.6521398825534999E-5</v>
      </c>
      <c r="AR101" s="12">
        <v>1.6145912488591101E-5</v>
      </c>
      <c r="AS101" s="12">
        <v>7.3219835704075802E-6</v>
      </c>
      <c r="AT101" s="12">
        <v>3.2385696561418099E-5</v>
      </c>
    </row>
    <row r="102" spans="1:46" x14ac:dyDescent="0.25">
      <c r="A102">
        <v>4</v>
      </c>
      <c r="B102">
        <v>1</v>
      </c>
      <c r="C102">
        <v>2013</v>
      </c>
      <c r="D102">
        <v>1</v>
      </c>
      <c r="E102">
        <v>18</v>
      </c>
      <c r="F102">
        <v>0</v>
      </c>
      <c r="G102">
        <v>0</v>
      </c>
      <c r="H102">
        <v>0</v>
      </c>
      <c r="I102">
        <v>0</v>
      </c>
      <c r="J102" s="12">
        <v>2.5930284603140599E-5</v>
      </c>
      <c r="K102">
        <v>8.8537219181032505E-4</v>
      </c>
      <c r="L102">
        <v>1.12826143501046E-2</v>
      </c>
      <c r="M102">
        <v>5.4306570279670098E-2</v>
      </c>
      <c r="N102">
        <v>6.56651042259324E-2</v>
      </c>
      <c r="O102">
        <v>6.3413179303284398E-2</v>
      </c>
      <c r="P102">
        <v>7.1539427532384098E-2</v>
      </c>
      <c r="Q102">
        <v>7.3446862832091397E-2</v>
      </c>
      <c r="R102">
        <v>7.6555823759251504E-2</v>
      </c>
      <c r="S102">
        <v>8.1159117582613099E-2</v>
      </c>
      <c r="T102">
        <v>7.7712260988047205E-2</v>
      </c>
      <c r="U102">
        <v>7.8639424600747104E-2</v>
      </c>
      <c r="V102">
        <v>7.2121388662085506E-2</v>
      </c>
      <c r="W102">
        <v>6.1671662182034299E-2</v>
      </c>
      <c r="X102">
        <v>5.1146818073390499E-2</v>
      </c>
      <c r="Y102">
        <v>4.4995726849490901E-2</v>
      </c>
      <c r="Z102">
        <v>3.88989912049999E-2</v>
      </c>
      <c r="AA102">
        <v>2.8771655686097099E-2</v>
      </c>
      <c r="AB102">
        <v>2.0916918031518902E-2</v>
      </c>
      <c r="AC102">
        <v>1.2757076272194599E-2</v>
      </c>
      <c r="AD102">
        <v>6.6655088631227596E-3</v>
      </c>
      <c r="AE102">
        <v>3.46948990140165E-3</v>
      </c>
      <c r="AF102">
        <v>1.6761122109452699E-3</v>
      </c>
      <c r="AG102">
        <v>9.0176797314014598E-4</v>
      </c>
      <c r="AH102">
        <v>5.0345741583417202E-4</v>
      </c>
      <c r="AI102">
        <v>3.2346025123505199E-4</v>
      </c>
      <c r="AJ102">
        <v>1.8792773274234901E-4</v>
      </c>
      <c r="AK102">
        <v>1.20473349771292E-4</v>
      </c>
      <c r="AL102" s="12">
        <v>7.7790853809421695E-5</v>
      </c>
      <c r="AM102" s="12">
        <v>4.6514118772643903E-5</v>
      </c>
      <c r="AN102" s="12">
        <v>3.2791562659641703E-5</v>
      </c>
      <c r="AO102" s="12">
        <v>2.2989736864640099E-5</v>
      </c>
      <c r="AP102" s="12">
        <v>1.3722556113002201E-5</v>
      </c>
      <c r="AQ102" s="12">
        <v>1.3366126084093101E-5</v>
      </c>
      <c r="AR102" s="12">
        <v>5.7919879697736601E-6</v>
      </c>
      <c r="AS102" s="12">
        <v>5.5246654480918004E-6</v>
      </c>
      <c r="AT102" s="12">
        <v>2.13858017345489E-5</v>
      </c>
    </row>
    <row r="103" spans="1:46" x14ac:dyDescent="0.25">
      <c r="A103">
        <v>4</v>
      </c>
      <c r="B103">
        <v>1</v>
      </c>
      <c r="C103">
        <v>2014</v>
      </c>
      <c r="D103">
        <v>1</v>
      </c>
      <c r="E103">
        <v>11</v>
      </c>
      <c r="F103">
        <v>0</v>
      </c>
      <c r="G103">
        <v>0</v>
      </c>
      <c r="H103">
        <v>0</v>
      </c>
      <c r="I103">
        <v>0</v>
      </c>
      <c r="J103" s="12">
        <v>2.8019580599272799E-5</v>
      </c>
      <c r="K103">
        <v>1.13521065029574E-3</v>
      </c>
      <c r="L103">
        <v>1.4023458387733599E-2</v>
      </c>
      <c r="M103">
        <v>6.1751966420241201E-2</v>
      </c>
      <c r="N103">
        <v>8.2120151302697897E-2</v>
      </c>
      <c r="O103">
        <v>7.3746169328476205E-2</v>
      </c>
      <c r="P103">
        <v>7.7493351614148095E-2</v>
      </c>
      <c r="Q103">
        <v>7.6442199705650096E-2</v>
      </c>
      <c r="R103">
        <v>7.4055219987118601E-2</v>
      </c>
      <c r="S103">
        <v>7.9686472283167595E-2</v>
      </c>
      <c r="T103">
        <v>7.8179413702804998E-2</v>
      </c>
      <c r="U103">
        <v>6.7954696666398903E-2</v>
      </c>
      <c r="V103">
        <v>5.8555076548127402E-2</v>
      </c>
      <c r="W103">
        <v>5.1128141211396597E-2</v>
      </c>
      <c r="X103">
        <v>4.9470581794319297E-2</v>
      </c>
      <c r="Y103">
        <v>4.0915573586632399E-2</v>
      </c>
      <c r="Z103">
        <v>3.4535917533438598E-2</v>
      </c>
      <c r="AA103">
        <v>2.79567833278484E-2</v>
      </c>
      <c r="AB103">
        <v>2.0187462384282501E-2</v>
      </c>
      <c r="AC103">
        <v>1.30965342132747E-2</v>
      </c>
      <c r="AD103">
        <v>8.1166422488803906E-3</v>
      </c>
      <c r="AE103">
        <v>4.3977073452761001E-3</v>
      </c>
      <c r="AF103">
        <v>2.2659412050485099E-3</v>
      </c>
      <c r="AG103">
        <v>1.1075707388102801E-3</v>
      </c>
      <c r="AH103">
        <v>6.0769838356634096E-4</v>
      </c>
      <c r="AI103">
        <v>3.4170220243015601E-4</v>
      </c>
      <c r="AJ103">
        <v>2.05021321458093E-4</v>
      </c>
      <c r="AK103">
        <v>1.39414498591504E-4</v>
      </c>
      <c r="AL103" s="12">
        <v>9.7195293135688703E-5</v>
      </c>
      <c r="AM103" s="12">
        <v>5.77097052993152E-5</v>
      </c>
      <c r="AN103" s="12">
        <v>4.6775234821550197E-5</v>
      </c>
      <c r="AO103" s="12">
        <v>3.5081426116162698E-5</v>
      </c>
      <c r="AP103" s="12">
        <v>2.49062938660202E-5</v>
      </c>
      <c r="AQ103" s="12">
        <v>2.5513764448118299E-5</v>
      </c>
      <c r="AR103" s="12">
        <v>1.2301279287485601E-5</v>
      </c>
      <c r="AS103" s="12">
        <v>1.17697425281498E-5</v>
      </c>
      <c r="AT103" s="12">
        <v>4.4649087784206999E-5</v>
      </c>
    </row>
    <row r="104" spans="1:46" x14ac:dyDescent="0.25">
      <c r="A104">
        <v>4</v>
      </c>
      <c r="B104">
        <v>1</v>
      </c>
      <c r="C104">
        <v>2015</v>
      </c>
      <c r="D104">
        <v>1</v>
      </c>
      <c r="E104">
        <v>4</v>
      </c>
      <c r="F104">
        <v>0</v>
      </c>
      <c r="G104">
        <v>0</v>
      </c>
      <c r="H104">
        <v>0</v>
      </c>
      <c r="I104">
        <v>0</v>
      </c>
      <c r="J104" s="12">
        <v>2.4621134549622498E-5</v>
      </c>
      <c r="K104">
        <v>8.2782758051749698E-4</v>
      </c>
      <c r="L104">
        <v>1.14062438422968E-2</v>
      </c>
      <c r="M104">
        <v>5.0654035663326297E-2</v>
      </c>
      <c r="N104">
        <v>7.2446294763138894E-2</v>
      </c>
      <c r="O104">
        <v>7.0106125606653497E-2</v>
      </c>
      <c r="P104">
        <v>7.337562645496E-2</v>
      </c>
      <c r="Q104">
        <v>7.8499609739532406E-2</v>
      </c>
      <c r="R104">
        <v>7.7357746556080104E-2</v>
      </c>
      <c r="S104">
        <v>7.5436214111889693E-2</v>
      </c>
      <c r="T104">
        <v>7.1455100535137997E-2</v>
      </c>
      <c r="U104">
        <v>6.7966022524621694E-2</v>
      </c>
      <c r="V104">
        <v>6.1175389735913598E-2</v>
      </c>
      <c r="W104">
        <v>5.4561672961186199E-2</v>
      </c>
      <c r="X104">
        <v>5.1528782764400601E-2</v>
      </c>
      <c r="Y104">
        <v>4.7185862389691698E-2</v>
      </c>
      <c r="Z104">
        <v>4.1799021395069101E-2</v>
      </c>
      <c r="AA104">
        <v>3.1471384550919398E-2</v>
      </c>
      <c r="AB104">
        <v>2.3392013445926799E-2</v>
      </c>
      <c r="AC104">
        <v>1.6740513294909401E-2</v>
      </c>
      <c r="AD104">
        <v>1.0742247458971199E-2</v>
      </c>
      <c r="AE104">
        <v>5.7422989465638497E-3</v>
      </c>
      <c r="AF104">
        <v>2.90769405034929E-3</v>
      </c>
      <c r="AG104">
        <v>1.4475368916344101E-3</v>
      </c>
      <c r="AH104">
        <v>7.3398853940384199E-4</v>
      </c>
      <c r="AI104">
        <v>3.8155016056773601E-4</v>
      </c>
      <c r="AJ104">
        <v>2.2716480744840401E-4</v>
      </c>
      <c r="AK104">
        <v>1.3115786769515899E-4</v>
      </c>
      <c r="AL104" s="12">
        <v>7.8044351025218604E-5</v>
      </c>
      <c r="AM104" s="12">
        <v>5.4584590746804703E-5</v>
      </c>
      <c r="AN104" s="12">
        <v>3.5073502990500001E-5</v>
      </c>
      <c r="AO104" s="12">
        <v>2.2917785618516599E-5</v>
      </c>
      <c r="AP104" s="12">
        <v>2.2298386007205301E-5</v>
      </c>
      <c r="AQ104" s="12">
        <v>1.0607218343705301E-5</v>
      </c>
      <c r="AR104" s="12">
        <v>1.05297933922914E-5</v>
      </c>
      <c r="AS104" s="12">
        <v>1.10717680521888E-5</v>
      </c>
      <c r="AT104" s="12">
        <v>3.1124830468390801E-5</v>
      </c>
    </row>
    <row r="105" spans="1:46" x14ac:dyDescent="0.25">
      <c r="A105">
        <v>4</v>
      </c>
      <c r="B105">
        <v>1</v>
      </c>
      <c r="C105">
        <v>2016</v>
      </c>
      <c r="D105">
        <v>1</v>
      </c>
      <c r="E105">
        <v>4</v>
      </c>
      <c r="F105">
        <v>0</v>
      </c>
      <c r="G105">
        <v>0</v>
      </c>
      <c r="H105">
        <v>0</v>
      </c>
      <c r="I105">
        <v>0</v>
      </c>
      <c r="J105" s="12">
        <v>2.3037774196585299E-5</v>
      </c>
      <c r="K105">
        <v>8.0934949669478101E-4</v>
      </c>
      <c r="L105">
        <v>9.9124453821999997E-3</v>
      </c>
      <c r="M105">
        <v>4.3864365104417602E-2</v>
      </c>
      <c r="N105">
        <v>6.4937726016624897E-2</v>
      </c>
      <c r="O105">
        <v>6.10949219060066E-2</v>
      </c>
      <c r="P105">
        <v>6.4534048095045607E-2</v>
      </c>
      <c r="Q105">
        <v>6.6152377893335806E-2</v>
      </c>
      <c r="R105">
        <v>6.9372645227507301E-2</v>
      </c>
      <c r="S105">
        <v>6.7419603152187799E-2</v>
      </c>
      <c r="T105">
        <v>6.5447879804843498E-2</v>
      </c>
      <c r="U105">
        <v>6.5735630465241196E-2</v>
      </c>
      <c r="V105">
        <v>6.4454080436536304E-2</v>
      </c>
      <c r="W105">
        <v>6.2676775228485596E-2</v>
      </c>
      <c r="X105">
        <v>6.0018792030554602E-2</v>
      </c>
      <c r="Y105">
        <v>5.6074016233508502E-2</v>
      </c>
      <c r="Z105">
        <v>4.9986062885001299E-2</v>
      </c>
      <c r="AA105">
        <v>4.1015065006027099E-2</v>
      </c>
      <c r="AB105">
        <v>3.16112227926287E-2</v>
      </c>
      <c r="AC105">
        <v>2.3336305353882699E-2</v>
      </c>
      <c r="AD105">
        <v>1.53697396620757E-2</v>
      </c>
      <c r="AE105">
        <v>8.1790005519466798E-3</v>
      </c>
      <c r="AF105">
        <v>3.9899652772009096E-3</v>
      </c>
      <c r="AG105">
        <v>1.9723878985230402E-3</v>
      </c>
      <c r="AH105">
        <v>9.3790323027252199E-4</v>
      </c>
      <c r="AI105">
        <v>4.2383597400128101E-4</v>
      </c>
      <c r="AJ105">
        <v>2.2063099134422099E-4</v>
      </c>
      <c r="AK105">
        <v>1.36454508702852E-4</v>
      </c>
      <c r="AL105" s="12">
        <v>8.2182829105126494E-5</v>
      </c>
      <c r="AM105" s="12">
        <v>4.9619821346491498E-5</v>
      </c>
      <c r="AN105" s="12">
        <v>3.6550314831120898E-5</v>
      </c>
      <c r="AO105" s="12">
        <v>2.4957588712967402E-5</v>
      </c>
      <c r="AP105" s="12">
        <v>2.4957588712967402E-5</v>
      </c>
      <c r="AQ105" s="12">
        <v>1.1888082197596899E-5</v>
      </c>
      <c r="AR105" s="12">
        <v>1.25526333763446E-5</v>
      </c>
      <c r="AS105" s="12">
        <v>1.2478794356483701E-5</v>
      </c>
      <c r="AT105" s="12">
        <v>3.8543968367363903E-5</v>
      </c>
    </row>
    <row r="106" spans="1:46" x14ac:dyDescent="0.25">
      <c r="A106">
        <v>4</v>
      </c>
      <c r="B106">
        <v>1</v>
      </c>
      <c r="C106">
        <v>2017</v>
      </c>
      <c r="D106">
        <v>1</v>
      </c>
      <c r="E106">
        <v>5</v>
      </c>
      <c r="F106">
        <v>0</v>
      </c>
      <c r="G106">
        <v>0</v>
      </c>
      <c r="H106">
        <v>0</v>
      </c>
      <c r="I106">
        <v>0</v>
      </c>
      <c r="J106" s="12">
        <v>1.9139145638524299E-5</v>
      </c>
      <c r="K106">
        <v>6.1910975456791798E-4</v>
      </c>
      <c r="L106">
        <v>8.3441127405520094E-3</v>
      </c>
      <c r="M106">
        <v>3.9120413685143698E-2</v>
      </c>
      <c r="N106">
        <v>5.5586625076840902E-2</v>
      </c>
      <c r="O106">
        <v>5.4608586996820099E-2</v>
      </c>
      <c r="P106">
        <v>6.0001498955696099E-2</v>
      </c>
      <c r="Q106">
        <v>6.2985652353340998E-2</v>
      </c>
      <c r="R106">
        <v>6.3557274836411604E-2</v>
      </c>
      <c r="S106">
        <v>6.8045654129675601E-2</v>
      </c>
      <c r="T106">
        <v>6.88117747130612E-2</v>
      </c>
      <c r="U106">
        <v>6.8259624230335894E-2</v>
      </c>
      <c r="V106">
        <v>6.7805499458750501E-2</v>
      </c>
      <c r="W106">
        <v>6.6336001404203093E-2</v>
      </c>
      <c r="X106">
        <v>6.4896404797479296E-2</v>
      </c>
      <c r="Y106">
        <v>5.8762669212931197E-2</v>
      </c>
      <c r="Z106">
        <v>4.9832510285349102E-2</v>
      </c>
      <c r="AA106">
        <v>4.4854834573152397E-2</v>
      </c>
      <c r="AB106">
        <v>3.5811837899979701E-2</v>
      </c>
      <c r="AC106">
        <v>2.5836848047887599E-2</v>
      </c>
      <c r="AD106">
        <v>1.6977254318137999E-2</v>
      </c>
      <c r="AE106">
        <v>9.6391394529743695E-3</v>
      </c>
      <c r="AF106">
        <v>5.0400859697136598E-3</v>
      </c>
      <c r="AG106">
        <v>2.2833832883526399E-3</v>
      </c>
      <c r="AH106">
        <v>9.69938615489738E-4</v>
      </c>
      <c r="AI106">
        <v>4.2938257171645902E-4</v>
      </c>
      <c r="AJ106">
        <v>2.1552342262512201E-4</v>
      </c>
      <c r="AK106">
        <v>1.17164856778445E-4</v>
      </c>
      <c r="AL106" s="12">
        <v>7.7666098243287107E-5</v>
      </c>
      <c r="AM106" s="12">
        <v>4.2605402464889001E-5</v>
      </c>
      <c r="AN106" s="12">
        <v>3.0622633021638897E-5</v>
      </c>
      <c r="AO106" s="12">
        <v>1.9860330836497699E-5</v>
      </c>
      <c r="AP106" s="12">
        <v>9.9856412027083507E-6</v>
      </c>
      <c r="AQ106" s="12">
        <v>9.5973107114919101E-6</v>
      </c>
      <c r="AR106" s="12">
        <v>9.9301654182488599E-6</v>
      </c>
      <c r="AS106" s="12">
        <v>1.03739716939248E-5</v>
      </c>
      <c r="AT106" s="12">
        <v>2.1413652801363499E-5</v>
      </c>
    </row>
    <row r="107" spans="1:46" x14ac:dyDescent="0.25">
      <c r="A107">
        <v>4</v>
      </c>
      <c r="B107">
        <v>1</v>
      </c>
      <c r="C107">
        <v>2018</v>
      </c>
      <c r="D107">
        <v>1</v>
      </c>
      <c r="E107">
        <v>8</v>
      </c>
      <c r="F107">
        <v>0</v>
      </c>
      <c r="G107">
        <v>0</v>
      </c>
      <c r="H107">
        <v>0</v>
      </c>
      <c r="I107">
        <v>0</v>
      </c>
      <c r="J107" s="12">
        <v>2.3805181542052499E-5</v>
      </c>
      <c r="K107">
        <v>8.9269430782696702E-4</v>
      </c>
      <c r="L107">
        <v>1.1768809585500599E-2</v>
      </c>
      <c r="M107">
        <v>5.9967908254436902E-2</v>
      </c>
      <c r="N107">
        <v>7.8066338548635497E-2</v>
      </c>
      <c r="O107">
        <v>7.3764584854356594E-2</v>
      </c>
      <c r="P107">
        <v>7.5322742191654607E-2</v>
      </c>
      <c r="Q107">
        <v>7.6904507973457006E-2</v>
      </c>
      <c r="R107">
        <v>7.2934354555947795E-2</v>
      </c>
      <c r="S107">
        <v>6.9071226086859006E-2</v>
      </c>
      <c r="T107">
        <v>7.0282339289940599E-2</v>
      </c>
      <c r="U107">
        <v>6.2946900476831602E-2</v>
      </c>
      <c r="V107">
        <v>5.8331547944717697E-2</v>
      </c>
      <c r="W107">
        <v>5.3095785164728897E-2</v>
      </c>
      <c r="X107">
        <v>5.0791797718125802E-2</v>
      </c>
      <c r="Y107">
        <v>4.64823712793829E-2</v>
      </c>
      <c r="Z107">
        <v>3.80013326966923E-2</v>
      </c>
      <c r="AA107">
        <v>3.2886956668864202E-2</v>
      </c>
      <c r="AB107">
        <v>2.4091925774263501E-2</v>
      </c>
      <c r="AC107">
        <v>1.8350843913359401E-2</v>
      </c>
      <c r="AD107">
        <v>1.22241574588815E-2</v>
      </c>
      <c r="AE107">
        <v>7.2563505240189402E-3</v>
      </c>
      <c r="AF107">
        <v>3.5402829904895299E-3</v>
      </c>
      <c r="AG107">
        <v>1.63085167266813E-3</v>
      </c>
      <c r="AH107">
        <v>7.3186177963995903E-4</v>
      </c>
      <c r="AI107">
        <v>3.4527350087852897E-4</v>
      </c>
      <c r="AJ107">
        <v>1.39289822576637E-4</v>
      </c>
      <c r="AK107" s="12">
        <v>6.1381955711738495E-5</v>
      </c>
      <c r="AL107" s="12">
        <v>2.9608924149412302E-5</v>
      </c>
      <c r="AM107" s="12">
        <v>2.0067177828837599E-5</v>
      </c>
      <c r="AN107" s="12">
        <v>1.2984644477483101E-5</v>
      </c>
      <c r="AO107" s="12">
        <v>8.4596926141178106E-6</v>
      </c>
      <c r="AP107" s="12">
        <v>4.52495186336534E-6</v>
      </c>
      <c r="AQ107" s="12">
        <v>3.73800371321484E-6</v>
      </c>
      <c r="AR107" s="12">
        <v>3.44289815690841E-6</v>
      </c>
      <c r="AS107" s="12">
        <v>2.45921296922029E-6</v>
      </c>
      <c r="AT107" s="12">
        <v>6.4923222387415698E-6</v>
      </c>
    </row>
    <row r="108" spans="1:46" x14ac:dyDescent="0.25">
      <c r="A108">
        <v>4</v>
      </c>
      <c r="B108">
        <v>1</v>
      </c>
      <c r="C108">
        <v>2019</v>
      </c>
      <c r="D108">
        <v>1</v>
      </c>
      <c r="E108">
        <v>15</v>
      </c>
      <c r="F108">
        <v>0</v>
      </c>
      <c r="G108">
        <v>0</v>
      </c>
      <c r="H108">
        <v>0</v>
      </c>
      <c r="I108">
        <v>0</v>
      </c>
      <c r="J108" s="12">
        <v>3.5392927239637999E-5</v>
      </c>
      <c r="K108">
        <v>1.00648636837721E-3</v>
      </c>
      <c r="L108">
        <v>1.09263373641535E-2</v>
      </c>
      <c r="M108">
        <v>3.8047396782610897E-2</v>
      </c>
      <c r="N108">
        <v>5.0947012732482699E-2</v>
      </c>
      <c r="O108">
        <v>5.5969367421474098E-2</v>
      </c>
      <c r="P108">
        <v>6.1387066023416599E-2</v>
      </c>
      <c r="Q108">
        <v>6.43941130255926E-2</v>
      </c>
      <c r="R108">
        <v>6.9024318996453199E-2</v>
      </c>
      <c r="S108">
        <v>6.7214609807109804E-2</v>
      </c>
      <c r="T108">
        <v>6.2832277219035101E-2</v>
      </c>
      <c r="U108">
        <v>6.2094187215558497E-2</v>
      </c>
      <c r="V108">
        <v>6.7093561080265901E-2</v>
      </c>
      <c r="W108">
        <v>6.6054999871577702E-2</v>
      </c>
      <c r="X108">
        <v>5.6068295568793197E-2</v>
      </c>
      <c r="Y108">
        <v>5.7738522215022098E-2</v>
      </c>
      <c r="Z108">
        <v>5.0432463474314702E-2</v>
      </c>
      <c r="AA108">
        <v>4.3361988905546198E-2</v>
      </c>
      <c r="AB108">
        <v>3.8346639066737701E-2</v>
      </c>
      <c r="AC108">
        <v>2.91261670602696E-2</v>
      </c>
      <c r="AD108">
        <v>2.2145157946467899E-2</v>
      </c>
      <c r="AE108">
        <v>1.30363948666E-2</v>
      </c>
      <c r="AF108">
        <v>6.4783803901554103E-3</v>
      </c>
      <c r="AG108">
        <v>3.4839912751518701E-3</v>
      </c>
      <c r="AH108">
        <v>1.5877660414448699E-3</v>
      </c>
      <c r="AI108">
        <v>5.9283153126393697E-4</v>
      </c>
      <c r="AJ108">
        <v>2.5143725393159501E-4</v>
      </c>
      <c r="AK108">
        <v>1.2731622437592001E-4</v>
      </c>
      <c r="AL108" s="12">
        <v>6.7836443875972794E-5</v>
      </c>
      <c r="AM108" s="12">
        <v>3.2443516636334802E-5</v>
      </c>
      <c r="AN108" s="12">
        <v>2.58073427789027E-5</v>
      </c>
      <c r="AO108" s="12">
        <v>1.4992837233457801E-5</v>
      </c>
      <c r="AP108" s="12">
        <v>8.6024475929675707E-6</v>
      </c>
      <c r="AQ108" s="12">
        <v>8.4795554844966095E-6</v>
      </c>
      <c r="AR108" s="12">
        <v>8.6024475929675707E-6</v>
      </c>
      <c r="AS108" s="12">
        <v>9.3398002437933599E-6</v>
      </c>
      <c r="AT108" s="12">
        <v>1.9416953138412501E-5</v>
      </c>
    </row>
    <row r="109" spans="1:46" x14ac:dyDescent="0.25">
      <c r="A109">
        <v>4</v>
      </c>
      <c r="B109">
        <v>1</v>
      </c>
      <c r="C109">
        <v>2020</v>
      </c>
      <c r="D109">
        <v>1</v>
      </c>
      <c r="E109">
        <v>16</v>
      </c>
      <c r="F109">
        <v>0</v>
      </c>
      <c r="G109">
        <v>0</v>
      </c>
      <c r="H109">
        <v>0</v>
      </c>
      <c r="I109">
        <v>0</v>
      </c>
      <c r="J109" s="12">
        <v>5.23472872588797E-5</v>
      </c>
      <c r="K109">
        <v>1.66115391568178E-3</v>
      </c>
      <c r="L109">
        <v>1.76556930466749E-2</v>
      </c>
      <c r="M109">
        <v>7.2915816023248703E-2</v>
      </c>
      <c r="N109">
        <v>9.0442153106741696E-2</v>
      </c>
      <c r="O109">
        <v>6.80430978705822E-2</v>
      </c>
      <c r="P109">
        <v>6.8215494936621393E-2</v>
      </c>
      <c r="Q109">
        <v>6.6387992974761403E-2</v>
      </c>
      <c r="R109">
        <v>7.40762972181256E-2</v>
      </c>
      <c r="S109">
        <v>6.5904536695099394E-2</v>
      </c>
      <c r="T109">
        <v>6.8675453100669401E-2</v>
      </c>
      <c r="U109">
        <v>8.2015403131112302E-2</v>
      </c>
      <c r="V109">
        <v>6.9372021003127601E-2</v>
      </c>
      <c r="W109">
        <v>5.3681794102066097E-2</v>
      </c>
      <c r="X109">
        <v>4.1845723470918299E-2</v>
      </c>
      <c r="Y109">
        <v>2.7680314884055399E-2</v>
      </c>
      <c r="Z109">
        <v>2.3065378039312599E-2</v>
      </c>
      <c r="AA109">
        <v>2.69846776000374E-2</v>
      </c>
      <c r="AB109">
        <v>2.07460442318292E-2</v>
      </c>
      <c r="AC109">
        <v>1.40348893506307E-2</v>
      </c>
      <c r="AD109">
        <v>1.6078062135997301E-2</v>
      </c>
      <c r="AE109">
        <v>1.4118877664854999E-2</v>
      </c>
      <c r="AF109">
        <v>7.8814075696969198E-3</v>
      </c>
      <c r="AG109">
        <v>4.7587173937472197E-3</v>
      </c>
      <c r="AH109">
        <v>2.0415442030963099E-3</v>
      </c>
      <c r="AI109">
        <v>1.00506791537049E-3</v>
      </c>
      <c r="AJ109">
        <v>3.4432882285840899E-4</v>
      </c>
      <c r="AK109">
        <v>1.3051923623214E-4</v>
      </c>
      <c r="AL109" s="12">
        <v>7.4449475212628896E-5</v>
      </c>
      <c r="AM109" s="12">
        <v>3.7224737606314401E-5</v>
      </c>
      <c r="AN109" s="12">
        <v>2.09389149035519E-5</v>
      </c>
      <c r="AO109" s="12">
        <v>1.0702112061815401E-5</v>
      </c>
      <c r="AP109" s="12">
        <v>6.9796383011839603E-6</v>
      </c>
      <c r="AQ109" s="12">
        <v>6.9796383011839603E-6</v>
      </c>
      <c r="AR109" s="12">
        <v>7.9102567413418201E-6</v>
      </c>
      <c r="AS109">
        <v>0</v>
      </c>
      <c r="AT109" s="12">
        <v>2.0008296463394001E-5</v>
      </c>
    </row>
    <row r="110" spans="1:46" x14ac:dyDescent="0.25">
      <c r="A110">
        <v>4</v>
      </c>
      <c r="B110">
        <v>1</v>
      </c>
      <c r="C110">
        <v>2021</v>
      </c>
      <c r="D110">
        <v>1</v>
      </c>
      <c r="E110">
        <v>10</v>
      </c>
      <c r="F110">
        <v>0</v>
      </c>
      <c r="G110">
        <v>0</v>
      </c>
      <c r="H110">
        <v>0</v>
      </c>
      <c r="I110">
        <v>0</v>
      </c>
      <c r="J110" s="12">
        <v>2.7219239136795101E-5</v>
      </c>
      <c r="K110">
        <v>9.7614503252173095E-4</v>
      </c>
      <c r="L110">
        <v>1.15044678342887E-2</v>
      </c>
      <c r="M110">
        <v>5.0189515596163803E-2</v>
      </c>
      <c r="N110">
        <v>6.79805099728268E-2</v>
      </c>
      <c r="O110">
        <v>6.0403962437449998E-2</v>
      </c>
      <c r="P110">
        <v>5.6592874476572103E-2</v>
      </c>
      <c r="Q110">
        <v>5.5919559916185801E-2</v>
      </c>
      <c r="R110">
        <v>5.3988177382653199E-2</v>
      </c>
      <c r="S110">
        <v>5.2612553854974001E-2</v>
      </c>
      <c r="T110">
        <v>5.8362256514372601E-2</v>
      </c>
      <c r="U110">
        <v>6.1497071301914598E-2</v>
      </c>
      <c r="V110">
        <v>6.1447235110451602E-2</v>
      </c>
      <c r="W110">
        <v>6.3655149334345004E-2</v>
      </c>
      <c r="X110">
        <v>5.8224845379599897E-2</v>
      </c>
      <c r="Y110">
        <v>5.41689157603997E-2</v>
      </c>
      <c r="Z110">
        <v>4.9034078618893202E-2</v>
      </c>
      <c r="AA110">
        <v>4.5327133833843E-2</v>
      </c>
      <c r="AB110">
        <v>3.9574406814540303E-2</v>
      </c>
      <c r="AC110">
        <v>3.22178485887087E-2</v>
      </c>
      <c r="AD110">
        <v>2.5583454910409899E-2</v>
      </c>
      <c r="AE110">
        <v>1.7828470140691902E-2</v>
      </c>
      <c r="AF110">
        <v>1.1705456274001699E-2</v>
      </c>
      <c r="AG110">
        <v>6.07370365086263E-3</v>
      </c>
      <c r="AH110">
        <v>2.8304063885000699E-3</v>
      </c>
      <c r="AI110">
        <v>1.3088903689258901E-3</v>
      </c>
      <c r="AJ110">
        <v>5.09407402975576E-4</v>
      </c>
      <c r="AK110">
        <v>2.18411382638728E-4</v>
      </c>
      <c r="AL110" s="12">
        <v>9.4018144844485398E-5</v>
      </c>
      <c r="AM110" s="12">
        <v>4.6680337650059198E-5</v>
      </c>
      <c r="AN110" s="12">
        <v>2.80082025900355E-5</v>
      </c>
      <c r="AO110" s="12">
        <v>1.9198110695517299E-5</v>
      </c>
      <c r="AP110" s="12">
        <v>9.9935370743788708E-6</v>
      </c>
      <c r="AQ110" s="12">
        <v>9.9935370743788708E-6</v>
      </c>
      <c r="AR110" s="12">
        <v>1.0125030983252301E-5</v>
      </c>
      <c r="AS110">
        <v>0</v>
      </c>
      <c r="AT110" s="12">
        <v>1.98555802398843E-5</v>
      </c>
    </row>
    <row r="111" spans="1:46" x14ac:dyDescent="0.25">
      <c r="A111">
        <v>4</v>
      </c>
      <c r="B111">
        <v>1</v>
      </c>
      <c r="C111">
        <v>2022</v>
      </c>
      <c r="D111">
        <v>1</v>
      </c>
      <c r="E111">
        <v>7</v>
      </c>
      <c r="F111">
        <v>0</v>
      </c>
      <c r="G111">
        <v>0</v>
      </c>
      <c r="H111">
        <v>0</v>
      </c>
      <c r="I111">
        <v>0</v>
      </c>
      <c r="J111" s="12">
        <v>2.0804139986372401E-5</v>
      </c>
      <c r="K111">
        <v>9.1004055589036898E-4</v>
      </c>
      <c r="L111">
        <v>1.2325703243187399E-2</v>
      </c>
      <c r="M111">
        <v>5.99609050850472E-2</v>
      </c>
      <c r="N111">
        <v>7.4889281210403599E-2</v>
      </c>
      <c r="O111">
        <v>6.8842304900040299E-2</v>
      </c>
      <c r="P111">
        <v>6.6715690716658602E-2</v>
      </c>
      <c r="Q111">
        <v>6.7485069046785195E-2</v>
      </c>
      <c r="R111">
        <v>6.00977251047774E-2</v>
      </c>
      <c r="S111">
        <v>5.9682579428472798E-2</v>
      </c>
      <c r="T111">
        <v>5.4572445403892202E-2</v>
      </c>
      <c r="U111">
        <v>5.2429056711242199E-2</v>
      </c>
      <c r="V111">
        <v>5.1702786058564799E-2</v>
      </c>
      <c r="W111">
        <v>4.79031254284411E-2</v>
      </c>
      <c r="X111">
        <v>4.8076680686345401E-2</v>
      </c>
      <c r="Y111">
        <v>4.4114429142364298E-2</v>
      </c>
      <c r="Z111">
        <v>4.4181246042410603E-2</v>
      </c>
      <c r="AA111">
        <v>4.4534916422179001E-2</v>
      </c>
      <c r="AB111">
        <v>3.8077480052625103E-2</v>
      </c>
      <c r="AC111">
        <v>3.45427442141297E-2</v>
      </c>
      <c r="AD111">
        <v>2.58274963820007E-2</v>
      </c>
      <c r="AE111">
        <v>1.8975624763786302E-2</v>
      </c>
      <c r="AF111">
        <v>1.12454810737148E-2</v>
      </c>
      <c r="AG111">
        <v>6.8435312197514097E-3</v>
      </c>
      <c r="AH111">
        <v>3.4362441667581101E-3</v>
      </c>
      <c r="AI111">
        <v>1.56911945915234E-3</v>
      </c>
      <c r="AJ111">
        <v>5.9647905861828798E-4</v>
      </c>
      <c r="AK111">
        <v>2.3615510254801001E-4</v>
      </c>
      <c r="AL111" s="12">
        <v>9.6711137233947096E-5</v>
      </c>
      <c r="AM111" s="12">
        <v>4.27328280801162E-5</v>
      </c>
      <c r="AN111" s="12">
        <v>1.8836180798472301E-5</v>
      </c>
      <c r="AO111" s="12">
        <v>1.38694266575816E-5</v>
      </c>
      <c r="AP111" s="12">
        <v>7.5906997247574798E-6</v>
      </c>
      <c r="AQ111" s="12">
        <v>8.3403984630051295E-6</v>
      </c>
      <c r="AR111" s="12">
        <v>8.6215354898479992E-6</v>
      </c>
      <c r="AS111">
        <v>0</v>
      </c>
      <c r="AT111" s="12">
        <v>8.1529737784432202E-6</v>
      </c>
    </row>
    <row r="112" spans="1:46" x14ac:dyDescent="0.25">
      <c r="A112">
        <v>4</v>
      </c>
      <c r="B112">
        <v>1</v>
      </c>
      <c r="C112">
        <v>2023</v>
      </c>
      <c r="D112">
        <v>1</v>
      </c>
      <c r="E112">
        <v>9</v>
      </c>
      <c r="F112">
        <v>0</v>
      </c>
      <c r="G112">
        <v>0</v>
      </c>
      <c r="H112">
        <v>0</v>
      </c>
      <c r="I112">
        <v>0</v>
      </c>
      <c r="J112" s="12">
        <v>2.1114046246677899E-5</v>
      </c>
      <c r="K112">
        <v>9.4503558717889599E-4</v>
      </c>
      <c r="L112">
        <v>1.1467111323626799E-2</v>
      </c>
      <c r="M112">
        <v>4.8107080249575301E-2</v>
      </c>
      <c r="N112">
        <v>6.1147006000939599E-2</v>
      </c>
      <c r="O112">
        <v>5.89340355331196E-2</v>
      </c>
      <c r="P112">
        <v>6.67527852794325E-2</v>
      </c>
      <c r="Q112">
        <v>6.7069860008412793E-2</v>
      </c>
      <c r="R112">
        <v>7.0048760705595001E-2</v>
      </c>
      <c r="S112">
        <v>6.7301568464206096E-2</v>
      </c>
      <c r="T112">
        <v>5.9936406676916701E-2</v>
      </c>
      <c r="U112">
        <v>5.6413273235962402E-2</v>
      </c>
      <c r="V112">
        <v>5.12675435427149E-2</v>
      </c>
      <c r="W112">
        <v>5.1166523752482901E-2</v>
      </c>
      <c r="X112">
        <v>5.3334808889668697E-2</v>
      </c>
      <c r="Y112">
        <v>4.9907325718564703E-2</v>
      </c>
      <c r="Z112">
        <v>4.4202983887980503E-2</v>
      </c>
      <c r="AA112">
        <v>4.1970173497394299E-2</v>
      </c>
      <c r="AB112">
        <v>3.4228690239285799E-2</v>
      </c>
      <c r="AC112">
        <v>3.10857006395918E-2</v>
      </c>
      <c r="AD112">
        <v>2.50834869410534E-2</v>
      </c>
      <c r="AE112">
        <v>1.93393742561167E-2</v>
      </c>
      <c r="AF112">
        <v>1.3521635435776599E-2</v>
      </c>
      <c r="AG112">
        <v>8.6077052071424406E-3</v>
      </c>
      <c r="AH112">
        <v>4.3548630471973602E-3</v>
      </c>
      <c r="AI112">
        <v>2.1099484835473302E-3</v>
      </c>
      <c r="AJ112">
        <v>9.61053139503962E-4</v>
      </c>
      <c r="AK112">
        <v>3.9397718190460699E-4</v>
      </c>
      <c r="AL112">
        <v>1.51529685347926E-4</v>
      </c>
      <c r="AM112" s="12">
        <v>7.5173285343775796E-5</v>
      </c>
      <c r="AN112" s="12">
        <v>3.2217122290189599E-5</v>
      </c>
      <c r="AO112" s="12">
        <v>2.1114046246677899E-5</v>
      </c>
      <c r="AP112" s="12">
        <v>9.9199613831374795E-6</v>
      </c>
      <c r="AQ112" s="12">
        <v>9.6469349230511308E-6</v>
      </c>
      <c r="AR112" s="12">
        <v>1.0466014303310201E-5</v>
      </c>
      <c r="AS112">
        <v>0</v>
      </c>
      <c r="AT112" s="12">
        <v>1.0101979023195099E-5</v>
      </c>
    </row>
    <row r="113" spans="1:46" x14ac:dyDescent="0.25">
      <c r="A113">
        <v>4</v>
      </c>
      <c r="B113">
        <v>1</v>
      </c>
      <c r="C113">
        <v>2024</v>
      </c>
      <c r="D113">
        <v>1</v>
      </c>
      <c r="E113">
        <v>10</v>
      </c>
      <c r="F113">
        <v>0</v>
      </c>
      <c r="G113">
        <v>0</v>
      </c>
      <c r="H113">
        <v>0</v>
      </c>
      <c r="I113">
        <v>0</v>
      </c>
      <c r="J113" s="12">
        <v>3.1512414458914297E-5</v>
      </c>
      <c r="K113">
        <v>1.0007578894830999E-3</v>
      </c>
      <c r="L113">
        <v>1.1630706969877599E-2</v>
      </c>
      <c r="M113">
        <v>5.0770717263933E-2</v>
      </c>
      <c r="N113">
        <v>6.4222300667267404E-2</v>
      </c>
      <c r="O113">
        <v>6.2737079193880593E-2</v>
      </c>
      <c r="P113">
        <v>6.2495643169970701E-2</v>
      </c>
      <c r="Q113">
        <v>6.2961804088910903E-2</v>
      </c>
      <c r="R113">
        <v>6.5183747615481097E-2</v>
      </c>
      <c r="S113">
        <v>6.2136751783077503E-2</v>
      </c>
      <c r="T113">
        <v>6.3820994843741402E-2</v>
      </c>
      <c r="U113">
        <v>6.0278474251651802E-2</v>
      </c>
      <c r="V113">
        <v>5.2153364236719998E-2</v>
      </c>
      <c r="W113">
        <v>4.99228264152973E-2</v>
      </c>
      <c r="X113">
        <v>4.4792748579633598E-2</v>
      </c>
      <c r="Y113">
        <v>4.48563304461808E-2</v>
      </c>
      <c r="Z113">
        <v>4.08365877593687E-2</v>
      </c>
      <c r="AA113">
        <v>4.0276048750660098E-2</v>
      </c>
      <c r="AB113">
        <v>4.0200212056267802E-2</v>
      </c>
      <c r="AC113">
        <v>3.2655773981504398E-2</v>
      </c>
      <c r="AD113">
        <v>2.7305984589474398E-2</v>
      </c>
      <c r="AE113">
        <v>2.2488086556644801E-2</v>
      </c>
      <c r="AF113">
        <v>1.6688051606512402E-2</v>
      </c>
      <c r="AG113">
        <v>9.7222164750085903E-3</v>
      </c>
      <c r="AH113">
        <v>5.5776177824236502E-3</v>
      </c>
      <c r="AI113">
        <v>2.90606531218458E-3</v>
      </c>
      <c r="AJ113">
        <v>1.3426198402798099E-3</v>
      </c>
      <c r="AK113">
        <v>5.4621518395451499E-4</v>
      </c>
      <c r="AL113">
        <v>2.3395580431618201E-4</v>
      </c>
      <c r="AM113">
        <v>1.06712494417687E-4</v>
      </c>
      <c r="AN113" s="12">
        <v>4.9019311380533397E-5</v>
      </c>
      <c r="AO113" s="12">
        <v>2.4668809298645099E-5</v>
      </c>
      <c r="AP113" s="12">
        <v>1.2095674236755E-5</v>
      </c>
      <c r="AQ113" s="12">
        <v>1.16977902158091E-5</v>
      </c>
      <c r="AR113" s="12">
        <v>1.0902022173917299E-5</v>
      </c>
      <c r="AS113">
        <v>0</v>
      </c>
      <c r="AT113" s="12">
        <v>9.70837011107967E-6</v>
      </c>
    </row>
    <row r="114" spans="1:46" x14ac:dyDescent="0.25">
      <c r="A114">
        <v>4</v>
      </c>
      <c r="B114">
        <v>2</v>
      </c>
      <c r="C114">
        <v>1990</v>
      </c>
      <c r="D114">
        <v>1</v>
      </c>
      <c r="E114">
        <v>12</v>
      </c>
      <c r="F114">
        <v>0</v>
      </c>
      <c r="G114">
        <v>0</v>
      </c>
      <c r="H114">
        <v>0</v>
      </c>
      <c r="I114">
        <v>0</v>
      </c>
      <c r="J114" s="12">
        <v>1.3217820446592099E-5</v>
      </c>
      <c r="K114">
        <v>1.1850771893554201E-3</v>
      </c>
      <c r="L114">
        <v>1.2928114792968201E-2</v>
      </c>
      <c r="M114">
        <v>4.2534946197133501E-2</v>
      </c>
      <c r="N114">
        <v>5.7816195161662101E-2</v>
      </c>
      <c r="O114">
        <v>5.2471487984367501E-2</v>
      </c>
      <c r="P114">
        <v>5.1001412858259501E-2</v>
      </c>
      <c r="Q114">
        <v>5.0281313242970499E-2</v>
      </c>
      <c r="R114">
        <v>4.5433089129573903E-2</v>
      </c>
      <c r="S114">
        <v>4.7753631415101701E-2</v>
      </c>
      <c r="T114">
        <v>4.18496112602793E-2</v>
      </c>
      <c r="U114">
        <v>3.2929755251231797E-2</v>
      </c>
      <c r="V114">
        <v>2.84322560447537E-2</v>
      </c>
      <c r="W114">
        <v>2.88943365622839E-2</v>
      </c>
      <c r="X114">
        <v>2.4512357485188301E-2</v>
      </c>
      <c r="Y114">
        <v>2.0778956940143398E-2</v>
      </c>
      <c r="Z114">
        <v>1.9717366785645202E-2</v>
      </c>
      <c r="AA114">
        <v>2.13007892487335E-2</v>
      </c>
      <c r="AB114">
        <v>1.56900960682054E-2</v>
      </c>
      <c r="AC114">
        <v>1.42165806874606E-2</v>
      </c>
      <c r="AD114">
        <v>1.35864708908286E-2</v>
      </c>
      <c r="AE114">
        <v>1.1945831561149501E-2</v>
      </c>
      <c r="AF114">
        <v>1.20615327565656E-2</v>
      </c>
      <c r="AG114">
        <v>1.2115490434553001E-2</v>
      </c>
      <c r="AH114">
        <v>1.3494670411836499E-2</v>
      </c>
      <c r="AI114">
        <v>1.4912598520292201E-2</v>
      </c>
      <c r="AJ114">
        <v>1.6363299580813999E-2</v>
      </c>
      <c r="AK114">
        <v>1.5805254065520899E-2</v>
      </c>
      <c r="AL114">
        <v>1.44548635875663E-2</v>
      </c>
      <c r="AM114">
        <v>1.28397545686129E-2</v>
      </c>
      <c r="AN114">
        <v>1.0626403374926E-2</v>
      </c>
      <c r="AO114">
        <v>9.9088386841062193E-3</v>
      </c>
      <c r="AP114">
        <v>1.06198849977195E-2</v>
      </c>
      <c r="AQ114">
        <v>9.9626152960601705E-3</v>
      </c>
      <c r="AR114">
        <v>8.4184841622445793E-3</v>
      </c>
      <c r="AS114">
        <v>8.3449713526375004E-3</v>
      </c>
      <c r="AT114">
        <v>0.194798443628802</v>
      </c>
    </row>
    <row r="115" spans="1:46" x14ac:dyDescent="0.25">
      <c r="A115">
        <v>4</v>
      </c>
      <c r="B115">
        <v>2</v>
      </c>
      <c r="C115">
        <v>1991</v>
      </c>
      <c r="D115">
        <v>1</v>
      </c>
      <c r="E115">
        <v>18</v>
      </c>
      <c r="F115">
        <v>0</v>
      </c>
      <c r="G115">
        <v>0</v>
      </c>
      <c r="H115">
        <v>0</v>
      </c>
      <c r="I115">
        <v>0</v>
      </c>
      <c r="J115" s="12">
        <v>1.1023290786889199E-5</v>
      </c>
      <c r="K115">
        <v>1.1211335159136101E-3</v>
      </c>
      <c r="L115">
        <v>1.3545030661607499E-2</v>
      </c>
      <c r="M115">
        <v>3.6242634820682199E-2</v>
      </c>
      <c r="N115">
        <v>4.4035193606595101E-2</v>
      </c>
      <c r="O115">
        <v>4.49660780921044E-2</v>
      </c>
      <c r="P115">
        <v>4.1891747134528E-2</v>
      </c>
      <c r="Q115">
        <v>4.3012102535797798E-2</v>
      </c>
      <c r="R115">
        <v>4.1858936633715198E-2</v>
      </c>
      <c r="S115">
        <v>4.3377038303730797E-2</v>
      </c>
      <c r="T115">
        <v>3.6713264494395402E-2</v>
      </c>
      <c r="U115">
        <v>3.1301217775354703E-2</v>
      </c>
      <c r="V115">
        <v>3.16099996031615E-2</v>
      </c>
      <c r="W115">
        <v>3.2581994479017197E-2</v>
      </c>
      <c r="X115">
        <v>2.9116531227167199E-2</v>
      </c>
      <c r="Y115">
        <v>2.8848989475480698E-2</v>
      </c>
      <c r="Z115">
        <v>3.0225863337650101E-2</v>
      </c>
      <c r="AA115">
        <v>2.7154255781326998E-2</v>
      </c>
      <c r="AB115">
        <v>2.38419514285277E-2</v>
      </c>
      <c r="AC115">
        <v>2.1037107509247199E-2</v>
      </c>
      <c r="AD115">
        <v>1.9299318138137699E-2</v>
      </c>
      <c r="AE115">
        <v>1.59237271276443E-2</v>
      </c>
      <c r="AF115">
        <v>1.43502496321463E-2</v>
      </c>
      <c r="AG115">
        <v>1.40102135328143E-2</v>
      </c>
      <c r="AH115">
        <v>1.5076489966341399E-2</v>
      </c>
      <c r="AI115">
        <v>1.2901659536975099E-2</v>
      </c>
      <c r="AJ115">
        <v>1.3620637467828199E-2</v>
      </c>
      <c r="AK115">
        <v>1.4362829152220801E-2</v>
      </c>
      <c r="AL115">
        <v>1.3128739327185E-2</v>
      </c>
      <c r="AM115">
        <v>1.2023297789921001E-2</v>
      </c>
      <c r="AN115">
        <v>1.15744553262336E-2</v>
      </c>
      <c r="AO115">
        <v>1.03995022141252E-2</v>
      </c>
      <c r="AP115">
        <v>1.09130578790203E-2</v>
      </c>
      <c r="AQ115">
        <v>9.9964388286469703E-3</v>
      </c>
      <c r="AR115">
        <v>8.7356337341747692E-3</v>
      </c>
      <c r="AS115">
        <v>7.8947511757960706E-3</v>
      </c>
      <c r="AT115">
        <v>0.193296905463999</v>
      </c>
    </row>
    <row r="116" spans="1:46" x14ac:dyDescent="0.25">
      <c r="A116">
        <v>4</v>
      </c>
      <c r="B116">
        <v>2</v>
      </c>
      <c r="C116">
        <v>1992</v>
      </c>
      <c r="D116">
        <v>1</v>
      </c>
      <c r="E116">
        <v>7</v>
      </c>
      <c r="F116">
        <v>0</v>
      </c>
      <c r="G116">
        <v>0</v>
      </c>
      <c r="H116">
        <v>0</v>
      </c>
      <c r="I116">
        <v>0</v>
      </c>
      <c r="J116" s="12">
        <v>1.2519054065491099E-5</v>
      </c>
      <c r="K116">
        <v>1.1157606935868901E-3</v>
      </c>
      <c r="L116">
        <v>1.33054071489797E-2</v>
      </c>
      <c r="M116">
        <v>3.5585150367532098E-2</v>
      </c>
      <c r="N116">
        <v>4.6765839309334201E-2</v>
      </c>
      <c r="O116">
        <v>4.4402737447659602E-2</v>
      </c>
      <c r="P116">
        <v>4.7440564160738899E-2</v>
      </c>
      <c r="Q116">
        <v>4.2557481041131502E-2</v>
      </c>
      <c r="R116">
        <v>4.5329929889385001E-2</v>
      </c>
      <c r="S116">
        <v>4.17030556011617E-2</v>
      </c>
      <c r="T116">
        <v>4.3997433072289302E-2</v>
      </c>
      <c r="U116">
        <v>3.69621159079229E-2</v>
      </c>
      <c r="V116">
        <v>3.4853437738766702E-2</v>
      </c>
      <c r="W116">
        <v>3.7076743496710002E-2</v>
      </c>
      <c r="X116">
        <v>3.4207011165822601E-2</v>
      </c>
      <c r="Y116">
        <v>3.0723845185726E-2</v>
      </c>
      <c r="Z116">
        <v>3.2132238768093797E-2</v>
      </c>
      <c r="AA116">
        <v>2.8940923235898999E-2</v>
      </c>
      <c r="AB116">
        <v>2.77458751998973E-2</v>
      </c>
      <c r="AC116">
        <v>2.28545764510594E-2</v>
      </c>
      <c r="AD116">
        <v>2.1268829602763901E-2</v>
      </c>
      <c r="AE116">
        <v>1.9792102850288699E-2</v>
      </c>
      <c r="AF116">
        <v>1.7454691130810902E-2</v>
      </c>
      <c r="AG116">
        <v>1.8499510518026702E-2</v>
      </c>
      <c r="AH116">
        <v>1.6376487599420501E-2</v>
      </c>
      <c r="AI116">
        <v>1.4846554867166999E-2</v>
      </c>
      <c r="AJ116">
        <v>1.2188472794074199E-2</v>
      </c>
      <c r="AK116">
        <v>1.151909462201E-2</v>
      </c>
      <c r="AL116">
        <v>1.1054585553454999E-2</v>
      </c>
      <c r="AM116">
        <v>9.8818370825074792E-3</v>
      </c>
      <c r="AN116">
        <v>8.14025409245921E-3</v>
      </c>
      <c r="AO116">
        <v>7.4955228080864199E-3</v>
      </c>
      <c r="AP116">
        <v>7.4059333274302504E-3</v>
      </c>
      <c r="AQ116">
        <v>7.5482071606120301E-3</v>
      </c>
      <c r="AR116">
        <v>6.9105178441510803E-3</v>
      </c>
      <c r="AS116">
        <v>7.5656816735784503E-3</v>
      </c>
      <c r="AT116">
        <v>0.15433907153739601</v>
      </c>
    </row>
    <row r="117" spans="1:46" x14ac:dyDescent="0.25">
      <c r="A117">
        <v>4</v>
      </c>
      <c r="B117">
        <v>2</v>
      </c>
      <c r="C117">
        <v>1993</v>
      </c>
      <c r="D117">
        <v>1</v>
      </c>
      <c r="E117">
        <v>8</v>
      </c>
      <c r="F117">
        <v>0</v>
      </c>
      <c r="G117">
        <v>0</v>
      </c>
      <c r="H117">
        <v>0</v>
      </c>
      <c r="I117">
        <v>0</v>
      </c>
      <c r="J117" s="12">
        <v>9.3877298126462193E-6</v>
      </c>
      <c r="K117">
        <v>9.7877287350980999E-4</v>
      </c>
      <c r="L117">
        <v>1.1083561978975901E-2</v>
      </c>
      <c r="M117">
        <v>3.1503588602577598E-2</v>
      </c>
      <c r="N117">
        <v>4.5113021328187397E-2</v>
      </c>
      <c r="O117">
        <v>5.0761332642940603E-2</v>
      </c>
      <c r="P117">
        <v>5.2815367925947598E-2</v>
      </c>
      <c r="Q117">
        <v>5.0034722355441798E-2</v>
      </c>
      <c r="R117">
        <v>4.6695057882701202E-2</v>
      </c>
      <c r="S117">
        <v>4.3511392989716798E-2</v>
      </c>
      <c r="T117">
        <v>3.8382590479552198E-2</v>
      </c>
      <c r="U117">
        <v>3.4610519008397803E-2</v>
      </c>
      <c r="V117">
        <v>3.0178286050331501E-2</v>
      </c>
      <c r="W117">
        <v>2.9584818261305899E-2</v>
      </c>
      <c r="X117">
        <v>2.7800741434737399E-2</v>
      </c>
      <c r="Y117">
        <v>2.7117641234109299E-2</v>
      </c>
      <c r="Z117">
        <v>2.54031968730207E-2</v>
      </c>
      <c r="AA117">
        <v>2.3164182496487998E-2</v>
      </c>
      <c r="AB117">
        <v>2.37870379614488E-2</v>
      </c>
      <c r="AC117">
        <v>2.2971366689379501E-2</v>
      </c>
      <c r="AD117">
        <v>2.0859372378833601E-2</v>
      </c>
      <c r="AE117">
        <v>1.9426723176990599E-2</v>
      </c>
      <c r="AF117">
        <v>1.79349720935446E-2</v>
      </c>
      <c r="AG117">
        <v>1.5695957717011901E-2</v>
      </c>
      <c r="AH117">
        <v>1.3404045523795699E-2</v>
      </c>
      <c r="AI117">
        <v>1.2731231009745001E-2</v>
      </c>
      <c r="AJ117">
        <v>1.26617618091314E-2</v>
      </c>
      <c r="AK117">
        <v>1.2655067949612899E-2</v>
      </c>
      <c r="AL117">
        <v>1.19776820193056E-2</v>
      </c>
      <c r="AM117">
        <v>1.06927058890372E-2</v>
      </c>
      <c r="AN117">
        <v>1.01416869652514E-2</v>
      </c>
      <c r="AO117">
        <v>9.7958919784134502E-3</v>
      </c>
      <c r="AP117">
        <v>9.46446429981046E-3</v>
      </c>
      <c r="AQ117">
        <v>8.6527113845326006E-3</v>
      </c>
      <c r="AR117">
        <v>8.5890380866729104E-3</v>
      </c>
      <c r="AS117">
        <v>8.7193234499858101E-3</v>
      </c>
      <c r="AT117">
        <v>0.181090777469742</v>
      </c>
    </row>
    <row r="118" spans="1:46" x14ac:dyDescent="0.25">
      <c r="A118">
        <v>4</v>
      </c>
      <c r="B118">
        <v>2</v>
      </c>
      <c r="C118">
        <v>1994</v>
      </c>
      <c r="D118">
        <v>1</v>
      </c>
      <c r="E118">
        <v>5</v>
      </c>
      <c r="F118">
        <v>0</v>
      </c>
      <c r="G118">
        <v>0</v>
      </c>
      <c r="H118">
        <v>0</v>
      </c>
      <c r="I118">
        <v>0</v>
      </c>
      <c r="J118" s="12">
        <v>7.2458249021710702E-6</v>
      </c>
      <c r="K118">
        <v>8.4232714487738702E-4</v>
      </c>
      <c r="L118">
        <v>9.3660520752495407E-3</v>
      </c>
      <c r="M118">
        <v>2.9239620664598599E-2</v>
      </c>
      <c r="N118">
        <v>3.7466431451820402E-2</v>
      </c>
      <c r="O118">
        <v>3.9274182425992697E-2</v>
      </c>
      <c r="P118">
        <v>3.4946613503171103E-2</v>
      </c>
      <c r="Q118">
        <v>3.5254231705835998E-2</v>
      </c>
      <c r="R118">
        <v>3.3665419918196299E-2</v>
      </c>
      <c r="S118">
        <v>3.2997486604487099E-2</v>
      </c>
      <c r="T118">
        <v>3.0613692550592101E-2</v>
      </c>
      <c r="U118">
        <v>3.1822674903303198E-2</v>
      </c>
      <c r="V118">
        <v>3.0487878681836202E-2</v>
      </c>
      <c r="W118">
        <v>3.0310191293894399E-2</v>
      </c>
      <c r="X118">
        <v>2.8479056066628702E-2</v>
      </c>
      <c r="Y118">
        <v>2.82832541164314E-2</v>
      </c>
      <c r="Z118">
        <v>2.79662492769614E-2</v>
      </c>
      <c r="AA118">
        <v>2.76275069627849E-2</v>
      </c>
      <c r="AB118">
        <v>2.4368450196275399E-2</v>
      </c>
      <c r="AC118">
        <v>2.3768940524540101E-2</v>
      </c>
      <c r="AD118">
        <v>2.3270625384677099E-2</v>
      </c>
      <c r="AE118">
        <v>2.18748160239771E-2</v>
      </c>
      <c r="AF118">
        <v>2.1809932955534898E-2</v>
      </c>
      <c r="AG118">
        <v>1.9898681959748601E-2</v>
      </c>
      <c r="AH118">
        <v>1.97512952941249E-2</v>
      </c>
      <c r="AI118">
        <v>1.7648523971947098E-2</v>
      </c>
      <c r="AJ118">
        <v>1.71306121692806E-2</v>
      </c>
      <c r="AK118">
        <v>1.7045144371002699E-2</v>
      </c>
      <c r="AL118">
        <v>1.52532848082635E-2</v>
      </c>
      <c r="AM118">
        <v>1.3351255771443599E-2</v>
      </c>
      <c r="AN118">
        <v>1.3051377427196999E-2</v>
      </c>
      <c r="AO118">
        <v>1.1504393810583401E-2</v>
      </c>
      <c r="AP118">
        <v>1.14219725523212E-2</v>
      </c>
      <c r="AQ118">
        <v>1.1305298303612399E-2</v>
      </c>
      <c r="AR118">
        <v>1.00957395784659E-2</v>
      </c>
      <c r="AS118">
        <v>9.7621022772886607E-3</v>
      </c>
      <c r="AT118">
        <v>0.20903743744815201</v>
      </c>
    </row>
    <row r="119" spans="1:46" x14ac:dyDescent="0.25">
      <c r="A119">
        <v>4</v>
      </c>
      <c r="B119">
        <v>2</v>
      </c>
      <c r="C119">
        <v>1995</v>
      </c>
      <c r="D119">
        <v>1</v>
      </c>
      <c r="E119">
        <v>9</v>
      </c>
      <c r="F119">
        <v>0</v>
      </c>
      <c r="G119">
        <v>0</v>
      </c>
      <c r="H119">
        <v>0</v>
      </c>
      <c r="I119">
        <v>0</v>
      </c>
      <c r="J119" s="12">
        <v>1.19733050033534E-5</v>
      </c>
      <c r="K119">
        <v>1.1603843020392801E-3</v>
      </c>
      <c r="L119">
        <v>1.1627789630399499E-2</v>
      </c>
      <c r="M119">
        <v>3.9903433584675803E-2</v>
      </c>
      <c r="N119">
        <v>4.79684807877203E-2</v>
      </c>
      <c r="O119">
        <v>4.9811172427736403E-2</v>
      </c>
      <c r="P119">
        <v>4.1663509420168797E-2</v>
      </c>
      <c r="Q119">
        <v>3.1639800565790001E-2</v>
      </c>
      <c r="R119">
        <v>3.60558975454554E-2</v>
      </c>
      <c r="S119">
        <v>3.4515959474809801E-2</v>
      </c>
      <c r="T119">
        <v>3.4213205905439303E-2</v>
      </c>
      <c r="U119">
        <v>3.6151170843839203E-2</v>
      </c>
      <c r="V119">
        <v>3.7656899471618099E-2</v>
      </c>
      <c r="W119">
        <v>3.29919287950972E-2</v>
      </c>
      <c r="X119">
        <v>3.5135321437911801E-2</v>
      </c>
      <c r="Y119">
        <v>3.5997912539796298E-2</v>
      </c>
      <c r="Z119">
        <v>3.8544634514009503E-2</v>
      </c>
      <c r="AA119">
        <v>3.43681746816255E-2</v>
      </c>
      <c r="AB119">
        <v>3.4054816184966301E-2</v>
      </c>
      <c r="AC119">
        <v>2.8833771014646899E-2</v>
      </c>
      <c r="AD119">
        <v>2.7350449571945799E-2</v>
      </c>
      <c r="AE119">
        <v>2.45569064674491E-2</v>
      </c>
      <c r="AF119">
        <v>2.26370725337686E-2</v>
      </c>
      <c r="AG119">
        <v>1.9069711831626601E-2</v>
      </c>
      <c r="AH119">
        <v>1.5287344781067301E-2</v>
      </c>
      <c r="AI119">
        <v>1.32246864234181E-2</v>
      </c>
      <c r="AJ119">
        <v>1.135941655111E-2</v>
      </c>
      <c r="AK119">
        <v>9.6865747949272194E-3</v>
      </c>
      <c r="AL119">
        <v>1.0694898123423901E-2</v>
      </c>
      <c r="AM119">
        <v>9.1807881821427094E-3</v>
      </c>
      <c r="AN119">
        <v>9.4548058195051705E-3</v>
      </c>
      <c r="AO119">
        <v>8.2975003673238894E-3</v>
      </c>
      <c r="AP119">
        <v>6.3082212646239002E-3</v>
      </c>
      <c r="AQ119">
        <v>6.4724265903841702E-3</v>
      </c>
      <c r="AR119">
        <v>6.8589932947781497E-3</v>
      </c>
      <c r="AS119">
        <v>6.1412791834342803E-3</v>
      </c>
      <c r="AT119">
        <v>0.151112687786322</v>
      </c>
    </row>
    <row r="120" spans="1:46" x14ac:dyDescent="0.25">
      <c r="A120">
        <v>4</v>
      </c>
      <c r="B120">
        <v>2</v>
      </c>
      <c r="C120">
        <v>1996</v>
      </c>
      <c r="D120">
        <v>1</v>
      </c>
      <c r="E120">
        <v>19</v>
      </c>
      <c r="F120">
        <v>0</v>
      </c>
      <c r="G120">
        <v>0</v>
      </c>
      <c r="H120">
        <v>0</v>
      </c>
      <c r="I120">
        <v>0</v>
      </c>
      <c r="J120" s="12">
        <v>9.5065903079225301E-6</v>
      </c>
      <c r="K120">
        <v>1.13984017791991E-3</v>
      </c>
      <c r="L120">
        <v>1.4733721084517201E-2</v>
      </c>
      <c r="M120">
        <v>4.0025461365013199E-2</v>
      </c>
      <c r="N120">
        <v>5.8485901658669098E-2</v>
      </c>
      <c r="O120">
        <v>6.2349108342942897E-2</v>
      </c>
      <c r="P120">
        <v>6.5146490445265604E-2</v>
      </c>
      <c r="Q120">
        <v>5.7591603127559503E-2</v>
      </c>
      <c r="R120">
        <v>4.9703306106911399E-2</v>
      </c>
      <c r="S120">
        <v>4.1160276630913303E-2</v>
      </c>
      <c r="T120">
        <v>3.2555182701047701E-2</v>
      </c>
      <c r="U120">
        <v>2.8383962490797301E-2</v>
      </c>
      <c r="V120">
        <v>2.5565122656065298E-2</v>
      </c>
      <c r="W120">
        <v>2.61648526960622E-2</v>
      </c>
      <c r="X120">
        <v>2.22963494829026E-2</v>
      </c>
      <c r="Y120">
        <v>2.4902513311603099E-2</v>
      </c>
      <c r="Z120">
        <v>2.5019987606122399E-2</v>
      </c>
      <c r="AA120">
        <v>2.1560946818368301E-2</v>
      </c>
      <c r="AB120">
        <v>2.2823557819693401E-2</v>
      </c>
      <c r="AC120">
        <v>2.3775167509516401E-2</v>
      </c>
      <c r="AD120">
        <v>2.1688335128494499E-2</v>
      </c>
      <c r="AE120">
        <v>2.1626678099925901E-2</v>
      </c>
      <c r="AF120">
        <v>1.8527665467976202E-2</v>
      </c>
      <c r="AG120">
        <v>1.9196386191921998E-2</v>
      </c>
      <c r="AH120">
        <v>1.7512769048388901E-2</v>
      </c>
      <c r="AI120">
        <v>1.45499722747084E-2</v>
      </c>
      <c r="AJ120">
        <v>1.26478393625261E-2</v>
      </c>
      <c r="AK120">
        <v>1.19777605542505E-2</v>
      </c>
      <c r="AL120">
        <v>1.14934676822783E-2</v>
      </c>
      <c r="AM120">
        <v>1.1632263900774001E-2</v>
      </c>
      <c r="AN120">
        <v>1.1265309514888199E-2</v>
      </c>
      <c r="AO120">
        <v>1.0492831148153E-2</v>
      </c>
      <c r="AP120">
        <v>9.52655414756917E-3</v>
      </c>
      <c r="AQ120">
        <v>9.67390629734197E-3</v>
      </c>
      <c r="AR120">
        <v>8.1539383155381298E-3</v>
      </c>
      <c r="AS120">
        <v>7.1064478720380296E-3</v>
      </c>
      <c r="AT120">
        <v>0.139535016371028</v>
      </c>
    </row>
    <row r="121" spans="1:46" x14ac:dyDescent="0.25">
      <c r="A121">
        <v>4</v>
      </c>
      <c r="B121">
        <v>2</v>
      </c>
      <c r="C121">
        <v>1997</v>
      </c>
      <c r="D121">
        <v>1</v>
      </c>
      <c r="E121">
        <v>20</v>
      </c>
      <c r="F121">
        <v>0</v>
      </c>
      <c r="G121">
        <v>0</v>
      </c>
      <c r="H121">
        <v>0</v>
      </c>
      <c r="I121">
        <v>0</v>
      </c>
      <c r="J121" s="12">
        <v>8.2728090164858898E-6</v>
      </c>
      <c r="K121">
        <v>1.1279001822329499E-3</v>
      </c>
      <c r="L121">
        <v>1.27103194411377E-2</v>
      </c>
      <c r="M121">
        <v>3.4472065217959903E-2</v>
      </c>
      <c r="N121">
        <v>4.7157201255179797E-2</v>
      </c>
      <c r="O121">
        <v>4.7750653643156497E-2</v>
      </c>
      <c r="P121">
        <v>4.2883200467559703E-2</v>
      </c>
      <c r="Q121">
        <v>4.1151141909211E-2</v>
      </c>
      <c r="R121">
        <v>4.5518455116178802E-2</v>
      </c>
      <c r="S121">
        <v>4.4652973302307102E-2</v>
      </c>
      <c r="T121">
        <v>4.1558212776404597E-2</v>
      </c>
      <c r="U121">
        <v>3.43351988923195E-2</v>
      </c>
      <c r="V121">
        <v>3.4014262566062402E-2</v>
      </c>
      <c r="W121">
        <v>3.5129388557902201E-2</v>
      </c>
      <c r="X121">
        <v>3.2706793764589202E-2</v>
      </c>
      <c r="Y121">
        <v>2.7767440145922601E-2</v>
      </c>
      <c r="Z121">
        <v>2.2729542772795E-2</v>
      </c>
      <c r="AA121">
        <v>2.1828536543734799E-2</v>
      </c>
      <c r="AB121">
        <v>2.2862151034970999E-2</v>
      </c>
      <c r="AC121">
        <v>2.33552347841448E-2</v>
      </c>
      <c r="AD121">
        <v>2.2730394385487799E-2</v>
      </c>
      <c r="AE121">
        <v>1.8933175046920801E-2</v>
      </c>
      <c r="AF121">
        <v>1.8138133768645301E-2</v>
      </c>
      <c r="AG121">
        <v>1.83782885480357E-2</v>
      </c>
      <c r="AH121">
        <v>1.9072961187508199E-2</v>
      </c>
      <c r="AI121">
        <v>1.6094993259485501E-2</v>
      </c>
      <c r="AJ121">
        <v>1.5872235710821098E-2</v>
      </c>
      <c r="AK121">
        <v>1.33045017828512E-2</v>
      </c>
      <c r="AL121">
        <v>1.24365867898569E-2</v>
      </c>
      <c r="AM121">
        <v>1.10771696141185E-2</v>
      </c>
      <c r="AN121">
        <v>1.13255972025253E-2</v>
      </c>
      <c r="AO121">
        <v>1.04456379728747E-2</v>
      </c>
      <c r="AP121">
        <v>1.08154811994941E-2</v>
      </c>
      <c r="AQ121">
        <v>1.0274828798475501E-2</v>
      </c>
      <c r="AR121">
        <v>9.6738335552190007E-3</v>
      </c>
      <c r="AS121">
        <v>9.1846428926412108E-3</v>
      </c>
      <c r="AT121">
        <v>0.158522593102254</v>
      </c>
    </row>
    <row r="122" spans="1:46" x14ac:dyDescent="0.25">
      <c r="A122">
        <v>4</v>
      </c>
      <c r="B122">
        <v>2</v>
      </c>
      <c r="C122">
        <v>1998</v>
      </c>
      <c r="D122">
        <v>1</v>
      </c>
      <c r="E122">
        <v>6</v>
      </c>
      <c r="F122">
        <v>0</v>
      </c>
      <c r="G122">
        <v>0</v>
      </c>
      <c r="H122">
        <v>0</v>
      </c>
      <c r="I122">
        <v>0</v>
      </c>
      <c r="J122" s="12">
        <v>1.72418598345443E-5</v>
      </c>
      <c r="K122">
        <v>1.10347902941083E-3</v>
      </c>
      <c r="L122">
        <v>1.20551304925362E-2</v>
      </c>
      <c r="M122">
        <v>3.3659180865220198E-2</v>
      </c>
      <c r="N122">
        <v>4.3180230341799797E-2</v>
      </c>
      <c r="O122">
        <v>4.6414141915150198E-2</v>
      </c>
      <c r="P122">
        <v>4.1728135077926103E-2</v>
      </c>
      <c r="Q122">
        <v>4.6203224369502999E-2</v>
      </c>
      <c r="R122">
        <v>4.9274046844007498E-2</v>
      </c>
      <c r="S122">
        <v>4.2947701423894202E-2</v>
      </c>
      <c r="T122">
        <v>4.4067123268905502E-2</v>
      </c>
      <c r="U122">
        <v>3.5747335424086001E-2</v>
      </c>
      <c r="V122">
        <v>3.0470853934993901E-2</v>
      </c>
      <c r="W122">
        <v>3.02015974937422E-2</v>
      </c>
      <c r="X122">
        <v>2.6248251604555801E-2</v>
      </c>
      <c r="Y122">
        <v>2.77537257769584E-2</v>
      </c>
      <c r="Z122">
        <v>2.514004877793E-2</v>
      </c>
      <c r="AA122">
        <v>2.6156846128446699E-2</v>
      </c>
      <c r="AB122">
        <v>2.4898072265594599E-2</v>
      </c>
      <c r="AC122">
        <v>2.29211631311406E-2</v>
      </c>
      <c r="AD122">
        <v>2.2062731082255E-2</v>
      </c>
      <c r="AE122">
        <v>1.9182750015234201E-2</v>
      </c>
      <c r="AF122">
        <v>1.8416432012040001E-2</v>
      </c>
      <c r="AG122">
        <v>1.7538514299642701E-2</v>
      </c>
      <c r="AH122">
        <v>1.5859204389730298E-2</v>
      </c>
      <c r="AI122">
        <v>1.49862466644087E-2</v>
      </c>
      <c r="AJ122">
        <v>1.41696202208753E-2</v>
      </c>
      <c r="AK122">
        <v>1.3947011277121101E-2</v>
      </c>
      <c r="AL122">
        <v>1.34409745004703E-2</v>
      </c>
      <c r="AM122">
        <v>1.2443190433743799E-2</v>
      </c>
      <c r="AN122">
        <v>1.1054275957619999E-2</v>
      </c>
      <c r="AO122">
        <v>1.0427546162127301E-2</v>
      </c>
      <c r="AP122">
        <v>1.0428372826639999E-2</v>
      </c>
      <c r="AQ122">
        <v>9.9067475191798003E-3</v>
      </c>
      <c r="AR122">
        <v>9.9276503218559305E-3</v>
      </c>
      <c r="AS122">
        <v>8.7789409341120107E-3</v>
      </c>
      <c r="AT122">
        <v>0.16724226135730799</v>
      </c>
    </row>
    <row r="123" spans="1:46" x14ac:dyDescent="0.25">
      <c r="A123">
        <v>4</v>
      </c>
      <c r="B123">
        <v>2</v>
      </c>
      <c r="C123">
        <v>1999</v>
      </c>
      <c r="D123">
        <v>1</v>
      </c>
      <c r="E123">
        <v>9</v>
      </c>
      <c r="F123">
        <v>0</v>
      </c>
      <c r="G123">
        <v>0</v>
      </c>
      <c r="H123">
        <v>0</v>
      </c>
      <c r="I123">
        <v>0</v>
      </c>
      <c r="J123" s="12">
        <v>3.4722551034258503E-5</v>
      </c>
      <c r="K123">
        <v>2.6746886281541001E-3</v>
      </c>
      <c r="L123">
        <v>2.61124105762786E-2</v>
      </c>
      <c r="M123">
        <v>7.6759635420228803E-2</v>
      </c>
      <c r="N123">
        <v>0.104883148093785</v>
      </c>
      <c r="O123">
        <v>0.10892429186163</v>
      </c>
      <c r="P123">
        <v>9.3318784935182794E-2</v>
      </c>
      <c r="Q123">
        <v>7.7694338435444002E-2</v>
      </c>
      <c r="R123">
        <v>6.5878324465053498E-2</v>
      </c>
      <c r="S123">
        <v>6.5814666454824006E-2</v>
      </c>
      <c r="T123">
        <v>5.31255030824156E-2</v>
      </c>
      <c r="U123">
        <v>4.7468182393702499E-2</v>
      </c>
      <c r="V123">
        <v>4.3573644952445902E-2</v>
      </c>
      <c r="W123">
        <v>4.0100337650503901E-2</v>
      </c>
      <c r="X123">
        <v>3.1319214933643098E-2</v>
      </c>
      <c r="Y123">
        <v>2.4568835353028399E-2</v>
      </c>
      <c r="Z123">
        <v>1.9083724488131702E-2</v>
      </c>
      <c r="AA123">
        <v>2.0912445509269399E-2</v>
      </c>
      <c r="AB123">
        <v>1.64614704193678E-2</v>
      </c>
      <c r="AC123">
        <v>1.22388224074793E-2</v>
      </c>
      <c r="AD123">
        <v>8.9563137698063303E-3</v>
      </c>
      <c r="AE123">
        <v>5.8712677203382599E-3</v>
      </c>
      <c r="AF123">
        <v>5.9529884717623299E-3</v>
      </c>
      <c r="AG123">
        <v>3.7537182065065901E-3</v>
      </c>
      <c r="AH123">
        <v>5.8046284809795904E-3</v>
      </c>
      <c r="AI123">
        <v>3.4568228585217398E-3</v>
      </c>
      <c r="AJ123">
        <v>3.4224510403262098E-3</v>
      </c>
      <c r="AK123">
        <v>1.87992801559218E-3</v>
      </c>
      <c r="AL123">
        <v>2.6357572830550801E-3</v>
      </c>
      <c r="AM123">
        <v>1.31314374820469E-3</v>
      </c>
      <c r="AN123">
        <v>0</v>
      </c>
      <c r="AO123">
        <v>0</v>
      </c>
      <c r="AP123">
        <v>0</v>
      </c>
      <c r="AQ123">
        <v>5.0084649370627605E-4</v>
      </c>
      <c r="AR123">
        <v>0</v>
      </c>
      <c r="AS123">
        <v>5.4538956422497096E-4</v>
      </c>
      <c r="AT123">
        <v>2.8091069885973301E-2</v>
      </c>
    </row>
    <row r="124" spans="1:46" x14ac:dyDescent="0.25">
      <c r="A124">
        <v>4</v>
      </c>
      <c r="B124">
        <v>2</v>
      </c>
      <c r="C124">
        <v>2000</v>
      </c>
      <c r="D124">
        <v>1</v>
      </c>
      <c r="E124">
        <v>8</v>
      </c>
      <c r="F124">
        <v>0</v>
      </c>
      <c r="G124">
        <v>0</v>
      </c>
      <c r="H124">
        <v>0</v>
      </c>
      <c r="I124">
        <v>0</v>
      </c>
      <c r="J124" s="12">
        <v>2.0526961731436899E-5</v>
      </c>
      <c r="K124">
        <v>1.6300386117096401E-3</v>
      </c>
      <c r="L124">
        <v>1.7386089273735101E-2</v>
      </c>
      <c r="M124">
        <v>5.0787907641037799E-2</v>
      </c>
      <c r="N124">
        <v>6.9432077087397306E-2</v>
      </c>
      <c r="O124">
        <v>7.6651137484272505E-2</v>
      </c>
      <c r="P124">
        <v>7.3670276402959103E-2</v>
      </c>
      <c r="Q124">
        <v>6.1699595334444197E-2</v>
      </c>
      <c r="R124">
        <v>6.1697740488504599E-2</v>
      </c>
      <c r="S124">
        <v>5.13421356077867E-2</v>
      </c>
      <c r="T124">
        <v>4.1948082862150897E-2</v>
      </c>
      <c r="U124">
        <v>4.0776933135895303E-2</v>
      </c>
      <c r="V124">
        <v>3.8815742695771302E-2</v>
      </c>
      <c r="W124">
        <v>3.4953087854777902E-2</v>
      </c>
      <c r="X124">
        <v>3.0020681532226399E-2</v>
      </c>
      <c r="Y124">
        <v>2.9803664557294701E-2</v>
      </c>
      <c r="Z124">
        <v>2.5531583389236299E-2</v>
      </c>
      <c r="AA124">
        <v>2.1135845825205501E-2</v>
      </c>
      <c r="AB124">
        <v>1.6967636029764099E-2</v>
      </c>
      <c r="AC124">
        <v>1.7020066341656401E-2</v>
      </c>
      <c r="AD124">
        <v>1.7564649109519399E-2</v>
      </c>
      <c r="AE124">
        <v>1.6006578520265699E-2</v>
      </c>
      <c r="AF124">
        <v>1.4112780815946699E-2</v>
      </c>
      <c r="AG124">
        <v>1.18316912794418E-2</v>
      </c>
      <c r="AH124">
        <v>1.04477288957175E-2</v>
      </c>
      <c r="AI124">
        <v>9.51288654216529E-3</v>
      </c>
      <c r="AJ124">
        <v>8.4258231651709401E-3</v>
      </c>
      <c r="AK124">
        <v>8.5304364761636907E-3</v>
      </c>
      <c r="AL124">
        <v>8.8042117368468207E-3</v>
      </c>
      <c r="AM124">
        <v>8.4057908290233897E-3</v>
      </c>
      <c r="AN124">
        <v>6.90559143308489E-3</v>
      </c>
      <c r="AO124">
        <v>7.1515440046742099E-3</v>
      </c>
      <c r="AP124">
        <v>6.1034323924112101E-3</v>
      </c>
      <c r="AQ124">
        <v>6.3272504691214504E-3</v>
      </c>
      <c r="AR124">
        <v>6.2719760601217403E-3</v>
      </c>
      <c r="AS124">
        <v>5.7178717497689199E-3</v>
      </c>
      <c r="AT124">
        <v>8.6588907402999293E-2</v>
      </c>
    </row>
    <row r="125" spans="1:46" x14ac:dyDescent="0.25">
      <c r="A125">
        <v>4</v>
      </c>
      <c r="B125">
        <v>2</v>
      </c>
      <c r="C125">
        <v>2001</v>
      </c>
      <c r="D125">
        <v>1</v>
      </c>
      <c r="E125">
        <v>9</v>
      </c>
      <c r="F125">
        <v>0</v>
      </c>
      <c r="G125">
        <v>0</v>
      </c>
      <c r="H125">
        <v>0</v>
      </c>
      <c r="I125">
        <v>0</v>
      </c>
      <c r="J125" s="12">
        <v>2.3365137473525501E-5</v>
      </c>
      <c r="K125">
        <v>2.1601730871749999E-3</v>
      </c>
      <c r="L125">
        <v>2.4827001546397401E-2</v>
      </c>
      <c r="M125">
        <v>6.7334027895108603E-2</v>
      </c>
      <c r="N125">
        <v>8.1226916594284299E-2</v>
      </c>
      <c r="O125">
        <v>7.8528904493567794E-2</v>
      </c>
      <c r="P125">
        <v>7.4659549557621899E-2</v>
      </c>
      <c r="Q125">
        <v>7.3877919581384899E-2</v>
      </c>
      <c r="R125">
        <v>6.7265585676377193E-2</v>
      </c>
      <c r="S125">
        <v>6.6664594663909602E-2</v>
      </c>
      <c r="T125">
        <v>5.6107409977817498E-2</v>
      </c>
      <c r="U125">
        <v>4.5014259897698201E-2</v>
      </c>
      <c r="V125">
        <v>3.6901266974579502E-2</v>
      </c>
      <c r="W125">
        <v>3.0652415255362799E-2</v>
      </c>
      <c r="X125">
        <v>2.60278814422065E-2</v>
      </c>
      <c r="Y125">
        <v>2.19288427963793E-2</v>
      </c>
      <c r="Z125">
        <v>2.1066316542285898E-2</v>
      </c>
      <c r="AA125">
        <v>1.9710477291345702E-2</v>
      </c>
      <c r="AB125">
        <v>1.98410795927897E-2</v>
      </c>
      <c r="AC125">
        <v>1.65557428807694E-2</v>
      </c>
      <c r="AD125">
        <v>1.4936053917038601E-2</v>
      </c>
      <c r="AE125">
        <v>1.2444580814555E-2</v>
      </c>
      <c r="AF125">
        <v>1.0612621781135499E-2</v>
      </c>
      <c r="AG125">
        <v>9.5389275864793902E-3</v>
      </c>
      <c r="AH125">
        <v>8.9446595616810409E-3</v>
      </c>
      <c r="AI125">
        <v>7.5590628243359399E-3</v>
      </c>
      <c r="AJ125">
        <v>6.5572274487022304E-3</v>
      </c>
      <c r="AK125">
        <v>5.1387872633990497E-3</v>
      </c>
      <c r="AL125">
        <v>5.1658996399013496E-3</v>
      </c>
      <c r="AM125">
        <v>4.0947403422353403E-3</v>
      </c>
      <c r="AN125">
        <v>4.3766649726942001E-3</v>
      </c>
      <c r="AO125">
        <v>4.5416537028728204E-3</v>
      </c>
      <c r="AP125">
        <v>4.4211909893890301E-3</v>
      </c>
      <c r="AQ125">
        <v>4.5884941907324804E-3</v>
      </c>
      <c r="AR125">
        <v>3.7415079573171802E-3</v>
      </c>
      <c r="AS125">
        <v>3.3460640268690302E-3</v>
      </c>
      <c r="AT125">
        <v>5.9618132096127298E-2</v>
      </c>
    </row>
    <row r="126" spans="1:46" x14ac:dyDescent="0.25">
      <c r="A126">
        <v>4</v>
      </c>
      <c r="B126">
        <v>2</v>
      </c>
      <c r="C126">
        <v>2002</v>
      </c>
      <c r="D126">
        <v>1</v>
      </c>
      <c r="E126">
        <v>20</v>
      </c>
      <c r="F126">
        <v>0</v>
      </c>
      <c r="G126">
        <v>0</v>
      </c>
      <c r="H126">
        <v>0</v>
      </c>
      <c r="I126">
        <v>0</v>
      </c>
      <c r="J126" s="12">
        <v>2.3497424433751602E-5</v>
      </c>
      <c r="K126">
        <v>2.0673214766233402E-3</v>
      </c>
      <c r="L126">
        <v>2.4888404179197701E-2</v>
      </c>
      <c r="M126">
        <v>7.2145113767073193E-2</v>
      </c>
      <c r="N126">
        <v>8.9932664063423207E-2</v>
      </c>
      <c r="O126">
        <v>9.6604238076808097E-2</v>
      </c>
      <c r="P126">
        <v>9.0935032558618706E-2</v>
      </c>
      <c r="Q126">
        <v>8.9491296576583404E-2</v>
      </c>
      <c r="R126">
        <v>8.0505226256473994E-2</v>
      </c>
      <c r="S126">
        <v>6.6186822147316707E-2</v>
      </c>
      <c r="T126">
        <v>5.4546785518447001E-2</v>
      </c>
      <c r="U126">
        <v>5.1191850370208701E-2</v>
      </c>
      <c r="V126">
        <v>4.0109425698093802E-2</v>
      </c>
      <c r="W126">
        <v>3.1199157165460501E-2</v>
      </c>
      <c r="X126">
        <v>2.59167554033344E-2</v>
      </c>
      <c r="Y126">
        <v>1.9861198002628599E-2</v>
      </c>
      <c r="Z126">
        <v>1.9054942626745501E-2</v>
      </c>
      <c r="AA126">
        <v>1.7076753207229001E-2</v>
      </c>
      <c r="AB126">
        <v>1.3313663277841E-2</v>
      </c>
      <c r="AC126">
        <v>1.0032270549344901E-2</v>
      </c>
      <c r="AD126">
        <v>9.5579162935885698E-3</v>
      </c>
      <c r="AE126">
        <v>7.9974839680914105E-3</v>
      </c>
      <c r="AF126">
        <v>7.4516207235534801E-3</v>
      </c>
      <c r="AG126">
        <v>7.1881784457673804E-3</v>
      </c>
      <c r="AH126">
        <v>5.7948263642005901E-3</v>
      </c>
      <c r="AI126">
        <v>4.5169279738419502E-3</v>
      </c>
      <c r="AJ126">
        <v>4.8937905118755804E-3</v>
      </c>
      <c r="AK126">
        <v>3.8471384090933199E-3</v>
      </c>
      <c r="AL126">
        <v>3.4595438743231198E-3</v>
      </c>
      <c r="AM126">
        <v>3.5145594786463799E-3</v>
      </c>
      <c r="AN126">
        <v>3.3675876075487301E-3</v>
      </c>
      <c r="AO126">
        <v>2.9430524103273899E-3</v>
      </c>
      <c r="AP126">
        <v>2.6790452906077901E-3</v>
      </c>
      <c r="AQ126">
        <v>2.5377218388451801E-3</v>
      </c>
      <c r="AR126">
        <v>2.2252512812309601E-3</v>
      </c>
      <c r="AS126">
        <v>1.7792520905364801E-3</v>
      </c>
      <c r="AT126">
        <v>3.11636850920365E-2</v>
      </c>
    </row>
    <row r="127" spans="1:46" x14ac:dyDescent="0.25">
      <c r="A127">
        <v>4</v>
      </c>
      <c r="B127">
        <v>2</v>
      </c>
      <c r="C127">
        <v>2003</v>
      </c>
      <c r="D127">
        <v>1</v>
      </c>
      <c r="E127">
        <v>21</v>
      </c>
      <c r="F127">
        <v>0</v>
      </c>
      <c r="G127">
        <v>0</v>
      </c>
      <c r="H127">
        <v>0</v>
      </c>
      <c r="I127">
        <v>0</v>
      </c>
      <c r="J127" s="12">
        <v>1.70085453999204E-5</v>
      </c>
      <c r="K127">
        <v>1.6423005312382101E-3</v>
      </c>
      <c r="L127">
        <v>1.7243109970702102E-2</v>
      </c>
      <c r="M127">
        <v>5.2618514359324998E-2</v>
      </c>
      <c r="N127">
        <v>7.2863981128879401E-2</v>
      </c>
      <c r="O127">
        <v>8.1312557813370198E-2</v>
      </c>
      <c r="P127">
        <v>8.1260138034104895E-2</v>
      </c>
      <c r="Q127">
        <v>7.1961900858304201E-2</v>
      </c>
      <c r="R127">
        <v>7.0786359425417902E-2</v>
      </c>
      <c r="S127">
        <v>6.5405873385320903E-2</v>
      </c>
      <c r="T127">
        <v>5.8474821427700101E-2</v>
      </c>
      <c r="U127">
        <v>5.14304953460019E-2</v>
      </c>
      <c r="V127">
        <v>4.4892382611411201E-2</v>
      </c>
      <c r="W127">
        <v>3.9324802571915098E-2</v>
      </c>
      <c r="X127">
        <v>3.2402394301300798E-2</v>
      </c>
      <c r="Y127">
        <v>2.6193996401716699E-2</v>
      </c>
      <c r="Z127">
        <v>2.3156716319071902E-2</v>
      </c>
      <c r="AA127">
        <v>1.9275073488766298E-2</v>
      </c>
      <c r="AB127">
        <v>1.63521828446513E-2</v>
      </c>
      <c r="AC127">
        <v>1.3994408092164E-2</v>
      </c>
      <c r="AD127">
        <v>1.1956449758917799E-2</v>
      </c>
      <c r="AE127">
        <v>1.0898155757845701E-2</v>
      </c>
      <c r="AF127">
        <v>9.25264869755669E-3</v>
      </c>
      <c r="AG127">
        <v>8.8643798537962198E-3</v>
      </c>
      <c r="AH127">
        <v>8.2206342932705408E-3</v>
      </c>
      <c r="AI127">
        <v>7.7426523432408099E-3</v>
      </c>
      <c r="AJ127">
        <v>6.8273974206959102E-3</v>
      </c>
      <c r="AK127">
        <v>6.4353643906583996E-3</v>
      </c>
      <c r="AL127">
        <v>5.8554008753824299E-3</v>
      </c>
      <c r="AM127">
        <v>5.3535093717782204E-3</v>
      </c>
      <c r="AN127">
        <v>4.63134326381439E-3</v>
      </c>
      <c r="AO127">
        <v>4.4495470080644197E-3</v>
      </c>
      <c r="AP127">
        <v>4.3564182512845304E-3</v>
      </c>
      <c r="AQ127">
        <v>3.9805572808076003E-3</v>
      </c>
      <c r="AR127">
        <v>3.7135091765981899E-3</v>
      </c>
      <c r="AS127">
        <v>3.2806974618928399E-3</v>
      </c>
      <c r="AT127">
        <v>5.3572317337632902E-2</v>
      </c>
    </row>
    <row r="128" spans="1:46" x14ac:dyDescent="0.25">
      <c r="A128">
        <v>4</v>
      </c>
      <c r="B128">
        <v>2</v>
      </c>
      <c r="C128">
        <v>2004</v>
      </c>
      <c r="D128">
        <v>1</v>
      </c>
      <c r="E128">
        <v>11</v>
      </c>
      <c r="F128">
        <v>0</v>
      </c>
      <c r="G128">
        <v>0</v>
      </c>
      <c r="H128">
        <v>0</v>
      </c>
      <c r="I128">
        <v>0</v>
      </c>
      <c r="J128" s="12">
        <v>3.2475494106096597E-5</v>
      </c>
      <c r="K128">
        <v>2.4597053185059698E-3</v>
      </c>
      <c r="L128">
        <v>2.4798287299415401E-2</v>
      </c>
      <c r="M128">
        <v>6.11256029046994E-2</v>
      </c>
      <c r="N128">
        <v>8.2797012892657201E-2</v>
      </c>
      <c r="O128">
        <v>8.9796450439889097E-2</v>
      </c>
      <c r="P128">
        <v>8.4414064600936603E-2</v>
      </c>
      <c r="Q128">
        <v>8.5145503887487595E-2</v>
      </c>
      <c r="R128">
        <v>7.8970829941448398E-2</v>
      </c>
      <c r="S128">
        <v>7.1467965261020894E-2</v>
      </c>
      <c r="T128">
        <v>6.5561527501387898E-2</v>
      </c>
      <c r="U128">
        <v>5.1691300943225098E-2</v>
      </c>
      <c r="V128">
        <v>3.89824436339372E-2</v>
      </c>
      <c r="W128">
        <v>3.1750777816571103E-2</v>
      </c>
      <c r="X128">
        <v>2.96942244213893E-2</v>
      </c>
      <c r="Y128">
        <v>2.27533567126505E-2</v>
      </c>
      <c r="Z128">
        <v>1.9949069309313502E-2</v>
      </c>
      <c r="AA128">
        <v>1.6826066267328198E-2</v>
      </c>
      <c r="AB128">
        <v>1.3794222507044301E-2</v>
      </c>
      <c r="AC128">
        <v>1.2361882293312299E-2</v>
      </c>
      <c r="AD128">
        <v>1.04482210721972E-2</v>
      </c>
      <c r="AE128">
        <v>7.8962169809686806E-3</v>
      </c>
      <c r="AF128">
        <v>7.3524518656202797E-3</v>
      </c>
      <c r="AG128">
        <v>6.4344778988879503E-3</v>
      </c>
      <c r="AH128">
        <v>6.41875292279447E-3</v>
      </c>
      <c r="AI128">
        <v>5.4381069498924796E-3</v>
      </c>
      <c r="AJ128">
        <v>5.4408417283435201E-3</v>
      </c>
      <c r="AK128">
        <v>4.5135239352367997E-3</v>
      </c>
      <c r="AL128">
        <v>3.8765484543488E-3</v>
      </c>
      <c r="AM128">
        <v>3.6372553398828201E-3</v>
      </c>
      <c r="AN128">
        <v>3.03583197885834E-3</v>
      </c>
      <c r="AO128">
        <v>3.0150932422712902E-3</v>
      </c>
      <c r="AP128">
        <v>2.9535607271229001E-3</v>
      </c>
      <c r="AQ128">
        <v>2.8277609183750699E-3</v>
      </c>
      <c r="AR128">
        <v>2.6028253907770501E-3</v>
      </c>
      <c r="AS128">
        <v>2.4758860910079599E-3</v>
      </c>
      <c r="AT128">
        <v>3.7259875057088498E-2</v>
      </c>
    </row>
    <row r="129" spans="1:46" x14ac:dyDescent="0.25">
      <c r="A129">
        <v>4</v>
      </c>
      <c r="B129">
        <v>2</v>
      </c>
      <c r="C129">
        <v>2005</v>
      </c>
      <c r="D129">
        <v>1</v>
      </c>
      <c r="E129">
        <v>18</v>
      </c>
      <c r="F129">
        <v>0</v>
      </c>
      <c r="G129">
        <v>0</v>
      </c>
      <c r="H129">
        <v>0</v>
      </c>
      <c r="I129">
        <v>0</v>
      </c>
      <c r="J129" s="12">
        <v>2.9181106397662599E-5</v>
      </c>
      <c r="K129">
        <v>2.2936668547758401E-3</v>
      </c>
      <c r="L129">
        <v>2.53705003890017E-2</v>
      </c>
      <c r="M129">
        <v>6.8741119097025002E-2</v>
      </c>
      <c r="N129">
        <v>8.4652954523238996E-2</v>
      </c>
      <c r="O129">
        <v>9.2161906983708505E-2</v>
      </c>
      <c r="P129">
        <v>8.3266134401159903E-2</v>
      </c>
      <c r="Q129">
        <v>8.0970394571612606E-2</v>
      </c>
      <c r="R129">
        <v>7.6992196525662401E-2</v>
      </c>
      <c r="S129">
        <v>7.3061836359052695E-2</v>
      </c>
      <c r="T129">
        <v>6.0788550035471803E-2</v>
      </c>
      <c r="U129">
        <v>5.0051975855903402E-2</v>
      </c>
      <c r="V129">
        <v>4.4085954463760499E-2</v>
      </c>
      <c r="W129">
        <v>3.5196719724721701E-2</v>
      </c>
      <c r="X129">
        <v>2.96122054203188E-2</v>
      </c>
      <c r="Y129">
        <v>2.5654019553892699E-2</v>
      </c>
      <c r="Z129">
        <v>2.2750419737526301E-2</v>
      </c>
      <c r="AA129">
        <v>1.81496914217593E-2</v>
      </c>
      <c r="AB129">
        <v>1.5912632724202999E-2</v>
      </c>
      <c r="AC129">
        <v>1.2722643470185299E-2</v>
      </c>
      <c r="AD129">
        <v>1.14877086150121E-2</v>
      </c>
      <c r="AE129">
        <v>9.2071174472559501E-3</v>
      </c>
      <c r="AF129">
        <v>7.7466269909926104E-3</v>
      </c>
      <c r="AG129">
        <v>6.3730420155310502E-3</v>
      </c>
      <c r="AH129">
        <v>5.6799508736871101E-3</v>
      </c>
      <c r="AI129">
        <v>4.8036406539693297E-3</v>
      </c>
      <c r="AJ129">
        <v>3.8932858101209302E-3</v>
      </c>
      <c r="AK129">
        <v>3.6660558832538898E-3</v>
      </c>
      <c r="AL129">
        <v>3.0845864598709602E-3</v>
      </c>
      <c r="AM129">
        <v>2.6915982810893201E-3</v>
      </c>
      <c r="AN129">
        <v>2.6111509139985002E-3</v>
      </c>
      <c r="AO129">
        <v>2.4145372299093299E-3</v>
      </c>
      <c r="AP129">
        <v>2.3045898372252402E-3</v>
      </c>
      <c r="AQ129">
        <v>2.09099370597022E-3</v>
      </c>
      <c r="AR129">
        <v>1.9246773454633199E-3</v>
      </c>
      <c r="AS129">
        <v>1.7288609593631599E-3</v>
      </c>
      <c r="AT129">
        <v>2.5826873757909399E-2</v>
      </c>
    </row>
    <row r="130" spans="1:46" x14ac:dyDescent="0.25">
      <c r="A130">
        <v>4</v>
      </c>
      <c r="B130">
        <v>2</v>
      </c>
      <c r="C130">
        <v>2006</v>
      </c>
      <c r="D130">
        <v>1</v>
      </c>
      <c r="E130">
        <v>13</v>
      </c>
      <c r="F130">
        <v>0</v>
      </c>
      <c r="G130">
        <v>0</v>
      </c>
      <c r="H130">
        <v>0</v>
      </c>
      <c r="I130">
        <v>0</v>
      </c>
      <c r="J130" s="12">
        <v>2.6130657274182101E-5</v>
      </c>
      <c r="K130">
        <v>2.4691896988121701E-3</v>
      </c>
      <c r="L130">
        <v>2.5071578586587501E-2</v>
      </c>
      <c r="M130">
        <v>6.6721957318457203E-2</v>
      </c>
      <c r="N130">
        <v>9.7176766130722306E-2</v>
      </c>
      <c r="O130">
        <v>0.102117874030713</v>
      </c>
      <c r="P130">
        <v>0.10497535060468299</v>
      </c>
      <c r="Q130">
        <v>9.9786788528578502E-2</v>
      </c>
      <c r="R130">
        <v>8.4650526595709499E-2</v>
      </c>
      <c r="S130">
        <v>7.8499013069211504E-2</v>
      </c>
      <c r="T130">
        <v>6.7148443226739504E-2</v>
      </c>
      <c r="U130">
        <v>5.0772496738127899E-2</v>
      </c>
      <c r="V130">
        <v>4.2120730562804999E-2</v>
      </c>
      <c r="W130">
        <v>3.35570110599843E-2</v>
      </c>
      <c r="X130">
        <v>2.5391443017799199E-2</v>
      </c>
      <c r="Y130">
        <v>1.8767478812392099E-2</v>
      </c>
      <c r="Z130">
        <v>1.50540920346935E-2</v>
      </c>
      <c r="AA130">
        <v>1.2203541659036501E-2</v>
      </c>
      <c r="AB130">
        <v>9.8582889330789594E-3</v>
      </c>
      <c r="AC130">
        <v>7.2145800252428399E-3</v>
      </c>
      <c r="AD130">
        <v>6.0824614281590004E-3</v>
      </c>
      <c r="AE130">
        <v>5.0759588823088798E-3</v>
      </c>
      <c r="AF130">
        <v>4.0795308067331504E-3</v>
      </c>
      <c r="AG130">
        <v>3.7105533329338499E-3</v>
      </c>
      <c r="AH130">
        <v>3.3292975984876498E-3</v>
      </c>
      <c r="AI130">
        <v>3.2290776077372801E-3</v>
      </c>
      <c r="AJ130">
        <v>3.0122666120406499E-3</v>
      </c>
      <c r="AK130">
        <v>2.6917725264368302E-3</v>
      </c>
      <c r="AL130">
        <v>2.32804217257211E-3</v>
      </c>
      <c r="AM130">
        <v>2.1505845763847898E-3</v>
      </c>
      <c r="AN130">
        <v>2.00817774136043E-3</v>
      </c>
      <c r="AO130">
        <v>1.6079274327510701E-3</v>
      </c>
      <c r="AP130">
        <v>1.2870135775524801E-3</v>
      </c>
      <c r="AQ130">
        <v>1.0389297470457901E-3</v>
      </c>
      <c r="AR130">
        <v>8.8665832654443496E-4</v>
      </c>
      <c r="AS130">
        <v>8.8403476657714704E-4</v>
      </c>
      <c r="AT130">
        <v>1.3014431573725701E-2</v>
      </c>
    </row>
    <row r="131" spans="1:46" x14ac:dyDescent="0.25">
      <c r="A131">
        <v>4</v>
      </c>
      <c r="B131">
        <v>2</v>
      </c>
      <c r="C131">
        <v>2007</v>
      </c>
      <c r="D131">
        <v>1</v>
      </c>
      <c r="E131">
        <v>20</v>
      </c>
      <c r="F131">
        <v>0</v>
      </c>
      <c r="G131">
        <v>0</v>
      </c>
      <c r="H131">
        <v>0</v>
      </c>
      <c r="I131">
        <v>0</v>
      </c>
      <c r="J131" s="12">
        <v>3.4424970263505202E-5</v>
      </c>
      <c r="K131">
        <v>2.82113487651969E-3</v>
      </c>
      <c r="L131">
        <v>2.9830521247142999E-2</v>
      </c>
      <c r="M131">
        <v>9.5763759069737997E-2</v>
      </c>
      <c r="N131">
        <v>0.113258152166932</v>
      </c>
      <c r="O131">
        <v>0.10370650743262499</v>
      </c>
      <c r="P131">
        <v>9.93083321273176E-2</v>
      </c>
      <c r="Q131">
        <v>0.105573334178258</v>
      </c>
      <c r="R131">
        <v>9.0725724615652106E-2</v>
      </c>
      <c r="S131">
        <v>8.8780628161509598E-2</v>
      </c>
      <c r="T131">
        <v>6.7415395497522193E-2</v>
      </c>
      <c r="U131">
        <v>5.0656600645511002E-2</v>
      </c>
      <c r="V131">
        <v>3.5406510087286999E-2</v>
      </c>
      <c r="W131">
        <v>2.3867808114188101E-2</v>
      </c>
      <c r="X131">
        <v>1.73758752891226E-2</v>
      </c>
      <c r="Y131">
        <v>1.64523954898151E-2</v>
      </c>
      <c r="Z131">
        <v>1.4690556340060499E-2</v>
      </c>
      <c r="AA131">
        <v>1.0965808811250999E-2</v>
      </c>
      <c r="AB131">
        <v>8.51769674684031E-3</v>
      </c>
      <c r="AC131">
        <v>5.2456118867195804E-3</v>
      </c>
      <c r="AD131">
        <v>4.4283185628516903E-3</v>
      </c>
      <c r="AE131">
        <v>2.6156126659913001E-3</v>
      </c>
      <c r="AF131">
        <v>1.2245698377316499E-3</v>
      </c>
      <c r="AG131">
        <v>3.9220488509167497E-4</v>
      </c>
      <c r="AH131">
        <v>4.5917087202217502E-4</v>
      </c>
      <c r="AI131">
        <v>7.7207843755164795E-4</v>
      </c>
      <c r="AJ131">
        <v>9.818823607993779E-4</v>
      </c>
      <c r="AK131">
        <v>5.1654582246135096E-4</v>
      </c>
      <c r="AL131">
        <v>5.79401365181283E-4</v>
      </c>
      <c r="AM131">
        <v>5.8916367018138204E-4</v>
      </c>
      <c r="AN131">
        <v>7.4005122641097399E-4</v>
      </c>
      <c r="AO131">
        <v>6.2821289018177601E-4</v>
      </c>
      <c r="AP131">
        <v>3.9391757017941202E-4</v>
      </c>
      <c r="AQ131">
        <v>2.7951020631860902E-4</v>
      </c>
      <c r="AR131">
        <v>1.71439777282431E-4</v>
      </c>
      <c r="AS131">
        <v>2.6683633666935798E-4</v>
      </c>
      <c r="AT131">
        <v>4.5643057588179697E-3</v>
      </c>
    </row>
    <row r="132" spans="1:46" x14ac:dyDescent="0.25">
      <c r="A132">
        <v>4</v>
      </c>
      <c r="B132">
        <v>2</v>
      </c>
      <c r="C132">
        <v>2008</v>
      </c>
      <c r="D132">
        <v>1</v>
      </c>
      <c r="E132">
        <v>22</v>
      </c>
      <c r="F132">
        <v>0</v>
      </c>
      <c r="G132">
        <v>0</v>
      </c>
      <c r="H132">
        <v>0</v>
      </c>
      <c r="I132">
        <v>0</v>
      </c>
      <c r="J132" s="12">
        <v>3.35134050278319E-5</v>
      </c>
      <c r="K132">
        <v>2.4905902283504102E-3</v>
      </c>
      <c r="L132">
        <v>2.59156010247273E-2</v>
      </c>
      <c r="M132">
        <v>7.5604714066206294E-2</v>
      </c>
      <c r="N132">
        <v>9.8775748630748297E-2</v>
      </c>
      <c r="O132">
        <v>0.102251976694148</v>
      </c>
      <c r="P132">
        <v>9.3677128036770405E-2</v>
      </c>
      <c r="Q132">
        <v>9.1218332577292602E-2</v>
      </c>
      <c r="R132">
        <v>8.0357029474896494E-2</v>
      </c>
      <c r="S132">
        <v>7.76004325616243E-2</v>
      </c>
      <c r="T132">
        <v>6.5913133827046597E-2</v>
      </c>
      <c r="U132">
        <v>5.5027101459971903E-2</v>
      </c>
      <c r="V132">
        <v>4.2867082302907498E-2</v>
      </c>
      <c r="W132">
        <v>3.3209779307066901E-2</v>
      </c>
      <c r="X132">
        <v>2.7855750284458199E-2</v>
      </c>
      <c r="Y132">
        <v>2.1723561002656201E-2</v>
      </c>
      <c r="Z132">
        <v>1.8183170522792901E-2</v>
      </c>
      <c r="AA132">
        <v>1.5889650573580501E-2</v>
      </c>
      <c r="AB132">
        <v>1.2290635504865101E-2</v>
      </c>
      <c r="AC132">
        <v>1.0284318753156199E-2</v>
      </c>
      <c r="AD132">
        <v>8.5215709365640893E-3</v>
      </c>
      <c r="AE132">
        <v>6.7599688774088304E-3</v>
      </c>
      <c r="AF132">
        <v>5.6096284108124797E-3</v>
      </c>
      <c r="AG132">
        <v>4.8221111325516298E-3</v>
      </c>
      <c r="AH132">
        <v>3.6398804172963202E-3</v>
      </c>
      <c r="AI132">
        <v>2.7362597187681101E-3</v>
      </c>
      <c r="AJ132">
        <v>2.2773838653101001E-3</v>
      </c>
      <c r="AK132">
        <v>1.7186361552734299E-3</v>
      </c>
      <c r="AL132">
        <v>1.42560869079931E-3</v>
      </c>
      <c r="AM132">
        <v>1.1221739296071499E-3</v>
      </c>
      <c r="AN132">
        <v>1.0595391897260701E-3</v>
      </c>
      <c r="AO132">
        <v>9.0132918365450998E-4</v>
      </c>
      <c r="AP132">
        <v>7.6937611884407195E-4</v>
      </c>
      <c r="AQ132">
        <v>6.7131837820708301E-4</v>
      </c>
      <c r="AR132">
        <v>5.5110932712434696E-4</v>
      </c>
      <c r="AS132">
        <v>4.8093168411734798E-4</v>
      </c>
      <c r="AT132">
        <v>5.7639237456414702E-3</v>
      </c>
    </row>
    <row r="133" spans="1:46" x14ac:dyDescent="0.25">
      <c r="A133">
        <v>4</v>
      </c>
      <c r="B133">
        <v>2</v>
      </c>
      <c r="C133">
        <v>2009</v>
      </c>
      <c r="D133">
        <v>1</v>
      </c>
      <c r="E133">
        <v>17</v>
      </c>
      <c r="F133">
        <v>0</v>
      </c>
      <c r="G133">
        <v>0</v>
      </c>
      <c r="H133">
        <v>0</v>
      </c>
      <c r="I133">
        <v>0</v>
      </c>
      <c r="J133" s="12">
        <v>1.6098387621269999E-5</v>
      </c>
      <c r="K133">
        <v>1.6999897328061201E-3</v>
      </c>
      <c r="L133">
        <v>2.11092790748507E-2</v>
      </c>
      <c r="M133">
        <v>6.5877642952787696E-2</v>
      </c>
      <c r="N133">
        <v>8.8935274107245998E-2</v>
      </c>
      <c r="O133">
        <v>8.5358480684260093E-2</v>
      </c>
      <c r="P133">
        <v>8.2147388966737497E-2</v>
      </c>
      <c r="Q133">
        <v>8.0685655370726195E-2</v>
      </c>
      <c r="R133">
        <v>7.4874316310421199E-2</v>
      </c>
      <c r="S133">
        <v>7.1639971366334501E-2</v>
      </c>
      <c r="T133">
        <v>6.0652106330923397E-2</v>
      </c>
      <c r="U133">
        <v>5.3538586583031303E-2</v>
      </c>
      <c r="V133">
        <v>4.6888521527658301E-2</v>
      </c>
      <c r="W133">
        <v>4.0272799699210597E-2</v>
      </c>
      <c r="X133">
        <v>3.6532875948329199E-2</v>
      </c>
      <c r="Y133">
        <v>3.19964397521421E-2</v>
      </c>
      <c r="Z133">
        <v>2.79355320391899E-2</v>
      </c>
      <c r="AA133">
        <v>2.21513813668676E-2</v>
      </c>
      <c r="AB133">
        <v>1.7171881769148401E-2</v>
      </c>
      <c r="AC133">
        <v>1.49638090359176E-2</v>
      </c>
      <c r="AD133">
        <v>1.26336568632256E-2</v>
      </c>
      <c r="AE133">
        <v>9.8400499980145304E-3</v>
      </c>
      <c r="AF133">
        <v>7.7435927522912498E-3</v>
      </c>
      <c r="AG133">
        <v>5.9274263221516304E-3</v>
      </c>
      <c r="AH133">
        <v>5.1434348449957796E-3</v>
      </c>
      <c r="AI133">
        <v>4.4999465175789002E-3</v>
      </c>
      <c r="AJ133">
        <v>3.8488561737853098E-3</v>
      </c>
      <c r="AK133">
        <v>3.3627743031097398E-3</v>
      </c>
      <c r="AL133">
        <v>2.89502670722506E-3</v>
      </c>
      <c r="AM133">
        <v>2.2747021708854598E-3</v>
      </c>
      <c r="AN133">
        <v>1.87313683522155E-3</v>
      </c>
      <c r="AO133">
        <v>1.6250427948804301E-3</v>
      </c>
      <c r="AP133">
        <v>1.3848190773763599E-3</v>
      </c>
      <c r="AQ133">
        <v>1.1343997143788301E-3</v>
      </c>
      <c r="AR133">
        <v>1.0302968077612799E-3</v>
      </c>
      <c r="AS133">
        <v>9.3710503053148601E-4</v>
      </c>
      <c r="AT133">
        <v>9.3977020803767408E-3</v>
      </c>
    </row>
    <row r="134" spans="1:46" x14ac:dyDescent="0.25">
      <c r="A134">
        <v>4</v>
      </c>
      <c r="B134">
        <v>2</v>
      </c>
      <c r="C134">
        <v>2010</v>
      </c>
      <c r="D134">
        <v>1</v>
      </c>
      <c r="E134">
        <v>10</v>
      </c>
      <c r="F134">
        <v>0</v>
      </c>
      <c r="G134">
        <v>0</v>
      </c>
      <c r="H134">
        <v>0</v>
      </c>
      <c r="I134">
        <v>0</v>
      </c>
      <c r="J134" s="12">
        <v>1.8020099380848101E-5</v>
      </c>
      <c r="K134">
        <v>1.8296350904375199E-3</v>
      </c>
      <c r="L134">
        <v>2.13420877016137E-2</v>
      </c>
      <c r="M134">
        <v>6.1221162634712001E-2</v>
      </c>
      <c r="N134">
        <v>7.8278631706653903E-2</v>
      </c>
      <c r="O134">
        <v>8.2233703518874907E-2</v>
      </c>
      <c r="P134">
        <v>7.4217734310804695E-2</v>
      </c>
      <c r="Q134">
        <v>7.1212967739517102E-2</v>
      </c>
      <c r="R134">
        <v>7.0750395188429502E-2</v>
      </c>
      <c r="S134">
        <v>7.0065546411488502E-2</v>
      </c>
      <c r="T134">
        <v>6.5912083505140606E-2</v>
      </c>
      <c r="U134">
        <v>5.7823438896265497E-2</v>
      </c>
      <c r="V134">
        <v>5.1255282672883998E-2</v>
      </c>
      <c r="W134">
        <v>4.4393194828469498E-2</v>
      </c>
      <c r="X134">
        <v>3.7761458254442298E-2</v>
      </c>
      <c r="Y134">
        <v>3.4266068977370397E-2</v>
      </c>
      <c r="Z134">
        <v>2.94270772903313E-2</v>
      </c>
      <c r="AA134">
        <v>2.6409305647320701E-2</v>
      </c>
      <c r="AB134">
        <v>2.23453482345955E-2</v>
      </c>
      <c r="AC134">
        <v>1.7281275306233301E-2</v>
      </c>
      <c r="AD134">
        <v>1.43395790827786E-2</v>
      </c>
      <c r="AE134">
        <v>1.2004616205458399E-2</v>
      </c>
      <c r="AF134">
        <v>9.2198308473671296E-3</v>
      </c>
      <c r="AG134">
        <v>7.53274154306961E-3</v>
      </c>
      <c r="AH134">
        <v>6.4591856224087097E-3</v>
      </c>
      <c r="AI134">
        <v>4.96079735879744E-3</v>
      </c>
      <c r="AJ134">
        <v>3.8778063861022202E-3</v>
      </c>
      <c r="AK134">
        <v>3.07531696037304E-3</v>
      </c>
      <c r="AL134">
        <v>2.6299145039784901E-3</v>
      </c>
      <c r="AM134">
        <v>2.1846820485215E-3</v>
      </c>
      <c r="AN134">
        <v>1.73511456915685E-3</v>
      </c>
      <c r="AO134">
        <v>1.4966882542357201E-3</v>
      </c>
      <c r="AP134">
        <v>1.2641269716602501E-3</v>
      </c>
      <c r="AQ134">
        <v>1.1018610767638401E-3</v>
      </c>
      <c r="AR134">
        <v>9.8124541156844507E-4</v>
      </c>
      <c r="AS134">
        <v>8.8357987294300001E-4</v>
      </c>
      <c r="AT134">
        <v>8.2084952698514204E-3</v>
      </c>
    </row>
    <row r="135" spans="1:46" x14ac:dyDescent="0.25">
      <c r="A135">
        <v>4</v>
      </c>
      <c r="B135">
        <v>2</v>
      </c>
      <c r="C135">
        <v>2011</v>
      </c>
      <c r="D135">
        <v>1</v>
      </c>
      <c r="E135">
        <v>12</v>
      </c>
      <c r="F135">
        <v>0</v>
      </c>
      <c r="G135">
        <v>0</v>
      </c>
      <c r="H135">
        <v>0</v>
      </c>
      <c r="I135">
        <v>0</v>
      </c>
      <c r="J135" s="12">
        <v>1.6478436464346599E-5</v>
      </c>
      <c r="K135">
        <v>1.4451742783311099E-3</v>
      </c>
      <c r="L135">
        <v>1.7450664215743102E-2</v>
      </c>
      <c r="M135">
        <v>4.6778893032539702E-2</v>
      </c>
      <c r="N135">
        <v>6.7868673637558594E-2</v>
      </c>
      <c r="O135">
        <v>7.5974909347423902E-2</v>
      </c>
      <c r="P135">
        <v>6.9472780125527198E-2</v>
      </c>
      <c r="Q135">
        <v>7.0135921690157796E-2</v>
      </c>
      <c r="R135">
        <v>6.9620778045548101E-2</v>
      </c>
      <c r="S135">
        <v>6.9665901240726205E-2</v>
      </c>
      <c r="T135">
        <v>6.6127349515106598E-2</v>
      </c>
      <c r="U135">
        <v>5.8495754377046197E-2</v>
      </c>
      <c r="V135">
        <v>5.40443434725255E-2</v>
      </c>
      <c r="W135">
        <v>4.5848554390660101E-2</v>
      </c>
      <c r="X135">
        <v>4.1641470957641299E-2</v>
      </c>
      <c r="Y135">
        <v>3.8895886235338697E-2</v>
      </c>
      <c r="Z135">
        <v>3.5027919784511301E-2</v>
      </c>
      <c r="AA135">
        <v>3.03711444405028E-2</v>
      </c>
      <c r="AB135">
        <v>2.5817243821337099E-2</v>
      </c>
      <c r="AC135">
        <v>2.0752434669737099E-2</v>
      </c>
      <c r="AD135">
        <v>1.64094426369071E-2</v>
      </c>
      <c r="AE135">
        <v>1.43829029599507E-2</v>
      </c>
      <c r="AF135">
        <v>1.1400228957864401E-2</v>
      </c>
      <c r="AG135">
        <v>9.5211481866520203E-3</v>
      </c>
      <c r="AH135">
        <v>7.5195571705107796E-3</v>
      </c>
      <c r="AI135">
        <v>5.7323398324851402E-3</v>
      </c>
      <c r="AJ135">
        <v>4.8576736652023696E-3</v>
      </c>
      <c r="AK135">
        <v>3.8137570149820599E-3</v>
      </c>
      <c r="AL135">
        <v>3.1747940907710802E-3</v>
      </c>
      <c r="AM135">
        <v>2.4667603370810498E-3</v>
      </c>
      <c r="AN135">
        <v>2.08868032287571E-3</v>
      </c>
      <c r="AO135">
        <v>1.76180666497314E-3</v>
      </c>
      <c r="AP135">
        <v>1.42653978475928E-3</v>
      </c>
      <c r="AQ135">
        <v>1.2398868408827501E-3</v>
      </c>
      <c r="AR135">
        <v>1.0603180846451099E-3</v>
      </c>
      <c r="AS135">
        <v>9.3726882543937896E-4</v>
      </c>
      <c r="AT135">
        <v>6.75461890959106E-3</v>
      </c>
    </row>
    <row r="136" spans="1:46" x14ac:dyDescent="0.25">
      <c r="A136">
        <v>4</v>
      </c>
      <c r="B136">
        <v>2</v>
      </c>
      <c r="C136">
        <v>2012</v>
      </c>
      <c r="D136">
        <v>1</v>
      </c>
      <c r="E136">
        <v>11</v>
      </c>
      <c r="F136">
        <v>0</v>
      </c>
      <c r="G136">
        <v>0</v>
      </c>
      <c r="H136">
        <v>0</v>
      </c>
      <c r="I136">
        <v>0</v>
      </c>
      <c r="J136" s="12">
        <v>1.6687354814798298E-5</v>
      </c>
      <c r="K136">
        <v>1.56819416872067E-3</v>
      </c>
      <c r="L136">
        <v>1.8858045929107298E-2</v>
      </c>
      <c r="M136">
        <v>5.8414586149845897E-2</v>
      </c>
      <c r="N136">
        <v>8.1656400188800798E-2</v>
      </c>
      <c r="O136">
        <v>9.0697442153910304E-2</v>
      </c>
      <c r="P136">
        <v>8.2310377623992695E-2</v>
      </c>
      <c r="Q136">
        <v>8.1586146425030495E-2</v>
      </c>
      <c r="R136">
        <v>8.1936247129044903E-2</v>
      </c>
      <c r="S136">
        <v>7.3828946102597395E-2</v>
      </c>
      <c r="T136">
        <v>6.5441130641713099E-2</v>
      </c>
      <c r="U136">
        <v>5.9842940285218603E-2</v>
      </c>
      <c r="V136">
        <v>5.1272064542016001E-2</v>
      </c>
      <c r="W136">
        <v>4.4705757295941E-2</v>
      </c>
      <c r="X136">
        <v>3.7001539325044901E-2</v>
      </c>
      <c r="Y136">
        <v>3.1177819368228402E-2</v>
      </c>
      <c r="Z136">
        <v>2.4989313835160499E-2</v>
      </c>
      <c r="AA136">
        <v>2.0881888321046E-2</v>
      </c>
      <c r="AB136">
        <v>1.62601585315395E-2</v>
      </c>
      <c r="AC136">
        <v>1.46001004745633E-2</v>
      </c>
      <c r="AD136">
        <v>1.1628916949788499E-2</v>
      </c>
      <c r="AE136">
        <v>8.8392084086245902E-3</v>
      </c>
      <c r="AF136">
        <v>8.0151033910957799E-3</v>
      </c>
      <c r="AG136">
        <v>6.7073153942600302E-3</v>
      </c>
      <c r="AH136">
        <v>5.3336123459058402E-3</v>
      </c>
      <c r="AI136">
        <v>3.8985832686072599E-3</v>
      </c>
      <c r="AJ136">
        <v>3.34189311198558E-3</v>
      </c>
      <c r="AK136">
        <v>2.8875798771526998E-3</v>
      </c>
      <c r="AL136">
        <v>2.1458269556349201E-3</v>
      </c>
      <c r="AM136">
        <v>1.9599298229980599E-3</v>
      </c>
      <c r="AN136">
        <v>1.4252669747319201E-3</v>
      </c>
      <c r="AO136">
        <v>1.0544739507471099E-3</v>
      </c>
      <c r="AP136">
        <v>8.5305757813248996E-4</v>
      </c>
      <c r="AQ136">
        <v>7.2856991121409505E-4</v>
      </c>
      <c r="AR136">
        <v>5.6069512177722301E-4</v>
      </c>
      <c r="AS136">
        <v>4.8777138123655498E-4</v>
      </c>
      <c r="AT136">
        <v>3.0864097097710202E-3</v>
      </c>
    </row>
    <row r="137" spans="1:46" x14ac:dyDescent="0.25">
      <c r="A137">
        <v>4</v>
      </c>
      <c r="B137">
        <v>2</v>
      </c>
      <c r="C137">
        <v>2013</v>
      </c>
      <c r="D137">
        <v>1</v>
      </c>
      <c r="E137">
        <v>19</v>
      </c>
      <c r="F137">
        <v>0</v>
      </c>
      <c r="G137">
        <v>0</v>
      </c>
      <c r="H137">
        <v>0</v>
      </c>
      <c r="I137">
        <v>0</v>
      </c>
      <c r="J137" s="12">
        <v>2.16977594485418E-5</v>
      </c>
      <c r="K137">
        <v>1.7608483695046801E-3</v>
      </c>
      <c r="L137">
        <v>2.0698803196702999E-2</v>
      </c>
      <c r="M137">
        <v>6.4581554949522099E-2</v>
      </c>
      <c r="N137">
        <v>7.7749731812470801E-2</v>
      </c>
      <c r="O137">
        <v>7.35921403411081E-2</v>
      </c>
      <c r="P137">
        <v>7.8592184918188104E-2</v>
      </c>
      <c r="Q137">
        <v>6.9404902426142501E-2</v>
      </c>
      <c r="R137">
        <v>6.74163349970789E-2</v>
      </c>
      <c r="S137">
        <v>6.5044726923492904E-2</v>
      </c>
      <c r="T137">
        <v>5.4788561241979797E-2</v>
      </c>
      <c r="U137">
        <v>5.1480082584680099E-2</v>
      </c>
      <c r="V137">
        <v>4.8369461714034903E-2</v>
      </c>
      <c r="W137">
        <v>4.7029893604714303E-2</v>
      </c>
      <c r="X137">
        <v>4.2115351089619599E-2</v>
      </c>
      <c r="Y137">
        <v>3.56745538022262E-2</v>
      </c>
      <c r="Z137">
        <v>2.88861627050532E-2</v>
      </c>
      <c r="AA137">
        <v>2.5235998043764401E-2</v>
      </c>
      <c r="AB137">
        <v>2.4612993069499298E-2</v>
      </c>
      <c r="AC137">
        <v>2.0574631860452899E-2</v>
      </c>
      <c r="AD137">
        <v>1.9343552548375002E-2</v>
      </c>
      <c r="AE137">
        <v>1.5164155902913101E-2</v>
      </c>
      <c r="AF137">
        <v>1.2984712639492701E-2</v>
      </c>
      <c r="AG137">
        <v>9.7717256066967503E-3</v>
      </c>
      <c r="AH137">
        <v>8.4666376002621793E-3</v>
      </c>
      <c r="AI137">
        <v>6.5602423790110899E-3</v>
      </c>
      <c r="AJ137">
        <v>4.8929521702969101E-3</v>
      </c>
      <c r="AK137">
        <v>4.29808983452451E-3</v>
      </c>
      <c r="AL137">
        <v>3.78958887794334E-3</v>
      </c>
      <c r="AM137">
        <v>2.8737715657736998E-3</v>
      </c>
      <c r="AN137">
        <v>2.0378707537511598E-3</v>
      </c>
      <c r="AO137">
        <v>1.65805254875094E-3</v>
      </c>
      <c r="AP137">
        <v>1.5020864758832099E-3</v>
      </c>
      <c r="AQ137">
        <v>1.32839698564414E-3</v>
      </c>
      <c r="AR137">
        <v>1.07876533733517E-3</v>
      </c>
      <c r="AS137">
        <v>9.0389428593801505E-4</v>
      </c>
      <c r="AT137">
        <v>5.7148890777238498E-3</v>
      </c>
    </row>
    <row r="138" spans="1:46" x14ac:dyDescent="0.25">
      <c r="A138">
        <v>4</v>
      </c>
      <c r="B138">
        <v>2</v>
      </c>
      <c r="C138">
        <v>2014</v>
      </c>
      <c r="D138">
        <v>1</v>
      </c>
      <c r="E138">
        <v>29</v>
      </c>
      <c r="F138">
        <v>0</v>
      </c>
      <c r="G138">
        <v>0</v>
      </c>
      <c r="H138">
        <v>0</v>
      </c>
      <c r="I138">
        <v>0</v>
      </c>
      <c r="J138" s="12">
        <v>2.0224432048817998E-5</v>
      </c>
      <c r="K138">
        <v>1.62863916951613E-3</v>
      </c>
      <c r="L138">
        <v>1.9101785273579801E-2</v>
      </c>
      <c r="M138">
        <v>5.4467829844984501E-2</v>
      </c>
      <c r="N138">
        <v>7.4855106731101198E-2</v>
      </c>
      <c r="O138">
        <v>8.1657479972803898E-2</v>
      </c>
      <c r="P138">
        <v>7.7345860015830395E-2</v>
      </c>
      <c r="Q138">
        <v>7.1177694435734101E-2</v>
      </c>
      <c r="R138">
        <v>7.0913727438191201E-2</v>
      </c>
      <c r="S138">
        <v>7.1844814498551901E-2</v>
      </c>
      <c r="T138">
        <v>6.4324283122587506E-2</v>
      </c>
      <c r="U138">
        <v>5.9838465934853903E-2</v>
      </c>
      <c r="V138">
        <v>5.51764481528082E-2</v>
      </c>
      <c r="W138">
        <v>4.6558836736459698E-2</v>
      </c>
      <c r="X138">
        <v>3.87530645499954E-2</v>
      </c>
      <c r="Y138">
        <v>3.2896660497896899E-2</v>
      </c>
      <c r="Z138">
        <v>2.6998472005999401E-2</v>
      </c>
      <c r="AA138">
        <v>2.2239052596020499E-2</v>
      </c>
      <c r="AB138">
        <v>1.7723566548064399E-2</v>
      </c>
      <c r="AC138">
        <v>1.7428881309390801E-2</v>
      </c>
      <c r="AD138">
        <v>1.49677014866198E-2</v>
      </c>
      <c r="AE138">
        <v>1.15050306843747E-2</v>
      </c>
      <c r="AF138">
        <v>1.03173222928286E-2</v>
      </c>
      <c r="AG138">
        <v>8.8291093684816201E-3</v>
      </c>
      <c r="AH138">
        <v>7.7129496752213799E-3</v>
      </c>
      <c r="AI138">
        <v>6.7770927016416399E-3</v>
      </c>
      <c r="AJ138">
        <v>5.9860502933925903E-3</v>
      </c>
      <c r="AK138">
        <v>5.1789809767274998E-3</v>
      </c>
      <c r="AL138">
        <v>4.3075178316050802E-3</v>
      </c>
      <c r="AM138">
        <v>3.3968459998219899E-3</v>
      </c>
      <c r="AN138">
        <v>2.8961005100849799E-3</v>
      </c>
      <c r="AO138">
        <v>2.1302432436325698E-3</v>
      </c>
      <c r="AP138">
        <v>1.67309476071778E-3</v>
      </c>
      <c r="AQ138">
        <v>1.3808898769181099E-3</v>
      </c>
      <c r="AR138">
        <v>1.27308983816734E-3</v>
      </c>
      <c r="AS138">
        <v>1.1388644801829701E-3</v>
      </c>
      <c r="AT138">
        <v>5.5782227131628897E-3</v>
      </c>
    </row>
    <row r="139" spans="1:46" x14ac:dyDescent="0.25">
      <c r="A139">
        <v>4</v>
      </c>
      <c r="B139">
        <v>2</v>
      </c>
      <c r="C139">
        <v>2015</v>
      </c>
      <c r="D139">
        <v>1</v>
      </c>
      <c r="E139">
        <v>27</v>
      </c>
      <c r="F139">
        <v>0</v>
      </c>
      <c r="G139">
        <v>0</v>
      </c>
      <c r="H139">
        <v>0</v>
      </c>
      <c r="I139">
        <v>0</v>
      </c>
      <c r="J139" s="12">
        <v>1.9298221181488801E-5</v>
      </c>
      <c r="K139">
        <v>1.53629756663357E-3</v>
      </c>
      <c r="L139">
        <v>1.74455919480659E-2</v>
      </c>
      <c r="M139">
        <v>5.6141410202591502E-2</v>
      </c>
      <c r="N139">
        <v>7.9449383949052696E-2</v>
      </c>
      <c r="O139">
        <v>7.5283753484124694E-2</v>
      </c>
      <c r="P139">
        <v>7.3605305618169803E-2</v>
      </c>
      <c r="Q139">
        <v>7.3543133513848002E-2</v>
      </c>
      <c r="R139">
        <v>6.9025360250041301E-2</v>
      </c>
      <c r="S139">
        <v>5.8792926107707998E-2</v>
      </c>
      <c r="T139">
        <v>5.2410586566448598E-2</v>
      </c>
      <c r="U139">
        <v>5.0215264694003801E-2</v>
      </c>
      <c r="V139">
        <v>4.9999502623165402E-2</v>
      </c>
      <c r="W139">
        <v>4.1726235832220897E-2</v>
      </c>
      <c r="X139">
        <v>3.6121694184868998E-2</v>
      </c>
      <c r="Y139">
        <v>3.2823289968705101E-2</v>
      </c>
      <c r="Z139">
        <v>3.22300188804246E-2</v>
      </c>
      <c r="AA139">
        <v>2.94276983190652E-2</v>
      </c>
      <c r="AB139">
        <v>2.57822245477352E-2</v>
      </c>
      <c r="AC139">
        <v>2.14535539564338E-2</v>
      </c>
      <c r="AD139">
        <v>1.92972264278197E-2</v>
      </c>
      <c r="AE139">
        <v>1.5847420703211299E-2</v>
      </c>
      <c r="AF139">
        <v>1.39842470808954E-2</v>
      </c>
      <c r="AG139">
        <v>1.29588549987367E-2</v>
      </c>
      <c r="AH139">
        <v>1.08424170922554E-2</v>
      </c>
      <c r="AI139">
        <v>1.00171694483295E-2</v>
      </c>
      <c r="AJ139">
        <v>7.78494221475936E-3</v>
      </c>
      <c r="AK139">
        <v>6.1809019232567401E-3</v>
      </c>
      <c r="AL139">
        <v>5.0942330150784802E-3</v>
      </c>
      <c r="AM139">
        <v>4.0707309648911599E-3</v>
      </c>
      <c r="AN139">
        <v>3.0150983711903401E-3</v>
      </c>
      <c r="AO139">
        <v>2.4709681141658899E-3</v>
      </c>
      <c r="AP139">
        <v>1.8379068791195201E-3</v>
      </c>
      <c r="AQ139">
        <v>1.29168763938986E-3</v>
      </c>
      <c r="AR139">
        <v>1.25965657124326E-3</v>
      </c>
      <c r="AS139">
        <v>1.0604074113127399E-3</v>
      </c>
      <c r="AT139">
        <v>5.9536007098562197E-3</v>
      </c>
    </row>
    <row r="140" spans="1:46" x14ac:dyDescent="0.25">
      <c r="A140">
        <v>4</v>
      </c>
      <c r="B140">
        <v>2</v>
      </c>
      <c r="C140">
        <v>2016</v>
      </c>
      <c r="D140">
        <v>1</v>
      </c>
      <c r="E140">
        <v>6</v>
      </c>
      <c r="F140">
        <v>0</v>
      </c>
      <c r="G140">
        <v>0</v>
      </c>
      <c r="H140">
        <v>0</v>
      </c>
      <c r="I140">
        <v>0</v>
      </c>
      <c r="J140" s="12">
        <v>2.2783117254452101E-5</v>
      </c>
      <c r="K140">
        <v>1.7373266062382399E-3</v>
      </c>
      <c r="L140">
        <v>1.9307324886112899E-2</v>
      </c>
      <c r="M140">
        <v>5.1593166431810701E-2</v>
      </c>
      <c r="N140">
        <v>7.4383916030543007E-2</v>
      </c>
      <c r="O140">
        <v>8.12311540901961E-2</v>
      </c>
      <c r="P140">
        <v>8.3774775216069394E-2</v>
      </c>
      <c r="Q140">
        <v>7.3028206638316898E-2</v>
      </c>
      <c r="R140">
        <v>6.2904186739542206E-2</v>
      </c>
      <c r="S140">
        <v>5.9604166120821103E-2</v>
      </c>
      <c r="T140">
        <v>5.7169676126596701E-2</v>
      </c>
      <c r="U140">
        <v>4.6854847620816001E-2</v>
      </c>
      <c r="V140">
        <v>3.91983532362849E-2</v>
      </c>
      <c r="W140">
        <v>3.6787671599591301E-2</v>
      </c>
      <c r="X140">
        <v>2.9784369186745201E-2</v>
      </c>
      <c r="Y140">
        <v>2.8347893643851999E-2</v>
      </c>
      <c r="Z140">
        <v>2.9436812733028599E-2</v>
      </c>
      <c r="AA140">
        <v>2.8874183652429899E-2</v>
      </c>
      <c r="AB140">
        <v>2.6046798801152401E-2</v>
      </c>
      <c r="AC140">
        <v>2.3296876548539999E-2</v>
      </c>
      <c r="AD140">
        <v>1.85358885358771E-2</v>
      </c>
      <c r="AE140">
        <v>1.6864519054090501E-2</v>
      </c>
      <c r="AF140">
        <v>1.37464216266462E-2</v>
      </c>
      <c r="AG140">
        <v>1.0746340746579999E-2</v>
      </c>
      <c r="AH140">
        <v>1.0294551531424201E-2</v>
      </c>
      <c r="AI140">
        <v>9.4750428037815408E-3</v>
      </c>
      <c r="AJ140">
        <v>8.6543949202761792E-3</v>
      </c>
      <c r="AK140">
        <v>8.3249510447767992E-3</v>
      </c>
      <c r="AL140">
        <v>7.0536531019783702E-3</v>
      </c>
      <c r="AM140">
        <v>6.4348636373474499E-3</v>
      </c>
      <c r="AN140">
        <v>5.8756520243369303E-3</v>
      </c>
      <c r="AO140">
        <v>5.1626543698588502E-3</v>
      </c>
      <c r="AP140">
        <v>4.0773805794430198E-3</v>
      </c>
      <c r="AQ140">
        <v>3.6489440594730501E-3</v>
      </c>
      <c r="AR140">
        <v>2.9162390085698698E-3</v>
      </c>
      <c r="AS140">
        <v>2.60821126328968E-3</v>
      </c>
      <c r="AT140">
        <v>1.21958026663082E-2</v>
      </c>
    </row>
    <row r="141" spans="1:46" x14ac:dyDescent="0.25">
      <c r="A141">
        <v>4</v>
      </c>
      <c r="B141">
        <v>2</v>
      </c>
      <c r="C141">
        <v>2017</v>
      </c>
      <c r="D141">
        <v>1</v>
      </c>
      <c r="E141">
        <v>17</v>
      </c>
      <c r="F141">
        <v>0</v>
      </c>
      <c r="G141">
        <v>0</v>
      </c>
      <c r="H141">
        <v>0</v>
      </c>
      <c r="I141">
        <v>0</v>
      </c>
      <c r="J141" s="12">
        <v>2.2870828013823799E-5</v>
      </c>
      <c r="K141">
        <v>1.75965350228807E-3</v>
      </c>
      <c r="L141">
        <v>1.82797426658447E-2</v>
      </c>
      <c r="M141">
        <v>5.6797134238574701E-2</v>
      </c>
      <c r="N141">
        <v>6.9760692958083695E-2</v>
      </c>
      <c r="O141">
        <v>7.5439309515699701E-2</v>
      </c>
      <c r="P141">
        <v>6.7464275124859002E-2</v>
      </c>
      <c r="Q141">
        <v>7.1222558944600001E-2</v>
      </c>
      <c r="R141">
        <v>7.1051261110292294E-2</v>
      </c>
      <c r="S141">
        <v>6.9168501875582905E-2</v>
      </c>
      <c r="T141">
        <v>6.5264941622794906E-2</v>
      </c>
      <c r="U141">
        <v>5.6276706213362199E-2</v>
      </c>
      <c r="V141">
        <v>5.0071943923530197E-2</v>
      </c>
      <c r="W141">
        <v>4.44388356461458E-2</v>
      </c>
      <c r="X141">
        <v>3.9951952591107301E-2</v>
      </c>
      <c r="Y141">
        <v>3.2900269537375702E-2</v>
      </c>
      <c r="Z141">
        <v>2.6561782916401599E-2</v>
      </c>
      <c r="AA141">
        <v>2.2237796167012599E-2</v>
      </c>
      <c r="AB141">
        <v>1.9232499353257299E-2</v>
      </c>
      <c r="AC141">
        <v>1.6468396424729501E-2</v>
      </c>
      <c r="AD141">
        <v>1.40011475087892E-2</v>
      </c>
      <c r="AE141">
        <v>1.3222605853135E-2</v>
      </c>
      <c r="AF141">
        <v>1.24202598662827E-2</v>
      </c>
      <c r="AG141">
        <v>1.10410089115715E-2</v>
      </c>
      <c r="AH141">
        <v>1.02624672559172E-2</v>
      </c>
      <c r="AI141">
        <v>1.0046828020358301E-2</v>
      </c>
      <c r="AJ141">
        <v>8.06546751181377E-3</v>
      </c>
      <c r="AK141">
        <v>7.2624213975732797E-3</v>
      </c>
      <c r="AL141">
        <v>5.6453605066775197E-3</v>
      </c>
      <c r="AM141">
        <v>4.7984397427778599E-3</v>
      </c>
      <c r="AN141">
        <v>3.9148789788968803E-3</v>
      </c>
      <c r="AO141">
        <v>3.2891984696615498E-3</v>
      </c>
      <c r="AP141">
        <v>2.80401018965401E-3</v>
      </c>
      <c r="AQ141">
        <v>2.3755322280888998E-3</v>
      </c>
      <c r="AR141">
        <v>2.3377253491272702E-3</v>
      </c>
      <c r="AS141">
        <v>2.2037676421891601E-3</v>
      </c>
      <c r="AT141">
        <v>1.1937755407929801E-2</v>
      </c>
    </row>
    <row r="142" spans="1:46" x14ac:dyDescent="0.25">
      <c r="A142">
        <v>4</v>
      </c>
      <c r="B142">
        <v>2</v>
      </c>
      <c r="C142">
        <v>2018</v>
      </c>
      <c r="D142">
        <v>1</v>
      </c>
      <c r="E142">
        <v>11</v>
      </c>
      <c r="F142">
        <v>0</v>
      </c>
      <c r="G142">
        <v>0</v>
      </c>
      <c r="H142">
        <v>0</v>
      </c>
      <c r="I142">
        <v>0</v>
      </c>
      <c r="J142" s="12">
        <v>1.22726843183322E-5</v>
      </c>
      <c r="K142">
        <v>1.2981772745613599E-3</v>
      </c>
      <c r="L142">
        <v>1.39514511699209E-2</v>
      </c>
      <c r="M142">
        <v>4.2524578436702702E-2</v>
      </c>
      <c r="N142">
        <v>5.19022728874994E-2</v>
      </c>
      <c r="O142">
        <v>6.0424970330785602E-2</v>
      </c>
      <c r="P142">
        <v>6.6380767667313101E-2</v>
      </c>
      <c r="Q142">
        <v>6.5896542089375398E-2</v>
      </c>
      <c r="R142">
        <v>5.6841755599309901E-2</v>
      </c>
      <c r="S142">
        <v>5.0201824293614999E-2</v>
      </c>
      <c r="T142">
        <v>5.2271135232844899E-2</v>
      </c>
      <c r="U142">
        <v>5.5390987949723997E-2</v>
      </c>
      <c r="V142">
        <v>4.57015673172416E-2</v>
      </c>
      <c r="W142">
        <v>4.6751018189618097E-2</v>
      </c>
      <c r="X142">
        <v>3.9528270741961503E-2</v>
      </c>
      <c r="Y142">
        <v>3.5374785279160603E-2</v>
      </c>
      <c r="Z142">
        <v>3.2375886684396601E-2</v>
      </c>
      <c r="AA142">
        <v>3.2318886883895899E-2</v>
      </c>
      <c r="AB142">
        <v>2.9866804557093101E-2</v>
      </c>
      <c r="AC142">
        <v>3.0192848870483499E-2</v>
      </c>
      <c r="AD142">
        <v>2.8202628563527302E-2</v>
      </c>
      <c r="AE142">
        <v>2.4839913060304301E-2</v>
      </c>
      <c r="AF142">
        <v>2.08092908038458E-2</v>
      </c>
      <c r="AG142">
        <v>1.9345159564668798E-2</v>
      </c>
      <c r="AH142">
        <v>1.52488102655277E-2</v>
      </c>
      <c r="AI142">
        <v>1.26763192692462E-2</v>
      </c>
      <c r="AJ142">
        <v>9.9594196874856402E-3</v>
      </c>
      <c r="AK142">
        <v>8.3752888683071396E-3</v>
      </c>
      <c r="AL142">
        <v>8.1190624923721897E-3</v>
      </c>
      <c r="AM142">
        <v>6.9992482299039201E-3</v>
      </c>
      <c r="AN142">
        <v>5.7190708923427896E-3</v>
      </c>
      <c r="AO142">
        <v>5.3802084419977301E-3</v>
      </c>
      <c r="AP142">
        <v>3.9299862450481397E-3</v>
      </c>
      <c r="AQ142">
        <v>3.7431687170913098E-3</v>
      </c>
      <c r="AR142">
        <v>2.9924895262866602E-3</v>
      </c>
      <c r="AS142">
        <v>2.22953765116367E-3</v>
      </c>
      <c r="AT142">
        <v>1.22235935810588E-2</v>
      </c>
    </row>
    <row r="143" spans="1:46" x14ac:dyDescent="0.25">
      <c r="A143">
        <v>4</v>
      </c>
      <c r="B143">
        <v>2</v>
      </c>
      <c r="C143">
        <v>2019</v>
      </c>
      <c r="D143">
        <v>1</v>
      </c>
      <c r="E143">
        <v>25</v>
      </c>
      <c r="F143">
        <v>0</v>
      </c>
      <c r="G143">
        <v>0</v>
      </c>
      <c r="H143">
        <v>0</v>
      </c>
      <c r="I143">
        <v>0</v>
      </c>
      <c r="J143" s="12">
        <v>1.73118767048141E-5</v>
      </c>
      <c r="K143">
        <v>1.13052737695545E-3</v>
      </c>
      <c r="L143">
        <v>1.14538931396588E-2</v>
      </c>
      <c r="M143">
        <v>3.3474986734001601E-2</v>
      </c>
      <c r="N143">
        <v>4.80589290100219E-2</v>
      </c>
      <c r="O143">
        <v>5.3485584075670202E-2</v>
      </c>
      <c r="P143">
        <v>5.7654732240139797E-2</v>
      </c>
      <c r="Q143">
        <v>5.5479000307131203E-2</v>
      </c>
      <c r="R143">
        <v>5.0793741818399303E-2</v>
      </c>
      <c r="S143">
        <v>4.6502483095029697E-2</v>
      </c>
      <c r="T143">
        <v>4.7612529903561997E-2</v>
      </c>
      <c r="U143">
        <v>4.6132982726611302E-2</v>
      </c>
      <c r="V143">
        <v>4.6471028033338399E-2</v>
      </c>
      <c r="W143">
        <v>4.35168026447601E-2</v>
      </c>
      <c r="X143">
        <v>4.2640775312398203E-2</v>
      </c>
      <c r="Y143">
        <v>4.0604233959502897E-2</v>
      </c>
      <c r="Z143">
        <v>3.9244478786536398E-2</v>
      </c>
      <c r="AA143">
        <v>3.6573194382852503E-2</v>
      </c>
      <c r="AB143">
        <v>3.4196521023805798E-2</v>
      </c>
      <c r="AC143">
        <v>2.9503147592868598E-2</v>
      </c>
      <c r="AD143">
        <v>2.6207785491008901E-2</v>
      </c>
      <c r="AE143">
        <v>2.27345902271055E-2</v>
      </c>
      <c r="AF143">
        <v>2.0401737555968E-2</v>
      </c>
      <c r="AG143">
        <v>1.88255839241913E-2</v>
      </c>
      <c r="AH143">
        <v>1.7941364364460099E-2</v>
      </c>
      <c r="AI143">
        <v>1.7103052192062301E-2</v>
      </c>
      <c r="AJ143">
        <v>1.43119757843942E-2</v>
      </c>
      <c r="AK143">
        <v>1.29423281104535E-2</v>
      </c>
      <c r="AL143">
        <v>1.14980229682233E-2</v>
      </c>
      <c r="AM143">
        <v>1.0177837799153501E-2</v>
      </c>
      <c r="AN143">
        <v>8.6741776510782E-3</v>
      </c>
      <c r="AO143">
        <v>8.0493271012638101E-3</v>
      </c>
      <c r="AP143">
        <v>6.7054153868887599E-3</v>
      </c>
      <c r="AQ143">
        <v>5.9206618330464303E-3</v>
      </c>
      <c r="AR143">
        <v>5.1549204295138398E-3</v>
      </c>
      <c r="AS143">
        <v>4.2648271973292698E-3</v>
      </c>
      <c r="AT143">
        <v>2.4539507943910101E-2</v>
      </c>
    </row>
    <row r="144" spans="1:46" x14ac:dyDescent="0.25">
      <c r="A144">
        <v>4</v>
      </c>
      <c r="B144">
        <v>2</v>
      </c>
      <c r="C144">
        <v>2020</v>
      </c>
      <c r="D144">
        <v>1</v>
      </c>
      <c r="E144">
        <v>24</v>
      </c>
      <c r="F144">
        <v>0</v>
      </c>
      <c r="G144">
        <v>0</v>
      </c>
      <c r="H144">
        <v>0</v>
      </c>
      <c r="I144">
        <v>0</v>
      </c>
      <c r="J144" s="12">
        <v>2.6616829118663199E-5</v>
      </c>
      <c r="K144">
        <v>1.83988831282759E-3</v>
      </c>
      <c r="L144">
        <v>1.8408494761013201E-2</v>
      </c>
      <c r="M144">
        <v>4.1397302199529702E-2</v>
      </c>
      <c r="N144">
        <v>4.9693619964544203E-2</v>
      </c>
      <c r="O144">
        <v>5.5632130283463699E-2</v>
      </c>
      <c r="P144">
        <v>6.2804626374578995E-2</v>
      </c>
      <c r="Q144">
        <v>5.6847632146549303E-2</v>
      </c>
      <c r="R144">
        <v>6.2008894087385601E-2</v>
      </c>
      <c r="S144">
        <v>5.1264012882545298E-2</v>
      </c>
      <c r="T144">
        <v>5.3611469339538503E-2</v>
      </c>
      <c r="U144">
        <v>4.6502927573944398E-2</v>
      </c>
      <c r="V144">
        <v>4.2937936023863497E-2</v>
      </c>
      <c r="W144">
        <v>3.4928673367330201E-2</v>
      </c>
      <c r="X144">
        <v>3.6340289506074798E-2</v>
      </c>
      <c r="Y144">
        <v>3.5708139814506601E-2</v>
      </c>
      <c r="Z144">
        <v>2.9146906597665001E-2</v>
      </c>
      <c r="AA144">
        <v>2.7747674678024199E-2</v>
      </c>
      <c r="AB144">
        <v>2.7780760875331399E-2</v>
      </c>
      <c r="AC144">
        <v>2.9433961706146101E-2</v>
      </c>
      <c r="AD144">
        <v>2.4583968794725301E-2</v>
      </c>
      <c r="AE144">
        <v>2.1973486311094199E-2</v>
      </c>
      <c r="AF144">
        <v>1.7713684617561402E-2</v>
      </c>
      <c r="AG144">
        <v>1.64137112898423E-2</v>
      </c>
      <c r="AH144">
        <v>1.42418519693958E-2</v>
      </c>
      <c r="AI144">
        <v>1.45424003315274E-2</v>
      </c>
      <c r="AJ144">
        <v>1.2848719739761301E-2</v>
      </c>
      <c r="AK144">
        <v>1.17742501031864E-2</v>
      </c>
      <c r="AL144">
        <v>1.0350619423520099E-2</v>
      </c>
      <c r="AM144">
        <v>1.0154320308770001E-2</v>
      </c>
      <c r="AN144">
        <v>1.0004600644977499E-2</v>
      </c>
      <c r="AO144">
        <v>8.5839273907688807E-3</v>
      </c>
      <c r="AP144">
        <v>7.3329364221917104E-3</v>
      </c>
      <c r="AQ144">
        <v>7.3440267676578201E-3</v>
      </c>
      <c r="AR144">
        <v>7.02684288732708E-3</v>
      </c>
      <c r="AS144">
        <v>5.4534925438683201E-3</v>
      </c>
      <c r="AT144">
        <v>3.5595203129843399E-2</v>
      </c>
    </row>
    <row r="145" spans="1:46" x14ac:dyDescent="0.25">
      <c r="A145">
        <v>4</v>
      </c>
      <c r="B145">
        <v>2</v>
      </c>
      <c r="C145">
        <v>2021</v>
      </c>
      <c r="D145">
        <v>1</v>
      </c>
      <c r="E145">
        <v>29</v>
      </c>
      <c r="F145">
        <v>0</v>
      </c>
      <c r="G145">
        <v>0</v>
      </c>
      <c r="H145">
        <v>0</v>
      </c>
      <c r="I145">
        <v>0</v>
      </c>
      <c r="J145" s="12">
        <v>2.1800759111808899E-5</v>
      </c>
      <c r="K145">
        <v>1.7077261304250301E-3</v>
      </c>
      <c r="L145">
        <v>1.9263197634547299E-2</v>
      </c>
      <c r="M145">
        <v>4.71634809623699E-2</v>
      </c>
      <c r="N145">
        <v>5.8483466526985502E-2</v>
      </c>
      <c r="O145">
        <v>5.38865537723342E-2</v>
      </c>
      <c r="P145">
        <v>5.6433843545328502E-2</v>
      </c>
      <c r="Q145">
        <v>4.9605869233186398E-2</v>
      </c>
      <c r="R145">
        <v>4.2474442419213797E-2</v>
      </c>
      <c r="S145">
        <v>4.58079660208211E-2</v>
      </c>
      <c r="T145">
        <v>4.7713891525751902E-2</v>
      </c>
      <c r="U145">
        <v>4.1099002052670398E-2</v>
      </c>
      <c r="V145">
        <v>4.0747494114088102E-2</v>
      </c>
      <c r="W145">
        <v>4.1202614262642601E-2</v>
      </c>
      <c r="X145">
        <v>3.7709218427548701E-2</v>
      </c>
      <c r="Y145">
        <v>3.7611701053457201E-2</v>
      </c>
      <c r="Z145">
        <v>3.8384807543250202E-2</v>
      </c>
      <c r="AA145">
        <v>3.6768972784565201E-2</v>
      </c>
      <c r="AB145">
        <v>3.1807776377658498E-2</v>
      </c>
      <c r="AC145">
        <v>2.7768775522857801E-2</v>
      </c>
      <c r="AD145">
        <v>2.3212534076872099E-2</v>
      </c>
      <c r="AE145">
        <v>2.3104116323224601E-2</v>
      </c>
      <c r="AF145">
        <v>2.13638062625142E-2</v>
      </c>
      <c r="AG145">
        <v>2.0153746923426499E-2</v>
      </c>
      <c r="AH145">
        <v>2.01365172912252E-2</v>
      </c>
      <c r="AI145">
        <v>1.8289782019366801E-2</v>
      </c>
      <c r="AJ145">
        <v>1.6420894363249599E-2</v>
      </c>
      <c r="AK145">
        <v>1.4541809577870501E-2</v>
      </c>
      <c r="AL145">
        <v>1.29836413432878E-2</v>
      </c>
      <c r="AM145">
        <v>1.07236293153636E-2</v>
      </c>
      <c r="AN145">
        <v>8.7533564085382608E-3</v>
      </c>
      <c r="AO145">
        <v>8.7994193027906304E-3</v>
      </c>
      <c r="AP145">
        <v>7.8501486143683595E-3</v>
      </c>
      <c r="AQ145">
        <v>6.5156139732551596E-3</v>
      </c>
      <c r="AR145">
        <v>5.0897740023134602E-3</v>
      </c>
      <c r="AS145">
        <v>4.01286338554303E-3</v>
      </c>
      <c r="AT145">
        <v>2.23857461479758E-2</v>
      </c>
    </row>
    <row r="146" spans="1:46" x14ac:dyDescent="0.25">
      <c r="A146">
        <v>4</v>
      </c>
      <c r="B146">
        <v>2</v>
      </c>
      <c r="C146">
        <v>2022</v>
      </c>
      <c r="D146">
        <v>1</v>
      </c>
      <c r="E146">
        <v>11</v>
      </c>
      <c r="F146">
        <v>0</v>
      </c>
      <c r="G146">
        <v>0</v>
      </c>
      <c r="H146">
        <v>0</v>
      </c>
      <c r="I146">
        <v>0</v>
      </c>
      <c r="J146" s="12">
        <v>1.15524399908505E-5</v>
      </c>
      <c r="K146">
        <v>1.575752814752E-3</v>
      </c>
      <c r="L146">
        <v>1.6998773644314801E-2</v>
      </c>
      <c r="M146">
        <v>5.1749154939014698E-2</v>
      </c>
      <c r="N146">
        <v>6.2355450094614497E-2</v>
      </c>
      <c r="O146">
        <v>6.6105372115644503E-2</v>
      </c>
      <c r="P146">
        <v>6.1420857699354701E-2</v>
      </c>
      <c r="Q146">
        <v>5.7242981956885798E-2</v>
      </c>
      <c r="R146">
        <v>5.5090762386590303E-2</v>
      </c>
      <c r="S146">
        <v>4.8518707636239902E-2</v>
      </c>
      <c r="T146">
        <v>4.3244633699083601E-2</v>
      </c>
      <c r="U146">
        <v>4.4426833391480597E-2</v>
      </c>
      <c r="V146">
        <v>3.8897065449193503E-2</v>
      </c>
      <c r="W146">
        <v>3.69214698503137E-2</v>
      </c>
      <c r="X146">
        <v>3.4873093879491598E-2</v>
      </c>
      <c r="Y146">
        <v>3.6751777342892603E-2</v>
      </c>
      <c r="Z146">
        <v>3.26367982181517E-2</v>
      </c>
      <c r="AA146">
        <v>3.3906668094034802E-2</v>
      </c>
      <c r="AB146">
        <v>3.3543151315656002E-2</v>
      </c>
      <c r="AC146">
        <v>2.7861404607267101E-2</v>
      </c>
      <c r="AD146">
        <v>2.73149741956999E-2</v>
      </c>
      <c r="AE146">
        <v>2.4352030058935398E-2</v>
      </c>
      <c r="AF146">
        <v>2.2159505309116301E-2</v>
      </c>
      <c r="AG146">
        <v>2.1066516125537501E-2</v>
      </c>
      <c r="AH146">
        <v>1.9731567504372601E-2</v>
      </c>
      <c r="AI146">
        <v>1.62196257471541E-2</v>
      </c>
      <c r="AJ146">
        <v>1.49673412521459E-2</v>
      </c>
      <c r="AK146">
        <v>1.3111634308282299E-2</v>
      </c>
      <c r="AL146">
        <v>1.03891092837718E-2</v>
      </c>
      <c r="AM146">
        <v>8.0428087216300893E-3</v>
      </c>
      <c r="AN146">
        <v>6.6472739707353597E-3</v>
      </c>
      <c r="AO146">
        <v>5.8778814673447199E-3</v>
      </c>
      <c r="AP146">
        <v>4.2831313068299797E-3</v>
      </c>
      <c r="AQ146">
        <v>3.4792098439111298E-3</v>
      </c>
      <c r="AR146">
        <v>2.5507787499797802E-3</v>
      </c>
      <c r="AS146">
        <v>1.70359981731742E-3</v>
      </c>
      <c r="AT146">
        <v>1.3970750762268501E-2</v>
      </c>
    </row>
    <row r="147" spans="1:46" x14ac:dyDescent="0.25">
      <c r="A147">
        <v>4</v>
      </c>
      <c r="B147">
        <v>2</v>
      </c>
      <c r="C147">
        <v>2023</v>
      </c>
      <c r="D147">
        <v>1</v>
      </c>
      <c r="E147">
        <v>9</v>
      </c>
      <c r="F147">
        <v>0</v>
      </c>
      <c r="G147">
        <v>0</v>
      </c>
      <c r="H147">
        <v>0</v>
      </c>
      <c r="I147">
        <v>0</v>
      </c>
      <c r="J147" s="12">
        <v>1.0032444740504799E-5</v>
      </c>
      <c r="K147">
        <v>1.3794611518194099E-3</v>
      </c>
      <c r="L147">
        <v>1.52892599985156E-2</v>
      </c>
      <c r="M147">
        <v>3.9452588942035099E-2</v>
      </c>
      <c r="N147">
        <v>5.0383309058842397E-2</v>
      </c>
      <c r="O147">
        <v>5.0332403691085097E-2</v>
      </c>
      <c r="P147">
        <v>5.4602881002293303E-2</v>
      </c>
      <c r="Q147">
        <v>5.4481748521352298E-2</v>
      </c>
      <c r="R147">
        <v>4.6884122383564E-2</v>
      </c>
      <c r="S147">
        <v>4.7915513438691999E-2</v>
      </c>
      <c r="T147">
        <v>4.3390323502683202E-2</v>
      </c>
      <c r="U147">
        <v>4.1833901172802099E-2</v>
      </c>
      <c r="V147">
        <v>3.5109097727437602E-2</v>
      </c>
      <c r="W147">
        <v>3.30639652884843E-2</v>
      </c>
      <c r="X147">
        <v>2.7977144233021001E-2</v>
      </c>
      <c r="Y147">
        <v>2.8879042436591E-2</v>
      </c>
      <c r="Z147">
        <v>2.9369053047759199E-2</v>
      </c>
      <c r="AA147">
        <v>2.8279603863345801E-2</v>
      </c>
      <c r="AB147">
        <v>2.55353586547904E-2</v>
      </c>
      <c r="AC147">
        <v>2.2679734731013899E-2</v>
      </c>
      <c r="AD147">
        <v>2.2853073081808201E-2</v>
      </c>
      <c r="AE147">
        <v>2.16384041241523E-2</v>
      </c>
      <c r="AF147">
        <v>2.1943464758669099E-2</v>
      </c>
      <c r="AG147">
        <v>2.1158611743738301E-2</v>
      </c>
      <c r="AH147">
        <v>2.1102690153610701E-2</v>
      </c>
      <c r="AI147">
        <v>2.0881047439251E-2</v>
      </c>
      <c r="AJ147">
        <v>1.8074006558060501E-2</v>
      </c>
      <c r="AK147">
        <v>1.6530496356132501E-2</v>
      </c>
      <c r="AL147">
        <v>1.6099844376345599E-2</v>
      </c>
      <c r="AM147">
        <v>1.4754382065035701E-2</v>
      </c>
      <c r="AN147">
        <v>1.39618189305358E-2</v>
      </c>
      <c r="AO147">
        <v>1.2652027533858801E-2</v>
      </c>
      <c r="AP147">
        <v>1.1439773794381099E-2</v>
      </c>
      <c r="AQ147">
        <v>1.06003925844256E-2</v>
      </c>
      <c r="AR147">
        <v>9.4656116126662602E-3</v>
      </c>
      <c r="AS147">
        <v>8.8880028960323897E-3</v>
      </c>
      <c r="AT147">
        <v>6.1107806700428299E-2</v>
      </c>
    </row>
    <row r="148" spans="1:46" x14ac:dyDescent="0.25">
      <c r="A148">
        <v>4</v>
      </c>
      <c r="B148">
        <v>2</v>
      </c>
      <c r="C148">
        <v>2024</v>
      </c>
      <c r="D148">
        <v>1</v>
      </c>
      <c r="E148">
        <v>11</v>
      </c>
      <c r="F148">
        <v>0</v>
      </c>
      <c r="G148">
        <v>0</v>
      </c>
      <c r="H148">
        <v>0</v>
      </c>
      <c r="I148">
        <v>0</v>
      </c>
      <c r="J148" s="12">
        <v>2.61124022243322E-5</v>
      </c>
      <c r="K148">
        <v>1.8048114601222E-3</v>
      </c>
      <c r="L148">
        <v>1.8318544639151599E-2</v>
      </c>
      <c r="M148">
        <v>5.1898121629347302E-2</v>
      </c>
      <c r="N148">
        <v>6.5348231106982499E-2</v>
      </c>
      <c r="O148">
        <v>6.4113864518856797E-2</v>
      </c>
      <c r="P148">
        <v>5.8997361536209297E-2</v>
      </c>
      <c r="Q148">
        <v>5.1573938933647298E-2</v>
      </c>
      <c r="R148">
        <v>4.2047495681730898E-2</v>
      </c>
      <c r="S148">
        <v>4.55112780576373E-2</v>
      </c>
      <c r="T148">
        <v>4.9304521167991097E-2</v>
      </c>
      <c r="U148">
        <v>4.08999389414254E-2</v>
      </c>
      <c r="V148">
        <v>3.7145169955625598E-2</v>
      </c>
      <c r="W148">
        <v>2.9004767457946501E-2</v>
      </c>
      <c r="X148">
        <v>2.9675356170388401E-2</v>
      </c>
      <c r="Y148">
        <v>3.0488174137499002E-2</v>
      </c>
      <c r="Z148">
        <v>2.9851059302376599E-2</v>
      </c>
      <c r="AA148">
        <v>2.8704613728123201E-2</v>
      </c>
      <c r="AB148">
        <v>2.6024759001972899E-2</v>
      </c>
      <c r="AC148">
        <v>2.72902382395574E-2</v>
      </c>
      <c r="AD148">
        <v>2.50727674868369E-2</v>
      </c>
      <c r="AE148">
        <v>2.3054473248955099E-2</v>
      </c>
      <c r="AF148">
        <v>1.8995105869123501E-2</v>
      </c>
      <c r="AG148">
        <v>1.8676756795197098E-2</v>
      </c>
      <c r="AH148">
        <v>1.6388310310898699E-2</v>
      </c>
      <c r="AI148">
        <v>1.7139180770604799E-2</v>
      </c>
      <c r="AJ148">
        <v>1.7248769522493101E-2</v>
      </c>
      <c r="AK148">
        <v>1.5131998193244E-2</v>
      </c>
      <c r="AL148">
        <v>1.25221469283759E-2</v>
      </c>
      <c r="AM148">
        <v>1.22639397170193E-2</v>
      </c>
      <c r="AN148">
        <v>1.163307519094E-2</v>
      </c>
      <c r="AO148">
        <v>9.9543810777310698E-3</v>
      </c>
      <c r="AP148">
        <v>9.8913224042744292E-3</v>
      </c>
      <c r="AQ148">
        <v>8.1045673924988494E-3</v>
      </c>
      <c r="AR148">
        <v>6.9425654935160704E-3</v>
      </c>
      <c r="AS148">
        <v>6.0953013787904001E-3</v>
      </c>
      <c r="AT148">
        <v>4.2856980150685203E-2</v>
      </c>
    </row>
  </sheetData>
  <mergeCells count="1">
    <mergeCell ref="A1:U1"/>
  </mergeCells>
  <pageMargins left="0.7" right="0.7" top="0.75" bottom="0.75" header="0.3" footer="0.3"/>
  <pageSetup paperSize="9" orientation="portrait" horizontalDpi="300" verticalDpi="300"/>
  <headerFooter scaleWithDoc="0" alignWithMargins="0">
    <oddHeader>&amp;C&amp;"Aptos"&amp;12&amp;KFF0000 OFFICIAL&amp;1#_x000D_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T17"/>
  <sheetViews>
    <sheetView zoomScaleNormal="100" workbookViewId="0">
      <selection activeCell="A18" sqref="A18:D353"/>
    </sheetView>
  </sheetViews>
  <sheetFormatPr defaultColWidth="11.42578125" defaultRowHeight="15" x14ac:dyDescent="0.25"/>
  <sheetData>
    <row r="1" spans="1:20" x14ac:dyDescent="0.25">
      <c r="A1" s="10" t="s">
        <v>143</v>
      </c>
      <c r="B1" s="11"/>
      <c r="C1" s="11"/>
      <c r="D1" s="11"/>
      <c r="E1" s="11"/>
      <c r="F1" s="11"/>
      <c r="G1" s="11"/>
      <c r="H1" s="11"/>
      <c r="I1" s="11"/>
      <c r="J1" s="11"/>
      <c r="K1" s="11"/>
      <c r="L1" s="11"/>
      <c r="M1" s="11"/>
      <c r="N1" s="11"/>
      <c r="O1" s="11"/>
      <c r="P1" s="11"/>
      <c r="Q1" s="11"/>
      <c r="R1" s="11"/>
      <c r="S1" s="11"/>
      <c r="T1" s="11"/>
    </row>
    <row r="2" spans="1:20" x14ac:dyDescent="0.25">
      <c r="A2" t="s">
        <v>34</v>
      </c>
      <c r="B2" t="s">
        <v>13</v>
      </c>
      <c r="C2" t="s">
        <v>6</v>
      </c>
      <c r="D2" t="s">
        <v>94</v>
      </c>
    </row>
    <row r="3" spans="1:20" x14ac:dyDescent="0.25">
      <c r="A3">
        <v>2010</v>
      </c>
      <c r="B3">
        <v>99</v>
      </c>
      <c r="C3">
        <v>1</v>
      </c>
      <c r="D3">
        <v>4.67289719626168E-2</v>
      </c>
    </row>
    <row r="4" spans="1:20" x14ac:dyDescent="0.25">
      <c r="A4">
        <v>2011</v>
      </c>
      <c r="B4">
        <v>99</v>
      </c>
      <c r="C4">
        <v>1</v>
      </c>
      <c r="D4">
        <v>4.7478817463669401E-2</v>
      </c>
    </row>
    <row r="5" spans="1:20" x14ac:dyDescent="0.25">
      <c r="A5">
        <v>2012</v>
      </c>
      <c r="B5">
        <v>99</v>
      </c>
      <c r="C5">
        <v>1</v>
      </c>
      <c r="D5">
        <v>4.8228662964722002E-2</v>
      </c>
    </row>
    <row r="6" spans="1:20" x14ac:dyDescent="0.25">
      <c r="A6">
        <v>2013</v>
      </c>
      <c r="B6">
        <v>99</v>
      </c>
      <c r="C6">
        <v>1</v>
      </c>
      <c r="D6">
        <v>4.8978508465774499E-2</v>
      </c>
    </row>
    <row r="7" spans="1:20" x14ac:dyDescent="0.25">
      <c r="A7">
        <v>2014</v>
      </c>
      <c r="B7">
        <v>99</v>
      </c>
      <c r="C7">
        <v>1</v>
      </c>
      <c r="D7">
        <v>3.5974551764025399E-2</v>
      </c>
    </row>
    <row r="8" spans="1:20" x14ac:dyDescent="0.25">
      <c r="A8">
        <v>2015</v>
      </c>
      <c r="B8">
        <v>99</v>
      </c>
      <c r="C8">
        <v>1</v>
      </c>
      <c r="D8">
        <v>4.3903990810024898E-2</v>
      </c>
    </row>
    <row r="9" spans="1:20" x14ac:dyDescent="0.25">
      <c r="A9">
        <v>2016</v>
      </c>
      <c r="B9">
        <v>99</v>
      </c>
      <c r="C9">
        <v>1</v>
      </c>
      <c r="D9">
        <v>4.12235042597308E-2</v>
      </c>
    </row>
    <row r="10" spans="1:20" x14ac:dyDescent="0.25">
      <c r="A10">
        <v>2017</v>
      </c>
      <c r="B10">
        <v>99</v>
      </c>
      <c r="C10">
        <v>1</v>
      </c>
      <c r="D10">
        <v>4.6106221178379002E-2</v>
      </c>
    </row>
    <row r="11" spans="1:20" x14ac:dyDescent="0.25">
      <c r="A11">
        <v>2018</v>
      </c>
      <c r="B11">
        <v>99</v>
      </c>
      <c r="C11">
        <v>1</v>
      </c>
      <c r="D11">
        <v>5.0988938097027203E-2</v>
      </c>
    </row>
    <row r="12" spans="1:20" x14ac:dyDescent="0.25">
      <c r="A12">
        <v>2019</v>
      </c>
      <c r="B12">
        <v>99</v>
      </c>
      <c r="C12">
        <v>1</v>
      </c>
      <c r="D12">
        <v>5.5871655015675502E-2</v>
      </c>
    </row>
    <row r="13" spans="1:20" x14ac:dyDescent="0.25">
      <c r="A13">
        <v>2020</v>
      </c>
      <c r="B13">
        <v>99</v>
      </c>
      <c r="C13">
        <v>1</v>
      </c>
      <c r="D13">
        <v>6.0754371934323703E-2</v>
      </c>
    </row>
    <row r="14" spans="1:20" x14ac:dyDescent="0.25">
      <c r="A14">
        <v>2021</v>
      </c>
      <c r="B14">
        <v>99</v>
      </c>
      <c r="C14">
        <v>1</v>
      </c>
      <c r="D14">
        <v>6.5637088852971898E-2</v>
      </c>
    </row>
    <row r="15" spans="1:20" x14ac:dyDescent="0.25">
      <c r="A15">
        <v>2022</v>
      </c>
      <c r="B15">
        <v>99</v>
      </c>
      <c r="C15">
        <v>1</v>
      </c>
      <c r="D15">
        <v>7.0519805771620203E-2</v>
      </c>
    </row>
    <row r="16" spans="1:20" x14ac:dyDescent="0.25">
      <c r="A16">
        <v>2023</v>
      </c>
      <c r="B16">
        <v>99</v>
      </c>
      <c r="C16">
        <v>1</v>
      </c>
      <c r="D16">
        <v>7.5402522690268398E-2</v>
      </c>
    </row>
    <row r="17" spans="1:4" x14ac:dyDescent="0.25">
      <c r="A17">
        <v>2024</v>
      </c>
      <c r="B17">
        <v>99</v>
      </c>
      <c r="C17">
        <v>1</v>
      </c>
      <c r="D17">
        <v>8.0285239608916606E-2</v>
      </c>
    </row>
  </sheetData>
  <mergeCells count="1">
    <mergeCell ref="A1:T1"/>
  </mergeCells>
  <pageMargins left="0.7" right="0.7" top="0.75" bottom="0.75" header="0.3" footer="0.3"/>
  <pageSetup paperSize="9" orientation="portrait" horizontalDpi="300" verticalDpi="300"/>
  <headerFooter scaleWithDoc="0" alignWithMargins="0">
    <oddHeader>&amp;C&amp;"Aptos"&amp;12&amp;KFF0000 OFFICIAL&amp;1#_x000D_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U5"/>
  <sheetViews>
    <sheetView workbookViewId="0">
      <selection activeCell="C27" sqref="C27"/>
    </sheetView>
  </sheetViews>
  <sheetFormatPr defaultColWidth="11.42578125" defaultRowHeight="15" x14ac:dyDescent="0.25"/>
  <cols>
    <col min="1" max="1" width="32" customWidth="1"/>
  </cols>
  <sheetData>
    <row r="1" spans="1:21" ht="14.45" customHeight="1" x14ac:dyDescent="0.25">
      <c r="A1" s="10" t="s">
        <v>215</v>
      </c>
      <c r="B1" s="11"/>
      <c r="C1" s="11"/>
      <c r="D1" s="11"/>
      <c r="E1" s="11"/>
      <c r="F1" s="11"/>
      <c r="G1" s="11"/>
      <c r="H1" s="11"/>
      <c r="I1" s="11"/>
      <c r="J1" s="11"/>
      <c r="K1" s="11"/>
      <c r="L1" s="11"/>
      <c r="M1" s="11"/>
      <c r="N1" s="11"/>
      <c r="O1" s="11"/>
      <c r="P1" s="11"/>
      <c r="Q1" s="11"/>
      <c r="R1" s="11"/>
      <c r="S1" s="11"/>
      <c r="T1" s="11"/>
      <c r="U1" s="11"/>
    </row>
    <row r="2" spans="1:21" x14ac:dyDescent="0.25">
      <c r="A2" t="s">
        <v>97</v>
      </c>
      <c r="B2" t="s">
        <v>134</v>
      </c>
    </row>
    <row r="3" spans="1:21" x14ac:dyDescent="0.25">
      <c r="A3" t="s">
        <v>338</v>
      </c>
      <c r="B3">
        <v>1</v>
      </c>
    </row>
    <row r="4" spans="1:21" x14ac:dyDescent="0.25">
      <c r="A4" t="s">
        <v>330</v>
      </c>
      <c r="B4">
        <v>2</v>
      </c>
    </row>
    <row r="5" spans="1:21" x14ac:dyDescent="0.25">
      <c r="A5" t="s">
        <v>146</v>
      </c>
      <c r="B5">
        <v>3</v>
      </c>
    </row>
  </sheetData>
  <mergeCells count="1">
    <mergeCell ref="A1:U1"/>
  </mergeCells>
  <pageMargins left="0.7" right="0.7" top="0.75" bottom="0.75" header="0.3" footer="0.3"/>
  <pageSetup paperSize="9" orientation="portrait" horizontalDpi="300" verticalDpi="300"/>
  <headerFooter scaleWithDoc="0" alignWithMargins="0">
    <oddHeader>&amp;C&amp;"Aptos"&amp;12&amp;KFF0000 OFFICIAL&amp;1#_x000D_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Q5"/>
  <sheetViews>
    <sheetView workbookViewId="0">
      <selection activeCell="B13" sqref="B13"/>
    </sheetView>
  </sheetViews>
  <sheetFormatPr defaultColWidth="11.42578125" defaultRowHeight="15" x14ac:dyDescent="0.25"/>
  <cols>
    <col min="1" max="1" width="28.5703125" customWidth="1"/>
    <col min="2" max="7" width="11.5703125" customWidth="1"/>
  </cols>
  <sheetData>
    <row r="1" spans="1:43" ht="14.45" customHeight="1" x14ac:dyDescent="0.25">
      <c r="A1" s="10" t="s">
        <v>133</v>
      </c>
      <c r="B1" s="11"/>
      <c r="C1" s="11"/>
      <c r="D1" s="11"/>
      <c r="E1" s="11"/>
      <c r="F1" s="11"/>
      <c r="G1" s="11"/>
      <c r="H1" s="11"/>
      <c r="I1" s="11"/>
      <c r="J1" s="11"/>
      <c r="K1" s="11"/>
      <c r="L1" s="11"/>
      <c r="M1" s="11"/>
      <c r="N1" s="11"/>
      <c r="O1" s="11"/>
      <c r="P1" s="11"/>
      <c r="Q1" s="11"/>
      <c r="R1" s="11"/>
      <c r="S1" s="11"/>
      <c r="T1" s="11"/>
      <c r="U1" s="11"/>
    </row>
    <row r="2" spans="1:43" x14ac:dyDescent="0.25">
      <c r="A2" t="s">
        <v>97</v>
      </c>
      <c r="B2" t="s">
        <v>134</v>
      </c>
      <c r="C2" t="s">
        <v>216</v>
      </c>
      <c r="D2" t="s">
        <v>217</v>
      </c>
      <c r="E2" t="s">
        <v>218</v>
      </c>
      <c r="F2" t="s">
        <v>219</v>
      </c>
      <c r="G2" t="s">
        <v>220</v>
      </c>
      <c r="H2" t="s">
        <v>221</v>
      </c>
      <c r="I2" t="s">
        <v>222</v>
      </c>
      <c r="J2" t="s">
        <v>223</v>
      </c>
      <c r="K2" t="s">
        <v>224</v>
      </c>
      <c r="L2" t="s">
        <v>225</v>
      </c>
      <c r="M2" t="s">
        <v>226</v>
      </c>
      <c r="N2" t="s">
        <v>227</v>
      </c>
      <c r="O2" t="s">
        <v>228</v>
      </c>
      <c r="P2" t="s">
        <v>229</v>
      </c>
      <c r="Q2" t="s">
        <v>230</v>
      </c>
      <c r="R2" t="s">
        <v>231</v>
      </c>
      <c r="S2" t="s">
        <v>232</v>
      </c>
      <c r="T2" t="s">
        <v>233</v>
      </c>
      <c r="U2" t="s">
        <v>234</v>
      </c>
      <c r="V2" t="s">
        <v>235</v>
      </c>
      <c r="W2" t="s">
        <v>236</v>
      </c>
      <c r="X2" t="s">
        <v>237</v>
      </c>
      <c r="Y2" t="s">
        <v>238</v>
      </c>
      <c r="Z2" t="s">
        <v>239</v>
      </c>
      <c r="AA2" t="s">
        <v>240</v>
      </c>
      <c r="AB2" t="s">
        <v>241</v>
      </c>
      <c r="AC2" t="s">
        <v>242</v>
      </c>
      <c r="AD2" t="s">
        <v>243</v>
      </c>
      <c r="AE2" t="s">
        <v>244</v>
      </c>
      <c r="AF2" t="s">
        <v>245</v>
      </c>
      <c r="AG2" t="s">
        <v>246</v>
      </c>
      <c r="AH2" t="s">
        <v>247</v>
      </c>
      <c r="AI2" t="s">
        <v>248</v>
      </c>
      <c r="AJ2" t="s">
        <v>249</v>
      </c>
      <c r="AK2" t="s">
        <v>250</v>
      </c>
      <c r="AL2" t="s">
        <v>251</v>
      </c>
      <c r="AM2" t="s">
        <v>252</v>
      </c>
      <c r="AN2" t="s">
        <v>253</v>
      </c>
      <c r="AO2" t="s">
        <v>254</v>
      </c>
      <c r="AP2" t="s">
        <v>255</v>
      </c>
      <c r="AQ2" t="s">
        <v>256</v>
      </c>
    </row>
    <row r="3" spans="1:43" x14ac:dyDescent="0.25">
      <c r="A3" t="s">
        <v>338</v>
      </c>
      <c r="B3">
        <v>1</v>
      </c>
      <c r="C3">
        <v>0</v>
      </c>
      <c r="D3">
        <v>0</v>
      </c>
      <c r="E3">
        <v>0</v>
      </c>
      <c r="F3">
        <v>0</v>
      </c>
      <c r="G3">
        <v>0</v>
      </c>
      <c r="H3">
        <v>0</v>
      </c>
      <c r="I3">
        <v>0</v>
      </c>
      <c r="J3">
        <v>0</v>
      </c>
      <c r="K3">
        <v>0</v>
      </c>
      <c r="L3">
        <v>0</v>
      </c>
      <c r="M3">
        <v>0</v>
      </c>
      <c r="N3">
        <v>0</v>
      </c>
      <c r="O3">
        <v>0.5</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row>
    <row r="4" spans="1:43" x14ac:dyDescent="0.25">
      <c r="A4" t="s">
        <v>330</v>
      </c>
      <c r="B4">
        <v>2</v>
      </c>
      <c r="C4">
        <v>0</v>
      </c>
      <c r="D4">
        <v>0</v>
      </c>
      <c r="E4">
        <v>0</v>
      </c>
      <c r="F4">
        <v>0</v>
      </c>
      <c r="G4">
        <v>0</v>
      </c>
      <c r="H4">
        <v>0</v>
      </c>
      <c r="I4">
        <v>0</v>
      </c>
      <c r="J4">
        <v>0</v>
      </c>
      <c r="K4">
        <v>0</v>
      </c>
      <c r="L4">
        <v>0</v>
      </c>
      <c r="M4">
        <v>0</v>
      </c>
      <c r="N4">
        <v>0</v>
      </c>
      <c r="O4">
        <v>0.5</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row>
    <row r="5" spans="1:43" x14ac:dyDescent="0.25">
      <c r="A5" t="s">
        <v>146</v>
      </c>
      <c r="B5">
        <v>3</v>
      </c>
      <c r="C5">
        <v>1</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row>
  </sheetData>
  <mergeCells count="1">
    <mergeCell ref="A1:U1"/>
  </mergeCells>
  <pageMargins left="0.7" right="0.7" top="0.75" bottom="0.75" header="0.3" footer="0.3"/>
  <pageSetup paperSize="9" orientation="portrait" horizontalDpi="300" verticalDpi="300"/>
  <headerFooter scaleWithDoc="0" alignWithMargins="0">
    <oddHeader>&amp;C&amp;"Aptos"&amp;12&amp;KFF0000 OFFICIAL&amp;1#_x000D_</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U5"/>
  <sheetViews>
    <sheetView workbookViewId="0">
      <selection activeCell="G14" sqref="G14"/>
    </sheetView>
  </sheetViews>
  <sheetFormatPr defaultColWidth="11.42578125" defaultRowHeight="15" x14ac:dyDescent="0.25"/>
  <cols>
    <col min="10" max="10" width="22.28515625" customWidth="1"/>
    <col min="13" max="13" width="23" customWidth="1"/>
  </cols>
  <sheetData>
    <row r="1" spans="1:21" ht="14.45" customHeight="1" x14ac:dyDescent="0.25">
      <c r="A1" s="10" t="s">
        <v>336</v>
      </c>
      <c r="B1" s="11"/>
      <c r="C1" s="11"/>
      <c r="D1" s="11"/>
      <c r="E1" s="11"/>
      <c r="F1" s="11"/>
      <c r="G1" s="11"/>
      <c r="H1" s="11"/>
      <c r="I1" s="11"/>
      <c r="J1" s="11"/>
      <c r="K1" s="11"/>
      <c r="L1" s="11"/>
      <c r="M1" s="11"/>
      <c r="N1" s="11"/>
      <c r="O1" s="11"/>
      <c r="P1" s="11"/>
      <c r="Q1" s="11"/>
      <c r="R1" s="11"/>
      <c r="S1" s="11"/>
      <c r="T1" s="11"/>
      <c r="U1" s="11"/>
    </row>
    <row r="2" spans="1:21" x14ac:dyDescent="0.25">
      <c r="A2" t="s">
        <v>135</v>
      </c>
      <c r="B2" t="s">
        <v>136</v>
      </c>
      <c r="C2" t="s">
        <v>16</v>
      </c>
      <c r="D2" t="s">
        <v>108</v>
      </c>
      <c r="E2" t="s">
        <v>137</v>
      </c>
      <c r="F2" t="s">
        <v>95</v>
      </c>
      <c r="G2" t="s">
        <v>138</v>
      </c>
      <c r="H2" t="s">
        <v>139</v>
      </c>
      <c r="I2" t="s">
        <v>140</v>
      </c>
      <c r="J2" t="s">
        <v>97</v>
      </c>
      <c r="K2" t="s">
        <v>141</v>
      </c>
    </row>
    <row r="3" spans="1:21" x14ac:dyDescent="0.25">
      <c r="A3" t="s">
        <v>331</v>
      </c>
      <c r="B3">
        <v>9999</v>
      </c>
      <c r="C3" t="s">
        <v>204</v>
      </c>
      <c r="D3" t="s">
        <v>99</v>
      </c>
      <c r="E3" t="s">
        <v>99</v>
      </c>
      <c r="F3" t="s">
        <v>99</v>
      </c>
      <c r="G3">
        <v>76</v>
      </c>
      <c r="H3" t="s">
        <v>99</v>
      </c>
      <c r="I3" t="s">
        <v>100</v>
      </c>
      <c r="J3" t="s">
        <v>338</v>
      </c>
      <c r="K3">
        <v>1</v>
      </c>
    </row>
    <row r="4" spans="1:21" x14ac:dyDescent="0.25">
      <c r="A4" t="s">
        <v>331</v>
      </c>
      <c r="B4">
        <v>9999</v>
      </c>
      <c r="C4" t="s">
        <v>98</v>
      </c>
      <c r="D4" t="s">
        <v>99</v>
      </c>
      <c r="E4" t="s">
        <v>99</v>
      </c>
      <c r="F4" t="s">
        <v>99</v>
      </c>
      <c r="G4">
        <v>76</v>
      </c>
      <c r="H4" t="s">
        <v>99</v>
      </c>
      <c r="I4" t="s">
        <v>100</v>
      </c>
      <c r="J4" t="s">
        <v>330</v>
      </c>
      <c r="K4">
        <v>2</v>
      </c>
    </row>
    <row r="5" spans="1:21" x14ac:dyDescent="0.25">
      <c r="A5" t="s">
        <v>331</v>
      </c>
      <c r="B5">
        <v>9999</v>
      </c>
      <c r="C5" t="s">
        <v>99</v>
      </c>
      <c r="D5" t="s">
        <v>99</v>
      </c>
      <c r="E5" t="s">
        <v>99</v>
      </c>
      <c r="F5" t="s">
        <v>99</v>
      </c>
      <c r="G5" t="s">
        <v>99</v>
      </c>
      <c r="H5" t="s">
        <v>99</v>
      </c>
      <c r="I5" t="s">
        <v>100</v>
      </c>
      <c r="J5" t="s">
        <v>146</v>
      </c>
      <c r="K5">
        <v>3</v>
      </c>
    </row>
  </sheetData>
  <mergeCells count="1">
    <mergeCell ref="A1:U1"/>
  </mergeCells>
  <pageMargins left="0.7" right="0.7" top="0.75" bottom="0.75" header="0.3" footer="0.3"/>
  <pageSetup paperSize="9" orientation="portrait" horizontalDpi="300" verticalDpi="300"/>
  <headerFooter scaleWithDoc="0" alignWithMargins="0">
    <oddHeader>&amp;C&amp;"Aptos"&amp;12&amp;KFF0000 OFFICIAL&amp;1#_x000D_</oddHead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
  <sheetViews>
    <sheetView workbookViewId="0"/>
  </sheetViews>
  <sheetFormatPr defaultColWidth="11.42578125" defaultRowHeight="15" x14ac:dyDescent="0.25"/>
  <sheetData/>
  <pageMargins left="0.7" right="0.7" top="0.75" bottom="0.75" header="0.3" footer="0.3"/>
  <pageSetup paperSize="9" orientation="portrait" horizontalDpi="300" verticalDpi="300"/>
  <headerFooter scaleWithDoc="0" alignWithMargins="0">
    <oddHeader>&amp;C&amp;"Aptos"&amp;12&amp;KFF0000 OFFICIAL&amp;1#_x000D_</oddHead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
  <sheetViews>
    <sheetView workbookViewId="0"/>
  </sheetViews>
  <sheetFormatPr defaultColWidth="11.42578125" defaultRowHeight="15" x14ac:dyDescent="0.25"/>
  <sheetData/>
  <pageMargins left="0.7" right="0.7" top="0.75" bottom="0.75" header="0.3" footer="0.3"/>
  <pageSetup paperSize="9" orientation="portrait" horizontalDpi="300" verticalDpi="300"/>
  <headerFooter scaleWithDoc="0" alignWithMargins="0">
    <oddHeader>&amp;C&amp;"Aptos"&amp;12&amp;KFF0000 OFFICIAL&amp;1#_x000D_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dynamics</vt:lpstr>
      <vt:lpstr>area</vt:lpstr>
      <vt:lpstr>times</vt:lpstr>
      <vt:lpstr>Weights</vt:lpstr>
      <vt:lpstr>fleetcode</vt:lpstr>
      <vt:lpstr>MainParameters</vt:lpstr>
      <vt:lpstr>Escapegaps</vt:lpstr>
      <vt:lpstr>EfficiencyCreep</vt:lpstr>
      <vt:lpstr>Growth</vt:lpstr>
      <vt:lpstr>SizeTransMatricesNew</vt:lpstr>
      <vt:lpstr>Puerulus</vt:lpstr>
      <vt:lpstr>PuerulusPar</vt:lpstr>
      <vt:lpstr>Recruitment</vt:lpstr>
      <vt:lpstr>migrate</vt:lpstr>
      <vt:lpstr>IsWhite</vt:lpstr>
      <vt:lpstr>maturity</vt:lpstr>
      <vt:lpstr>lengthweight</vt:lpstr>
      <vt:lpstr>Catch</vt:lpstr>
      <vt:lpstr>CPUE</vt:lpstr>
      <vt:lpstr>LengthFreq</vt:lpstr>
      <vt:lpstr>HighGrading</vt:lpstr>
      <vt:lpstr>LegalID</vt:lpstr>
      <vt:lpstr>LegalPattern</vt:lpstr>
      <vt:lpstr>LegalList</vt: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2026-01-03T00:58:41Z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