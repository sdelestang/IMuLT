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ynamics" sheetId="1" r:id="rId4"/>
    <sheet state="visible" name="area" sheetId="2" r:id="rId5"/>
    <sheet state="visible" name="times" sheetId="3" r:id="rId6"/>
    <sheet state="visible" name="Weights" sheetId="4" r:id="rId7"/>
    <sheet state="visible" name="fleetcode" sheetId="5" r:id="rId8"/>
    <sheet state="visible" name="MainParameters" sheetId="6" r:id="rId9"/>
    <sheet state="visible" name="Escapegaps" sheetId="7" r:id="rId10"/>
    <sheet state="visible" name="EfficiencyCreep" sheetId="8" r:id="rId11"/>
    <sheet state="visible" name="Growth" sheetId="9" r:id="rId12"/>
    <sheet state="visible" name="SizeTransMatricesNew" sheetId="10" r:id="rId13"/>
    <sheet state="visible" name="Puerulus" sheetId="11" r:id="rId14"/>
    <sheet state="visible" name="PuerulusPar" sheetId="12" r:id="rId15"/>
    <sheet state="visible" name="Recruitment" sheetId="13" r:id="rId16"/>
    <sheet state="visible" name="migrate" sheetId="14" r:id="rId17"/>
    <sheet state="visible" name="IsWhite" sheetId="15" r:id="rId18"/>
    <sheet state="visible" name="maturity" sheetId="16" r:id="rId19"/>
    <sheet state="visible" name="lengthweight" sheetId="17" r:id="rId20"/>
    <sheet state="visible" name="Catch" sheetId="18" r:id="rId21"/>
    <sheet state="visible" name="CPUE" sheetId="19" r:id="rId22"/>
    <sheet state="visible" name="LengthFreq" sheetId="20" r:id="rId23"/>
    <sheet state="visible" name="HighGrading" sheetId="21" r:id="rId24"/>
    <sheet state="visible" name="LegalID" sheetId="22" r:id="rId25"/>
    <sheet state="visible" name="LegalPattern" sheetId="23" r:id="rId26"/>
    <sheet state="visible" name="LegalList" sheetId="24" r:id="rId27"/>
    <sheet state="visible" name="Sheet1" sheetId="25" r:id="rId28"/>
    <sheet state="visible" name="Sheet2" sheetId="26" r:id="rId29"/>
  </sheets>
  <externalReferences>
    <externalReference r:id="rId30"/>
  </externalReferences>
  <definedNames/>
  <calcPr/>
  <extLst>
    <ext uri="GoogleSheetsCustomDataVersion2">
      <go:sheetsCustomData xmlns:go="http://customooxmlschemas.google.com/" r:id="rId31" roundtripDataChecksum="KcpXsse1E8q9YFqLnvH6Y4Xk/RL2UsAe6Hk0WhcJYAQ="/>
    </ext>
  </extLst>
</workbook>
</file>

<file path=xl/sharedStrings.xml><?xml version="1.0" encoding="utf-8"?>
<sst xmlns="http://schemas.openxmlformats.org/spreadsheetml/2006/main" count="532" uniqueCount="336">
  <si>
    <t>## not loaded: Put description in herer to inform people.</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</si>
  <si>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</si>
  <si>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</si>
  <si>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</si>
  <si>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</si>
  <si>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</si>
  <si>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</si>
  <si>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</si>
  <si>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</si>
  <si>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</si>
  <si>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</si>
  <si>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</si>
  <si>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</si>
  <si>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</si>
  <si>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</si>
  <si>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</si>
  <si>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max sex, if two sexes 1, if one sex 0</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</si>
  <si>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</si>
  <si>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</si>
  <si>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</si>
  <si>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</si>
  <si>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</si>
  <si>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</si>
  <si>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</si>
  <si>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</si>
  <si>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</si>
  <si>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</si>
  <si>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</si>
  <si>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All the same area have all same recruit size. Target/limit and thresholds are in proportions</t>
  </si>
  <si>
    <t>Name</t>
  </si>
  <si>
    <t>ManageZone</t>
  </si>
  <si>
    <t>AreaCode</t>
  </si>
  <si>
    <t>growthmat</t>
  </si>
  <si>
    <t>recruitarea</t>
  </si>
  <si>
    <t>burn_in</t>
  </si>
  <si>
    <t>biomass target</t>
  </si>
  <si>
    <t>biomass threshold</t>
  </si>
  <si>
    <t>biomass limit</t>
  </si>
  <si>
    <t>depth</t>
  </si>
  <si>
    <t>SouthCoast</t>
  </si>
  <si>
    <t>A</t>
  </si>
  <si>
    <t>## not loaded: Recruit refers to the timestep when recruitment should occur.  Only needed in the first record for that timestep.</t>
  </si>
  <si>
    <t>month</t>
  </si>
  <si>
    <t>hm</t>
  </si>
  <si>
    <t>tstep</t>
  </si>
  <si>
    <t>recruit</t>
  </si>
  <si>
    <t>## not loaded: Define weights to data types - globally (required) or individual: by fleet, timestep, sex (only list changes from 1). Set timestep to -1 for all.  Sex only used for length freq. For individ, type = cpue, numbers, length or larvae . Sex starts at 0.</t>
  </si>
  <si>
    <t>form</t>
  </si>
  <si>
    <t>type</t>
  </si>
  <si>
    <t>fleet</t>
  </si>
  <si>
    <t>sex</t>
  </si>
  <si>
    <t>id</t>
  </si>
  <si>
    <t>global</t>
  </si>
  <si>
    <t>cpue</t>
  </si>
  <si>
    <t>numbers</t>
  </si>
  <si>
    <t>length</t>
  </si>
  <si>
    <t>larvae</t>
  </si>
  <si>
    <t>tag1</t>
  </si>
  <si>
    <t>tag2</t>
  </si>
  <si>
    <t>initialN</t>
  </si>
  <si>
    <t>initialPen</t>
  </si>
  <si>
    <t>individual</t>
  </si>
  <si>
    <t>survey</t>
  </si>
  <si>
    <t>comm_monitor</t>
  </si>
  <si>
    <t>## not loaded: Link areas with fleets and a description of the fleet (area name _ fleet type)</t>
  </si>
  <si>
    <t>newarea</t>
  </si>
  <si>
    <t>group</t>
  </si>
  <si>
    <t>Is.Survey</t>
  </si>
  <si>
    <t>commonq</t>
  </si>
  <si>
    <t>effic.creep</t>
  </si>
  <si>
    <t>description</t>
  </si>
  <si>
    <t>comm</t>
  </si>
  <si>
    <t>com_catch</t>
  </si>
  <si>
    <t>com_measure</t>
  </si>
  <si>
    <t>rec</t>
  </si>
  <si>
    <t>## not loaded: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</si>
  <si>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</si>
  <si>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</si>
  <si>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</si>
  <si>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</si>
  <si>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</si>
  <si>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</si>
  <si>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</si>
  <si>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</si>
  <si>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</si>
  <si>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</si>
  <si>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</si>
  <si>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</si>
  <si>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</si>
  <si>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</si>
  <si>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</si>
  <si>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</si>
  <si>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</si>
  <si>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</si>
  <si>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</si>
  <si>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</si>
  <si>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</si>
  <si>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</si>
  <si>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</si>
  <si>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</si>
  <si>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</si>
  <si>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</si>
  <si>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not loaded: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</si>
  <si>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</si>
  <si>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</si>
  <si>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</si>
  <si>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</si>
  <si>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</si>
  <si>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</si>
  <si>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</si>
  <si>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</si>
  <si>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</si>
  <si>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</si>
  <si>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</si>
  <si>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</si>
  <si>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</si>
  <si>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</si>
  <si>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</si>
  <si>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</si>
  <si>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</si>
  <si>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</si>
  <si>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</si>
  <si>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</si>
  <si>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</si>
  <si>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</si>
  <si>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</si>
  <si>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not loaded: Setting up parameters for efficiency creep.  Number pars poduced is  nyears/temporal cover, with efficiency compounded year on year. Pointer need to match numbers in fleet tab</t>
  </si>
  <si>
    <t>pointer</t>
  </si>
  <si>
    <t>upper</t>
  </si>
  <si>
    <t>est</t>
  </si>
  <si>
    <t>Phase</t>
  </si>
  <si>
    <t>prior</t>
  </si>
  <si>
    <t>priorsd</t>
  </si>
  <si>
    <t>temporal.cover</t>
  </si>
  <si>
    <t>## not loaded: Any value &gt; 0 will apply a STM in that timestep. The STM will be compounded by the grow number to allow for monthly STMs to represent longer periods of growth, e.g. grow = 6 represents six months of growth. Season 999 applies to all seasons.  Put in a specific season and only this season will have that unique moulting schedule/growth.  All timesteps and areas not listed will default to no growth. Matrix define what matrix to use for that case (sex/area/tstep) as reported in next tab (sizetransmat)</t>
  </si>
  <si>
    <t>area</t>
  </si>
  <si>
    <t>grow</t>
  </si>
  <si>
    <t>matrix</t>
  </si>
  <si>
    <t>redone</t>
  </si>
  <si>
    <t>STM_s1_l1_ts1</t>
  </si>
  <si>
    <t>STM_s2_l1_ts1</t>
  </si>
  <si>
    <t>## not loaded: Add all size trans matrices below with a "#label" before each STM.  They should be sorted by sex and then growth area then timestep (Fem area1 ts 1, Fem area1 ts 2, Fem area2 ts1 , Mal area1 ts 1, ….).  Each STM should be a square of length-bin dimentions with columns summing to 1.</t>
  </si>
  <si>
    <t># Matrix # s1_l1_ts1</t>
  </si>
  <si>
    <t># Matrix # s2_l1_ts1</t>
  </si>
  <si>
    <t>## not loaded: Leave blank if there is not post-larval recruitment data. If there is Puerulus data delete everything from row 3 down (leave the headers).</t>
  </si>
  <si>
    <t>mn</t>
  </si>
  <si>
    <t>se</t>
  </si>
  <si>
    <t>cv</t>
  </si>
  <si>
    <t>## not loaded: Leave blanck in not post-larval data. Density dependent parameter (b) in relationship Rec = a*Puerulus^b.  Required for every area of the model.  If there is Puerulus data delete everything from row 3 down (leave the headers).</t>
  </si>
  <si>
    <t>area 1</t>
  </si>
  <si>
    <t>area 2</t>
  </si>
  <si>
    <t>area 3</t>
  </si>
  <si>
    <t>area 4</t>
  </si>
  <si>
    <t>area 5</t>
  </si>
  <si>
    <t>area 6</t>
  </si>
  <si>
    <t>area 7</t>
  </si>
  <si>
    <t>area 8</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</si>
  <si>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</si>
  <si>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</si>
  <si>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</si>
  <si>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</si>
  <si>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</si>
  <si>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</si>
  <si>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</si>
  <si>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</si>
  <si>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</si>
  <si>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</si>
  <si>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</si>
  <si>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</si>
  <si>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</si>
  <si>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</si>
  <si>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</si>
  <si>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</si>
  <si>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</si>
  <si>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</si>
  <si>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</si>
  <si>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</si>
  <si>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</si>
  <si>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</si>
  <si>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</si>
  <si>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</si>
  <si>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</si>
  <si>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</si>
  <si>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</si>
  <si>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</si>
  <si>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</si>
  <si>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</si>
  <si>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</si>
  <si>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</si>
  <si>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</si>
  <si>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</si>
  <si>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</si>
  <si>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</si>
  <si>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</si>
  <si>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</si>
  <si>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</si>
  <si>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</si>
  <si>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</si>
  <si>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</si>
  <si>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</si>
  <si>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</si>
  <si>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</si>
  <si>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</si>
  <si>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</si>
  <si>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</si>
  <si>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</si>
  <si>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</si>
  <si>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</si>
  <si>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</si>
  <si>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</si>
  <si>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 not loaded:  MaturityOgive = 1/(1+exp((lens-a)/b)) . Fecundity = a*Length^b. if male only (and no fecundity) set parameters to length weight and double breeding to be super large. One for each model area</t>
  </si>
  <si>
    <t>cat</t>
  </si>
  <si>
    <t>a</t>
  </si>
  <si>
    <t>b</t>
  </si>
  <si>
    <t>age</t>
  </si>
  <si>
    <t>mature</t>
  </si>
  <si>
    <t>dspawn</t>
  </si>
  <si>
    <t>fecundity</t>
  </si>
  <si>
    <t>## not loaded:  equation W = a*Length^b</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</si>
  <si>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</si>
  <si>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</si>
  <si>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</si>
  <si>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</si>
  <si>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</si>
  <si>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</si>
  <si>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Index starts at 0, fleet at 1, sex at 0 (combined sexes),1 (sex 1) or 2, timestep at 1. </t>
  </si>
  <si>
    <t>CpueInd</t>
  </si>
  <si>
    <t>Fleet</t>
  </si>
  <si>
    <t>Year</t>
  </si>
  <si>
    <t>Step</t>
  </si>
  <si>
    <t>Index</t>
  </si>
  <si>
    <t>CV</t>
  </si>
  <si>
    <t>## not loaded: numb refers to how many samples the data was derived from.  Fleet must match fleetcopde tab. Sex and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</si>
  <si>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</si>
  <si>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</si>
  <si>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</si>
  <si>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</si>
  <si>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</si>
  <si>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</si>
  <si>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</si>
  <si>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</si>
  <si>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</si>
  <si>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</si>
  <si>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</si>
  <si>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</si>
  <si>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</si>
  <si>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</si>
  <si>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</si>
  <si>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</si>
  <si>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</si>
  <si>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</si>
  <si>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</si>
  <si>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</si>
  <si>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</si>
  <si>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</si>
  <si>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</si>
  <si>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</si>
  <si>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</si>
  <si>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</si>
  <si>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</si>
  <si>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</si>
  <si>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</si>
  <si>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</si>
  <si>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</si>
  <si>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</si>
  <si>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</si>
  <si>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</si>
  <si>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</si>
  <si>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</si>
  <si>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</si>
  <si>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</si>
  <si>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</si>
  <si>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</si>
  <si>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</si>
  <si>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</si>
  <si>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</si>
  <si>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</si>
  <si>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 not loaded: Every combination of legal lobster based on sampling (i.e. what is and is not setose). Start year Sex Zone Tstep Depth Min Max Biological</t>
  </si>
  <si>
    <t>pos</t>
  </si>
  <si>
    <t>9999 F X X X 76 X none</t>
  </si>
  <si>
    <t>9999 M X X X 76 X none</t>
  </si>
  <si>
    <t>Survey</t>
  </si>
  <si>
    <t xml:space="preserve">## not loaded: Every combination of legal lobster based on sampling (i.e. what is and is not setose) and limited to Non white lobsters </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</si>
  <si>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</si>
  <si>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</si>
  <si>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</si>
  <si>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</si>
  <si>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</si>
  <si>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</si>
  <si>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</si>
  <si>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</si>
  <si>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</si>
  <si>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</si>
  <si>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</si>
  <si>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</si>
  <si>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</si>
  <si>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</si>
  <si>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</si>
  <si>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</si>
  <si>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</si>
  <si>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</si>
  <si>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</si>
  <si>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</si>
  <si>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</si>
  <si>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</si>
  <si>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</si>
  <si>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</si>
  <si>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</si>
  <si>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</si>
  <si>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</si>
  <si>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</si>
  <si>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</si>
  <si>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</si>
  <si>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</si>
  <si>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</si>
  <si>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</si>
  <si>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</si>
  <si>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</si>
  <si>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</si>
  <si>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</si>
  <si>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</si>
  <si>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</si>
  <si>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</si>
  <si>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</si>
  <si>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 not loaded: parameters for logistic curve to describe proportion of catch retained for landings. Used to assign to different years. Put sea (season) as xxxx if all years . Sex as X if combined.</t>
  </si>
  <si>
    <t>sea</t>
  </si>
  <si>
    <t>lowtp</t>
  </si>
  <si>
    <t>zone</t>
  </si>
  <si>
    <t>ts</t>
  </si>
  <si>
    <t>min</t>
  </si>
  <si>
    <t>max</t>
  </si>
  <si>
    <t>bio</t>
  </si>
  <si>
    <t>num</t>
  </si>
  <si>
    <t>XXXX</t>
  </si>
  <si>
    <t>X</t>
  </si>
  <si>
    <t>none</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</si>
</sst>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theme="1"/>
      <name val="Calibri"/>
      <scheme val="minor"/>
    </font>
    <font>
      <sz val="11.0"/>
      <color theme="1"/>
      <name val="Calibri"/>
    </font>
    <font/>
    <font>
      <color theme="1"/>
      <name val="Calibri"/>
      <scheme val="minor"/>
    </font>
  </fonts>
  <fills count="5">
    <fill>
      <patternFill patternType="none"/>
    </fill>
    <fill>
      <patternFill patternType="lightGray"/>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5">
    <border/>
    <border>
      <left/>
      <top/>
      <bottom/>
    </border>
    <border>
      <top/>
      <bottom/>
    </border>
    <border>
      <right/>
      <top/>
      <bottom/>
    </border>
    <border>
      <left/>
      <right/>
      <top/>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1" fillId="2" fontId="1" numFmtId="0" xfId="0" applyAlignment="1" applyBorder="1" applyFill="1" applyFont="1">
      <alignment shrinkToFit="0" wrapText="1"/>
    </xf>
    <xf borderId="2" fillId="0" fontId="2" numFmtId="0" xfId="0" applyBorder="1" applyFont="1"/>
    <xf borderId="3" fillId="0" fontId="2" numFmtId="0" xfId="0" applyBorder="1" applyFont="1"/>
    <xf borderId="0" fillId="0" fontId="3" numFmtId="0" xfId="0" applyFont="1"/>
    <xf borderId="0" fillId="0" fontId="1" numFmtId="0" xfId="0" applyFont="1"/>
    <xf borderId="0" fillId="0" fontId="1" numFmtId="0" xfId="0" applyAlignment="1" applyFont="1">
      <alignment horizontal="right"/>
    </xf>
    <xf borderId="1" fillId="2" fontId="1" numFmtId="0" xfId="0" applyAlignment="1" applyBorder="1" applyFont="1">
      <alignment readingOrder="0" shrinkToFit="0" wrapText="1"/>
    </xf>
    <xf borderId="4" fillId="3" fontId="1" numFmtId="0" xfId="0" applyBorder="1" applyFill="1" applyFont="1"/>
    <xf borderId="4" fillId="4" fontId="1" numFmtId="0" xfId="0" applyBorder="1" applyFill="1" applyFont="1"/>
    <xf borderId="0" fillId="0" fontId="1" numFmtId="11" xfId="0" applyFont="1" applyNumberFormat="1"/>
    <xf borderId="4" fillId="2" fontId="1" numFmtId="0" xfId="0" applyBorder="1" applyFont="1"/>
    <xf borderId="0" fillId="0" fontId="1"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externalLink" Target="externalLinks/externalLink1.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microsoft.com/office/2006/relationships/xlExternalLinkPath/xlPathMissing" Target="Book1"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Sheet1"/>
      <sheetName val="Sheet2"/>
      <sheetName val="Sheet3"/>
      <sheetName val="Sheet6"/>
      <sheetName val="Sheet7"/>
      <sheetName val="Sheet5"/>
      <sheetName val="Sheet4"/>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71"/>
    <col customWidth="1" min="2" max="26" width="11.43"/>
  </cols>
  <sheetData>
    <row r="1" ht="15.0" customHeight="1">
      <c r="A1" s="1" t="s">
        <v>0</v>
      </c>
      <c r="B1" s="2"/>
      <c r="C1" s="2"/>
      <c r="D1" s="2"/>
      <c r="E1" s="2"/>
      <c r="F1" s="2"/>
      <c r="G1" s="2"/>
      <c r="H1" s="2"/>
      <c r="I1" s="2"/>
      <c r="J1" s="2"/>
      <c r="K1" s="2"/>
      <c r="L1" s="2"/>
      <c r="M1" s="2"/>
      <c r="N1" s="2"/>
      <c r="O1" s="2"/>
      <c r="P1" s="2"/>
      <c r="Q1" s="2"/>
      <c r="R1" s="2"/>
      <c r="S1" s="2"/>
      <c r="T1" s="2"/>
      <c r="U1" s="3"/>
    </row>
    <row r="2">
      <c r="A2" s="4" t="s">
        <v>1</v>
      </c>
      <c r="B2" s="4" t="s">
        <v>2</v>
      </c>
      <c r="C2" s="4" t="s">
        <v>3</v>
      </c>
    </row>
    <row r="3">
      <c r="A3" s="4" t="s">
        <v>4</v>
      </c>
      <c r="B3" s="4">
        <v>1970.0</v>
      </c>
      <c r="C3" s="4" t="s">
        <v>5</v>
      </c>
    </row>
    <row r="4">
      <c r="A4" s="4" t="s">
        <v>6</v>
      </c>
      <c r="B4" s="4">
        <v>2024.0</v>
      </c>
    </row>
    <row r="5">
      <c r="A5" s="4" t="s">
        <v>7</v>
      </c>
      <c r="B5" s="4">
        <v>10.0</v>
      </c>
      <c r="C5" s="4" t="s">
        <v>8</v>
      </c>
    </row>
    <row r="6">
      <c r="A6" s="4" t="s">
        <v>9</v>
      </c>
      <c r="B6" s="4">
        <v>7000.0</v>
      </c>
      <c r="C6" s="4" t="s">
        <v>10</v>
      </c>
    </row>
    <row r="7">
      <c r="A7" s="4" t="s">
        <v>11</v>
      </c>
      <c r="B7" s="4">
        <v>1.0</v>
      </c>
      <c r="C7" s="4" t="s">
        <v>12</v>
      </c>
    </row>
    <row r="8">
      <c r="A8" s="4" t="s">
        <v>13</v>
      </c>
      <c r="B8" s="4">
        <v>1.0</v>
      </c>
      <c r="C8" s="4" t="s">
        <v>14</v>
      </c>
    </row>
    <row r="9">
      <c r="A9" s="4" t="s">
        <v>15</v>
      </c>
      <c r="B9" s="4">
        <v>1.0</v>
      </c>
      <c r="C9" s="4" t="s">
        <v>16</v>
      </c>
    </row>
    <row r="10">
      <c r="A10" s="4" t="s">
        <v>17</v>
      </c>
      <c r="B10" s="4">
        <v>51.0</v>
      </c>
      <c r="C10" s="4" t="s">
        <v>18</v>
      </c>
    </row>
    <row r="11">
      <c r="A11" s="4" t="s">
        <v>19</v>
      </c>
      <c r="B11" s="4">
        <v>131.0</v>
      </c>
      <c r="C11" s="4" t="s">
        <v>20</v>
      </c>
    </row>
    <row r="12">
      <c r="A12" s="4" t="s">
        <v>21</v>
      </c>
      <c r="B12" s="4">
        <v>2.0</v>
      </c>
      <c r="C12" s="4" t="s">
        <v>22</v>
      </c>
    </row>
    <row r="13">
      <c r="A13" s="4" t="s">
        <v>23</v>
      </c>
      <c r="B13" s="4">
        <v>2.0</v>
      </c>
    </row>
    <row r="14">
      <c r="A14" s="4" t="s">
        <v>24</v>
      </c>
      <c r="B14" s="4">
        <v>1.0</v>
      </c>
      <c r="C14" s="4" t="s">
        <v>25</v>
      </c>
    </row>
    <row r="15">
      <c r="A15" s="4" t="s">
        <v>26</v>
      </c>
      <c r="B15" s="4">
        <v>10.0</v>
      </c>
      <c r="C15" s="4" t="s">
        <v>27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9.57"/>
    <col customWidth="1" min="2" max="2" width="13.14"/>
    <col customWidth="1" min="3" max="26" width="11.43"/>
  </cols>
  <sheetData>
    <row r="1" ht="15.75" customHeight="1">
      <c r="A1" s="1" t="s">
        <v>28</v>
      </c>
      <c r="B1" s="2"/>
      <c r="C1" s="2"/>
      <c r="D1" s="2"/>
      <c r="E1" s="2"/>
      <c r="F1" s="2"/>
      <c r="G1" s="2"/>
      <c r="H1" s="2"/>
      <c r="I1" s="2"/>
      <c r="J1" s="2"/>
      <c r="K1" s="2"/>
      <c r="L1" s="2"/>
      <c r="M1" s="2"/>
      <c r="N1" s="2"/>
      <c r="O1" s="2"/>
      <c r="P1" s="3"/>
    </row>
    <row r="2">
      <c r="A2" s="4" t="s">
        <v>29</v>
      </c>
      <c r="B2" s="4" t="s">
        <v>30</v>
      </c>
      <c r="C2" s="4" t="s">
        <v>31</v>
      </c>
      <c r="D2" s="4" t="s">
        <v>32</v>
      </c>
      <c r="E2" s="4" t="s">
        <v>33</v>
      </c>
      <c r="F2" s="4" t="s">
        <v>34</v>
      </c>
      <c r="G2" s="4" t="s">
        <v>23</v>
      </c>
      <c r="H2" s="4" t="s">
        <v>35</v>
      </c>
      <c r="I2" s="4" t="s">
        <v>36</v>
      </c>
      <c r="J2" s="4" t="s">
        <v>37</v>
      </c>
      <c r="K2" s="4" t="s">
        <v>38</v>
      </c>
    </row>
    <row r="3">
      <c r="A3" s="4" t="s">
        <v>39</v>
      </c>
      <c r="B3" s="4" t="s">
        <v>40</v>
      </c>
      <c r="C3" s="4">
        <v>1.0</v>
      </c>
      <c r="D3" s="4">
        <v>1.0</v>
      </c>
      <c r="E3" s="4">
        <v>1.0</v>
      </c>
      <c r="F3" s="4">
        <v>3.0</v>
      </c>
      <c r="G3" s="4">
        <v>2.0</v>
      </c>
      <c r="H3" s="4">
        <v>0.42</v>
      </c>
      <c r="I3" s="4">
        <v>0.35</v>
      </c>
      <c r="J3" s="4">
        <v>0.2</v>
      </c>
      <c r="K3" s="4">
        <v>0.0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P1"/>
  </mergeCells>
  <printOptions/>
  <pageMargins bottom="0.75" footer="0.0" header="0.0" left="0.7" right="0.7" top="0.75"/>
  <pageSetup paperSize="9" orientation="portrait"/>
  <headerFooter>
    <oddHeader>&amp;CFF0000 OFFICIAL#_x000D_</oddHead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c r="A1" s="1" t="s">
        <v>41</v>
      </c>
      <c r="B1" s="2"/>
      <c r="C1" s="2"/>
      <c r="D1" s="2"/>
      <c r="E1" s="2"/>
      <c r="F1" s="2"/>
      <c r="G1" s="2"/>
      <c r="H1" s="2"/>
      <c r="I1" s="2"/>
      <c r="J1" s="2"/>
      <c r="K1" s="2"/>
      <c r="L1" s="2"/>
      <c r="M1" s="2"/>
      <c r="N1" s="2"/>
      <c r="O1" s="2"/>
      <c r="P1" s="2"/>
      <c r="Q1" s="2"/>
      <c r="R1" s="2"/>
      <c r="S1" s="2"/>
      <c r="T1" s="2"/>
      <c r="U1" s="3"/>
    </row>
    <row r="2">
      <c r="A2" s="4" t="s">
        <v>42</v>
      </c>
      <c r="B2" s="4" t="s">
        <v>43</v>
      </c>
      <c r="C2" s="4" t="s">
        <v>44</v>
      </c>
      <c r="D2" s="4" t="s">
        <v>45</v>
      </c>
    </row>
    <row r="3">
      <c r="A3" s="4">
        <v>1.0</v>
      </c>
      <c r="B3" s="4">
        <v>0.0</v>
      </c>
      <c r="C3" s="4">
        <v>1.0</v>
      </c>
      <c r="D3" s="4">
        <v>1.0</v>
      </c>
    </row>
    <row r="4">
      <c r="A4" s="4">
        <v>1.0</v>
      </c>
      <c r="B4" s="4">
        <v>1.0</v>
      </c>
      <c r="C4" s="4">
        <v>1.0</v>
      </c>
      <c r="D4" s="4">
        <v>0.0</v>
      </c>
    </row>
    <row r="5">
      <c r="A5" s="4">
        <v>2.0</v>
      </c>
      <c r="B5" s="4">
        <v>0.0</v>
      </c>
      <c r="C5" s="4">
        <v>1.0</v>
      </c>
      <c r="D5" s="4">
        <v>0.0</v>
      </c>
    </row>
    <row r="6">
      <c r="A6" s="4">
        <v>2.0</v>
      </c>
      <c r="B6" s="4">
        <v>1.0</v>
      </c>
      <c r="C6" s="4">
        <v>1.0</v>
      </c>
      <c r="D6" s="4">
        <v>0.0</v>
      </c>
    </row>
    <row r="7">
      <c r="A7" s="4">
        <v>3.0</v>
      </c>
      <c r="B7" s="4">
        <v>0.0</v>
      </c>
      <c r="C7" s="4">
        <v>1.0</v>
      </c>
      <c r="D7" s="4">
        <v>0.0</v>
      </c>
    </row>
    <row r="8">
      <c r="A8" s="4">
        <v>3.0</v>
      </c>
      <c r="B8" s="4">
        <v>1.0</v>
      </c>
      <c r="C8" s="4">
        <v>1.0</v>
      </c>
      <c r="D8" s="4">
        <v>0.0</v>
      </c>
    </row>
    <row r="9">
      <c r="A9" s="4">
        <v>4.0</v>
      </c>
      <c r="B9" s="4">
        <v>0.0</v>
      </c>
      <c r="C9" s="4">
        <v>1.0</v>
      </c>
      <c r="D9" s="4">
        <v>0.0</v>
      </c>
    </row>
    <row r="10">
      <c r="A10" s="4">
        <v>4.0</v>
      </c>
      <c r="B10" s="4">
        <v>1.0</v>
      </c>
      <c r="C10" s="4">
        <v>1.0</v>
      </c>
      <c r="D10" s="4">
        <v>0.0</v>
      </c>
    </row>
    <row r="11">
      <c r="A11" s="4">
        <v>5.0</v>
      </c>
      <c r="B11" s="4">
        <v>0.0</v>
      </c>
      <c r="C11" s="4">
        <v>1.0</v>
      </c>
      <c r="D11" s="4">
        <v>0.0</v>
      </c>
    </row>
    <row r="12">
      <c r="A12" s="4">
        <v>5.0</v>
      </c>
      <c r="B12" s="4">
        <v>1.0</v>
      </c>
      <c r="C12" s="4">
        <v>1.0</v>
      </c>
      <c r="D12" s="4">
        <v>0.0</v>
      </c>
    </row>
    <row r="13">
      <c r="A13" s="4">
        <v>6.0</v>
      </c>
      <c r="B13" s="4">
        <v>0.0</v>
      </c>
      <c r="C13" s="4">
        <v>1.0</v>
      </c>
      <c r="D13" s="4">
        <v>0.0</v>
      </c>
    </row>
    <row r="14">
      <c r="A14" s="4">
        <v>6.0</v>
      </c>
      <c r="B14" s="4">
        <v>1.0</v>
      </c>
      <c r="C14" s="4">
        <v>1.0</v>
      </c>
      <c r="D14" s="4">
        <v>0.0</v>
      </c>
    </row>
    <row r="15">
      <c r="A15" s="4">
        <v>7.0</v>
      </c>
      <c r="B15" s="4">
        <v>0.0</v>
      </c>
      <c r="C15" s="4">
        <v>1.0</v>
      </c>
      <c r="D15" s="4">
        <v>0.0</v>
      </c>
    </row>
    <row r="16">
      <c r="A16" s="4">
        <v>7.0</v>
      </c>
      <c r="B16" s="4">
        <v>1.0</v>
      </c>
      <c r="C16" s="4">
        <v>1.0</v>
      </c>
      <c r="D16" s="4">
        <v>0.0</v>
      </c>
    </row>
    <row r="17">
      <c r="A17" s="4">
        <v>8.0</v>
      </c>
      <c r="B17" s="4">
        <v>0.0</v>
      </c>
      <c r="C17" s="4">
        <v>1.0</v>
      </c>
      <c r="D17" s="4">
        <v>0.0</v>
      </c>
    </row>
    <row r="18">
      <c r="A18" s="4">
        <v>8.0</v>
      </c>
      <c r="B18" s="4">
        <v>1.0</v>
      </c>
      <c r="C18" s="4">
        <v>1.0</v>
      </c>
      <c r="D18" s="4">
        <v>0.0</v>
      </c>
    </row>
    <row r="19">
      <c r="A19" s="4">
        <v>9.0</v>
      </c>
      <c r="B19" s="4">
        <v>0.0</v>
      </c>
      <c r="C19" s="4">
        <v>1.0</v>
      </c>
      <c r="D19" s="4">
        <v>0.0</v>
      </c>
    </row>
    <row r="20">
      <c r="A20" s="4">
        <v>9.0</v>
      </c>
      <c r="B20" s="4">
        <v>1.0</v>
      </c>
      <c r="C20" s="4">
        <v>1.0</v>
      </c>
      <c r="D20" s="4">
        <v>0.0</v>
      </c>
    </row>
    <row r="21" ht="15.75" customHeight="1">
      <c r="A21" s="4">
        <v>10.0</v>
      </c>
      <c r="B21" s="4">
        <v>0.0</v>
      </c>
      <c r="C21" s="4">
        <v>1.0</v>
      </c>
      <c r="D21" s="4">
        <v>0.0</v>
      </c>
    </row>
    <row r="22" ht="15.75" customHeight="1">
      <c r="A22" s="4">
        <v>10.0</v>
      </c>
      <c r="B22" s="4">
        <v>1.0</v>
      </c>
      <c r="C22" s="4">
        <v>1.0</v>
      </c>
      <c r="D22" s="4">
        <v>0.0</v>
      </c>
    </row>
    <row r="23" ht="15.75" customHeight="1">
      <c r="A23" s="4">
        <v>11.0</v>
      </c>
      <c r="B23" s="4">
        <v>0.0</v>
      </c>
      <c r="C23" s="4">
        <v>1.0</v>
      </c>
      <c r="D23" s="4">
        <v>0.0</v>
      </c>
    </row>
    <row r="24" ht="15.75" customHeight="1">
      <c r="A24" s="4">
        <v>11.0</v>
      </c>
      <c r="B24" s="4">
        <v>1.0</v>
      </c>
      <c r="C24" s="4">
        <v>1.0</v>
      </c>
      <c r="D24" s="4">
        <v>0.0</v>
      </c>
    </row>
    <row r="25" ht="15.75" customHeight="1">
      <c r="A25" s="4">
        <v>12.0</v>
      </c>
      <c r="B25" s="4">
        <v>0.0</v>
      </c>
      <c r="C25" s="4">
        <v>1.0</v>
      </c>
      <c r="D25" s="4">
        <v>0.0</v>
      </c>
    </row>
    <row r="26" ht="15.75" customHeight="1">
      <c r="A26" s="4">
        <v>12.0</v>
      </c>
      <c r="B26" s="4">
        <v>1.0</v>
      </c>
      <c r="C26" s="4">
        <v>1.0</v>
      </c>
      <c r="D26" s="4">
        <v>0.0</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29"/>
    <col customWidth="1" min="2" max="20" width="11.43"/>
    <col customWidth="1" min="21" max="21" width="15.57"/>
    <col customWidth="1" min="22" max="26" width="11.43"/>
  </cols>
  <sheetData>
    <row r="1">
      <c r="A1" s="1" t="s">
        <v>46</v>
      </c>
      <c r="B1" s="2"/>
      <c r="C1" s="2"/>
      <c r="D1" s="2"/>
      <c r="E1" s="2"/>
      <c r="F1" s="2"/>
      <c r="G1" s="2"/>
      <c r="H1" s="2"/>
      <c r="I1" s="2"/>
      <c r="J1" s="2"/>
      <c r="K1" s="2"/>
      <c r="L1" s="2"/>
      <c r="M1" s="2"/>
      <c r="N1" s="2"/>
      <c r="O1" s="2"/>
      <c r="P1" s="2"/>
      <c r="Q1" s="2"/>
      <c r="R1" s="2"/>
      <c r="S1" s="2"/>
      <c r="T1" s="2"/>
      <c r="U1" s="3"/>
    </row>
    <row r="2">
      <c r="A2" s="4" t="s">
        <v>47</v>
      </c>
      <c r="B2" s="4" t="s">
        <v>48</v>
      </c>
      <c r="C2" s="4" t="s">
        <v>2</v>
      </c>
      <c r="D2" s="4" t="s">
        <v>49</v>
      </c>
      <c r="E2" s="4" t="s">
        <v>44</v>
      </c>
      <c r="F2" s="4" t="s">
        <v>50</v>
      </c>
      <c r="G2" s="4" t="s">
        <v>51</v>
      </c>
    </row>
    <row r="3">
      <c r="A3" s="4" t="s">
        <v>52</v>
      </c>
      <c r="B3" s="4" t="s">
        <v>53</v>
      </c>
      <c r="C3" s="4">
        <v>1.0</v>
      </c>
    </row>
    <row r="4">
      <c r="A4" s="4" t="s">
        <v>52</v>
      </c>
      <c r="B4" s="4" t="s">
        <v>54</v>
      </c>
      <c r="C4" s="4">
        <v>1.0</v>
      </c>
    </row>
    <row r="5">
      <c r="A5" s="4" t="s">
        <v>52</v>
      </c>
      <c r="B5" s="4" t="s">
        <v>55</v>
      </c>
      <c r="C5" s="4">
        <v>0.25</v>
      </c>
    </row>
    <row r="6">
      <c r="A6" s="4" t="s">
        <v>52</v>
      </c>
      <c r="B6" s="4" t="s">
        <v>56</v>
      </c>
      <c r="C6" s="4">
        <v>1.0</v>
      </c>
    </row>
    <row r="7">
      <c r="A7" s="4" t="s">
        <v>52</v>
      </c>
      <c r="B7" s="5" t="s">
        <v>57</v>
      </c>
      <c r="C7" s="5">
        <v>0.0</v>
      </c>
      <c r="D7" s="5"/>
      <c r="E7" s="5"/>
      <c r="F7" s="5"/>
      <c r="G7" s="5"/>
      <c r="H7" s="5"/>
      <c r="I7" s="5"/>
    </row>
    <row r="8">
      <c r="A8" s="4" t="s">
        <v>52</v>
      </c>
      <c r="B8" s="5" t="s">
        <v>58</v>
      </c>
      <c r="C8" s="5">
        <v>0.0</v>
      </c>
      <c r="D8" s="5"/>
      <c r="E8" s="5"/>
      <c r="F8" s="5"/>
      <c r="G8" s="5"/>
      <c r="H8" s="5"/>
      <c r="I8" s="5"/>
    </row>
    <row r="9">
      <c r="A9" s="4" t="s">
        <v>52</v>
      </c>
      <c r="B9" s="5" t="s">
        <v>59</v>
      </c>
      <c r="C9" s="5">
        <v>0.0</v>
      </c>
      <c r="D9" s="5"/>
      <c r="E9" s="5"/>
      <c r="F9" s="5"/>
      <c r="G9" s="5"/>
      <c r="H9" s="5"/>
      <c r="I9" s="5"/>
    </row>
    <row r="10">
      <c r="A10" s="4" t="s">
        <v>52</v>
      </c>
      <c r="B10" s="5" t="s">
        <v>60</v>
      </c>
      <c r="C10" s="5">
        <v>0.0</v>
      </c>
      <c r="D10" s="5"/>
      <c r="E10" s="5"/>
      <c r="F10" s="5"/>
      <c r="G10" s="5"/>
      <c r="H10" s="5"/>
      <c r="I10" s="5"/>
    </row>
    <row r="11">
      <c r="A11" s="4" t="s">
        <v>61</v>
      </c>
      <c r="B11" s="4" t="s">
        <v>53</v>
      </c>
      <c r="C11" s="4">
        <v>5.0</v>
      </c>
      <c r="D11" s="4">
        <v>4.0</v>
      </c>
      <c r="E11" s="4">
        <v>-1.0</v>
      </c>
      <c r="F11" s="4">
        <v>-1.0</v>
      </c>
      <c r="G11" s="4" t="s">
        <v>62</v>
      </c>
    </row>
    <row r="12">
      <c r="A12" s="4" t="s">
        <v>61</v>
      </c>
      <c r="B12" s="4" t="s">
        <v>55</v>
      </c>
      <c r="C12" s="4">
        <v>1.0</v>
      </c>
      <c r="D12" s="5">
        <v>2.0</v>
      </c>
      <c r="E12" s="4">
        <v>-1.0</v>
      </c>
      <c r="F12" s="4">
        <v>0.0</v>
      </c>
      <c r="G12" s="4" t="s">
        <v>63</v>
      </c>
    </row>
    <row r="13">
      <c r="A13" s="4" t="s">
        <v>61</v>
      </c>
      <c r="B13" s="4" t="s">
        <v>55</v>
      </c>
      <c r="C13" s="4">
        <v>1.0</v>
      </c>
      <c r="D13" s="5">
        <v>2.0</v>
      </c>
      <c r="E13" s="4">
        <v>-1.0</v>
      </c>
      <c r="F13" s="4">
        <v>1.0</v>
      </c>
      <c r="G13" s="4" t="s">
        <v>63</v>
      </c>
    </row>
    <row r="14">
      <c r="A14" s="4" t="s">
        <v>61</v>
      </c>
      <c r="B14" s="4" t="s">
        <v>55</v>
      </c>
      <c r="C14" s="4">
        <v>1.0</v>
      </c>
      <c r="D14" s="5">
        <v>4.0</v>
      </c>
      <c r="E14" s="4">
        <v>-1.0</v>
      </c>
      <c r="F14" s="4">
        <v>0.0</v>
      </c>
      <c r="G14" s="5" t="s">
        <v>62</v>
      </c>
    </row>
    <row r="15">
      <c r="A15" s="4" t="s">
        <v>61</v>
      </c>
      <c r="B15" s="4" t="s">
        <v>55</v>
      </c>
      <c r="C15" s="4">
        <v>1.0</v>
      </c>
      <c r="D15" s="5">
        <v>4.0</v>
      </c>
      <c r="E15" s="4">
        <v>-1.0</v>
      </c>
      <c r="F15" s="4">
        <v>1.0</v>
      </c>
      <c r="G15" s="5" t="s">
        <v>62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43"/>
    <col customWidth="1" min="2" max="2" width="15.14"/>
    <col customWidth="1" min="3" max="3" width="14.71"/>
    <col customWidth="1" min="4" max="6" width="11.43"/>
    <col customWidth="1" min="7" max="7" width="19.14"/>
    <col customWidth="1" min="8" max="26" width="11.43"/>
  </cols>
  <sheetData>
    <row r="1" ht="15.0" customHeight="1">
      <c r="A1" s="1" t="s">
        <v>64</v>
      </c>
      <c r="B1" s="2"/>
      <c r="C1" s="2"/>
      <c r="D1" s="2"/>
      <c r="E1" s="2"/>
      <c r="F1" s="2"/>
      <c r="G1" s="2"/>
      <c r="H1" s="2"/>
      <c r="I1" s="2"/>
      <c r="J1" s="2"/>
      <c r="K1" s="2"/>
      <c r="L1" s="2"/>
      <c r="M1" s="2"/>
      <c r="N1" s="2"/>
      <c r="O1" s="2"/>
      <c r="P1" s="2"/>
      <c r="Q1" s="2"/>
      <c r="R1" s="2"/>
      <c r="S1" s="2"/>
      <c r="T1" s="2"/>
      <c r="U1" s="3"/>
    </row>
    <row r="2">
      <c r="A2" s="4" t="s">
        <v>65</v>
      </c>
      <c r="B2" s="4" t="s">
        <v>49</v>
      </c>
      <c r="C2" s="4" t="s">
        <v>66</v>
      </c>
      <c r="D2" s="4" t="s">
        <v>67</v>
      </c>
      <c r="E2" s="4" t="s">
        <v>68</v>
      </c>
      <c r="F2" s="4" t="s">
        <v>69</v>
      </c>
      <c r="G2" s="4" t="s">
        <v>70</v>
      </c>
    </row>
    <row r="3">
      <c r="A3" s="4">
        <v>1.0</v>
      </c>
      <c r="B3" s="4">
        <v>1.0</v>
      </c>
      <c r="C3" s="4" t="s">
        <v>71</v>
      </c>
      <c r="D3" s="4">
        <v>0.0</v>
      </c>
      <c r="E3" s="4">
        <v>1.0</v>
      </c>
      <c r="F3" s="4">
        <v>1.0</v>
      </c>
      <c r="G3" s="4" t="s">
        <v>72</v>
      </c>
    </row>
    <row r="4">
      <c r="A4" s="5">
        <v>1.0</v>
      </c>
      <c r="B4" s="4">
        <v>2.0</v>
      </c>
      <c r="C4" s="5" t="s">
        <v>63</v>
      </c>
      <c r="D4" s="5">
        <v>1.0</v>
      </c>
      <c r="E4" s="5">
        <v>1.0</v>
      </c>
      <c r="F4" s="5">
        <v>1.0</v>
      </c>
      <c r="G4" s="4" t="s">
        <v>73</v>
      </c>
    </row>
    <row r="5">
      <c r="A5" s="4">
        <v>1.0</v>
      </c>
      <c r="B5" s="4">
        <v>3.0</v>
      </c>
      <c r="C5" s="4" t="s">
        <v>74</v>
      </c>
      <c r="D5" s="4">
        <v>0.0</v>
      </c>
      <c r="E5" s="4">
        <v>2.0</v>
      </c>
      <c r="F5" s="4">
        <v>1.0</v>
      </c>
      <c r="G5" s="4" t="s">
        <v>74</v>
      </c>
    </row>
    <row r="6">
      <c r="A6" s="4">
        <v>1.0</v>
      </c>
      <c r="B6" s="4">
        <v>4.0</v>
      </c>
      <c r="C6" s="4" t="s">
        <v>62</v>
      </c>
      <c r="D6" s="4">
        <v>1.0</v>
      </c>
      <c r="E6" s="4">
        <v>3.0</v>
      </c>
      <c r="F6" s="4">
        <v>0.0</v>
      </c>
      <c r="G6" s="4" t="s">
        <v>62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71"/>
    <col customWidth="1" min="2" max="10" width="11.43"/>
    <col customWidth="1" min="11" max="11" width="18.71"/>
    <col customWidth="1" min="12" max="26" width="11.43"/>
  </cols>
  <sheetData>
    <row r="1" ht="15.0" customHeight="1">
      <c r="A1" s="1" t="s">
        <v>75</v>
      </c>
      <c r="B1" s="2"/>
      <c r="C1" s="2"/>
      <c r="D1" s="2"/>
      <c r="E1" s="2"/>
      <c r="F1" s="2"/>
      <c r="G1" s="2"/>
      <c r="H1" s="2"/>
      <c r="I1" s="2"/>
      <c r="J1" s="2"/>
      <c r="K1" s="2"/>
      <c r="L1" s="2"/>
      <c r="M1" s="2"/>
      <c r="N1" s="2"/>
      <c r="O1" s="2"/>
      <c r="P1" s="2"/>
      <c r="Q1" s="2"/>
      <c r="R1" s="2"/>
      <c r="S1" s="2"/>
      <c r="T1" s="2"/>
      <c r="U1" s="3"/>
    </row>
    <row r="2">
      <c r="A2" s="4" t="s">
        <v>76</v>
      </c>
      <c r="B2" s="4" t="s">
        <v>77</v>
      </c>
      <c r="C2" s="4" t="s">
        <v>78</v>
      </c>
      <c r="D2" s="4" t="s">
        <v>79</v>
      </c>
      <c r="E2" s="4" t="s">
        <v>80</v>
      </c>
      <c r="F2" s="4" t="s">
        <v>81</v>
      </c>
      <c r="G2" s="4" t="s">
        <v>82</v>
      </c>
      <c r="H2" s="4" t="s">
        <v>83</v>
      </c>
      <c r="I2" s="4" t="s">
        <v>84</v>
      </c>
      <c r="J2" s="4" t="s">
        <v>85</v>
      </c>
      <c r="K2" s="4" t="s">
        <v>86</v>
      </c>
    </row>
    <row r="3">
      <c r="A3" s="4" t="s">
        <v>87</v>
      </c>
      <c r="B3" s="4">
        <v>1.0</v>
      </c>
      <c r="C3" s="4">
        <v>25.0</v>
      </c>
      <c r="D3" s="4">
        <v>10.5</v>
      </c>
      <c r="E3" s="4">
        <v>1.0</v>
      </c>
      <c r="F3" s="4">
        <v>0.0</v>
      </c>
      <c r="G3" s="4">
        <v>0.0</v>
      </c>
      <c r="H3" s="4">
        <v>7.5</v>
      </c>
      <c r="I3" s="4">
        <v>0.1</v>
      </c>
      <c r="J3" s="4" t="s">
        <v>88</v>
      </c>
      <c r="K3" s="4" t="s">
        <v>89</v>
      </c>
    </row>
    <row r="4">
      <c r="A4" s="4" t="s">
        <v>90</v>
      </c>
      <c r="B4" s="4">
        <v>0.05</v>
      </c>
      <c r="C4" s="4">
        <v>0.2</v>
      </c>
      <c r="D4" s="4">
        <v>0.08</v>
      </c>
      <c r="E4" s="4">
        <v>-1.0</v>
      </c>
      <c r="F4" s="4">
        <v>0.0</v>
      </c>
      <c r="G4" s="4">
        <v>0.0</v>
      </c>
      <c r="H4" s="4">
        <v>0.13</v>
      </c>
      <c r="I4" s="4">
        <v>0.01</v>
      </c>
      <c r="J4" s="4" t="s">
        <v>88</v>
      </c>
      <c r="K4" s="4" t="s">
        <v>91</v>
      </c>
    </row>
    <row r="5">
      <c r="A5" s="4" t="s">
        <v>90</v>
      </c>
      <c r="B5" s="4">
        <v>0.0</v>
      </c>
      <c r="C5" s="4">
        <v>10.0</v>
      </c>
      <c r="D5" s="4">
        <v>1.0</v>
      </c>
      <c r="E5" s="4">
        <v>-1.0</v>
      </c>
      <c r="F5" s="4">
        <v>0.0</v>
      </c>
      <c r="G5" s="4">
        <v>0.0</v>
      </c>
      <c r="H5" s="4">
        <v>0.1</v>
      </c>
      <c r="I5" s="4">
        <v>0.01</v>
      </c>
      <c r="J5" s="4" t="s">
        <v>88</v>
      </c>
      <c r="K5" s="4" t="s">
        <v>92</v>
      </c>
    </row>
    <row r="6">
      <c r="A6" s="4" t="s">
        <v>90</v>
      </c>
      <c r="B6" s="4">
        <v>1.0</v>
      </c>
      <c r="C6" s="4">
        <v>5.0</v>
      </c>
      <c r="D6" s="4">
        <v>3.0</v>
      </c>
      <c r="E6" s="4">
        <v>-1.0</v>
      </c>
      <c r="F6" s="4">
        <v>0.0</v>
      </c>
      <c r="G6" s="4">
        <v>0.0</v>
      </c>
      <c r="H6" s="4">
        <v>0.1</v>
      </c>
      <c r="I6" s="4">
        <v>0.01</v>
      </c>
      <c r="J6" s="4" t="s">
        <v>88</v>
      </c>
      <c r="K6" s="4" t="s">
        <v>93</v>
      </c>
    </row>
    <row r="7">
      <c r="A7" s="4" t="s">
        <v>94</v>
      </c>
      <c r="B7" s="4">
        <v>0.0</v>
      </c>
      <c r="C7" s="4">
        <v>1.0</v>
      </c>
      <c r="D7" s="4">
        <v>1.0</v>
      </c>
      <c r="E7" s="4">
        <v>-2.0</v>
      </c>
      <c r="F7" s="4">
        <v>0.0</v>
      </c>
      <c r="G7" s="4">
        <v>0.0</v>
      </c>
      <c r="H7" s="4">
        <v>0.1</v>
      </c>
      <c r="I7" s="4">
        <v>0.01</v>
      </c>
      <c r="J7" s="4" t="s">
        <v>88</v>
      </c>
      <c r="K7" s="4" t="s">
        <v>95</v>
      </c>
    </row>
    <row r="8">
      <c r="A8" s="4" t="s">
        <v>96</v>
      </c>
      <c r="B8" s="4">
        <v>0.001</v>
      </c>
      <c r="C8" s="4">
        <v>1.0</v>
      </c>
      <c r="D8" s="4">
        <v>0.5</v>
      </c>
      <c r="E8" s="4">
        <v>-1.0</v>
      </c>
      <c r="F8" s="4">
        <v>0.0</v>
      </c>
      <c r="G8" s="4">
        <v>0.0</v>
      </c>
      <c r="H8" s="4">
        <v>0.1</v>
      </c>
      <c r="I8" s="4">
        <v>0.01</v>
      </c>
      <c r="J8" s="4" t="s">
        <v>88</v>
      </c>
      <c r="K8" s="4" t="s">
        <v>97</v>
      </c>
    </row>
    <row r="9">
      <c r="A9" s="4" t="s">
        <v>98</v>
      </c>
      <c r="B9" s="4">
        <v>10.0</v>
      </c>
      <c r="C9" s="4">
        <v>25.0</v>
      </c>
      <c r="D9" s="4">
        <v>15.0</v>
      </c>
      <c r="E9" s="4">
        <v>-1.0</v>
      </c>
      <c r="F9" s="4">
        <v>0.0</v>
      </c>
      <c r="G9" s="4">
        <v>0.0</v>
      </c>
      <c r="H9" s="4">
        <v>0.1</v>
      </c>
      <c r="I9" s="4">
        <v>0.01</v>
      </c>
      <c r="J9" s="4" t="s">
        <v>88</v>
      </c>
      <c r="K9" s="4" t="s">
        <v>99</v>
      </c>
    </row>
    <row r="10">
      <c r="A10" s="4" t="s">
        <v>100</v>
      </c>
      <c r="B10" s="4">
        <v>-6.0</v>
      </c>
      <c r="C10" s="4">
        <v>1.0</v>
      </c>
      <c r="D10" s="4">
        <v>-0.2</v>
      </c>
      <c r="E10" s="4">
        <v>-1.0</v>
      </c>
      <c r="F10" s="4">
        <v>0.0</v>
      </c>
      <c r="G10" s="4">
        <v>0.0</v>
      </c>
      <c r="H10" s="4">
        <v>0.1</v>
      </c>
      <c r="I10" s="4">
        <v>0.01</v>
      </c>
      <c r="J10" s="4" t="s">
        <v>88</v>
      </c>
      <c r="K10" s="4" t="s">
        <v>101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7" width="11.43"/>
    <col customWidth="1" min="8" max="11" width="13.71"/>
    <col customWidth="1" min="12" max="12" width="23.29"/>
    <col customWidth="1" min="13" max="13" width="25.14"/>
    <col customWidth="1" min="14" max="14" width="11.43"/>
    <col customWidth="1" min="15" max="32" width="8.0"/>
    <col customWidth="1" min="33" max="38" width="11.43"/>
  </cols>
  <sheetData>
    <row r="1" ht="34.5" customHeight="1">
      <c r="A1" s="1" t="s">
        <v>102</v>
      </c>
      <c r="B1" s="2"/>
      <c r="C1" s="2"/>
      <c r="D1" s="2"/>
      <c r="E1" s="2"/>
      <c r="F1" s="2"/>
      <c r="G1" s="2"/>
      <c r="H1" s="2"/>
      <c r="I1" s="2"/>
      <c r="J1" s="2"/>
      <c r="K1" s="2"/>
      <c r="L1" s="2"/>
      <c r="M1" s="2"/>
      <c r="N1" s="2"/>
      <c r="O1" s="2"/>
      <c r="P1" s="2"/>
      <c r="Q1" s="2"/>
      <c r="R1" s="2"/>
      <c r="S1" s="2"/>
      <c r="T1" s="2"/>
      <c r="U1" s="2"/>
      <c r="V1" s="2"/>
      <c r="W1" s="3"/>
    </row>
    <row r="2">
      <c r="A2" s="4" t="s">
        <v>103</v>
      </c>
      <c r="B2" s="4" t="s">
        <v>50</v>
      </c>
      <c r="C2" s="4" t="s">
        <v>51</v>
      </c>
      <c r="D2" s="4" t="s">
        <v>104</v>
      </c>
      <c r="E2" s="4" t="s">
        <v>105</v>
      </c>
      <c r="F2" s="4" t="s">
        <v>106</v>
      </c>
      <c r="G2" s="4" t="s">
        <v>107</v>
      </c>
      <c r="H2" s="4" t="s">
        <v>108</v>
      </c>
      <c r="I2" s="4" t="s">
        <v>82</v>
      </c>
      <c r="J2" s="4" t="s">
        <v>83</v>
      </c>
      <c r="K2" s="4" t="s">
        <v>84</v>
      </c>
      <c r="L2" s="4" t="s">
        <v>47</v>
      </c>
      <c r="M2" s="4" t="s">
        <v>86</v>
      </c>
      <c r="N2" s="4" t="s">
        <v>109</v>
      </c>
      <c r="O2" s="4" t="s">
        <v>110</v>
      </c>
      <c r="P2" s="4" t="s">
        <v>111</v>
      </c>
      <c r="Q2" s="4" t="s">
        <v>112</v>
      </c>
      <c r="R2" s="4" t="s">
        <v>113</v>
      </c>
      <c r="AG2" s="5"/>
      <c r="AH2" s="5"/>
      <c r="AI2" s="5"/>
      <c r="AJ2" s="5"/>
      <c r="AK2" s="5"/>
      <c r="AL2" s="5"/>
    </row>
    <row r="3">
      <c r="A3" s="4">
        <v>0.0</v>
      </c>
      <c r="B3" s="4" t="s">
        <v>114</v>
      </c>
      <c r="C3" s="4" t="s">
        <v>115</v>
      </c>
      <c r="D3" s="4">
        <v>50.0</v>
      </c>
      <c r="E3" s="4">
        <v>80.0</v>
      </c>
      <c r="F3" s="4">
        <v>65.0</v>
      </c>
      <c r="G3" s="4">
        <v>5.0</v>
      </c>
      <c r="H3" s="4">
        <v>0.0</v>
      </c>
      <c r="I3" s="4">
        <v>0.0</v>
      </c>
      <c r="J3" s="4">
        <v>65.0</v>
      </c>
      <c r="K3" s="4">
        <f t="shared" ref="K3:K5" si="1">J3*0.05</f>
        <v>3.25</v>
      </c>
      <c r="L3" s="4" t="s">
        <v>116</v>
      </c>
      <c r="M3" s="4" t="s">
        <v>117</v>
      </c>
      <c r="N3" s="4">
        <v>1970.0</v>
      </c>
      <c r="O3" s="4">
        <v>1.0</v>
      </c>
      <c r="P3" s="4">
        <v>1.0</v>
      </c>
      <c r="Q3" s="4">
        <v>1.0</v>
      </c>
      <c r="R3" s="4">
        <v>0.0</v>
      </c>
      <c r="AG3" s="5"/>
      <c r="AH3" s="5"/>
      <c r="AI3" s="5"/>
      <c r="AJ3" s="5"/>
      <c r="AK3" s="5"/>
      <c r="AL3" s="5"/>
    </row>
    <row r="4">
      <c r="A4" s="4">
        <v>0.0</v>
      </c>
      <c r="B4" s="4" t="s">
        <v>114</v>
      </c>
      <c r="C4" s="4" t="s">
        <v>118</v>
      </c>
      <c r="D4" s="4">
        <v>0.01</v>
      </c>
      <c r="E4" s="4">
        <v>2.0</v>
      </c>
      <c r="F4" s="4">
        <v>1.5</v>
      </c>
      <c r="G4" s="4">
        <v>5.0</v>
      </c>
      <c r="H4" s="4">
        <v>0.0</v>
      </c>
      <c r="I4" s="4">
        <v>0.0</v>
      </c>
      <c r="J4" s="4">
        <v>1.5</v>
      </c>
      <c r="K4" s="4">
        <f t="shared" si="1"/>
        <v>0.075</v>
      </c>
      <c r="L4" s="4" t="s">
        <v>116</v>
      </c>
      <c r="M4" s="4" t="s">
        <v>117</v>
      </c>
      <c r="N4" s="4">
        <v>1971.0</v>
      </c>
      <c r="O4" s="4">
        <v>1.0</v>
      </c>
      <c r="P4" s="4">
        <v>1.0</v>
      </c>
      <c r="Q4" s="4">
        <v>1.0</v>
      </c>
      <c r="R4" s="4">
        <v>0.0</v>
      </c>
      <c r="AG4" s="5"/>
      <c r="AH4" s="5"/>
      <c r="AI4" s="5"/>
      <c r="AJ4" s="5"/>
      <c r="AK4" s="5"/>
      <c r="AL4" s="5"/>
    </row>
    <row r="5">
      <c r="A5" s="4">
        <v>0.0</v>
      </c>
      <c r="B5" s="4" t="s">
        <v>114</v>
      </c>
      <c r="C5" s="4" t="s">
        <v>119</v>
      </c>
      <c r="D5" s="4">
        <v>75.0</v>
      </c>
      <c r="E5" s="4">
        <v>150.0</v>
      </c>
      <c r="F5" s="4">
        <v>149.0</v>
      </c>
      <c r="G5" s="4">
        <v>5.0</v>
      </c>
      <c r="H5" s="4">
        <v>0.0</v>
      </c>
      <c r="I5" s="4">
        <v>0.0</v>
      </c>
      <c r="J5" s="4">
        <v>120.0</v>
      </c>
      <c r="K5" s="4">
        <f t="shared" si="1"/>
        <v>6</v>
      </c>
      <c r="L5" s="4" t="s">
        <v>116</v>
      </c>
      <c r="M5" s="4" t="s">
        <v>117</v>
      </c>
      <c r="N5" s="4">
        <v>1972.0</v>
      </c>
      <c r="O5" s="4">
        <v>1.0</v>
      </c>
      <c r="P5" s="4">
        <v>1.0</v>
      </c>
      <c r="Q5" s="4">
        <v>1.0</v>
      </c>
      <c r="R5" s="4">
        <v>0.0</v>
      </c>
      <c r="AG5" s="5"/>
      <c r="AH5" s="5"/>
      <c r="AI5" s="5"/>
      <c r="AJ5" s="5"/>
      <c r="AK5" s="5"/>
      <c r="AL5" s="5"/>
    </row>
    <row r="6">
      <c r="A6" s="4">
        <v>0.0</v>
      </c>
      <c r="B6" s="4" t="s">
        <v>114</v>
      </c>
      <c r="C6" s="4" t="s">
        <v>120</v>
      </c>
      <c r="D6" s="4">
        <v>-10.0</v>
      </c>
      <c r="E6" s="4">
        <v>0.0</v>
      </c>
      <c r="F6" s="4">
        <v>-5.0</v>
      </c>
      <c r="G6" s="4">
        <v>5.0</v>
      </c>
      <c r="H6" s="4">
        <v>0.0</v>
      </c>
      <c r="I6" s="4">
        <v>0.0</v>
      </c>
      <c r="J6" s="4">
        <v>-0.1</v>
      </c>
      <c r="K6" s="4">
        <v>0.001</v>
      </c>
      <c r="L6" s="4" t="s">
        <v>116</v>
      </c>
      <c r="M6" s="4" t="s">
        <v>117</v>
      </c>
      <c r="N6" s="4">
        <v>1973.0</v>
      </c>
      <c r="O6" s="4">
        <v>1.0</v>
      </c>
      <c r="P6" s="4">
        <v>1.0</v>
      </c>
      <c r="Q6" s="4">
        <v>1.0</v>
      </c>
      <c r="R6" s="4">
        <v>0.0</v>
      </c>
      <c r="AG6" s="5"/>
      <c r="AH6" s="5"/>
      <c r="AI6" s="5"/>
      <c r="AJ6" s="5"/>
      <c r="AK6" s="5"/>
      <c r="AL6" s="5"/>
    </row>
    <row r="7">
      <c r="A7" s="4">
        <v>0.0</v>
      </c>
      <c r="B7" s="4" t="s">
        <v>90</v>
      </c>
      <c r="C7" s="4" t="s">
        <v>115</v>
      </c>
      <c r="D7" s="4">
        <v>50.0</v>
      </c>
      <c r="E7" s="4">
        <v>80.0</v>
      </c>
      <c r="F7" s="4">
        <v>65.0</v>
      </c>
      <c r="G7" s="4">
        <v>5.0</v>
      </c>
      <c r="H7" s="4">
        <v>0.0</v>
      </c>
      <c r="I7" s="4">
        <v>0.0</v>
      </c>
      <c r="J7" s="4">
        <v>65.0</v>
      </c>
      <c r="K7" s="4">
        <f t="shared" ref="K7:K9" si="2">J7*0.05</f>
        <v>3.25</v>
      </c>
      <c r="L7" s="4" t="s">
        <v>116</v>
      </c>
      <c r="M7" s="4" t="s">
        <v>121</v>
      </c>
      <c r="N7" s="4">
        <v>1974.0</v>
      </c>
      <c r="O7" s="4">
        <v>1.0</v>
      </c>
      <c r="P7" s="4">
        <v>1.0</v>
      </c>
      <c r="Q7" s="4">
        <v>1.0</v>
      </c>
      <c r="R7" s="4">
        <v>0.0</v>
      </c>
      <c r="AG7" s="5"/>
      <c r="AH7" s="5"/>
      <c r="AI7" s="5"/>
      <c r="AJ7" s="5"/>
      <c r="AK7" s="5"/>
      <c r="AL7" s="5"/>
    </row>
    <row r="8">
      <c r="A8" s="4">
        <v>0.0</v>
      </c>
      <c r="B8" s="4" t="s">
        <v>90</v>
      </c>
      <c r="C8" s="4" t="s">
        <v>118</v>
      </c>
      <c r="D8" s="4">
        <v>0.01</v>
      </c>
      <c r="E8" s="4">
        <v>2.0</v>
      </c>
      <c r="F8" s="4">
        <v>1.5</v>
      </c>
      <c r="G8" s="4">
        <v>5.0</v>
      </c>
      <c r="H8" s="4">
        <v>0.0</v>
      </c>
      <c r="I8" s="4">
        <v>0.0</v>
      </c>
      <c r="J8" s="4">
        <v>1.5</v>
      </c>
      <c r="K8" s="4">
        <f t="shared" si="2"/>
        <v>0.075</v>
      </c>
      <c r="L8" s="4" t="s">
        <v>116</v>
      </c>
      <c r="M8" s="4" t="s">
        <v>121</v>
      </c>
      <c r="N8" s="4">
        <v>1975.0</v>
      </c>
      <c r="O8" s="4">
        <v>1.0</v>
      </c>
      <c r="P8" s="4">
        <v>1.0</v>
      </c>
      <c r="Q8" s="4">
        <v>1.0</v>
      </c>
      <c r="R8" s="4">
        <v>0.0</v>
      </c>
      <c r="AG8" s="5"/>
      <c r="AH8" s="5"/>
      <c r="AI8" s="5"/>
      <c r="AJ8" s="5"/>
      <c r="AK8" s="5"/>
      <c r="AL8" s="5"/>
    </row>
    <row r="9">
      <c r="A9" s="4">
        <v>0.0</v>
      </c>
      <c r="B9" s="4" t="s">
        <v>90</v>
      </c>
      <c r="C9" s="4" t="s">
        <v>119</v>
      </c>
      <c r="D9" s="4">
        <v>75.0</v>
      </c>
      <c r="E9" s="4">
        <v>150.0</v>
      </c>
      <c r="F9" s="4">
        <v>120.0</v>
      </c>
      <c r="G9" s="4">
        <v>5.0</v>
      </c>
      <c r="H9" s="4">
        <v>0.0</v>
      </c>
      <c r="I9" s="4">
        <v>0.0</v>
      </c>
      <c r="J9" s="4">
        <v>120.0</v>
      </c>
      <c r="K9" s="4">
        <f t="shared" si="2"/>
        <v>6</v>
      </c>
      <c r="L9" s="4" t="s">
        <v>116</v>
      </c>
      <c r="M9" s="4" t="s">
        <v>121</v>
      </c>
      <c r="N9" s="4">
        <v>1976.0</v>
      </c>
      <c r="O9" s="4">
        <v>1.0</v>
      </c>
      <c r="P9" s="4">
        <v>1.0</v>
      </c>
      <c r="Q9" s="4">
        <v>1.0</v>
      </c>
      <c r="R9" s="4">
        <v>0.0</v>
      </c>
      <c r="AG9" s="5"/>
      <c r="AH9" s="5"/>
      <c r="AI9" s="5"/>
      <c r="AJ9" s="5"/>
      <c r="AK9" s="5"/>
      <c r="AL9" s="5"/>
    </row>
    <row r="10">
      <c r="A10" s="4">
        <v>0.0</v>
      </c>
      <c r="B10" s="4" t="s">
        <v>90</v>
      </c>
      <c r="C10" s="4" t="s">
        <v>120</v>
      </c>
      <c r="D10" s="4">
        <v>-10.0</v>
      </c>
      <c r="E10" s="4">
        <v>0.0</v>
      </c>
      <c r="F10" s="4">
        <v>-5.0</v>
      </c>
      <c r="G10" s="4">
        <v>5.0</v>
      </c>
      <c r="H10" s="4">
        <v>0.0</v>
      </c>
      <c r="I10" s="4">
        <v>0.0</v>
      </c>
      <c r="J10" s="4">
        <v>-0.1</v>
      </c>
      <c r="K10" s="4">
        <v>0.001</v>
      </c>
      <c r="L10" s="4" t="s">
        <v>116</v>
      </c>
      <c r="M10" s="4" t="s">
        <v>121</v>
      </c>
      <c r="N10" s="4">
        <v>1977.0</v>
      </c>
      <c r="O10" s="4">
        <v>1.0</v>
      </c>
      <c r="P10" s="4">
        <v>1.0</v>
      </c>
      <c r="Q10" s="4">
        <v>1.0</v>
      </c>
      <c r="R10" s="4">
        <v>0.0</v>
      </c>
      <c r="AG10" s="5"/>
      <c r="AH10" s="5"/>
      <c r="AI10" s="5"/>
      <c r="AJ10" s="5"/>
      <c r="AK10" s="5"/>
      <c r="AL10" s="5"/>
    </row>
    <row r="11">
      <c r="A11" s="5">
        <v>1.0</v>
      </c>
      <c r="B11" s="5" t="s">
        <v>114</v>
      </c>
      <c r="C11" s="5" t="s">
        <v>115</v>
      </c>
      <c r="D11" s="5">
        <v>50.0</v>
      </c>
      <c r="E11" s="5">
        <v>80.0</v>
      </c>
      <c r="F11" s="5">
        <v>75.0</v>
      </c>
      <c r="G11" s="5">
        <v>5.0</v>
      </c>
      <c r="H11" s="5">
        <v>0.0</v>
      </c>
      <c r="I11" s="5">
        <v>0.0</v>
      </c>
      <c r="J11" s="5">
        <v>65.0</v>
      </c>
      <c r="K11" s="5">
        <f t="shared" ref="K11:K13" si="3">J11*0.05</f>
        <v>3.25</v>
      </c>
      <c r="L11" s="5" t="s">
        <v>116</v>
      </c>
      <c r="M11" s="5" t="s">
        <v>122</v>
      </c>
      <c r="N11" s="4">
        <v>1978.0</v>
      </c>
      <c r="O11" s="4">
        <v>1.0</v>
      </c>
      <c r="P11" s="4">
        <v>1.0</v>
      </c>
      <c r="Q11" s="4">
        <v>1.0</v>
      </c>
      <c r="R11" s="4">
        <v>0.0</v>
      </c>
      <c r="AG11" s="5"/>
      <c r="AH11" s="5"/>
      <c r="AI11" s="5"/>
      <c r="AJ11" s="5"/>
      <c r="AK11" s="5"/>
      <c r="AL11" s="5"/>
    </row>
    <row r="12">
      <c r="A12" s="5">
        <v>1.0</v>
      </c>
      <c r="B12" s="5" t="s">
        <v>114</v>
      </c>
      <c r="C12" s="5" t="s">
        <v>118</v>
      </c>
      <c r="D12" s="5">
        <v>0.01</v>
      </c>
      <c r="E12" s="5">
        <v>2.0</v>
      </c>
      <c r="F12" s="5">
        <v>1.5</v>
      </c>
      <c r="G12" s="5">
        <v>5.0</v>
      </c>
      <c r="H12" s="5">
        <v>0.0</v>
      </c>
      <c r="I12" s="5">
        <v>0.0</v>
      </c>
      <c r="J12" s="5">
        <v>1.5</v>
      </c>
      <c r="K12" s="5">
        <f t="shared" si="3"/>
        <v>0.075</v>
      </c>
      <c r="L12" s="5" t="s">
        <v>116</v>
      </c>
      <c r="M12" s="5" t="s">
        <v>122</v>
      </c>
      <c r="N12" s="4">
        <v>1979.0</v>
      </c>
      <c r="O12" s="4">
        <v>1.0</v>
      </c>
      <c r="P12" s="4">
        <v>1.0</v>
      </c>
      <c r="Q12" s="4">
        <v>1.0</v>
      </c>
      <c r="R12" s="4">
        <v>0.0</v>
      </c>
      <c r="AG12" s="5"/>
      <c r="AH12" s="5"/>
      <c r="AI12" s="5"/>
      <c r="AJ12" s="5"/>
      <c r="AK12" s="5"/>
      <c r="AL12" s="5"/>
    </row>
    <row r="13">
      <c r="A13" s="5">
        <v>1.0</v>
      </c>
      <c r="B13" s="5" t="s">
        <v>114</v>
      </c>
      <c r="C13" s="5" t="s">
        <v>119</v>
      </c>
      <c r="D13" s="5">
        <v>75.0</v>
      </c>
      <c r="E13" s="5">
        <v>150.0</v>
      </c>
      <c r="F13" s="4">
        <v>149.0</v>
      </c>
      <c r="G13" s="4">
        <v>5.0</v>
      </c>
      <c r="H13" s="5">
        <v>0.0</v>
      </c>
      <c r="I13" s="5">
        <v>0.0</v>
      </c>
      <c r="J13" s="5">
        <v>120.0</v>
      </c>
      <c r="K13" s="5">
        <f t="shared" si="3"/>
        <v>6</v>
      </c>
      <c r="L13" s="5" t="s">
        <v>116</v>
      </c>
      <c r="M13" s="5" t="s">
        <v>122</v>
      </c>
      <c r="N13" s="4">
        <v>1980.0</v>
      </c>
      <c r="O13" s="4">
        <v>1.0</v>
      </c>
      <c r="P13" s="4">
        <v>1.0</v>
      </c>
      <c r="Q13" s="4">
        <v>1.0</v>
      </c>
      <c r="R13" s="4">
        <v>0.0</v>
      </c>
      <c r="AG13" s="5"/>
      <c r="AH13" s="5"/>
      <c r="AI13" s="5"/>
      <c r="AJ13" s="5"/>
      <c r="AK13" s="5"/>
      <c r="AL13" s="5"/>
    </row>
    <row r="14">
      <c r="A14" s="5">
        <v>1.0</v>
      </c>
      <c r="B14" s="5" t="s">
        <v>114</v>
      </c>
      <c r="C14" s="5" t="s">
        <v>120</v>
      </c>
      <c r="D14" s="5">
        <v>-10.0</v>
      </c>
      <c r="E14" s="5">
        <v>0.0</v>
      </c>
      <c r="F14" s="4">
        <v>-5.0</v>
      </c>
      <c r="G14" s="4">
        <v>5.0</v>
      </c>
      <c r="H14" s="5">
        <v>0.0</v>
      </c>
      <c r="I14" s="5">
        <v>0.0</v>
      </c>
      <c r="J14" s="5">
        <v>-0.1</v>
      </c>
      <c r="K14" s="5">
        <v>0.001</v>
      </c>
      <c r="L14" s="5" t="s">
        <v>116</v>
      </c>
      <c r="M14" s="5" t="s">
        <v>122</v>
      </c>
      <c r="N14" s="4">
        <v>1981.0</v>
      </c>
      <c r="O14" s="4">
        <v>1.0</v>
      </c>
      <c r="P14" s="4">
        <v>1.0</v>
      </c>
      <c r="Q14" s="4">
        <v>1.0</v>
      </c>
      <c r="R14" s="4">
        <v>0.0</v>
      </c>
      <c r="AG14" s="5"/>
      <c r="AH14" s="5"/>
      <c r="AI14" s="5"/>
      <c r="AJ14" s="5"/>
      <c r="AK14" s="5"/>
      <c r="AL14" s="5"/>
    </row>
    <row r="15">
      <c r="A15" s="5">
        <v>1.0</v>
      </c>
      <c r="B15" s="5" t="s">
        <v>90</v>
      </c>
      <c r="C15" s="5" t="s">
        <v>115</v>
      </c>
      <c r="D15" s="5">
        <v>50.0</v>
      </c>
      <c r="E15" s="5">
        <v>80.0</v>
      </c>
      <c r="F15" s="5">
        <v>75.0</v>
      </c>
      <c r="G15" s="5">
        <v>5.0</v>
      </c>
      <c r="H15" s="5">
        <v>0.0</v>
      </c>
      <c r="I15" s="5">
        <v>0.0</v>
      </c>
      <c r="J15" s="5">
        <v>65.0</v>
      </c>
      <c r="K15" s="5">
        <f t="shared" ref="K15:K17" si="4">J15*0.05</f>
        <v>3.25</v>
      </c>
      <c r="L15" s="5" t="s">
        <v>116</v>
      </c>
      <c r="M15" s="5" t="s">
        <v>123</v>
      </c>
      <c r="N15" s="4">
        <v>1982.0</v>
      </c>
      <c r="O15" s="4">
        <v>1.0</v>
      </c>
      <c r="P15" s="4">
        <v>1.0</v>
      </c>
      <c r="Q15" s="4">
        <v>1.0</v>
      </c>
      <c r="R15" s="4">
        <v>0.0</v>
      </c>
      <c r="AG15" s="5"/>
      <c r="AH15" s="5"/>
      <c r="AI15" s="5"/>
      <c r="AJ15" s="5"/>
      <c r="AK15" s="5"/>
      <c r="AL15" s="5"/>
    </row>
    <row r="16">
      <c r="A16" s="5">
        <v>1.0</v>
      </c>
      <c r="B16" s="5" t="s">
        <v>90</v>
      </c>
      <c r="C16" s="5" t="s">
        <v>118</v>
      </c>
      <c r="D16" s="5">
        <v>0.01</v>
      </c>
      <c r="E16" s="5">
        <v>2.0</v>
      </c>
      <c r="F16" s="5">
        <v>1.5</v>
      </c>
      <c r="G16" s="5">
        <v>5.0</v>
      </c>
      <c r="H16" s="5">
        <v>0.0</v>
      </c>
      <c r="I16" s="5">
        <v>0.0</v>
      </c>
      <c r="J16" s="5">
        <v>1.5</v>
      </c>
      <c r="K16" s="5">
        <f t="shared" si="4"/>
        <v>0.075</v>
      </c>
      <c r="L16" s="5" t="s">
        <v>116</v>
      </c>
      <c r="M16" s="5" t="s">
        <v>123</v>
      </c>
      <c r="N16" s="4">
        <v>1983.0</v>
      </c>
      <c r="O16" s="4">
        <v>1.0</v>
      </c>
      <c r="P16" s="4">
        <v>1.0</v>
      </c>
      <c r="Q16" s="4">
        <v>1.0</v>
      </c>
      <c r="R16" s="4">
        <v>0.0</v>
      </c>
      <c r="AG16" s="5"/>
      <c r="AH16" s="5"/>
      <c r="AI16" s="5"/>
      <c r="AJ16" s="5"/>
      <c r="AK16" s="5"/>
      <c r="AL16" s="5"/>
    </row>
    <row r="17">
      <c r="A17" s="5">
        <v>1.0</v>
      </c>
      <c r="B17" s="5" t="s">
        <v>90</v>
      </c>
      <c r="C17" s="5" t="s">
        <v>119</v>
      </c>
      <c r="D17" s="5">
        <v>75.0</v>
      </c>
      <c r="E17" s="5">
        <v>150.0</v>
      </c>
      <c r="F17" s="4">
        <v>120.0</v>
      </c>
      <c r="G17" s="5">
        <v>5.0</v>
      </c>
      <c r="H17" s="5">
        <v>0.0</v>
      </c>
      <c r="I17" s="5">
        <v>0.0</v>
      </c>
      <c r="J17" s="5">
        <v>120.0</v>
      </c>
      <c r="K17" s="5">
        <f t="shared" si="4"/>
        <v>6</v>
      </c>
      <c r="L17" s="5" t="s">
        <v>116</v>
      </c>
      <c r="M17" s="5" t="s">
        <v>123</v>
      </c>
      <c r="N17" s="4">
        <v>1984.0</v>
      </c>
      <c r="O17" s="4">
        <v>1.0</v>
      </c>
      <c r="P17" s="4">
        <v>1.0</v>
      </c>
      <c r="Q17" s="4">
        <v>1.0</v>
      </c>
      <c r="R17" s="4">
        <v>0.0</v>
      </c>
      <c r="AG17" s="5"/>
      <c r="AH17" s="5"/>
      <c r="AI17" s="5"/>
      <c r="AJ17" s="5"/>
      <c r="AK17" s="5"/>
      <c r="AL17" s="5"/>
    </row>
    <row r="18">
      <c r="A18" s="5">
        <v>1.0</v>
      </c>
      <c r="B18" s="5" t="s">
        <v>90</v>
      </c>
      <c r="C18" s="5" t="s">
        <v>120</v>
      </c>
      <c r="D18" s="5">
        <v>-10.0</v>
      </c>
      <c r="E18" s="5">
        <v>0.0</v>
      </c>
      <c r="F18" s="4">
        <v>-5.0</v>
      </c>
      <c r="G18" s="5">
        <v>5.0</v>
      </c>
      <c r="H18" s="5">
        <v>0.0</v>
      </c>
      <c r="I18" s="5">
        <v>0.0</v>
      </c>
      <c r="J18" s="5">
        <v>-0.1</v>
      </c>
      <c r="K18" s="5">
        <v>0.001</v>
      </c>
      <c r="L18" s="5" t="s">
        <v>116</v>
      </c>
      <c r="M18" s="5" t="s">
        <v>123</v>
      </c>
      <c r="N18" s="4">
        <v>1985.0</v>
      </c>
      <c r="O18" s="4">
        <v>1.0</v>
      </c>
      <c r="P18" s="4">
        <v>1.0</v>
      </c>
      <c r="Q18" s="4">
        <v>1.0</v>
      </c>
      <c r="R18" s="4">
        <v>0.0</v>
      </c>
      <c r="AG18" s="5"/>
      <c r="AH18" s="5"/>
      <c r="AI18" s="5"/>
      <c r="AJ18" s="5"/>
      <c r="AK18" s="5"/>
      <c r="AL18" s="5"/>
    </row>
    <row r="19">
      <c r="A19" s="4">
        <v>2.0</v>
      </c>
      <c r="B19" s="4" t="s">
        <v>114</v>
      </c>
      <c r="C19" s="4" t="s">
        <v>115</v>
      </c>
      <c r="D19" s="4">
        <v>50.0</v>
      </c>
      <c r="E19" s="4">
        <v>80.0</v>
      </c>
      <c r="F19" s="4">
        <v>78.0</v>
      </c>
      <c r="G19" s="4">
        <v>5.0</v>
      </c>
      <c r="H19" s="4">
        <v>0.0</v>
      </c>
      <c r="I19" s="4">
        <v>0.0</v>
      </c>
      <c r="J19" s="4">
        <v>65.0</v>
      </c>
      <c r="K19" s="4">
        <f t="shared" ref="K19:K21" si="5">J19*0.05</f>
        <v>3.25</v>
      </c>
      <c r="L19" s="4" t="s">
        <v>116</v>
      </c>
      <c r="M19" s="4" t="s">
        <v>124</v>
      </c>
      <c r="N19" s="4">
        <v>1986.0</v>
      </c>
      <c r="O19" s="4">
        <v>1.0</v>
      </c>
      <c r="P19" s="4">
        <v>1.0</v>
      </c>
      <c r="Q19" s="4">
        <v>1.0</v>
      </c>
      <c r="R19" s="4">
        <v>0.0</v>
      </c>
      <c r="AG19" s="5"/>
      <c r="AH19" s="5"/>
      <c r="AI19" s="5"/>
      <c r="AJ19" s="5"/>
      <c r="AK19" s="5"/>
      <c r="AL19" s="5"/>
    </row>
    <row r="20">
      <c r="A20" s="4">
        <v>2.0</v>
      </c>
      <c r="B20" s="4" t="s">
        <v>114</v>
      </c>
      <c r="C20" s="4" t="s">
        <v>118</v>
      </c>
      <c r="D20" s="4">
        <v>0.01</v>
      </c>
      <c r="E20" s="4">
        <v>2.0</v>
      </c>
      <c r="F20" s="4">
        <v>1.5</v>
      </c>
      <c r="G20" s="4">
        <v>5.0</v>
      </c>
      <c r="H20" s="4">
        <v>0.0</v>
      </c>
      <c r="I20" s="4">
        <v>0.0</v>
      </c>
      <c r="J20" s="4">
        <v>1.5</v>
      </c>
      <c r="K20" s="4">
        <f t="shared" si="5"/>
        <v>0.075</v>
      </c>
      <c r="L20" s="4" t="s">
        <v>116</v>
      </c>
      <c r="M20" s="4" t="s">
        <v>124</v>
      </c>
      <c r="N20" s="4">
        <v>1987.0</v>
      </c>
      <c r="O20" s="4">
        <v>1.0</v>
      </c>
      <c r="P20" s="4">
        <v>1.0</v>
      </c>
      <c r="Q20" s="4">
        <v>1.0</v>
      </c>
      <c r="R20" s="4">
        <v>0.0</v>
      </c>
      <c r="AG20" s="5"/>
      <c r="AH20" s="5"/>
      <c r="AI20" s="5"/>
      <c r="AJ20" s="5"/>
      <c r="AK20" s="5"/>
      <c r="AL20" s="5"/>
    </row>
    <row r="21" ht="15.75" customHeight="1">
      <c r="A21" s="4">
        <v>2.0</v>
      </c>
      <c r="B21" s="4" t="s">
        <v>114</v>
      </c>
      <c r="C21" s="4" t="s">
        <v>119</v>
      </c>
      <c r="D21" s="4">
        <v>75.0</v>
      </c>
      <c r="E21" s="4">
        <v>150.0</v>
      </c>
      <c r="F21" s="4">
        <v>149.0</v>
      </c>
      <c r="G21" s="4">
        <v>5.0</v>
      </c>
      <c r="H21" s="4">
        <v>0.0</v>
      </c>
      <c r="I21" s="4">
        <v>0.0</v>
      </c>
      <c r="J21" s="4">
        <v>120.0</v>
      </c>
      <c r="K21" s="4">
        <f t="shared" si="5"/>
        <v>6</v>
      </c>
      <c r="L21" s="4" t="s">
        <v>116</v>
      </c>
      <c r="M21" s="4" t="s">
        <v>124</v>
      </c>
      <c r="N21" s="4">
        <v>1988.0</v>
      </c>
      <c r="O21" s="4">
        <v>1.0</v>
      </c>
      <c r="P21" s="4">
        <v>1.0</v>
      </c>
      <c r="Q21" s="4">
        <v>1.0</v>
      </c>
      <c r="R21" s="4">
        <v>0.0</v>
      </c>
      <c r="AG21" s="5"/>
      <c r="AH21" s="5"/>
      <c r="AI21" s="5"/>
      <c r="AJ21" s="5"/>
      <c r="AK21" s="5"/>
      <c r="AL21" s="5"/>
    </row>
    <row r="22" ht="15.75" customHeight="1">
      <c r="A22" s="4">
        <v>2.0</v>
      </c>
      <c r="B22" s="4" t="s">
        <v>114</v>
      </c>
      <c r="C22" s="4" t="s">
        <v>120</v>
      </c>
      <c r="D22" s="4">
        <v>-10.0</v>
      </c>
      <c r="E22" s="4">
        <v>0.0</v>
      </c>
      <c r="F22" s="4">
        <v>-5.0</v>
      </c>
      <c r="G22" s="4">
        <v>5.0</v>
      </c>
      <c r="H22" s="4">
        <v>0.0</v>
      </c>
      <c r="I22" s="4">
        <v>0.0</v>
      </c>
      <c r="J22" s="4">
        <v>-0.1</v>
      </c>
      <c r="K22" s="4">
        <v>0.001</v>
      </c>
      <c r="L22" s="4" t="s">
        <v>116</v>
      </c>
      <c r="M22" s="4" t="s">
        <v>124</v>
      </c>
      <c r="N22" s="4">
        <v>1989.0</v>
      </c>
      <c r="O22" s="4">
        <v>1.0</v>
      </c>
      <c r="P22" s="4">
        <v>1.0</v>
      </c>
      <c r="Q22" s="4">
        <v>1.0</v>
      </c>
      <c r="R22" s="4">
        <v>0.0</v>
      </c>
      <c r="AG22" s="5"/>
      <c r="AH22" s="5"/>
      <c r="AI22" s="5"/>
      <c r="AJ22" s="5"/>
      <c r="AK22" s="5"/>
      <c r="AL22" s="5"/>
    </row>
    <row r="23" ht="15.75" customHeight="1">
      <c r="A23" s="4">
        <v>2.0</v>
      </c>
      <c r="B23" s="4" t="s">
        <v>90</v>
      </c>
      <c r="C23" s="4" t="s">
        <v>115</v>
      </c>
      <c r="D23" s="4">
        <v>50.0</v>
      </c>
      <c r="E23" s="4">
        <v>80.0</v>
      </c>
      <c r="F23" s="4">
        <v>78.0</v>
      </c>
      <c r="G23" s="4">
        <v>5.0</v>
      </c>
      <c r="H23" s="4">
        <v>0.0</v>
      </c>
      <c r="I23" s="4">
        <v>0.0</v>
      </c>
      <c r="J23" s="4">
        <v>65.0</v>
      </c>
      <c r="K23" s="4">
        <f t="shared" ref="K23:K25" si="6">J23*0.05</f>
        <v>3.25</v>
      </c>
      <c r="L23" s="4" t="s">
        <v>116</v>
      </c>
      <c r="M23" s="4" t="s">
        <v>125</v>
      </c>
      <c r="N23" s="4">
        <v>1990.0</v>
      </c>
      <c r="O23" s="4">
        <v>2.0</v>
      </c>
      <c r="P23" s="4">
        <v>2.0</v>
      </c>
      <c r="Q23" s="4">
        <v>2.0</v>
      </c>
      <c r="R23" s="4">
        <v>0.0</v>
      </c>
      <c r="AG23" s="5"/>
      <c r="AH23" s="5"/>
      <c r="AI23" s="5"/>
      <c r="AJ23" s="5"/>
      <c r="AK23" s="5"/>
      <c r="AL23" s="5"/>
    </row>
    <row r="24" ht="15.75" customHeight="1">
      <c r="A24" s="4">
        <v>2.0</v>
      </c>
      <c r="B24" s="4" t="s">
        <v>90</v>
      </c>
      <c r="C24" s="4" t="s">
        <v>118</v>
      </c>
      <c r="D24" s="4">
        <v>0.01</v>
      </c>
      <c r="E24" s="4">
        <v>2.0</v>
      </c>
      <c r="F24" s="4">
        <v>1.5</v>
      </c>
      <c r="G24" s="4">
        <v>5.0</v>
      </c>
      <c r="H24" s="4">
        <v>0.0</v>
      </c>
      <c r="I24" s="4">
        <v>0.0</v>
      </c>
      <c r="J24" s="4">
        <v>1.5</v>
      </c>
      <c r="K24" s="4">
        <f t="shared" si="6"/>
        <v>0.075</v>
      </c>
      <c r="L24" s="4" t="s">
        <v>116</v>
      </c>
      <c r="M24" s="4" t="s">
        <v>125</v>
      </c>
      <c r="N24" s="4">
        <v>1991.0</v>
      </c>
      <c r="O24" s="4">
        <v>2.0</v>
      </c>
      <c r="P24" s="4">
        <v>2.0</v>
      </c>
      <c r="Q24" s="4">
        <v>2.0</v>
      </c>
      <c r="R24" s="4">
        <v>0.0</v>
      </c>
      <c r="AG24" s="5"/>
      <c r="AH24" s="5"/>
      <c r="AI24" s="5"/>
      <c r="AJ24" s="5"/>
      <c r="AK24" s="5"/>
      <c r="AL24" s="5"/>
    </row>
    <row r="25" ht="15.75" customHeight="1">
      <c r="A25" s="4">
        <v>2.0</v>
      </c>
      <c r="B25" s="4" t="s">
        <v>90</v>
      </c>
      <c r="C25" s="4" t="s">
        <v>119</v>
      </c>
      <c r="D25" s="4">
        <v>75.0</v>
      </c>
      <c r="E25" s="4">
        <v>150.0</v>
      </c>
      <c r="F25" s="4">
        <v>120.0</v>
      </c>
      <c r="G25" s="4">
        <v>5.0</v>
      </c>
      <c r="H25" s="4">
        <v>0.0</v>
      </c>
      <c r="I25" s="4">
        <v>0.0</v>
      </c>
      <c r="J25" s="4">
        <v>120.0</v>
      </c>
      <c r="K25" s="4">
        <f t="shared" si="6"/>
        <v>6</v>
      </c>
      <c r="L25" s="4" t="s">
        <v>116</v>
      </c>
      <c r="M25" s="4" t="s">
        <v>125</v>
      </c>
      <c r="N25" s="4">
        <v>1992.0</v>
      </c>
      <c r="O25" s="4">
        <v>2.0</v>
      </c>
      <c r="P25" s="4">
        <v>2.0</v>
      </c>
      <c r="Q25" s="4">
        <v>2.0</v>
      </c>
      <c r="R25" s="4">
        <v>0.0</v>
      </c>
      <c r="AG25" s="5"/>
      <c r="AH25" s="5"/>
      <c r="AI25" s="5"/>
      <c r="AJ25" s="5"/>
      <c r="AK25" s="5"/>
      <c r="AL25" s="5"/>
    </row>
    <row r="26" ht="15.75" customHeight="1">
      <c r="A26" s="4">
        <v>2.0</v>
      </c>
      <c r="B26" s="4" t="s">
        <v>90</v>
      </c>
      <c r="C26" s="4" t="s">
        <v>120</v>
      </c>
      <c r="D26" s="4">
        <v>-10.0</v>
      </c>
      <c r="E26" s="4">
        <v>0.0</v>
      </c>
      <c r="F26" s="4">
        <v>-5.0</v>
      </c>
      <c r="G26" s="4">
        <v>5.0</v>
      </c>
      <c r="H26" s="4">
        <v>0.0</v>
      </c>
      <c r="I26" s="4">
        <v>0.0</v>
      </c>
      <c r="J26" s="4">
        <v>-0.1</v>
      </c>
      <c r="K26" s="4">
        <v>0.001</v>
      </c>
      <c r="L26" s="4" t="s">
        <v>116</v>
      </c>
      <c r="M26" s="4" t="s">
        <v>125</v>
      </c>
      <c r="N26" s="4">
        <v>1993.0</v>
      </c>
      <c r="O26" s="4">
        <v>2.0</v>
      </c>
      <c r="P26" s="4">
        <v>2.0</v>
      </c>
      <c r="Q26" s="4">
        <v>2.0</v>
      </c>
      <c r="R26" s="4">
        <v>0.0</v>
      </c>
      <c r="AG26" s="5"/>
      <c r="AH26" s="5"/>
      <c r="AI26" s="5"/>
      <c r="AJ26" s="5"/>
      <c r="AK26" s="5"/>
      <c r="AL26" s="5"/>
    </row>
    <row r="27" ht="15.75" customHeight="1">
      <c r="A27" s="5"/>
      <c r="B27" s="5"/>
      <c r="C27" s="5"/>
      <c r="D27" s="5"/>
      <c r="E27" s="5"/>
      <c r="F27" s="5"/>
      <c r="G27" s="5"/>
      <c r="H27" s="5"/>
      <c r="I27" s="5"/>
      <c r="J27" s="5"/>
      <c r="K27" s="5"/>
      <c r="L27" s="5"/>
      <c r="M27" s="5"/>
      <c r="N27" s="4">
        <v>1994.0</v>
      </c>
      <c r="O27" s="4">
        <v>2.0</v>
      </c>
      <c r="P27" s="4">
        <v>2.0</v>
      </c>
      <c r="Q27" s="4">
        <v>2.0</v>
      </c>
      <c r="R27" s="4">
        <v>0.0</v>
      </c>
      <c r="AG27" s="5"/>
      <c r="AH27" s="5"/>
      <c r="AI27" s="5"/>
      <c r="AJ27" s="5"/>
      <c r="AK27" s="5"/>
      <c r="AL27" s="5"/>
    </row>
    <row r="28" ht="15.75" customHeight="1">
      <c r="A28" s="5"/>
      <c r="B28" s="5"/>
      <c r="C28" s="5"/>
      <c r="D28" s="5"/>
      <c r="E28" s="5"/>
      <c r="F28" s="5"/>
      <c r="G28" s="5"/>
      <c r="H28" s="5"/>
      <c r="I28" s="5"/>
      <c r="J28" s="5"/>
      <c r="K28" s="5"/>
      <c r="L28" s="5"/>
      <c r="M28" s="5"/>
      <c r="N28" s="4">
        <v>1995.0</v>
      </c>
      <c r="O28" s="4">
        <v>2.0</v>
      </c>
      <c r="P28" s="4">
        <v>2.0</v>
      </c>
      <c r="Q28" s="4">
        <v>2.0</v>
      </c>
      <c r="R28" s="4">
        <v>0.0</v>
      </c>
      <c r="AG28" s="5"/>
      <c r="AH28" s="5"/>
      <c r="AI28" s="5"/>
      <c r="AJ28" s="5"/>
      <c r="AK28" s="5"/>
      <c r="AL28" s="5"/>
    </row>
    <row r="29" ht="15.75" customHeight="1">
      <c r="A29" s="5"/>
      <c r="B29" s="5"/>
      <c r="C29" s="5"/>
      <c r="D29" s="5"/>
      <c r="E29" s="5"/>
      <c r="H29" s="5"/>
      <c r="I29" s="5"/>
      <c r="J29" s="5"/>
      <c r="K29" s="5"/>
      <c r="L29" s="5"/>
      <c r="M29" s="5"/>
      <c r="N29" s="4">
        <v>1996.0</v>
      </c>
      <c r="O29" s="4">
        <v>2.0</v>
      </c>
      <c r="P29" s="4">
        <v>2.0</v>
      </c>
      <c r="Q29" s="4">
        <v>2.0</v>
      </c>
      <c r="R29" s="4">
        <v>0.0</v>
      </c>
      <c r="AG29" s="5"/>
      <c r="AH29" s="5"/>
      <c r="AI29" s="5"/>
      <c r="AJ29" s="5"/>
      <c r="AK29" s="5"/>
      <c r="AL29" s="5"/>
    </row>
    <row r="30" ht="15.75" customHeight="1">
      <c r="A30" s="5"/>
      <c r="B30" s="5"/>
      <c r="C30" s="5"/>
      <c r="D30" s="5"/>
      <c r="E30" s="5"/>
      <c r="H30" s="5"/>
      <c r="I30" s="5"/>
      <c r="J30" s="5"/>
      <c r="K30" s="5"/>
      <c r="L30" s="5"/>
      <c r="M30" s="5"/>
      <c r="N30" s="4">
        <v>1997.0</v>
      </c>
      <c r="O30" s="4">
        <v>2.0</v>
      </c>
      <c r="P30" s="4">
        <v>2.0</v>
      </c>
      <c r="Q30" s="4">
        <v>2.0</v>
      </c>
      <c r="R30" s="4">
        <v>0.0</v>
      </c>
      <c r="AG30" s="5"/>
      <c r="AH30" s="5"/>
      <c r="AI30" s="5"/>
      <c r="AJ30" s="5"/>
      <c r="AK30" s="5"/>
      <c r="AL30" s="5"/>
    </row>
    <row r="31" ht="15.75" customHeight="1">
      <c r="A31" s="5"/>
      <c r="B31" s="5"/>
      <c r="C31" s="5"/>
      <c r="D31" s="5"/>
      <c r="E31" s="5"/>
      <c r="F31" s="5"/>
      <c r="G31" s="5"/>
      <c r="H31" s="5"/>
      <c r="I31" s="5"/>
      <c r="J31" s="5"/>
      <c r="K31" s="5"/>
      <c r="L31" s="5"/>
      <c r="M31" s="5"/>
      <c r="N31" s="4">
        <v>1998.0</v>
      </c>
      <c r="O31" s="4">
        <v>2.0</v>
      </c>
      <c r="P31" s="4">
        <v>2.0</v>
      </c>
      <c r="Q31" s="4">
        <v>2.0</v>
      </c>
      <c r="R31" s="4">
        <v>0.0</v>
      </c>
      <c r="AG31" s="5"/>
      <c r="AH31" s="5"/>
      <c r="AI31" s="5"/>
      <c r="AJ31" s="5"/>
      <c r="AK31" s="5"/>
      <c r="AL31" s="5"/>
    </row>
    <row r="32" ht="15.75" customHeight="1">
      <c r="A32" s="5"/>
      <c r="B32" s="5"/>
      <c r="C32" s="5"/>
      <c r="D32" s="5"/>
      <c r="E32" s="5"/>
      <c r="F32" s="5"/>
      <c r="G32" s="5"/>
      <c r="H32" s="5"/>
      <c r="I32" s="5"/>
      <c r="J32" s="5"/>
      <c r="K32" s="5"/>
      <c r="L32" s="5"/>
      <c r="M32" s="5"/>
      <c r="N32" s="4">
        <v>1999.0</v>
      </c>
      <c r="O32" s="4">
        <v>2.0</v>
      </c>
      <c r="P32" s="4">
        <v>2.0</v>
      </c>
      <c r="Q32" s="4">
        <v>2.0</v>
      </c>
      <c r="R32" s="4">
        <v>0.0</v>
      </c>
      <c r="AG32" s="5"/>
      <c r="AH32" s="5"/>
      <c r="AI32" s="5"/>
      <c r="AJ32" s="5"/>
      <c r="AK32" s="5"/>
      <c r="AL32" s="5"/>
    </row>
    <row r="33" ht="15.75" customHeight="1">
      <c r="A33" s="5"/>
      <c r="B33" s="5"/>
      <c r="C33" s="5"/>
      <c r="D33" s="5"/>
      <c r="E33" s="5"/>
      <c r="F33" s="5"/>
      <c r="G33" s="5"/>
      <c r="H33" s="5"/>
      <c r="I33" s="5"/>
      <c r="J33" s="5"/>
      <c r="K33" s="5"/>
      <c r="L33" s="5"/>
      <c r="M33" s="5"/>
      <c r="N33" s="4">
        <v>2000.0</v>
      </c>
      <c r="O33" s="4">
        <v>2.0</v>
      </c>
      <c r="P33" s="4">
        <v>2.0</v>
      </c>
      <c r="Q33" s="4">
        <v>2.0</v>
      </c>
      <c r="R33" s="4">
        <v>0.0</v>
      </c>
      <c r="AG33" s="5"/>
      <c r="AH33" s="5"/>
      <c r="AI33" s="5"/>
      <c r="AJ33" s="5"/>
      <c r="AK33" s="5"/>
      <c r="AL33" s="5"/>
    </row>
    <row r="34" ht="15.75" customHeight="1">
      <c r="A34" s="5"/>
      <c r="B34" s="5"/>
      <c r="C34" s="5"/>
      <c r="D34" s="5"/>
      <c r="E34" s="5"/>
      <c r="F34" s="5"/>
      <c r="G34" s="5"/>
      <c r="H34" s="5"/>
      <c r="I34" s="5"/>
      <c r="J34" s="5"/>
      <c r="K34" s="5"/>
      <c r="L34" s="5"/>
      <c r="M34" s="5"/>
      <c r="N34" s="4">
        <v>2001.0</v>
      </c>
      <c r="O34" s="4">
        <v>2.0</v>
      </c>
      <c r="P34" s="4">
        <v>2.0</v>
      </c>
      <c r="Q34" s="4">
        <v>2.0</v>
      </c>
      <c r="R34" s="4">
        <v>0.0</v>
      </c>
      <c r="AG34" s="5"/>
      <c r="AH34" s="5"/>
      <c r="AI34" s="5"/>
      <c r="AJ34" s="5"/>
      <c r="AK34" s="5"/>
      <c r="AL34" s="5"/>
    </row>
    <row r="35" ht="15.75" customHeight="1">
      <c r="N35" s="4">
        <v>2002.0</v>
      </c>
      <c r="O35" s="4">
        <v>2.0</v>
      </c>
      <c r="P35" s="4">
        <v>2.0</v>
      </c>
      <c r="Q35" s="4">
        <v>2.0</v>
      </c>
      <c r="R35" s="4">
        <v>0.0</v>
      </c>
      <c r="AG35" s="5"/>
      <c r="AH35" s="5"/>
      <c r="AI35" s="5"/>
      <c r="AJ35" s="5"/>
      <c r="AK35" s="5"/>
      <c r="AL35" s="5"/>
    </row>
    <row r="36" ht="15.75" customHeight="1">
      <c r="N36" s="4">
        <v>2003.0</v>
      </c>
      <c r="O36" s="4">
        <v>2.0</v>
      </c>
      <c r="P36" s="4">
        <v>2.0</v>
      </c>
      <c r="Q36" s="4">
        <v>2.0</v>
      </c>
      <c r="R36" s="4">
        <v>0.0</v>
      </c>
      <c r="AG36" s="5"/>
      <c r="AH36" s="5"/>
      <c r="AI36" s="5"/>
      <c r="AJ36" s="5"/>
      <c r="AK36" s="5"/>
      <c r="AL36" s="5"/>
    </row>
    <row r="37" ht="15.75" customHeight="1">
      <c r="N37" s="4">
        <v>2004.0</v>
      </c>
      <c r="O37" s="4">
        <v>2.0</v>
      </c>
      <c r="P37" s="4">
        <v>2.0</v>
      </c>
      <c r="Q37" s="4">
        <v>2.0</v>
      </c>
      <c r="R37" s="4">
        <v>0.0</v>
      </c>
      <c r="AG37" s="5"/>
      <c r="AH37" s="5"/>
      <c r="AI37" s="5"/>
      <c r="AJ37" s="5"/>
      <c r="AK37" s="5"/>
      <c r="AL37" s="5"/>
    </row>
    <row r="38" ht="15.75" customHeight="1">
      <c r="N38" s="4">
        <v>2005.0</v>
      </c>
      <c r="O38" s="4">
        <v>2.0</v>
      </c>
      <c r="P38" s="4">
        <v>2.0</v>
      </c>
      <c r="Q38" s="4">
        <v>2.0</v>
      </c>
      <c r="R38" s="4">
        <v>0.0</v>
      </c>
      <c r="AG38" s="5"/>
      <c r="AH38" s="5"/>
      <c r="AI38" s="5"/>
      <c r="AJ38" s="5"/>
      <c r="AK38" s="5"/>
      <c r="AL38" s="5"/>
    </row>
    <row r="39" ht="15.75" customHeight="1">
      <c r="N39" s="4">
        <v>2006.0</v>
      </c>
      <c r="O39" s="4">
        <v>2.0</v>
      </c>
      <c r="P39" s="4">
        <v>2.0</v>
      </c>
      <c r="Q39" s="4">
        <v>2.0</v>
      </c>
      <c r="R39" s="4">
        <v>0.0</v>
      </c>
      <c r="AG39" s="5"/>
      <c r="AH39" s="5"/>
      <c r="AI39" s="5"/>
      <c r="AJ39" s="5"/>
      <c r="AK39" s="5"/>
      <c r="AL39" s="5"/>
    </row>
    <row r="40" ht="15.75" customHeight="1">
      <c r="N40" s="4">
        <v>2007.0</v>
      </c>
      <c r="O40" s="4">
        <v>2.0</v>
      </c>
      <c r="P40" s="4">
        <v>2.0</v>
      </c>
      <c r="Q40" s="4">
        <v>2.0</v>
      </c>
      <c r="R40" s="4">
        <v>0.0</v>
      </c>
      <c r="AG40" s="5"/>
      <c r="AH40" s="5"/>
      <c r="AI40" s="5"/>
      <c r="AJ40" s="5"/>
      <c r="AK40" s="5"/>
      <c r="AL40" s="5"/>
    </row>
    <row r="41" ht="15.75" customHeight="1">
      <c r="N41" s="4">
        <v>2008.0</v>
      </c>
      <c r="O41" s="4">
        <v>2.0</v>
      </c>
      <c r="P41" s="4">
        <v>2.0</v>
      </c>
      <c r="Q41" s="4">
        <v>2.0</v>
      </c>
      <c r="R41" s="4">
        <v>0.0</v>
      </c>
      <c r="AG41" s="5"/>
      <c r="AH41" s="5"/>
      <c r="AI41" s="5"/>
      <c r="AJ41" s="5"/>
      <c r="AK41" s="5"/>
      <c r="AL41" s="5"/>
    </row>
    <row r="42" ht="15.75" customHeight="1">
      <c r="N42" s="4">
        <v>2009.0</v>
      </c>
      <c r="O42" s="4">
        <v>2.0</v>
      </c>
      <c r="P42" s="4">
        <v>2.0</v>
      </c>
      <c r="Q42" s="4">
        <v>2.0</v>
      </c>
      <c r="R42" s="4">
        <v>0.0</v>
      </c>
      <c r="AG42" s="5"/>
      <c r="AH42" s="5"/>
      <c r="AI42" s="5"/>
      <c r="AJ42" s="5"/>
      <c r="AK42" s="5"/>
      <c r="AL42" s="5"/>
    </row>
    <row r="43" ht="15.75" customHeight="1">
      <c r="N43" s="4">
        <v>2010.0</v>
      </c>
      <c r="O43" s="4">
        <v>2.0</v>
      </c>
      <c r="P43" s="4">
        <v>2.0</v>
      </c>
      <c r="Q43" s="4">
        <v>2.0</v>
      </c>
      <c r="R43" s="4">
        <v>0.0</v>
      </c>
      <c r="AG43" s="5"/>
      <c r="AH43" s="5"/>
      <c r="AI43" s="5"/>
      <c r="AJ43" s="5"/>
      <c r="AK43" s="5"/>
      <c r="AL43" s="5"/>
    </row>
    <row r="44" ht="15.75" customHeight="1">
      <c r="N44" s="4">
        <v>2011.0</v>
      </c>
      <c r="O44" s="4">
        <v>2.0</v>
      </c>
      <c r="P44" s="4">
        <v>2.0</v>
      </c>
      <c r="Q44" s="4">
        <v>2.0</v>
      </c>
      <c r="R44" s="4">
        <v>0.0</v>
      </c>
      <c r="AG44" s="5"/>
      <c r="AH44" s="5"/>
      <c r="AI44" s="5"/>
      <c r="AJ44" s="5"/>
      <c r="AK44" s="5"/>
      <c r="AL44" s="5"/>
    </row>
    <row r="45" ht="15.75" customHeight="1">
      <c r="N45" s="4">
        <v>2012.0</v>
      </c>
      <c r="O45" s="4">
        <v>2.0</v>
      </c>
      <c r="P45" s="4">
        <v>2.0</v>
      </c>
      <c r="Q45" s="4">
        <v>2.0</v>
      </c>
      <c r="R45" s="4">
        <v>0.0</v>
      </c>
      <c r="AG45" s="5"/>
      <c r="AH45" s="5"/>
      <c r="AI45" s="5"/>
      <c r="AJ45" s="5"/>
      <c r="AK45" s="5"/>
      <c r="AL45" s="5"/>
    </row>
    <row r="46" ht="15.75" customHeight="1">
      <c r="N46" s="4">
        <v>2013.0</v>
      </c>
      <c r="O46" s="4">
        <v>2.0</v>
      </c>
      <c r="P46" s="4">
        <v>2.0</v>
      </c>
      <c r="Q46" s="4">
        <v>2.0</v>
      </c>
      <c r="R46" s="4">
        <v>0.0</v>
      </c>
      <c r="AG46" s="5"/>
      <c r="AH46" s="5"/>
      <c r="AI46" s="5"/>
      <c r="AJ46" s="5"/>
      <c r="AK46" s="5"/>
      <c r="AL46" s="5"/>
    </row>
    <row r="47" ht="15.75" customHeight="1">
      <c r="N47" s="4">
        <v>2014.0</v>
      </c>
      <c r="O47" s="4">
        <v>2.0</v>
      </c>
      <c r="P47" s="4">
        <v>2.0</v>
      </c>
      <c r="Q47" s="4">
        <v>2.0</v>
      </c>
      <c r="R47" s="4">
        <v>0.0</v>
      </c>
      <c r="AG47" s="5"/>
      <c r="AH47" s="5"/>
      <c r="AI47" s="5"/>
      <c r="AJ47" s="5"/>
      <c r="AK47" s="5"/>
      <c r="AL47" s="5"/>
    </row>
    <row r="48" ht="15.75" customHeight="1">
      <c r="N48" s="4">
        <v>2015.0</v>
      </c>
      <c r="O48" s="4">
        <v>2.0</v>
      </c>
      <c r="P48" s="4">
        <v>2.0</v>
      </c>
      <c r="Q48" s="4">
        <v>2.0</v>
      </c>
      <c r="R48" s="4">
        <v>0.0</v>
      </c>
      <c r="AG48" s="5"/>
      <c r="AH48" s="5"/>
      <c r="AI48" s="5"/>
      <c r="AJ48" s="5"/>
      <c r="AK48" s="5"/>
      <c r="AL48" s="5"/>
    </row>
    <row r="49" ht="15.75" customHeight="1">
      <c r="N49" s="4">
        <v>2016.0</v>
      </c>
      <c r="O49" s="4">
        <v>2.0</v>
      </c>
      <c r="P49" s="4">
        <v>2.0</v>
      </c>
      <c r="Q49" s="4">
        <v>2.0</v>
      </c>
      <c r="R49" s="4">
        <v>0.0</v>
      </c>
      <c r="AG49" s="5"/>
      <c r="AH49" s="5"/>
      <c r="AI49" s="5"/>
      <c r="AJ49" s="5"/>
      <c r="AK49" s="5"/>
      <c r="AL49" s="5"/>
    </row>
    <row r="50" ht="15.75" customHeight="1">
      <c r="N50" s="4">
        <v>2017.0</v>
      </c>
      <c r="O50" s="4">
        <v>2.0</v>
      </c>
      <c r="P50" s="4">
        <v>2.0</v>
      </c>
      <c r="Q50" s="4">
        <v>2.0</v>
      </c>
      <c r="R50" s="4">
        <v>0.0</v>
      </c>
      <c r="AG50" s="5"/>
      <c r="AH50" s="5"/>
      <c r="AI50" s="5"/>
      <c r="AJ50" s="5"/>
      <c r="AK50" s="5"/>
      <c r="AL50" s="5"/>
    </row>
    <row r="51" ht="15.75" customHeight="1">
      <c r="N51" s="4">
        <v>2018.0</v>
      </c>
      <c r="O51" s="4">
        <v>2.0</v>
      </c>
      <c r="P51" s="4">
        <v>2.0</v>
      </c>
      <c r="Q51" s="4">
        <v>2.0</v>
      </c>
      <c r="R51" s="4">
        <v>0.0</v>
      </c>
      <c r="AG51" s="5"/>
      <c r="AH51" s="5"/>
      <c r="AI51" s="5"/>
      <c r="AJ51" s="5"/>
      <c r="AK51" s="5"/>
      <c r="AL51" s="5"/>
    </row>
    <row r="52" ht="15.75" customHeight="1">
      <c r="N52" s="4">
        <v>2019.0</v>
      </c>
      <c r="O52" s="4">
        <v>2.0</v>
      </c>
      <c r="P52" s="4">
        <v>2.0</v>
      </c>
      <c r="Q52" s="4">
        <v>2.0</v>
      </c>
      <c r="R52" s="4">
        <v>0.0</v>
      </c>
      <c r="AG52" s="5"/>
      <c r="AH52" s="5"/>
      <c r="AI52" s="5"/>
      <c r="AJ52" s="5"/>
      <c r="AK52" s="5"/>
      <c r="AL52" s="5"/>
    </row>
    <row r="53" ht="15.75" customHeight="1">
      <c r="N53" s="4">
        <v>2020.0</v>
      </c>
      <c r="O53" s="4">
        <v>2.0</v>
      </c>
      <c r="P53" s="4">
        <v>2.0</v>
      </c>
      <c r="Q53" s="4">
        <v>2.0</v>
      </c>
      <c r="R53" s="4">
        <v>0.0</v>
      </c>
      <c r="AG53" s="5"/>
      <c r="AH53" s="5"/>
      <c r="AI53" s="5"/>
      <c r="AJ53" s="5"/>
      <c r="AK53" s="5"/>
      <c r="AL53" s="5"/>
    </row>
    <row r="54" ht="15.75" customHeight="1">
      <c r="N54" s="4">
        <v>2021.0</v>
      </c>
      <c r="O54" s="4">
        <v>2.0</v>
      </c>
      <c r="P54" s="4">
        <v>2.0</v>
      </c>
      <c r="Q54" s="4">
        <v>2.0</v>
      </c>
      <c r="R54" s="4">
        <v>0.0</v>
      </c>
      <c r="AG54" s="5"/>
      <c r="AH54" s="5"/>
      <c r="AI54" s="5"/>
      <c r="AJ54" s="5"/>
      <c r="AK54" s="5"/>
      <c r="AL54" s="5"/>
    </row>
    <row r="55" ht="15.75" customHeight="1">
      <c r="N55" s="4">
        <v>2022.0</v>
      </c>
      <c r="O55" s="4">
        <v>2.0</v>
      </c>
      <c r="P55" s="4">
        <v>2.0</v>
      </c>
      <c r="Q55" s="4">
        <v>2.0</v>
      </c>
      <c r="R55" s="4">
        <v>0.0</v>
      </c>
      <c r="AG55" s="5"/>
      <c r="AH55" s="5"/>
      <c r="AI55" s="5"/>
      <c r="AJ55" s="5"/>
      <c r="AK55" s="5"/>
      <c r="AL55" s="5"/>
    </row>
    <row r="56" ht="15.75" customHeight="1">
      <c r="N56" s="4">
        <v>2023.0</v>
      </c>
      <c r="O56" s="4">
        <v>2.0</v>
      </c>
      <c r="P56" s="4">
        <v>2.0</v>
      </c>
      <c r="Q56" s="4">
        <v>2.0</v>
      </c>
      <c r="R56" s="4">
        <v>0.0</v>
      </c>
      <c r="AG56" s="5"/>
      <c r="AH56" s="5"/>
      <c r="AI56" s="5"/>
      <c r="AJ56" s="5"/>
      <c r="AK56" s="5"/>
      <c r="AL56" s="5"/>
    </row>
    <row r="57" ht="15.75" customHeight="1">
      <c r="N57" s="4">
        <v>2024.0</v>
      </c>
      <c r="O57" s="4">
        <v>2.0</v>
      </c>
      <c r="P57" s="4">
        <v>2.0</v>
      </c>
      <c r="Q57" s="4">
        <v>2.0</v>
      </c>
      <c r="R57" s="4">
        <v>0.0</v>
      </c>
      <c r="AG57" s="5"/>
      <c r="AH57" s="5"/>
      <c r="AI57" s="5"/>
      <c r="AJ57" s="5"/>
      <c r="AK57" s="5"/>
      <c r="AL57" s="5"/>
    </row>
    <row r="58" ht="15.75" customHeight="1">
      <c r="N58" s="4">
        <v>2025.0</v>
      </c>
      <c r="O58" s="4">
        <v>2.0</v>
      </c>
      <c r="P58" s="4">
        <v>2.0</v>
      </c>
      <c r="Q58" s="4">
        <v>2.0</v>
      </c>
      <c r="R58" s="4">
        <v>0.0</v>
      </c>
      <c r="AG58" s="5"/>
      <c r="AH58" s="5"/>
      <c r="AI58" s="5"/>
      <c r="AJ58" s="5"/>
      <c r="AK58" s="5"/>
      <c r="AL58" s="5"/>
    </row>
    <row r="59" ht="15.75" customHeight="1">
      <c r="N59" s="4">
        <v>2026.0</v>
      </c>
      <c r="O59" s="4">
        <v>2.0</v>
      </c>
      <c r="P59" s="4">
        <v>2.0</v>
      </c>
      <c r="Q59" s="4">
        <v>2.0</v>
      </c>
      <c r="R59" s="4">
        <v>0.0</v>
      </c>
      <c r="AG59" s="5"/>
      <c r="AH59" s="5"/>
      <c r="AI59" s="5"/>
      <c r="AJ59" s="5"/>
      <c r="AK59" s="5"/>
      <c r="AL59" s="5"/>
    </row>
    <row r="60" ht="15.75" customHeight="1">
      <c r="N60" s="4">
        <v>2027.0</v>
      </c>
      <c r="O60" s="4">
        <v>2.0</v>
      </c>
      <c r="P60" s="4">
        <v>2.0</v>
      </c>
      <c r="Q60" s="4">
        <v>2.0</v>
      </c>
      <c r="R60" s="4">
        <v>0.0</v>
      </c>
      <c r="AG60" s="5"/>
      <c r="AH60" s="5"/>
      <c r="AI60" s="5"/>
      <c r="AJ60" s="5"/>
      <c r="AK60" s="5"/>
      <c r="AL60" s="5"/>
    </row>
    <row r="61" ht="15.75" customHeight="1">
      <c r="N61" s="4">
        <v>2028.0</v>
      </c>
      <c r="O61" s="4">
        <v>2.0</v>
      </c>
      <c r="P61" s="4">
        <v>2.0</v>
      </c>
      <c r="Q61" s="4">
        <v>2.0</v>
      </c>
      <c r="R61" s="4">
        <v>0.0</v>
      </c>
      <c r="AG61" s="5"/>
      <c r="AH61" s="5"/>
      <c r="AI61" s="5"/>
      <c r="AJ61" s="5"/>
      <c r="AK61" s="5"/>
      <c r="AL61" s="5"/>
    </row>
    <row r="62" ht="15.75" customHeight="1">
      <c r="N62" s="4">
        <v>2029.0</v>
      </c>
      <c r="O62" s="4">
        <v>2.0</v>
      </c>
      <c r="P62" s="4">
        <v>2.0</v>
      </c>
      <c r="Q62" s="4">
        <v>2.0</v>
      </c>
      <c r="R62" s="4">
        <v>0.0</v>
      </c>
      <c r="AG62" s="5"/>
      <c r="AH62" s="5"/>
      <c r="AI62" s="5"/>
      <c r="AJ62" s="5"/>
      <c r="AK62" s="5"/>
      <c r="AL62" s="5"/>
    </row>
    <row r="63" ht="15.75" customHeight="1">
      <c r="N63" s="4">
        <v>2030.0</v>
      </c>
      <c r="O63" s="4">
        <v>2.0</v>
      </c>
      <c r="P63" s="4">
        <v>2.0</v>
      </c>
      <c r="Q63" s="4">
        <v>2.0</v>
      </c>
      <c r="R63" s="4">
        <v>0.0</v>
      </c>
      <c r="AG63" s="5"/>
      <c r="AH63" s="5"/>
      <c r="AI63" s="5"/>
      <c r="AJ63" s="5"/>
      <c r="AK63" s="5"/>
      <c r="AL63" s="5"/>
    </row>
    <row r="64" ht="15.75" customHeight="1">
      <c r="N64" s="4">
        <v>2031.0</v>
      </c>
      <c r="O64" s="4">
        <v>2.0</v>
      </c>
      <c r="P64" s="4">
        <v>2.0</v>
      </c>
      <c r="Q64" s="4">
        <v>2.0</v>
      </c>
      <c r="R64" s="4">
        <v>0.0</v>
      </c>
      <c r="AG64" s="5"/>
      <c r="AH64" s="5"/>
      <c r="AI64" s="5"/>
      <c r="AJ64" s="5"/>
      <c r="AK64" s="5"/>
      <c r="AL64" s="5"/>
    </row>
    <row r="65" ht="15.75" customHeight="1">
      <c r="N65" s="4">
        <v>2032.0</v>
      </c>
      <c r="O65" s="4">
        <v>2.0</v>
      </c>
      <c r="P65" s="4">
        <v>2.0</v>
      </c>
      <c r="Q65" s="4">
        <v>2.0</v>
      </c>
      <c r="R65" s="4">
        <v>0.0</v>
      </c>
      <c r="AG65" s="5"/>
      <c r="AH65" s="5"/>
      <c r="AI65" s="5"/>
      <c r="AJ65" s="5"/>
      <c r="AK65" s="5"/>
      <c r="AL65" s="5"/>
    </row>
    <row r="66" ht="15.75" customHeight="1">
      <c r="N66" s="4">
        <v>2033.0</v>
      </c>
      <c r="O66" s="4">
        <v>2.0</v>
      </c>
      <c r="P66" s="4">
        <v>2.0</v>
      </c>
      <c r="Q66" s="4">
        <v>2.0</v>
      </c>
      <c r="R66" s="4">
        <v>0.0</v>
      </c>
      <c r="AG66" s="5"/>
      <c r="AH66" s="5"/>
      <c r="AI66" s="5"/>
      <c r="AJ66" s="5"/>
      <c r="AK66" s="5"/>
      <c r="AL66" s="5"/>
    </row>
    <row r="67" ht="15.75" customHeight="1">
      <c r="N67" s="4">
        <v>2034.0</v>
      </c>
      <c r="O67" s="4">
        <v>2.0</v>
      </c>
      <c r="P67" s="4">
        <v>2.0</v>
      </c>
      <c r="Q67" s="4">
        <v>2.0</v>
      </c>
      <c r="R67" s="4">
        <v>0.0</v>
      </c>
      <c r="AG67" s="5"/>
      <c r="AH67" s="5"/>
      <c r="AI67" s="5"/>
      <c r="AJ67" s="5"/>
      <c r="AK67" s="5"/>
      <c r="AL67" s="5"/>
    </row>
    <row r="68" ht="15.75" customHeight="1">
      <c r="N68" s="4">
        <v>2035.0</v>
      </c>
      <c r="O68" s="4">
        <v>2.0</v>
      </c>
      <c r="P68" s="4">
        <v>2.0</v>
      </c>
      <c r="Q68" s="4">
        <v>2.0</v>
      </c>
      <c r="R68" s="4">
        <v>0.0</v>
      </c>
      <c r="AG68" s="5"/>
      <c r="AH68" s="5"/>
      <c r="AI68" s="5"/>
      <c r="AJ68" s="5"/>
      <c r="AK68" s="5"/>
      <c r="AL68" s="5"/>
    </row>
    <row r="69" ht="15.75" customHeight="1">
      <c r="N69" s="4">
        <v>2036.0</v>
      </c>
      <c r="O69" s="4">
        <v>2.0</v>
      </c>
      <c r="P69" s="4">
        <v>2.0</v>
      </c>
      <c r="Q69" s="4">
        <v>2.0</v>
      </c>
      <c r="R69" s="4">
        <v>0.0</v>
      </c>
      <c r="AG69" s="5"/>
      <c r="AH69" s="5"/>
      <c r="AI69" s="5"/>
      <c r="AJ69" s="5"/>
      <c r="AK69" s="5"/>
      <c r="AL69" s="5"/>
    </row>
    <row r="70" ht="15.75" customHeight="1">
      <c r="N70" s="4">
        <v>2037.0</v>
      </c>
      <c r="O70" s="4">
        <v>2.0</v>
      </c>
      <c r="P70" s="4">
        <v>2.0</v>
      </c>
      <c r="Q70" s="4">
        <v>2.0</v>
      </c>
      <c r="R70" s="4">
        <v>0.0</v>
      </c>
      <c r="AG70" s="5"/>
      <c r="AH70" s="5"/>
      <c r="AI70" s="5"/>
      <c r="AJ70" s="5"/>
      <c r="AK70" s="5"/>
      <c r="AL70" s="5"/>
    </row>
    <row r="71" ht="15.75" customHeight="1">
      <c r="N71" s="4">
        <v>2038.0</v>
      </c>
      <c r="O71" s="4">
        <v>2.0</v>
      </c>
      <c r="P71" s="4">
        <v>2.0</v>
      </c>
      <c r="Q71" s="4">
        <v>2.0</v>
      </c>
      <c r="R71" s="4">
        <v>0.0</v>
      </c>
      <c r="AG71" s="5"/>
      <c r="AH71" s="5"/>
      <c r="AI71" s="5"/>
      <c r="AJ71" s="5"/>
      <c r="AK71" s="5"/>
      <c r="AL71" s="5"/>
    </row>
    <row r="72" ht="15.75" customHeight="1">
      <c r="N72" s="4">
        <v>2039.0</v>
      </c>
      <c r="O72" s="4">
        <v>2.0</v>
      </c>
      <c r="P72" s="4">
        <v>2.0</v>
      </c>
      <c r="Q72" s="4">
        <v>2.0</v>
      </c>
      <c r="R72" s="4">
        <v>0.0</v>
      </c>
      <c r="AG72" s="5"/>
      <c r="AH72" s="5"/>
      <c r="AI72" s="5"/>
      <c r="AJ72" s="5"/>
      <c r="AK72" s="5"/>
      <c r="AL72" s="5"/>
    </row>
    <row r="73" ht="15.75" customHeight="1">
      <c r="N73" s="4">
        <v>2040.0</v>
      </c>
      <c r="O73" s="4">
        <v>2.0</v>
      </c>
      <c r="P73" s="4">
        <v>2.0</v>
      </c>
      <c r="Q73" s="4">
        <v>2.0</v>
      </c>
      <c r="R73" s="4">
        <v>0.0</v>
      </c>
      <c r="AG73" s="5"/>
      <c r="AH73" s="5"/>
      <c r="AI73" s="5"/>
      <c r="AJ73" s="5"/>
      <c r="AK73" s="5"/>
      <c r="AL73" s="5"/>
    </row>
    <row r="74" ht="15.75" customHeight="1">
      <c r="N74" s="4">
        <v>2041.0</v>
      </c>
      <c r="O74" s="4">
        <v>2.0</v>
      </c>
      <c r="P74" s="4">
        <v>2.0</v>
      </c>
      <c r="Q74" s="4">
        <v>2.0</v>
      </c>
      <c r="R74" s="4">
        <v>0.0</v>
      </c>
      <c r="AG74" s="5"/>
      <c r="AH74" s="5"/>
      <c r="AI74" s="5"/>
      <c r="AJ74" s="5"/>
      <c r="AK74" s="5"/>
      <c r="AL74" s="5"/>
    </row>
    <row r="75" ht="15.75" customHeight="1">
      <c r="N75" s="4">
        <v>2042.0</v>
      </c>
      <c r="O75" s="4">
        <v>2.0</v>
      </c>
      <c r="P75" s="4">
        <v>2.0</v>
      </c>
      <c r="Q75" s="4">
        <v>2.0</v>
      </c>
      <c r="R75" s="4">
        <v>0.0</v>
      </c>
      <c r="AG75" s="5"/>
      <c r="AH75" s="5"/>
      <c r="AI75" s="5"/>
      <c r="AJ75" s="5"/>
      <c r="AK75" s="5"/>
      <c r="AL75" s="5"/>
    </row>
    <row r="76" ht="15.75" customHeight="1">
      <c r="N76" s="4">
        <v>2043.0</v>
      </c>
      <c r="O76" s="4">
        <v>2.0</v>
      </c>
      <c r="P76" s="4">
        <v>2.0</v>
      </c>
      <c r="Q76" s="4">
        <v>2.0</v>
      </c>
      <c r="R76" s="4">
        <v>0.0</v>
      </c>
      <c r="AG76" s="5"/>
      <c r="AH76" s="5"/>
      <c r="AI76" s="5"/>
      <c r="AJ76" s="5"/>
      <c r="AK76" s="5"/>
      <c r="AL76" s="5"/>
    </row>
    <row r="77" ht="15.75" customHeight="1">
      <c r="N77" s="4">
        <v>2044.0</v>
      </c>
      <c r="O77" s="4">
        <v>2.0</v>
      </c>
      <c r="P77" s="4">
        <v>2.0</v>
      </c>
      <c r="Q77" s="4">
        <v>2.0</v>
      </c>
      <c r="R77" s="4">
        <v>0.0</v>
      </c>
      <c r="AG77" s="5"/>
      <c r="AH77" s="5"/>
      <c r="AI77" s="5"/>
      <c r="AJ77" s="5"/>
      <c r="AK77" s="5"/>
      <c r="AL77" s="5"/>
    </row>
    <row r="78" ht="15.75" customHeight="1">
      <c r="N78" s="4">
        <v>2045.0</v>
      </c>
      <c r="O78" s="4">
        <v>2.0</v>
      </c>
      <c r="P78" s="4">
        <v>2.0</v>
      </c>
      <c r="Q78" s="4">
        <v>2.0</v>
      </c>
      <c r="R78" s="4">
        <v>0.0</v>
      </c>
      <c r="AG78" s="5"/>
      <c r="AH78" s="5"/>
      <c r="AI78" s="5"/>
      <c r="AJ78" s="5"/>
      <c r="AK78" s="5"/>
      <c r="AL78" s="5"/>
    </row>
    <row r="79" ht="15.75" customHeight="1">
      <c r="N79" s="4">
        <v>2046.0</v>
      </c>
      <c r="O79" s="4">
        <v>2.0</v>
      </c>
      <c r="P79" s="4">
        <v>2.0</v>
      </c>
      <c r="Q79" s="4">
        <v>2.0</v>
      </c>
      <c r="R79" s="4">
        <v>0.0</v>
      </c>
      <c r="AG79" s="5"/>
      <c r="AH79" s="5"/>
      <c r="AI79" s="5"/>
      <c r="AJ79" s="5"/>
      <c r="AK79" s="5"/>
      <c r="AL79" s="5"/>
    </row>
    <row r="80" ht="15.75" customHeight="1">
      <c r="N80" s="4">
        <v>2047.0</v>
      </c>
      <c r="O80" s="4">
        <v>2.0</v>
      </c>
      <c r="P80" s="4">
        <v>2.0</v>
      </c>
      <c r="Q80" s="4">
        <v>2.0</v>
      </c>
      <c r="R80" s="4">
        <v>0.0</v>
      </c>
      <c r="AG80" s="5"/>
      <c r="AH80" s="5"/>
      <c r="AI80" s="5"/>
      <c r="AJ80" s="5"/>
      <c r="AK80" s="5"/>
      <c r="AL80" s="5"/>
    </row>
    <row r="81" ht="15.75" customHeight="1">
      <c r="N81" s="4">
        <v>2048.0</v>
      </c>
      <c r="O81" s="4">
        <v>2.0</v>
      </c>
      <c r="P81" s="4">
        <v>2.0</v>
      </c>
      <c r="Q81" s="4">
        <v>2.0</v>
      </c>
      <c r="R81" s="4">
        <v>0.0</v>
      </c>
      <c r="AG81" s="5"/>
      <c r="AH81" s="5"/>
      <c r="AI81" s="5"/>
      <c r="AJ81" s="5"/>
      <c r="AK81" s="5"/>
      <c r="AL81" s="5"/>
    </row>
    <row r="82" ht="15.75" customHeight="1">
      <c r="N82" s="4">
        <v>2049.0</v>
      </c>
      <c r="O82" s="4">
        <v>2.0</v>
      </c>
      <c r="P82" s="4">
        <v>2.0</v>
      </c>
      <c r="Q82" s="4">
        <v>2.0</v>
      </c>
      <c r="R82" s="4">
        <v>0.0</v>
      </c>
      <c r="AG82" s="5"/>
      <c r="AH82" s="5"/>
      <c r="AI82" s="5"/>
      <c r="AJ82" s="5"/>
      <c r="AK82" s="5"/>
      <c r="AL82" s="5"/>
    </row>
    <row r="83" ht="15.75" customHeight="1">
      <c r="N83" s="4">
        <v>2050.0</v>
      </c>
      <c r="O83" s="4">
        <v>2.0</v>
      </c>
      <c r="P83" s="4">
        <v>2.0</v>
      </c>
      <c r="Q83" s="4">
        <v>2.0</v>
      </c>
      <c r="R83" s="4">
        <v>0.0</v>
      </c>
      <c r="AG83" s="5"/>
      <c r="AH83" s="5"/>
      <c r="AI83" s="5"/>
      <c r="AJ83" s="5"/>
      <c r="AK83" s="5"/>
      <c r="AL83" s="5"/>
    </row>
    <row r="84" ht="15.75" customHeight="1">
      <c r="N84" s="4">
        <v>2051.0</v>
      </c>
      <c r="O84" s="4">
        <v>2.0</v>
      </c>
      <c r="P84" s="4">
        <v>2.0</v>
      </c>
      <c r="Q84" s="4">
        <v>2.0</v>
      </c>
      <c r="R84" s="4">
        <v>0.0</v>
      </c>
      <c r="AG84" s="5"/>
      <c r="AH84" s="5"/>
      <c r="AI84" s="5"/>
      <c r="AJ84" s="5"/>
      <c r="AK84" s="5"/>
      <c r="AL84" s="5"/>
    </row>
    <row r="85" ht="15.75" customHeight="1">
      <c r="N85" s="4">
        <v>2052.0</v>
      </c>
      <c r="O85" s="4">
        <v>2.0</v>
      </c>
      <c r="P85" s="4">
        <v>2.0</v>
      </c>
      <c r="Q85" s="4">
        <v>2.0</v>
      </c>
      <c r="R85" s="4">
        <v>0.0</v>
      </c>
      <c r="AG85" s="5"/>
      <c r="AH85" s="5"/>
      <c r="AI85" s="5"/>
      <c r="AJ85" s="5"/>
      <c r="AK85" s="5"/>
      <c r="AL85" s="5"/>
    </row>
    <row r="86" ht="15.75" customHeight="1">
      <c r="N86" s="4">
        <v>2053.0</v>
      </c>
      <c r="O86" s="4">
        <v>2.0</v>
      </c>
      <c r="P86" s="4">
        <v>2.0</v>
      </c>
      <c r="Q86" s="4">
        <v>2.0</v>
      </c>
      <c r="R86" s="4">
        <v>0.0</v>
      </c>
      <c r="AG86" s="5"/>
      <c r="AH86" s="5"/>
      <c r="AI86" s="5"/>
      <c r="AJ86" s="5"/>
      <c r="AK86" s="5"/>
      <c r="AL86" s="5"/>
    </row>
    <row r="87" ht="15.75" customHeight="1">
      <c r="N87" s="4">
        <v>2054.0</v>
      </c>
      <c r="O87" s="4">
        <v>2.0</v>
      </c>
      <c r="P87" s="4">
        <v>2.0</v>
      </c>
      <c r="Q87" s="4">
        <v>2.0</v>
      </c>
      <c r="R87" s="4">
        <v>0.0</v>
      </c>
      <c r="AG87" s="5"/>
      <c r="AH87" s="5"/>
      <c r="AI87" s="5"/>
      <c r="AJ87" s="5"/>
      <c r="AK87" s="5"/>
      <c r="AL87" s="5"/>
    </row>
    <row r="88" ht="15.75" customHeight="1">
      <c r="N88" s="4">
        <v>2055.0</v>
      </c>
      <c r="O88" s="4">
        <v>2.0</v>
      </c>
      <c r="P88" s="4">
        <v>2.0</v>
      </c>
      <c r="Q88" s="4">
        <v>2.0</v>
      </c>
      <c r="R88" s="4">
        <v>0.0</v>
      </c>
      <c r="AG88" s="5"/>
      <c r="AH88" s="5"/>
      <c r="AI88" s="5"/>
      <c r="AJ88" s="5"/>
      <c r="AK88" s="5"/>
      <c r="AL88" s="5"/>
    </row>
    <row r="89" ht="15.75" customHeight="1">
      <c r="N89" s="4">
        <v>2056.0</v>
      </c>
      <c r="O89" s="4">
        <v>2.0</v>
      </c>
      <c r="P89" s="4">
        <v>2.0</v>
      </c>
      <c r="Q89" s="4">
        <v>2.0</v>
      </c>
      <c r="R89" s="4">
        <v>0.0</v>
      </c>
      <c r="AG89" s="5"/>
      <c r="AH89" s="5"/>
      <c r="AI89" s="5"/>
      <c r="AJ89" s="5"/>
      <c r="AK89" s="5"/>
      <c r="AL89" s="5"/>
    </row>
    <row r="90" ht="15.75" customHeight="1">
      <c r="N90" s="4">
        <v>2057.0</v>
      </c>
      <c r="O90" s="4">
        <v>2.0</v>
      </c>
      <c r="P90" s="4">
        <v>2.0</v>
      </c>
      <c r="Q90" s="4">
        <v>2.0</v>
      </c>
      <c r="R90" s="4">
        <v>0.0</v>
      </c>
      <c r="AG90" s="5"/>
      <c r="AH90" s="5"/>
      <c r="AI90" s="5"/>
      <c r="AJ90" s="5"/>
      <c r="AK90" s="5"/>
      <c r="AL90" s="5"/>
    </row>
    <row r="91" ht="15.75" customHeight="1">
      <c r="N91" s="4">
        <v>2058.0</v>
      </c>
      <c r="O91" s="4">
        <v>2.0</v>
      </c>
      <c r="P91" s="4">
        <v>2.0</v>
      </c>
      <c r="Q91" s="4">
        <v>2.0</v>
      </c>
      <c r="R91" s="4">
        <v>0.0</v>
      </c>
      <c r="AG91" s="5"/>
      <c r="AH91" s="5"/>
      <c r="AI91" s="5"/>
      <c r="AJ91" s="5"/>
      <c r="AK91" s="5"/>
      <c r="AL91" s="5"/>
    </row>
    <row r="92" ht="15.75" customHeight="1">
      <c r="N92" s="4">
        <v>2059.0</v>
      </c>
      <c r="O92" s="4">
        <v>2.0</v>
      </c>
      <c r="P92" s="4">
        <v>2.0</v>
      </c>
      <c r="Q92" s="4">
        <v>2.0</v>
      </c>
      <c r="R92" s="4">
        <v>0.0</v>
      </c>
      <c r="AG92" s="5"/>
      <c r="AH92" s="5"/>
      <c r="AI92" s="5"/>
      <c r="AJ92" s="5"/>
      <c r="AK92" s="5"/>
      <c r="AL92" s="5"/>
    </row>
    <row r="93" ht="15.75" customHeight="1">
      <c r="N93" s="4">
        <v>2060.0</v>
      </c>
      <c r="O93" s="4">
        <v>2.0</v>
      </c>
      <c r="P93" s="4">
        <v>2.0</v>
      </c>
      <c r="Q93" s="4">
        <v>2.0</v>
      </c>
      <c r="R93" s="4">
        <v>0.0</v>
      </c>
      <c r="AG93" s="5"/>
      <c r="AH93" s="5"/>
      <c r="AI93" s="5"/>
      <c r="AJ93" s="5"/>
      <c r="AK93" s="5"/>
      <c r="AL93" s="5"/>
    </row>
    <row r="94" ht="15.75" customHeight="1">
      <c r="N94" s="4">
        <v>2061.0</v>
      </c>
      <c r="O94" s="4">
        <v>2.0</v>
      </c>
      <c r="P94" s="4">
        <v>2.0</v>
      </c>
      <c r="Q94" s="4">
        <v>2.0</v>
      </c>
      <c r="R94" s="4">
        <v>0.0</v>
      </c>
      <c r="AG94" s="5"/>
      <c r="AH94" s="5"/>
      <c r="AI94" s="5"/>
      <c r="AJ94" s="5"/>
      <c r="AK94" s="5"/>
      <c r="AL94" s="5"/>
    </row>
    <row r="95" ht="15.75" customHeight="1">
      <c r="N95" s="4">
        <v>2062.0</v>
      </c>
      <c r="O95" s="4">
        <v>2.0</v>
      </c>
      <c r="P95" s="4">
        <v>2.0</v>
      </c>
      <c r="Q95" s="4">
        <v>2.0</v>
      </c>
      <c r="R95" s="4">
        <v>0.0</v>
      </c>
      <c r="AG95" s="5"/>
      <c r="AH95" s="5"/>
      <c r="AI95" s="5"/>
      <c r="AJ95" s="5"/>
      <c r="AK95" s="5"/>
      <c r="AL95" s="5"/>
    </row>
    <row r="96" ht="15.75" customHeight="1">
      <c r="N96" s="4">
        <v>2063.0</v>
      </c>
      <c r="O96" s="4">
        <v>2.0</v>
      </c>
      <c r="P96" s="4">
        <v>2.0</v>
      </c>
      <c r="Q96" s="4">
        <v>2.0</v>
      </c>
      <c r="R96" s="4">
        <v>0.0</v>
      </c>
      <c r="AG96" s="5"/>
      <c r="AH96" s="5"/>
      <c r="AI96" s="5"/>
      <c r="AJ96" s="5"/>
      <c r="AK96" s="5"/>
      <c r="AL96" s="5"/>
    </row>
    <row r="97" ht="15.75" customHeight="1">
      <c r="N97" s="4">
        <v>2064.0</v>
      </c>
      <c r="O97" s="4">
        <v>2.0</v>
      </c>
      <c r="P97" s="4">
        <v>2.0</v>
      </c>
      <c r="Q97" s="4">
        <v>2.0</v>
      </c>
      <c r="R97" s="4">
        <v>0.0</v>
      </c>
      <c r="AG97" s="5"/>
      <c r="AH97" s="5"/>
      <c r="AI97" s="5"/>
      <c r="AJ97" s="5"/>
      <c r="AK97" s="5"/>
      <c r="AL97" s="5"/>
    </row>
    <row r="98" ht="15.75" customHeight="1">
      <c r="N98" s="4">
        <v>2065.0</v>
      </c>
      <c r="O98" s="4">
        <v>2.0</v>
      </c>
      <c r="P98" s="4">
        <v>2.0</v>
      </c>
      <c r="Q98" s="4">
        <v>2.0</v>
      </c>
      <c r="R98" s="4">
        <v>0.0</v>
      </c>
      <c r="AG98" s="5"/>
      <c r="AH98" s="5"/>
      <c r="AI98" s="5"/>
      <c r="AJ98" s="5"/>
      <c r="AK98" s="5"/>
      <c r="AL98" s="5"/>
    </row>
    <row r="99" ht="15.75" customHeight="1">
      <c r="N99" s="4">
        <v>2066.0</v>
      </c>
      <c r="O99" s="4">
        <v>2.0</v>
      </c>
      <c r="P99" s="4">
        <v>2.0</v>
      </c>
      <c r="Q99" s="4">
        <v>2.0</v>
      </c>
      <c r="R99" s="4">
        <v>0.0</v>
      </c>
      <c r="AG99" s="5"/>
      <c r="AH99" s="5"/>
      <c r="AI99" s="5"/>
      <c r="AJ99" s="5"/>
      <c r="AK99" s="5"/>
      <c r="AL99" s="5"/>
    </row>
    <row r="100" ht="15.75" customHeight="1">
      <c r="N100" s="4">
        <v>2067.0</v>
      </c>
      <c r="O100" s="4">
        <v>2.0</v>
      </c>
      <c r="P100" s="4">
        <v>2.0</v>
      </c>
      <c r="Q100" s="4">
        <v>2.0</v>
      </c>
      <c r="R100" s="4">
        <v>0.0</v>
      </c>
      <c r="AG100" s="5"/>
      <c r="AH100" s="5"/>
      <c r="AI100" s="5"/>
      <c r="AJ100" s="5"/>
      <c r="AK100" s="5"/>
      <c r="AL100" s="5"/>
    </row>
    <row r="101" ht="15.75" customHeight="1">
      <c r="N101" s="4">
        <v>2068.0</v>
      </c>
      <c r="O101" s="4">
        <v>2.0</v>
      </c>
      <c r="P101" s="4">
        <v>2.0</v>
      </c>
      <c r="Q101" s="4">
        <v>2.0</v>
      </c>
      <c r="R101" s="4">
        <v>0.0</v>
      </c>
      <c r="AG101" s="5"/>
      <c r="AH101" s="5"/>
      <c r="AI101" s="5"/>
      <c r="AJ101" s="5"/>
      <c r="AK101" s="5"/>
      <c r="AL101" s="5"/>
    </row>
    <row r="102" ht="15.75" customHeight="1">
      <c r="N102" s="4">
        <v>2069.0</v>
      </c>
      <c r="O102" s="4">
        <v>2.0</v>
      </c>
      <c r="P102" s="4">
        <v>2.0</v>
      </c>
      <c r="Q102" s="4">
        <v>2.0</v>
      </c>
      <c r="R102" s="4">
        <v>0.0</v>
      </c>
      <c r="AG102" s="5"/>
      <c r="AH102" s="5"/>
      <c r="AI102" s="5"/>
      <c r="AJ102" s="5"/>
      <c r="AK102" s="5"/>
      <c r="AL102" s="5"/>
    </row>
    <row r="103" ht="15.75" customHeight="1">
      <c r="N103" s="4">
        <v>2070.0</v>
      </c>
      <c r="O103" s="4">
        <v>2.0</v>
      </c>
      <c r="P103" s="4">
        <v>2.0</v>
      </c>
      <c r="Q103" s="4">
        <v>2.0</v>
      </c>
      <c r="R103" s="4">
        <v>0.0</v>
      </c>
      <c r="AG103" s="5"/>
      <c r="AH103" s="5"/>
      <c r="AI103" s="5"/>
      <c r="AJ103" s="5"/>
      <c r="AK103" s="5"/>
      <c r="AL103" s="5"/>
    </row>
    <row r="104" ht="15.75" customHeight="1">
      <c r="N104" s="4">
        <v>2071.0</v>
      </c>
      <c r="O104" s="4">
        <v>2.0</v>
      </c>
      <c r="P104" s="4">
        <v>2.0</v>
      </c>
      <c r="Q104" s="4">
        <v>2.0</v>
      </c>
      <c r="R104" s="4">
        <v>0.0</v>
      </c>
      <c r="AG104" s="5"/>
      <c r="AH104" s="5"/>
      <c r="AI104" s="5"/>
      <c r="AJ104" s="5"/>
      <c r="AK104" s="5"/>
      <c r="AL104" s="5"/>
    </row>
    <row r="105" ht="15.75" customHeight="1">
      <c r="N105" s="4">
        <v>2072.0</v>
      </c>
      <c r="O105" s="4">
        <v>2.0</v>
      </c>
      <c r="P105" s="4">
        <v>2.0</v>
      </c>
      <c r="Q105" s="4">
        <v>2.0</v>
      </c>
      <c r="R105" s="4">
        <v>0.0</v>
      </c>
      <c r="AG105" s="5"/>
      <c r="AH105" s="5"/>
      <c r="AI105" s="5"/>
      <c r="AJ105" s="5"/>
      <c r="AK105" s="5"/>
      <c r="AL105" s="5"/>
    </row>
    <row r="106" ht="15.75" customHeight="1">
      <c r="N106" s="4">
        <v>2073.0</v>
      </c>
      <c r="O106" s="4">
        <v>2.0</v>
      </c>
      <c r="P106" s="4">
        <v>2.0</v>
      </c>
      <c r="Q106" s="4">
        <v>2.0</v>
      </c>
      <c r="R106" s="4">
        <v>0.0</v>
      </c>
      <c r="AG106" s="5"/>
      <c r="AH106" s="5"/>
      <c r="AI106" s="5"/>
      <c r="AJ106" s="5"/>
      <c r="AK106" s="5"/>
      <c r="AL106" s="5"/>
    </row>
    <row r="107" ht="15.75" customHeight="1">
      <c r="N107" s="4">
        <v>2074.0</v>
      </c>
      <c r="O107" s="4">
        <v>2.0</v>
      </c>
      <c r="P107" s="4">
        <v>2.0</v>
      </c>
      <c r="Q107" s="4">
        <v>2.0</v>
      </c>
      <c r="R107" s="4">
        <v>0.0</v>
      </c>
      <c r="AG107" s="5"/>
      <c r="AH107" s="5"/>
      <c r="AI107" s="5"/>
      <c r="AJ107" s="5"/>
      <c r="AK107" s="5"/>
      <c r="AL107" s="5"/>
    </row>
    <row r="108" ht="15.75" customHeight="1">
      <c r="N108" s="4">
        <v>2075.0</v>
      </c>
      <c r="O108" s="4">
        <v>2.0</v>
      </c>
      <c r="P108" s="4">
        <v>2.0</v>
      </c>
      <c r="Q108" s="4">
        <v>2.0</v>
      </c>
      <c r="R108" s="4">
        <v>0.0</v>
      </c>
      <c r="AG108" s="5"/>
      <c r="AH108" s="5"/>
      <c r="AI108" s="5"/>
      <c r="AJ108" s="5"/>
      <c r="AK108" s="5"/>
      <c r="AL108" s="5"/>
    </row>
    <row r="109" ht="15.75" customHeight="1">
      <c r="N109" s="4">
        <v>2076.0</v>
      </c>
      <c r="O109" s="4">
        <v>2.0</v>
      </c>
      <c r="P109" s="4">
        <v>2.0</v>
      </c>
      <c r="Q109" s="4">
        <v>2.0</v>
      </c>
      <c r="R109" s="4">
        <v>0.0</v>
      </c>
      <c r="AG109" s="5"/>
      <c r="AH109" s="5"/>
      <c r="AI109" s="5"/>
      <c r="AJ109" s="5"/>
      <c r="AK109" s="5"/>
      <c r="AL109" s="5"/>
    </row>
    <row r="110" ht="15.75" customHeight="1">
      <c r="N110" s="4">
        <v>2077.0</v>
      </c>
      <c r="O110" s="4">
        <v>2.0</v>
      </c>
      <c r="P110" s="4">
        <v>2.0</v>
      </c>
      <c r="Q110" s="4">
        <v>2.0</v>
      </c>
      <c r="R110" s="4">
        <v>0.0</v>
      </c>
      <c r="AG110" s="5"/>
      <c r="AH110" s="5"/>
      <c r="AI110" s="5"/>
      <c r="AJ110" s="5"/>
      <c r="AK110" s="5"/>
      <c r="AL110" s="5"/>
    </row>
    <row r="111" ht="15.75" customHeight="1">
      <c r="N111" s="4">
        <v>2078.0</v>
      </c>
      <c r="O111" s="4">
        <v>2.0</v>
      </c>
      <c r="P111" s="4">
        <v>2.0</v>
      </c>
      <c r="Q111" s="4">
        <v>2.0</v>
      </c>
      <c r="R111" s="4">
        <v>0.0</v>
      </c>
      <c r="AG111" s="5"/>
      <c r="AH111" s="5"/>
      <c r="AI111" s="5"/>
      <c r="AJ111" s="5"/>
      <c r="AK111" s="5"/>
      <c r="AL111" s="5"/>
    </row>
    <row r="112" ht="15.75" customHeight="1">
      <c r="N112" s="4">
        <v>2079.0</v>
      </c>
      <c r="O112" s="4">
        <v>2.0</v>
      </c>
      <c r="P112" s="4">
        <v>2.0</v>
      </c>
      <c r="Q112" s="4">
        <v>2.0</v>
      </c>
      <c r="R112" s="4">
        <v>0.0</v>
      </c>
      <c r="AG112" s="5"/>
      <c r="AH112" s="5"/>
      <c r="AI112" s="5"/>
      <c r="AJ112" s="5"/>
      <c r="AK112" s="5"/>
      <c r="AL112" s="5"/>
    </row>
    <row r="113" ht="15.75" customHeight="1">
      <c r="N113" s="4">
        <v>2080.0</v>
      </c>
      <c r="O113" s="4">
        <v>2.0</v>
      </c>
      <c r="P113" s="4">
        <v>2.0</v>
      </c>
      <c r="Q113" s="4">
        <v>2.0</v>
      </c>
      <c r="R113" s="4">
        <v>0.0</v>
      </c>
      <c r="AG113" s="5"/>
      <c r="AH113" s="5"/>
      <c r="AI113" s="5"/>
      <c r="AJ113" s="5"/>
      <c r="AK113" s="5"/>
      <c r="AL113" s="5"/>
    </row>
    <row r="114" ht="15.75" customHeight="1">
      <c r="N114" s="4">
        <v>2081.0</v>
      </c>
      <c r="O114" s="4">
        <v>2.0</v>
      </c>
      <c r="P114" s="4">
        <v>2.0</v>
      </c>
      <c r="Q114" s="4">
        <v>2.0</v>
      </c>
      <c r="R114" s="4">
        <v>0.0</v>
      </c>
      <c r="AG114" s="5"/>
      <c r="AH114" s="5"/>
      <c r="AI114" s="5"/>
      <c r="AJ114" s="5"/>
      <c r="AK114" s="5"/>
      <c r="AL114" s="5"/>
    </row>
    <row r="115" ht="15.75" customHeight="1">
      <c r="N115" s="4">
        <v>2082.0</v>
      </c>
      <c r="O115" s="4">
        <v>2.0</v>
      </c>
      <c r="P115" s="4">
        <v>2.0</v>
      </c>
      <c r="Q115" s="4">
        <v>2.0</v>
      </c>
      <c r="R115" s="4">
        <v>0.0</v>
      </c>
      <c r="AG115" s="5"/>
      <c r="AH115" s="5"/>
      <c r="AI115" s="5"/>
      <c r="AJ115" s="5"/>
      <c r="AK115" s="5"/>
      <c r="AL115" s="5"/>
    </row>
    <row r="116" ht="15.75" customHeight="1">
      <c r="N116" s="4">
        <v>2083.0</v>
      </c>
      <c r="O116" s="4">
        <v>2.0</v>
      </c>
      <c r="P116" s="4">
        <v>2.0</v>
      </c>
      <c r="Q116" s="4">
        <v>2.0</v>
      </c>
      <c r="R116" s="4">
        <v>0.0</v>
      </c>
      <c r="AG116" s="5"/>
      <c r="AH116" s="5"/>
      <c r="AI116" s="5"/>
      <c r="AJ116" s="5"/>
      <c r="AK116" s="5"/>
      <c r="AL116" s="5"/>
    </row>
    <row r="117" ht="15.75" customHeight="1">
      <c r="N117" s="4">
        <v>2084.0</v>
      </c>
      <c r="O117" s="4">
        <v>2.0</v>
      </c>
      <c r="P117" s="4">
        <v>2.0</v>
      </c>
      <c r="Q117" s="4">
        <v>2.0</v>
      </c>
      <c r="R117" s="4">
        <v>0.0</v>
      </c>
      <c r="AG117" s="5"/>
      <c r="AH117" s="5"/>
      <c r="AI117" s="5"/>
      <c r="AJ117" s="5"/>
      <c r="AK117" s="5"/>
      <c r="AL117" s="5"/>
    </row>
    <row r="118" ht="15.75" customHeight="1">
      <c r="N118" s="4">
        <v>2085.0</v>
      </c>
      <c r="O118" s="4">
        <v>2.0</v>
      </c>
      <c r="P118" s="4">
        <v>2.0</v>
      </c>
      <c r="Q118" s="4">
        <v>2.0</v>
      </c>
      <c r="R118" s="4">
        <v>0.0</v>
      </c>
      <c r="AG118" s="5"/>
      <c r="AH118" s="5"/>
      <c r="AI118" s="5"/>
      <c r="AJ118" s="5"/>
      <c r="AK118" s="5"/>
      <c r="AL118" s="5"/>
    </row>
    <row r="119" ht="15.75" customHeight="1">
      <c r="N119" s="4">
        <v>2086.0</v>
      </c>
      <c r="O119" s="4">
        <v>2.0</v>
      </c>
      <c r="P119" s="4">
        <v>2.0</v>
      </c>
      <c r="Q119" s="4">
        <v>2.0</v>
      </c>
      <c r="R119" s="4">
        <v>0.0</v>
      </c>
      <c r="AG119" s="5"/>
      <c r="AH119" s="5"/>
      <c r="AI119" s="5"/>
      <c r="AJ119" s="5"/>
      <c r="AK119" s="5"/>
      <c r="AL119" s="5"/>
    </row>
    <row r="120" ht="15.75" customHeight="1">
      <c r="N120" s="4">
        <v>2087.0</v>
      </c>
      <c r="O120" s="4">
        <v>2.0</v>
      </c>
      <c r="P120" s="4">
        <v>2.0</v>
      </c>
      <c r="Q120" s="4">
        <v>2.0</v>
      </c>
      <c r="R120" s="4">
        <v>0.0</v>
      </c>
      <c r="AG120" s="5"/>
      <c r="AH120" s="5"/>
      <c r="AI120" s="5"/>
      <c r="AJ120" s="5"/>
      <c r="AK120" s="5"/>
      <c r="AL120" s="5"/>
    </row>
    <row r="121" ht="15.75" customHeight="1">
      <c r="N121" s="4">
        <v>2088.0</v>
      </c>
      <c r="O121" s="4">
        <v>2.0</v>
      </c>
      <c r="P121" s="4">
        <v>2.0</v>
      </c>
      <c r="Q121" s="4">
        <v>2.0</v>
      </c>
      <c r="R121" s="4">
        <v>0.0</v>
      </c>
      <c r="AG121" s="5"/>
      <c r="AH121" s="5"/>
      <c r="AI121" s="5"/>
      <c r="AJ121" s="5"/>
      <c r="AK121" s="5"/>
      <c r="AL121" s="5"/>
    </row>
    <row r="122" ht="15.75" customHeight="1">
      <c r="N122" s="4">
        <v>2089.0</v>
      </c>
      <c r="O122" s="4">
        <v>2.0</v>
      </c>
      <c r="P122" s="4">
        <v>2.0</v>
      </c>
      <c r="Q122" s="4">
        <v>2.0</v>
      </c>
      <c r="R122" s="4">
        <v>0.0</v>
      </c>
      <c r="AG122" s="5"/>
      <c r="AH122" s="5"/>
      <c r="AI122" s="5"/>
      <c r="AJ122" s="5"/>
      <c r="AK122" s="5"/>
      <c r="AL122" s="5"/>
    </row>
    <row r="123" ht="15.75" customHeight="1">
      <c r="N123" s="4">
        <v>2090.0</v>
      </c>
      <c r="O123" s="4">
        <v>2.0</v>
      </c>
      <c r="P123" s="4">
        <v>2.0</v>
      </c>
      <c r="Q123" s="4">
        <v>2.0</v>
      </c>
      <c r="R123" s="4">
        <v>0.0</v>
      </c>
      <c r="AG123" s="5"/>
      <c r="AH123" s="5"/>
      <c r="AI123" s="5"/>
      <c r="AJ123" s="5"/>
      <c r="AK123" s="5"/>
      <c r="AL123" s="5"/>
    </row>
    <row r="124" ht="15.75" customHeight="1">
      <c r="N124" s="4">
        <v>2091.0</v>
      </c>
      <c r="O124" s="4">
        <v>2.0</v>
      </c>
      <c r="P124" s="4">
        <v>2.0</v>
      </c>
      <c r="Q124" s="4">
        <v>2.0</v>
      </c>
      <c r="R124" s="4">
        <v>0.0</v>
      </c>
      <c r="AG124" s="5"/>
      <c r="AH124" s="5"/>
      <c r="AI124" s="5"/>
      <c r="AJ124" s="5"/>
      <c r="AK124" s="5"/>
      <c r="AL124" s="5"/>
    </row>
    <row r="125" ht="15.75" customHeight="1">
      <c r="N125" s="4">
        <v>2092.0</v>
      </c>
      <c r="O125" s="4">
        <v>2.0</v>
      </c>
      <c r="P125" s="4">
        <v>2.0</v>
      </c>
      <c r="Q125" s="4">
        <v>2.0</v>
      </c>
      <c r="R125" s="4">
        <v>0.0</v>
      </c>
      <c r="AG125" s="5"/>
      <c r="AH125" s="5"/>
      <c r="AI125" s="5"/>
      <c r="AJ125" s="5"/>
      <c r="AK125" s="5"/>
      <c r="AL125" s="5"/>
    </row>
    <row r="126" ht="15.75" customHeight="1">
      <c r="N126" s="4">
        <v>2093.0</v>
      </c>
      <c r="O126" s="4">
        <v>2.0</v>
      </c>
      <c r="P126" s="4">
        <v>2.0</v>
      </c>
      <c r="Q126" s="4">
        <v>2.0</v>
      </c>
      <c r="R126" s="4">
        <v>0.0</v>
      </c>
      <c r="AG126" s="5"/>
      <c r="AH126" s="5"/>
      <c r="AI126" s="5"/>
      <c r="AJ126" s="5"/>
      <c r="AK126" s="5"/>
      <c r="AL126" s="5"/>
    </row>
    <row r="127" ht="15.75" customHeight="1">
      <c r="N127" s="4">
        <v>2094.0</v>
      </c>
      <c r="O127" s="4">
        <v>2.0</v>
      </c>
      <c r="P127" s="4">
        <v>2.0</v>
      </c>
      <c r="Q127" s="4">
        <v>2.0</v>
      </c>
      <c r="R127" s="4">
        <v>0.0</v>
      </c>
      <c r="AG127" s="5"/>
      <c r="AH127" s="5"/>
      <c r="AI127" s="5"/>
      <c r="AJ127" s="5"/>
      <c r="AK127" s="5"/>
      <c r="AL127" s="5"/>
    </row>
    <row r="128" ht="15.75" customHeight="1">
      <c r="N128" s="4">
        <v>2095.0</v>
      </c>
      <c r="O128" s="4">
        <v>2.0</v>
      </c>
      <c r="P128" s="4">
        <v>2.0</v>
      </c>
      <c r="Q128" s="4">
        <v>2.0</v>
      </c>
      <c r="R128" s="4">
        <v>0.0</v>
      </c>
      <c r="AG128" s="5"/>
      <c r="AH128" s="5"/>
      <c r="AI128" s="5"/>
      <c r="AJ128" s="5"/>
      <c r="AK128" s="5"/>
      <c r="AL128" s="5"/>
    </row>
    <row r="129" ht="15.75" customHeight="1">
      <c r="N129" s="4">
        <v>2096.0</v>
      </c>
      <c r="O129" s="4">
        <v>2.0</v>
      </c>
      <c r="P129" s="4">
        <v>2.0</v>
      </c>
      <c r="Q129" s="4">
        <v>2.0</v>
      </c>
      <c r="R129" s="4">
        <v>0.0</v>
      </c>
      <c r="AG129" s="5"/>
      <c r="AH129" s="5"/>
      <c r="AI129" s="5"/>
      <c r="AJ129" s="5"/>
      <c r="AK129" s="5"/>
      <c r="AL129" s="5"/>
    </row>
    <row r="130" ht="15.75" customHeight="1">
      <c r="N130" s="4">
        <v>2097.0</v>
      </c>
      <c r="O130" s="4">
        <v>2.0</v>
      </c>
      <c r="P130" s="4">
        <v>2.0</v>
      </c>
      <c r="Q130" s="4">
        <v>2.0</v>
      </c>
      <c r="R130" s="4">
        <v>0.0</v>
      </c>
      <c r="AG130" s="5"/>
      <c r="AH130" s="5"/>
      <c r="AI130" s="5"/>
      <c r="AJ130" s="5"/>
      <c r="AK130" s="5"/>
      <c r="AL130" s="5"/>
    </row>
    <row r="131" ht="15.75" customHeight="1">
      <c r="N131" s="4">
        <v>2098.0</v>
      </c>
      <c r="O131" s="4">
        <v>2.0</v>
      </c>
      <c r="P131" s="4">
        <v>2.0</v>
      </c>
      <c r="Q131" s="4">
        <v>2.0</v>
      </c>
      <c r="R131" s="4">
        <v>0.0</v>
      </c>
      <c r="AG131" s="5"/>
      <c r="AH131" s="5"/>
      <c r="AI131" s="5"/>
      <c r="AJ131" s="5"/>
      <c r="AK131" s="5"/>
      <c r="AL131" s="5"/>
    </row>
    <row r="132" ht="15.75" customHeight="1">
      <c r="N132" s="4">
        <v>2099.0</v>
      </c>
      <c r="O132" s="4">
        <v>2.0</v>
      </c>
      <c r="P132" s="4">
        <v>2.0</v>
      </c>
      <c r="Q132" s="4">
        <v>2.0</v>
      </c>
      <c r="R132" s="4">
        <v>0.0</v>
      </c>
      <c r="AG132" s="5"/>
      <c r="AH132" s="5"/>
      <c r="AI132" s="5"/>
      <c r="AJ132" s="5"/>
      <c r="AK132" s="5"/>
      <c r="AL132" s="5"/>
    </row>
    <row r="133" ht="15.75" customHeight="1">
      <c r="N133" s="4">
        <v>2100.0</v>
      </c>
      <c r="O133" s="4">
        <v>2.0</v>
      </c>
      <c r="P133" s="4">
        <v>2.0</v>
      </c>
      <c r="Q133" s="4">
        <v>2.0</v>
      </c>
      <c r="R133" s="4">
        <v>0.0</v>
      </c>
      <c r="AG133" s="5"/>
      <c r="AH133" s="5"/>
      <c r="AI133" s="5"/>
      <c r="AJ133" s="5"/>
      <c r="AK133" s="5"/>
      <c r="AL133" s="5"/>
    </row>
    <row r="134" ht="15.75" customHeight="1">
      <c r="N134" s="4">
        <v>2101.0</v>
      </c>
      <c r="O134" s="4">
        <v>2.0</v>
      </c>
      <c r="P134" s="4">
        <v>2.0</v>
      </c>
      <c r="Q134" s="4">
        <v>2.0</v>
      </c>
      <c r="R134" s="4">
        <v>0.0</v>
      </c>
      <c r="AG134" s="5"/>
      <c r="AH134" s="5"/>
      <c r="AI134" s="5"/>
      <c r="AJ134" s="5"/>
      <c r="AK134" s="5"/>
      <c r="AL134" s="5"/>
    </row>
    <row r="135" ht="15.75" customHeight="1">
      <c r="N135" s="4">
        <v>2102.0</v>
      </c>
      <c r="O135" s="4">
        <v>2.0</v>
      </c>
      <c r="P135" s="4">
        <v>2.0</v>
      </c>
      <c r="Q135" s="4">
        <v>2.0</v>
      </c>
      <c r="R135" s="4">
        <v>0.0</v>
      </c>
      <c r="AG135" s="5"/>
      <c r="AH135" s="5"/>
      <c r="AI135" s="5"/>
      <c r="AJ135" s="5"/>
      <c r="AK135" s="5"/>
      <c r="AL135" s="5"/>
    </row>
    <row r="136" ht="15.75" customHeight="1">
      <c r="N136" s="4">
        <v>2103.0</v>
      </c>
      <c r="O136" s="4">
        <v>2.0</v>
      </c>
      <c r="P136" s="4">
        <v>2.0</v>
      </c>
      <c r="Q136" s="4">
        <v>2.0</v>
      </c>
      <c r="R136" s="4">
        <v>0.0</v>
      </c>
      <c r="AG136" s="5"/>
      <c r="AH136" s="5"/>
      <c r="AI136" s="5"/>
      <c r="AJ136" s="5"/>
      <c r="AK136" s="5"/>
      <c r="AL136" s="5"/>
    </row>
    <row r="137" ht="15.75" customHeight="1">
      <c r="N137" s="4">
        <v>2104.0</v>
      </c>
      <c r="O137" s="4">
        <v>2.0</v>
      </c>
      <c r="P137" s="4">
        <v>2.0</v>
      </c>
      <c r="Q137" s="4">
        <v>2.0</v>
      </c>
      <c r="R137" s="4">
        <v>0.0</v>
      </c>
      <c r="AG137" s="5"/>
      <c r="AH137" s="5"/>
      <c r="AI137" s="5"/>
      <c r="AJ137" s="5"/>
      <c r="AK137" s="5"/>
      <c r="AL137" s="5"/>
    </row>
    <row r="138" ht="15.75" customHeight="1">
      <c r="N138" s="4">
        <v>2105.0</v>
      </c>
      <c r="O138" s="4">
        <v>2.0</v>
      </c>
      <c r="P138" s="4">
        <v>2.0</v>
      </c>
      <c r="Q138" s="4">
        <v>2.0</v>
      </c>
      <c r="R138" s="4">
        <v>0.0</v>
      </c>
      <c r="AG138" s="5"/>
      <c r="AH138" s="5"/>
      <c r="AI138" s="5"/>
      <c r="AJ138" s="5"/>
      <c r="AK138" s="5"/>
      <c r="AL138" s="5"/>
    </row>
    <row r="139" ht="15.75" customHeight="1">
      <c r="N139" s="4">
        <v>2106.0</v>
      </c>
      <c r="O139" s="4">
        <v>2.0</v>
      </c>
      <c r="P139" s="4">
        <v>2.0</v>
      </c>
      <c r="Q139" s="4">
        <v>2.0</v>
      </c>
      <c r="R139" s="4">
        <v>0.0</v>
      </c>
      <c r="AG139" s="5"/>
      <c r="AH139" s="5"/>
      <c r="AI139" s="5"/>
      <c r="AJ139" s="5"/>
      <c r="AK139" s="5"/>
      <c r="AL139" s="5"/>
    </row>
    <row r="140" ht="15.75" customHeight="1">
      <c r="N140" s="4">
        <v>2107.0</v>
      </c>
      <c r="O140" s="4">
        <v>2.0</v>
      </c>
      <c r="P140" s="4">
        <v>2.0</v>
      </c>
      <c r="Q140" s="4">
        <v>2.0</v>
      </c>
      <c r="R140" s="4">
        <v>0.0</v>
      </c>
      <c r="AG140" s="5"/>
      <c r="AH140" s="5"/>
      <c r="AI140" s="5"/>
      <c r="AJ140" s="5"/>
      <c r="AK140" s="5"/>
      <c r="AL140" s="5"/>
    </row>
    <row r="141" ht="15.75" customHeight="1">
      <c r="N141" s="4">
        <v>2108.0</v>
      </c>
      <c r="O141" s="4">
        <v>2.0</v>
      </c>
      <c r="P141" s="4">
        <v>2.0</v>
      </c>
      <c r="Q141" s="4">
        <v>2.0</v>
      </c>
      <c r="R141" s="4">
        <v>0.0</v>
      </c>
      <c r="AG141" s="5"/>
      <c r="AH141" s="5"/>
      <c r="AI141" s="5"/>
      <c r="AJ141" s="5"/>
      <c r="AK141" s="5"/>
      <c r="AL141" s="5"/>
    </row>
    <row r="142" ht="15.75" customHeight="1">
      <c r="N142" s="4">
        <v>2109.0</v>
      </c>
      <c r="O142" s="4">
        <v>2.0</v>
      </c>
      <c r="P142" s="4">
        <v>2.0</v>
      </c>
      <c r="Q142" s="4">
        <v>2.0</v>
      </c>
      <c r="R142" s="4">
        <v>0.0</v>
      </c>
      <c r="AG142" s="5"/>
      <c r="AH142" s="5"/>
      <c r="AI142" s="5"/>
      <c r="AJ142" s="5"/>
      <c r="AK142" s="5"/>
      <c r="AL142" s="5"/>
    </row>
    <row r="143" ht="15.75" customHeight="1">
      <c r="N143" s="4">
        <v>2110.0</v>
      </c>
      <c r="O143" s="4">
        <v>2.0</v>
      </c>
      <c r="P143" s="4">
        <v>2.0</v>
      </c>
      <c r="Q143" s="4">
        <v>2.0</v>
      </c>
      <c r="R143" s="4">
        <v>0.0</v>
      </c>
      <c r="AG143" s="5"/>
      <c r="AH143" s="5"/>
      <c r="AI143" s="5"/>
      <c r="AJ143" s="5"/>
      <c r="AK143" s="5"/>
      <c r="AL143" s="5"/>
    </row>
    <row r="144" ht="15.75" customHeight="1">
      <c r="N144" s="4">
        <v>2111.0</v>
      </c>
      <c r="O144" s="4">
        <v>2.0</v>
      </c>
      <c r="P144" s="4">
        <v>2.0</v>
      </c>
      <c r="Q144" s="4">
        <v>2.0</v>
      </c>
      <c r="R144" s="4">
        <v>0.0</v>
      </c>
      <c r="AG144" s="5"/>
      <c r="AH144" s="5"/>
      <c r="AI144" s="5"/>
      <c r="AJ144" s="5"/>
      <c r="AK144" s="5"/>
      <c r="AL144" s="5"/>
    </row>
    <row r="145" ht="15.75" customHeight="1">
      <c r="N145" s="4">
        <v>2112.0</v>
      </c>
      <c r="O145" s="4">
        <v>2.0</v>
      </c>
      <c r="P145" s="4">
        <v>2.0</v>
      </c>
      <c r="Q145" s="4">
        <v>2.0</v>
      </c>
      <c r="R145" s="4">
        <v>0.0</v>
      </c>
      <c r="AG145" s="5"/>
      <c r="AH145" s="5"/>
      <c r="AI145" s="5"/>
      <c r="AJ145" s="5"/>
      <c r="AK145" s="5"/>
      <c r="AL145" s="5"/>
    </row>
    <row r="146" ht="15.75" customHeight="1">
      <c r="N146" s="4">
        <v>2113.0</v>
      </c>
      <c r="O146" s="4">
        <v>2.0</v>
      </c>
      <c r="P146" s="4">
        <v>2.0</v>
      </c>
      <c r="Q146" s="4">
        <v>2.0</v>
      </c>
      <c r="R146" s="4">
        <v>0.0</v>
      </c>
      <c r="AG146" s="5"/>
      <c r="AH146" s="5"/>
      <c r="AI146" s="5"/>
      <c r="AJ146" s="5"/>
      <c r="AK146" s="5"/>
      <c r="AL146" s="5"/>
    </row>
    <row r="147" ht="15.75" customHeight="1">
      <c r="N147" s="4">
        <v>2114.0</v>
      </c>
      <c r="O147" s="4">
        <v>2.0</v>
      </c>
      <c r="P147" s="4">
        <v>2.0</v>
      </c>
      <c r="Q147" s="4">
        <v>2.0</v>
      </c>
      <c r="R147" s="4">
        <v>0.0</v>
      </c>
      <c r="AG147" s="5"/>
      <c r="AH147" s="5"/>
      <c r="AI147" s="5"/>
      <c r="AJ147" s="5"/>
      <c r="AK147" s="5"/>
      <c r="AL147" s="5"/>
    </row>
    <row r="148" ht="15.75" customHeight="1">
      <c r="N148" s="4">
        <v>2115.0</v>
      </c>
      <c r="O148" s="4">
        <v>2.0</v>
      </c>
      <c r="P148" s="4">
        <v>2.0</v>
      </c>
      <c r="Q148" s="4">
        <v>2.0</v>
      </c>
      <c r="R148" s="4">
        <v>0.0</v>
      </c>
      <c r="AG148" s="5"/>
      <c r="AH148" s="5"/>
      <c r="AI148" s="5"/>
      <c r="AJ148" s="5"/>
      <c r="AK148" s="5"/>
      <c r="AL148" s="5"/>
    </row>
    <row r="149" ht="15.75" customHeight="1">
      <c r="N149" s="4">
        <v>2116.0</v>
      </c>
      <c r="O149" s="4">
        <v>2.0</v>
      </c>
      <c r="P149" s="4">
        <v>2.0</v>
      </c>
      <c r="Q149" s="4">
        <v>2.0</v>
      </c>
      <c r="R149" s="4">
        <v>0.0</v>
      </c>
      <c r="AG149" s="5"/>
      <c r="AH149" s="5"/>
      <c r="AI149" s="5"/>
      <c r="AJ149" s="5"/>
      <c r="AK149" s="5"/>
      <c r="AL149" s="5"/>
    </row>
    <row r="150" ht="15.75" customHeight="1">
      <c r="N150" s="4">
        <v>2117.0</v>
      </c>
      <c r="O150" s="4">
        <v>2.0</v>
      </c>
      <c r="P150" s="4">
        <v>2.0</v>
      </c>
      <c r="Q150" s="4">
        <v>2.0</v>
      </c>
      <c r="R150" s="4">
        <v>0.0</v>
      </c>
      <c r="AG150" s="5"/>
      <c r="AH150" s="5"/>
      <c r="AI150" s="5"/>
      <c r="AJ150" s="5"/>
      <c r="AK150" s="5"/>
      <c r="AL150" s="5"/>
    </row>
    <row r="151" ht="15.75" customHeight="1">
      <c r="N151" s="4">
        <v>2118.0</v>
      </c>
      <c r="O151" s="4">
        <v>2.0</v>
      </c>
      <c r="P151" s="4">
        <v>2.0</v>
      </c>
      <c r="Q151" s="4">
        <v>2.0</v>
      </c>
      <c r="R151" s="4">
        <v>0.0</v>
      </c>
      <c r="AG151" s="5"/>
      <c r="AH151" s="5"/>
      <c r="AI151" s="5"/>
      <c r="AJ151" s="5"/>
      <c r="AK151" s="5"/>
      <c r="AL151" s="5"/>
    </row>
    <row r="152" ht="15.75" customHeight="1">
      <c r="N152" s="4">
        <v>2119.0</v>
      </c>
      <c r="O152" s="4">
        <v>2.0</v>
      </c>
      <c r="P152" s="4">
        <v>2.0</v>
      </c>
      <c r="Q152" s="4">
        <v>2.0</v>
      </c>
      <c r="R152" s="4">
        <v>0.0</v>
      </c>
      <c r="AG152" s="5"/>
      <c r="AH152" s="5"/>
      <c r="AI152" s="5"/>
      <c r="AJ152" s="5"/>
      <c r="AK152" s="5"/>
      <c r="AL152" s="5"/>
    </row>
    <row r="153" ht="15.75" customHeight="1">
      <c r="N153" s="4">
        <v>2120.0</v>
      </c>
      <c r="O153" s="4">
        <v>2.0</v>
      </c>
      <c r="P153" s="4">
        <v>2.0</v>
      </c>
      <c r="Q153" s="4">
        <v>2.0</v>
      </c>
      <c r="R153" s="4">
        <v>0.0</v>
      </c>
      <c r="AG153" s="5"/>
      <c r="AH153" s="5"/>
      <c r="AI153" s="5"/>
      <c r="AJ153" s="5"/>
      <c r="AK153" s="5"/>
      <c r="AL153" s="5"/>
    </row>
    <row r="154" ht="15.75" customHeight="1">
      <c r="N154" s="4">
        <v>2121.0</v>
      </c>
      <c r="O154" s="4">
        <v>2.0</v>
      </c>
      <c r="P154" s="4">
        <v>2.0</v>
      </c>
      <c r="Q154" s="4">
        <v>2.0</v>
      </c>
      <c r="R154" s="4">
        <v>0.0</v>
      </c>
      <c r="AG154" s="5"/>
      <c r="AH154" s="5"/>
      <c r="AI154" s="5"/>
      <c r="AJ154" s="5"/>
      <c r="AK154" s="5"/>
      <c r="AL154" s="5"/>
    </row>
    <row r="155" ht="15.75" customHeight="1">
      <c r="N155" s="4">
        <v>2122.0</v>
      </c>
      <c r="O155" s="4">
        <v>2.0</v>
      </c>
      <c r="P155" s="4">
        <v>2.0</v>
      </c>
      <c r="Q155" s="4">
        <v>2.0</v>
      </c>
      <c r="R155" s="4">
        <v>0.0</v>
      </c>
      <c r="AG155" s="5"/>
      <c r="AH155" s="5"/>
      <c r="AI155" s="5"/>
      <c r="AJ155" s="5"/>
      <c r="AK155" s="5"/>
      <c r="AL155" s="5"/>
    </row>
    <row r="156" ht="15.75" customHeight="1">
      <c r="N156" s="4">
        <v>2123.0</v>
      </c>
      <c r="O156" s="4">
        <v>2.0</v>
      </c>
      <c r="P156" s="4">
        <v>2.0</v>
      </c>
      <c r="Q156" s="4">
        <v>2.0</v>
      </c>
      <c r="R156" s="4">
        <v>0.0</v>
      </c>
      <c r="AG156" s="5"/>
      <c r="AH156" s="5"/>
      <c r="AI156" s="5"/>
      <c r="AJ156" s="5"/>
      <c r="AK156" s="5"/>
      <c r="AL156" s="5"/>
    </row>
    <row r="157" ht="15.75" customHeight="1">
      <c r="N157" s="4">
        <v>2124.0</v>
      </c>
      <c r="O157" s="4">
        <v>2.0</v>
      </c>
      <c r="P157" s="4">
        <v>2.0</v>
      </c>
      <c r="Q157" s="4">
        <v>2.0</v>
      </c>
      <c r="R157" s="4">
        <v>0.0</v>
      </c>
      <c r="AG157" s="5"/>
      <c r="AH157" s="5"/>
      <c r="AI157" s="5"/>
      <c r="AJ157" s="5"/>
      <c r="AK157" s="5"/>
      <c r="AL157" s="5"/>
    </row>
    <row r="158" ht="15.75" customHeight="1">
      <c r="N158" s="4">
        <v>2125.0</v>
      </c>
      <c r="O158" s="4">
        <v>2.0</v>
      </c>
      <c r="P158" s="4">
        <v>2.0</v>
      </c>
      <c r="Q158" s="4">
        <v>2.0</v>
      </c>
      <c r="R158" s="4">
        <v>0.0</v>
      </c>
      <c r="AG158" s="5"/>
      <c r="AH158" s="5"/>
      <c r="AI158" s="5"/>
      <c r="AJ158" s="5"/>
      <c r="AK158" s="5"/>
      <c r="AL158" s="5"/>
    </row>
    <row r="159" ht="15.75" customHeight="1">
      <c r="N159" s="4">
        <v>2126.0</v>
      </c>
      <c r="O159" s="4">
        <v>2.0</v>
      </c>
      <c r="P159" s="4">
        <v>2.0</v>
      </c>
      <c r="Q159" s="4">
        <v>2.0</v>
      </c>
      <c r="R159" s="4">
        <v>0.0</v>
      </c>
      <c r="AG159" s="5"/>
      <c r="AH159" s="5"/>
      <c r="AI159" s="5"/>
      <c r="AJ159" s="5"/>
      <c r="AK159" s="5"/>
      <c r="AL159" s="5"/>
    </row>
    <row r="160" ht="15.75" customHeight="1">
      <c r="N160" s="4">
        <v>2127.0</v>
      </c>
      <c r="O160" s="4">
        <v>2.0</v>
      </c>
      <c r="P160" s="4">
        <v>2.0</v>
      </c>
      <c r="Q160" s="4">
        <v>2.0</v>
      </c>
      <c r="R160" s="4">
        <v>0.0</v>
      </c>
      <c r="AG160" s="5"/>
      <c r="AH160" s="5"/>
      <c r="AI160" s="5"/>
      <c r="AJ160" s="5"/>
      <c r="AK160" s="5"/>
      <c r="AL160" s="5"/>
    </row>
    <row r="161" ht="15.75" customHeight="1">
      <c r="N161" s="4">
        <v>2128.0</v>
      </c>
      <c r="O161" s="4">
        <v>2.0</v>
      </c>
      <c r="P161" s="4">
        <v>2.0</v>
      </c>
      <c r="Q161" s="4">
        <v>2.0</v>
      </c>
      <c r="R161" s="4">
        <v>0.0</v>
      </c>
      <c r="AG161" s="5"/>
      <c r="AH161" s="5"/>
      <c r="AI161" s="5"/>
      <c r="AJ161" s="5"/>
      <c r="AK161" s="5"/>
      <c r="AL161" s="5"/>
    </row>
    <row r="162" ht="15.75" customHeight="1">
      <c r="N162" s="4">
        <v>2129.0</v>
      </c>
      <c r="O162" s="4">
        <v>2.0</v>
      </c>
      <c r="P162" s="4">
        <v>2.0</v>
      </c>
      <c r="Q162" s="4">
        <v>2.0</v>
      </c>
      <c r="R162" s="4">
        <v>0.0</v>
      </c>
      <c r="AG162" s="5"/>
      <c r="AH162" s="5"/>
      <c r="AI162" s="5"/>
      <c r="AJ162" s="5"/>
      <c r="AK162" s="5"/>
      <c r="AL162" s="5"/>
    </row>
    <row r="163" ht="15.75" customHeight="1">
      <c r="N163" s="4">
        <v>2130.0</v>
      </c>
      <c r="O163" s="4">
        <v>2.0</v>
      </c>
      <c r="P163" s="4">
        <v>2.0</v>
      </c>
      <c r="Q163" s="4">
        <v>2.0</v>
      </c>
      <c r="R163" s="4">
        <v>0.0</v>
      </c>
      <c r="AG163" s="5"/>
      <c r="AH163" s="5"/>
      <c r="AI163" s="5"/>
      <c r="AJ163" s="5"/>
      <c r="AK163" s="5"/>
      <c r="AL163" s="5"/>
    </row>
    <row r="164" ht="15.75" customHeight="1">
      <c r="N164" s="4">
        <v>2131.0</v>
      </c>
      <c r="O164" s="4">
        <v>2.0</v>
      </c>
      <c r="P164" s="4">
        <v>2.0</v>
      </c>
      <c r="Q164" s="4">
        <v>2.0</v>
      </c>
      <c r="R164" s="4">
        <v>0.0</v>
      </c>
      <c r="AG164" s="5"/>
      <c r="AH164" s="5"/>
      <c r="AI164" s="5"/>
      <c r="AJ164" s="5"/>
      <c r="AK164" s="5"/>
      <c r="AL164" s="5"/>
    </row>
    <row r="165" ht="15.75" customHeight="1">
      <c r="N165" s="4">
        <v>2132.0</v>
      </c>
      <c r="O165" s="4">
        <v>2.0</v>
      </c>
      <c r="P165" s="4">
        <v>2.0</v>
      </c>
      <c r="Q165" s="4">
        <v>2.0</v>
      </c>
      <c r="R165" s="4">
        <v>0.0</v>
      </c>
      <c r="AG165" s="5"/>
      <c r="AH165" s="5"/>
      <c r="AI165" s="5"/>
      <c r="AJ165" s="5"/>
      <c r="AK165" s="5"/>
      <c r="AL165" s="5"/>
    </row>
    <row r="166" ht="15.75" customHeight="1">
      <c r="N166" s="4">
        <v>2133.0</v>
      </c>
      <c r="O166" s="4">
        <v>2.0</v>
      </c>
      <c r="P166" s="4">
        <v>2.0</v>
      </c>
      <c r="Q166" s="4">
        <v>2.0</v>
      </c>
      <c r="R166" s="4">
        <v>0.0</v>
      </c>
      <c r="AG166" s="5"/>
      <c r="AH166" s="5"/>
      <c r="AI166" s="5"/>
      <c r="AJ166" s="5"/>
      <c r="AK166" s="5"/>
      <c r="AL166" s="5"/>
    </row>
    <row r="167" ht="15.75" customHeight="1">
      <c r="N167" s="4">
        <v>2134.0</v>
      </c>
      <c r="O167" s="4">
        <v>2.0</v>
      </c>
      <c r="P167" s="4">
        <v>2.0</v>
      </c>
      <c r="Q167" s="4">
        <v>2.0</v>
      </c>
      <c r="R167" s="4">
        <v>0.0</v>
      </c>
      <c r="AG167" s="5"/>
      <c r="AH167" s="5"/>
      <c r="AI167" s="5"/>
      <c r="AJ167" s="5"/>
      <c r="AK167" s="5"/>
      <c r="AL167" s="5"/>
    </row>
    <row r="168" ht="15.75" customHeight="1">
      <c r="N168" s="4">
        <v>2135.0</v>
      </c>
      <c r="O168" s="4">
        <v>2.0</v>
      </c>
      <c r="P168" s="4">
        <v>2.0</v>
      </c>
      <c r="Q168" s="4">
        <v>2.0</v>
      </c>
      <c r="R168" s="4">
        <v>0.0</v>
      </c>
      <c r="AG168" s="5"/>
      <c r="AH168" s="5"/>
      <c r="AI168" s="5"/>
      <c r="AJ168" s="5"/>
      <c r="AK168" s="5"/>
      <c r="AL168" s="5"/>
    </row>
    <row r="169" ht="15.75" customHeight="1">
      <c r="N169" s="4">
        <v>2136.0</v>
      </c>
      <c r="O169" s="4">
        <v>2.0</v>
      </c>
      <c r="P169" s="4">
        <v>2.0</v>
      </c>
      <c r="Q169" s="4">
        <v>2.0</v>
      </c>
      <c r="R169" s="4">
        <v>0.0</v>
      </c>
      <c r="AG169" s="5"/>
      <c r="AH169" s="5"/>
      <c r="AI169" s="5"/>
      <c r="AJ169" s="5"/>
      <c r="AK169" s="5"/>
      <c r="AL169" s="5"/>
    </row>
    <row r="170" ht="15.75" customHeight="1">
      <c r="N170" s="4">
        <v>2137.0</v>
      </c>
      <c r="O170" s="4">
        <v>2.0</v>
      </c>
      <c r="P170" s="4">
        <v>2.0</v>
      </c>
      <c r="Q170" s="4">
        <v>2.0</v>
      </c>
      <c r="R170" s="4">
        <v>0.0</v>
      </c>
      <c r="AG170" s="5"/>
      <c r="AH170" s="5"/>
      <c r="AI170" s="5"/>
      <c r="AJ170" s="5"/>
      <c r="AK170" s="5"/>
      <c r="AL170" s="5"/>
    </row>
    <row r="171" ht="15.75" customHeight="1">
      <c r="N171" s="4">
        <v>2138.0</v>
      </c>
      <c r="O171" s="4">
        <v>2.0</v>
      </c>
      <c r="P171" s="4">
        <v>2.0</v>
      </c>
      <c r="Q171" s="4">
        <v>2.0</v>
      </c>
      <c r="R171" s="4">
        <v>0.0</v>
      </c>
      <c r="AG171" s="5"/>
      <c r="AH171" s="5"/>
      <c r="AI171" s="5"/>
      <c r="AJ171" s="5"/>
      <c r="AK171" s="5"/>
      <c r="AL171" s="5"/>
    </row>
    <row r="172" ht="15.75" customHeight="1">
      <c r="N172" s="4">
        <v>2139.0</v>
      </c>
      <c r="O172" s="4">
        <v>2.0</v>
      </c>
      <c r="P172" s="4">
        <v>2.0</v>
      </c>
      <c r="Q172" s="4">
        <v>2.0</v>
      </c>
      <c r="R172" s="4">
        <v>0.0</v>
      </c>
      <c r="AG172" s="5"/>
      <c r="AH172" s="5"/>
      <c r="AI172" s="5"/>
      <c r="AJ172" s="5"/>
      <c r="AK172" s="5"/>
      <c r="AL172" s="5"/>
    </row>
    <row r="173" ht="15.75" customHeight="1">
      <c r="N173" s="4">
        <v>2140.0</v>
      </c>
      <c r="O173" s="4">
        <v>2.0</v>
      </c>
      <c r="P173" s="4">
        <v>2.0</v>
      </c>
      <c r="Q173" s="4">
        <v>2.0</v>
      </c>
      <c r="R173" s="4">
        <v>0.0</v>
      </c>
      <c r="AG173" s="5"/>
      <c r="AH173" s="5"/>
      <c r="AI173" s="5"/>
      <c r="AJ173" s="5"/>
      <c r="AK173" s="5"/>
      <c r="AL173" s="5"/>
    </row>
    <row r="174" ht="15.75" customHeight="1">
      <c r="N174" s="4">
        <v>2141.0</v>
      </c>
      <c r="O174" s="4">
        <v>2.0</v>
      </c>
      <c r="P174" s="4">
        <v>2.0</v>
      </c>
      <c r="Q174" s="4">
        <v>2.0</v>
      </c>
      <c r="R174" s="4">
        <v>0.0</v>
      </c>
      <c r="AG174" s="5"/>
      <c r="AH174" s="5"/>
      <c r="AI174" s="5"/>
      <c r="AJ174" s="5"/>
      <c r="AK174" s="5"/>
      <c r="AL174" s="5"/>
    </row>
    <row r="175" ht="15.75" customHeight="1">
      <c r="N175" s="4">
        <v>2142.0</v>
      </c>
      <c r="O175" s="4">
        <v>2.0</v>
      </c>
      <c r="P175" s="4">
        <v>2.0</v>
      </c>
      <c r="Q175" s="4">
        <v>2.0</v>
      </c>
      <c r="R175" s="4">
        <v>0.0</v>
      </c>
      <c r="AG175" s="5"/>
      <c r="AH175" s="5"/>
      <c r="AI175" s="5"/>
      <c r="AJ175" s="5"/>
      <c r="AK175" s="5"/>
      <c r="AL175" s="5"/>
    </row>
    <row r="176" ht="15.75" customHeight="1">
      <c r="N176" s="4">
        <v>2143.0</v>
      </c>
      <c r="O176" s="4">
        <v>2.0</v>
      </c>
      <c r="P176" s="4">
        <v>2.0</v>
      </c>
      <c r="Q176" s="4">
        <v>2.0</v>
      </c>
      <c r="R176" s="4">
        <v>0.0</v>
      </c>
      <c r="AG176" s="5"/>
      <c r="AH176" s="5"/>
      <c r="AI176" s="5"/>
      <c r="AJ176" s="5"/>
      <c r="AK176" s="5"/>
      <c r="AL176" s="5"/>
    </row>
    <row r="177" ht="15.75" customHeight="1">
      <c r="N177" s="4">
        <v>2144.0</v>
      </c>
      <c r="O177" s="4">
        <v>2.0</v>
      </c>
      <c r="P177" s="4">
        <v>2.0</v>
      </c>
      <c r="Q177" s="4">
        <v>2.0</v>
      </c>
      <c r="R177" s="4">
        <v>0.0</v>
      </c>
      <c r="AG177" s="5"/>
      <c r="AH177" s="5"/>
      <c r="AI177" s="5"/>
      <c r="AJ177" s="5"/>
      <c r="AK177" s="5"/>
      <c r="AL177" s="5"/>
    </row>
    <row r="178" ht="15.75" customHeight="1">
      <c r="N178" s="4">
        <v>2145.0</v>
      </c>
      <c r="O178" s="4">
        <v>2.0</v>
      </c>
      <c r="P178" s="4">
        <v>2.0</v>
      </c>
      <c r="Q178" s="4">
        <v>2.0</v>
      </c>
      <c r="R178" s="4">
        <v>0.0</v>
      </c>
      <c r="AG178" s="5"/>
      <c r="AH178" s="5"/>
      <c r="AI178" s="5"/>
      <c r="AJ178" s="5"/>
      <c r="AK178" s="5"/>
      <c r="AL178" s="5"/>
    </row>
    <row r="179" ht="15.75" customHeight="1">
      <c r="N179" s="4">
        <v>2146.0</v>
      </c>
      <c r="O179" s="4">
        <v>2.0</v>
      </c>
      <c r="P179" s="4">
        <v>2.0</v>
      </c>
      <c r="Q179" s="4">
        <v>2.0</v>
      </c>
      <c r="R179" s="4">
        <v>0.0</v>
      </c>
      <c r="AG179" s="5"/>
      <c r="AH179" s="5"/>
      <c r="AI179" s="5"/>
      <c r="AJ179" s="5"/>
      <c r="AK179" s="5"/>
      <c r="AL179" s="5"/>
    </row>
    <row r="180" ht="15.75" customHeight="1">
      <c r="N180" s="4">
        <v>2147.0</v>
      </c>
      <c r="O180" s="4">
        <v>2.0</v>
      </c>
      <c r="P180" s="4">
        <v>2.0</v>
      </c>
      <c r="Q180" s="4">
        <v>2.0</v>
      </c>
      <c r="R180" s="4">
        <v>0.0</v>
      </c>
      <c r="AG180" s="5"/>
      <c r="AH180" s="5"/>
      <c r="AI180" s="5"/>
      <c r="AJ180" s="5"/>
      <c r="AK180" s="5"/>
      <c r="AL180" s="5"/>
    </row>
    <row r="181" ht="15.75" customHeight="1">
      <c r="N181" s="4">
        <v>2148.0</v>
      </c>
      <c r="O181" s="4">
        <v>2.0</v>
      </c>
      <c r="P181" s="4">
        <v>2.0</v>
      </c>
      <c r="Q181" s="4">
        <v>2.0</v>
      </c>
      <c r="R181" s="4">
        <v>0.0</v>
      </c>
      <c r="AG181" s="5"/>
      <c r="AH181" s="5"/>
      <c r="AI181" s="5"/>
      <c r="AJ181" s="5"/>
      <c r="AK181" s="5"/>
      <c r="AL181" s="5"/>
    </row>
    <row r="182" ht="15.75" customHeight="1">
      <c r="N182" s="4">
        <v>2149.0</v>
      </c>
      <c r="O182" s="4">
        <v>2.0</v>
      </c>
      <c r="P182" s="4">
        <v>2.0</v>
      </c>
      <c r="Q182" s="4">
        <v>2.0</v>
      </c>
      <c r="R182" s="4">
        <v>0.0</v>
      </c>
      <c r="AG182" s="5"/>
      <c r="AH182" s="5"/>
      <c r="AI182" s="5"/>
      <c r="AJ182" s="5"/>
      <c r="AK182" s="5"/>
      <c r="AL182" s="5"/>
    </row>
    <row r="183" ht="15.75" customHeight="1">
      <c r="N183" s="4">
        <v>2150.0</v>
      </c>
      <c r="O183" s="4">
        <v>2.0</v>
      </c>
      <c r="P183" s="4">
        <v>2.0</v>
      </c>
      <c r="Q183" s="4">
        <v>2.0</v>
      </c>
      <c r="R183" s="4">
        <v>0.0</v>
      </c>
      <c r="AG183" s="5"/>
      <c r="AH183" s="5"/>
      <c r="AI183" s="5"/>
      <c r="AJ183" s="5"/>
      <c r="AK183" s="5"/>
      <c r="AL183" s="5"/>
    </row>
    <row r="184" ht="15.75" customHeight="1">
      <c r="N184" s="4">
        <v>2151.0</v>
      </c>
      <c r="O184" s="4">
        <v>2.0</v>
      </c>
      <c r="P184" s="4">
        <v>2.0</v>
      </c>
      <c r="Q184" s="4">
        <v>2.0</v>
      </c>
      <c r="R184" s="4">
        <v>0.0</v>
      </c>
      <c r="AG184" s="5"/>
      <c r="AH184" s="5"/>
      <c r="AI184" s="5"/>
      <c r="AJ184" s="5"/>
      <c r="AK184" s="5"/>
      <c r="AL184" s="5"/>
    </row>
    <row r="185" ht="15.75" customHeight="1">
      <c r="N185" s="4">
        <v>2152.0</v>
      </c>
      <c r="O185" s="4">
        <v>2.0</v>
      </c>
      <c r="P185" s="4">
        <v>2.0</v>
      </c>
      <c r="Q185" s="4">
        <v>2.0</v>
      </c>
      <c r="R185" s="4">
        <v>0.0</v>
      </c>
      <c r="AG185" s="5"/>
      <c r="AH185" s="5"/>
      <c r="AI185" s="5"/>
      <c r="AJ185" s="5"/>
      <c r="AK185" s="5"/>
      <c r="AL185" s="5"/>
    </row>
    <row r="186" ht="15.75" customHeight="1">
      <c r="N186" s="4">
        <v>2153.0</v>
      </c>
      <c r="O186" s="4">
        <v>2.0</v>
      </c>
      <c r="P186" s="4">
        <v>2.0</v>
      </c>
      <c r="Q186" s="4">
        <v>2.0</v>
      </c>
      <c r="R186" s="4">
        <v>0.0</v>
      </c>
      <c r="AG186" s="5"/>
      <c r="AH186" s="5"/>
      <c r="AI186" s="5"/>
      <c r="AJ186" s="5"/>
      <c r="AK186" s="5"/>
      <c r="AL186" s="5"/>
    </row>
    <row r="187" ht="15.75" customHeight="1">
      <c r="N187" s="4">
        <v>2154.0</v>
      </c>
      <c r="O187" s="4">
        <v>2.0</v>
      </c>
      <c r="P187" s="4">
        <v>2.0</v>
      </c>
      <c r="Q187" s="4">
        <v>2.0</v>
      </c>
      <c r="R187" s="4">
        <v>0.0</v>
      </c>
      <c r="AG187" s="5"/>
      <c r="AH187" s="5"/>
      <c r="AI187" s="5"/>
      <c r="AJ187" s="5"/>
      <c r="AK187" s="5"/>
      <c r="AL187" s="5"/>
    </row>
    <row r="188" ht="15.75" customHeight="1">
      <c r="N188" s="4">
        <v>2155.0</v>
      </c>
      <c r="O188" s="4">
        <v>2.0</v>
      </c>
      <c r="P188" s="4">
        <v>2.0</v>
      </c>
      <c r="Q188" s="4">
        <v>2.0</v>
      </c>
      <c r="R188" s="4">
        <v>0.0</v>
      </c>
      <c r="AG188" s="5"/>
      <c r="AH188" s="5"/>
      <c r="AI188" s="5"/>
      <c r="AJ188" s="5"/>
      <c r="AK188" s="5"/>
      <c r="AL188" s="5"/>
    </row>
    <row r="189" ht="15.75" customHeight="1">
      <c r="N189" s="4">
        <v>2156.0</v>
      </c>
      <c r="O189" s="4">
        <v>2.0</v>
      </c>
      <c r="P189" s="4">
        <v>2.0</v>
      </c>
      <c r="Q189" s="4">
        <v>2.0</v>
      </c>
      <c r="R189" s="4">
        <v>0.0</v>
      </c>
      <c r="AG189" s="5"/>
      <c r="AH189" s="5"/>
      <c r="AI189" s="5"/>
      <c r="AJ189" s="5"/>
      <c r="AK189" s="5"/>
      <c r="AL189" s="5"/>
    </row>
    <row r="190" ht="15.75" customHeight="1">
      <c r="N190" s="4">
        <v>2157.0</v>
      </c>
      <c r="O190" s="4">
        <v>2.0</v>
      </c>
      <c r="P190" s="4">
        <v>2.0</v>
      </c>
      <c r="Q190" s="4">
        <v>2.0</v>
      </c>
      <c r="R190" s="4">
        <v>0.0</v>
      </c>
      <c r="AG190" s="5"/>
      <c r="AH190" s="5"/>
      <c r="AI190" s="5"/>
      <c r="AJ190" s="5"/>
      <c r="AK190" s="5"/>
      <c r="AL190" s="5"/>
    </row>
    <row r="191" ht="15.75" customHeight="1">
      <c r="N191" s="4">
        <v>2158.0</v>
      </c>
      <c r="O191" s="4">
        <v>2.0</v>
      </c>
      <c r="P191" s="4">
        <v>2.0</v>
      </c>
      <c r="Q191" s="4">
        <v>2.0</v>
      </c>
      <c r="R191" s="4">
        <v>0.0</v>
      </c>
      <c r="AG191" s="5"/>
      <c r="AH191" s="5"/>
      <c r="AI191" s="5"/>
      <c r="AJ191" s="5"/>
      <c r="AK191" s="5"/>
      <c r="AL191" s="5"/>
    </row>
    <row r="192" ht="15.75" customHeight="1">
      <c r="N192" s="4">
        <v>2159.0</v>
      </c>
      <c r="O192" s="4">
        <v>2.0</v>
      </c>
      <c r="P192" s="4">
        <v>2.0</v>
      </c>
      <c r="Q192" s="4">
        <v>2.0</v>
      </c>
      <c r="R192" s="4">
        <v>0.0</v>
      </c>
      <c r="AG192" s="5"/>
      <c r="AH192" s="5"/>
      <c r="AI192" s="5"/>
      <c r="AJ192" s="5"/>
      <c r="AK192" s="5"/>
      <c r="AL192" s="5"/>
    </row>
    <row r="193" ht="15.75" customHeight="1">
      <c r="N193" s="4">
        <v>2160.0</v>
      </c>
      <c r="O193" s="4">
        <v>2.0</v>
      </c>
      <c r="P193" s="4">
        <v>2.0</v>
      </c>
      <c r="Q193" s="4">
        <v>2.0</v>
      </c>
      <c r="R193" s="4">
        <v>0.0</v>
      </c>
      <c r="AG193" s="5"/>
      <c r="AH193" s="5"/>
      <c r="AI193" s="5"/>
      <c r="AJ193" s="5"/>
      <c r="AK193" s="5"/>
      <c r="AL193" s="5"/>
    </row>
    <row r="194" ht="15.75" customHeight="1">
      <c r="N194" s="4">
        <v>2161.0</v>
      </c>
      <c r="O194" s="4">
        <v>2.0</v>
      </c>
      <c r="P194" s="4">
        <v>2.0</v>
      </c>
      <c r="Q194" s="4">
        <v>2.0</v>
      </c>
      <c r="R194" s="4">
        <v>0.0</v>
      </c>
      <c r="AG194" s="5"/>
      <c r="AH194" s="5"/>
      <c r="AI194" s="5"/>
      <c r="AJ194" s="5"/>
      <c r="AK194" s="5"/>
      <c r="AL194" s="5"/>
    </row>
    <row r="195" ht="15.75" customHeight="1">
      <c r="N195" s="4">
        <v>2162.0</v>
      </c>
      <c r="O195" s="4">
        <v>2.0</v>
      </c>
      <c r="P195" s="4">
        <v>2.0</v>
      </c>
      <c r="Q195" s="4">
        <v>2.0</v>
      </c>
      <c r="R195" s="4">
        <v>0.0</v>
      </c>
      <c r="AG195" s="5"/>
      <c r="AH195" s="5"/>
      <c r="AI195" s="5"/>
      <c r="AJ195" s="5"/>
      <c r="AK195" s="5"/>
      <c r="AL195" s="5"/>
    </row>
    <row r="196" ht="15.75" customHeight="1">
      <c r="N196" s="4">
        <v>2163.0</v>
      </c>
      <c r="O196" s="4">
        <v>2.0</v>
      </c>
      <c r="P196" s="4">
        <v>2.0</v>
      </c>
      <c r="Q196" s="4">
        <v>2.0</v>
      </c>
      <c r="R196" s="4">
        <v>0.0</v>
      </c>
      <c r="AG196" s="5"/>
      <c r="AH196" s="5"/>
      <c r="AI196" s="5"/>
      <c r="AJ196" s="5"/>
      <c r="AK196" s="5"/>
      <c r="AL196" s="5"/>
    </row>
    <row r="197" ht="15.75" customHeight="1">
      <c r="N197" s="4">
        <v>2164.0</v>
      </c>
      <c r="O197" s="4">
        <v>2.0</v>
      </c>
      <c r="P197" s="4">
        <v>2.0</v>
      </c>
      <c r="Q197" s="4">
        <v>2.0</v>
      </c>
      <c r="R197" s="4">
        <v>0.0</v>
      </c>
      <c r="AG197" s="5"/>
      <c r="AH197" s="5"/>
      <c r="AI197" s="5"/>
      <c r="AJ197" s="5"/>
      <c r="AK197" s="5"/>
      <c r="AL197" s="5"/>
    </row>
    <row r="198" ht="15.75" customHeight="1">
      <c r="N198" s="4">
        <v>2165.0</v>
      </c>
      <c r="O198" s="4">
        <v>2.0</v>
      </c>
      <c r="P198" s="4">
        <v>2.0</v>
      </c>
      <c r="Q198" s="4">
        <v>2.0</v>
      </c>
      <c r="R198" s="4">
        <v>0.0</v>
      </c>
      <c r="AG198" s="5"/>
      <c r="AH198" s="5"/>
      <c r="AI198" s="5"/>
      <c r="AJ198" s="5"/>
      <c r="AK198" s="5"/>
      <c r="AL198" s="5"/>
    </row>
    <row r="199" ht="15.75" customHeight="1">
      <c r="N199" s="4">
        <v>2166.0</v>
      </c>
      <c r="O199" s="4">
        <v>2.0</v>
      </c>
      <c r="P199" s="4">
        <v>2.0</v>
      </c>
      <c r="Q199" s="4">
        <v>2.0</v>
      </c>
      <c r="R199" s="4">
        <v>0.0</v>
      </c>
      <c r="AG199" s="5"/>
      <c r="AH199" s="5"/>
      <c r="AI199" s="5"/>
      <c r="AJ199" s="5"/>
      <c r="AK199" s="5"/>
      <c r="AL199" s="5"/>
    </row>
    <row r="200" ht="15.75" customHeight="1">
      <c r="N200" s="4">
        <v>2167.0</v>
      </c>
      <c r="O200" s="4">
        <v>2.0</v>
      </c>
      <c r="P200" s="4">
        <v>2.0</v>
      </c>
      <c r="Q200" s="4">
        <v>2.0</v>
      </c>
      <c r="R200" s="4">
        <v>0.0</v>
      </c>
      <c r="AG200" s="5"/>
      <c r="AH200" s="5"/>
      <c r="AI200" s="5"/>
      <c r="AJ200" s="5"/>
      <c r="AK200" s="5"/>
      <c r="AL200" s="5"/>
    </row>
    <row r="201" ht="15.75" customHeight="1">
      <c r="N201" s="4">
        <v>2168.0</v>
      </c>
      <c r="O201" s="4">
        <v>2.0</v>
      </c>
      <c r="P201" s="4">
        <v>2.0</v>
      </c>
      <c r="Q201" s="4">
        <v>2.0</v>
      </c>
      <c r="R201" s="4">
        <v>0.0</v>
      </c>
      <c r="AG201" s="5"/>
      <c r="AH201" s="5"/>
      <c r="AI201" s="5"/>
      <c r="AJ201" s="5"/>
      <c r="AK201" s="5"/>
      <c r="AL201" s="5"/>
    </row>
    <row r="202" ht="15.75" customHeight="1">
      <c r="N202" s="4">
        <v>2169.0</v>
      </c>
      <c r="O202" s="4">
        <v>2.0</v>
      </c>
      <c r="P202" s="4">
        <v>2.0</v>
      </c>
      <c r="Q202" s="4">
        <v>2.0</v>
      </c>
      <c r="R202" s="4">
        <v>0.0</v>
      </c>
      <c r="AG202" s="5"/>
      <c r="AH202" s="5"/>
      <c r="AI202" s="5"/>
      <c r="AJ202" s="5"/>
      <c r="AK202" s="5"/>
      <c r="AL202" s="5"/>
    </row>
    <row r="203" ht="15.75" customHeight="1">
      <c r="N203" s="4">
        <v>2170.0</v>
      </c>
      <c r="O203" s="4">
        <v>2.0</v>
      </c>
      <c r="P203" s="4">
        <v>2.0</v>
      </c>
      <c r="Q203" s="4">
        <v>2.0</v>
      </c>
      <c r="R203" s="4">
        <v>0.0</v>
      </c>
      <c r="AG203" s="5"/>
      <c r="AH203" s="5"/>
      <c r="AI203" s="5"/>
      <c r="AJ203" s="5"/>
      <c r="AK203" s="5"/>
      <c r="AL203" s="5"/>
    </row>
    <row r="204" ht="15.75" customHeight="1">
      <c r="N204" s="4">
        <v>2171.0</v>
      </c>
      <c r="O204" s="4">
        <v>2.0</v>
      </c>
      <c r="P204" s="4">
        <v>2.0</v>
      </c>
      <c r="Q204" s="4">
        <v>2.0</v>
      </c>
      <c r="R204" s="4">
        <v>0.0</v>
      </c>
      <c r="AG204" s="5"/>
      <c r="AH204" s="5"/>
      <c r="AI204" s="5"/>
      <c r="AJ204" s="5"/>
      <c r="AK204" s="5"/>
      <c r="AL204" s="5"/>
    </row>
    <row r="205" ht="15.75" customHeight="1">
      <c r="N205" s="4">
        <v>2172.0</v>
      </c>
      <c r="O205" s="4">
        <v>2.0</v>
      </c>
      <c r="P205" s="4">
        <v>2.0</v>
      </c>
      <c r="Q205" s="4">
        <v>2.0</v>
      </c>
      <c r="R205" s="4">
        <v>0.0</v>
      </c>
      <c r="AG205" s="5"/>
      <c r="AH205" s="5"/>
      <c r="AI205" s="5"/>
      <c r="AJ205" s="5"/>
      <c r="AK205" s="5"/>
      <c r="AL205" s="5"/>
    </row>
    <row r="206" ht="15.75" customHeight="1">
      <c r="N206" s="4">
        <v>2173.0</v>
      </c>
      <c r="O206" s="4">
        <v>2.0</v>
      </c>
      <c r="P206" s="4">
        <v>2.0</v>
      </c>
      <c r="Q206" s="4">
        <v>2.0</v>
      </c>
      <c r="R206" s="4">
        <v>0.0</v>
      </c>
      <c r="AG206" s="5"/>
      <c r="AH206" s="5"/>
      <c r="AI206" s="5"/>
      <c r="AJ206" s="5"/>
      <c r="AK206" s="5"/>
      <c r="AL206" s="5"/>
    </row>
    <row r="207" ht="15.75" customHeight="1">
      <c r="N207" s="4">
        <v>2174.0</v>
      </c>
      <c r="O207" s="4">
        <v>2.0</v>
      </c>
      <c r="P207" s="4">
        <v>2.0</v>
      </c>
      <c r="Q207" s="4">
        <v>2.0</v>
      </c>
      <c r="R207" s="4">
        <v>0.0</v>
      </c>
      <c r="AG207" s="5"/>
      <c r="AH207" s="5"/>
      <c r="AI207" s="5"/>
      <c r="AJ207" s="5"/>
      <c r="AK207" s="5"/>
      <c r="AL207" s="5"/>
    </row>
    <row r="208" ht="15.75" customHeight="1">
      <c r="N208" s="4">
        <v>2175.0</v>
      </c>
      <c r="O208" s="4">
        <v>2.0</v>
      </c>
      <c r="P208" s="4">
        <v>2.0</v>
      </c>
      <c r="Q208" s="4">
        <v>2.0</v>
      </c>
      <c r="R208" s="4">
        <v>0.0</v>
      </c>
      <c r="AG208" s="5"/>
      <c r="AH208" s="5"/>
      <c r="AI208" s="5"/>
      <c r="AJ208" s="5"/>
      <c r="AK208" s="5"/>
      <c r="AL208" s="5"/>
    </row>
    <row r="209" ht="15.75" customHeight="1">
      <c r="N209" s="4">
        <v>2176.0</v>
      </c>
      <c r="O209" s="4">
        <v>2.0</v>
      </c>
      <c r="P209" s="4">
        <v>2.0</v>
      </c>
      <c r="Q209" s="4">
        <v>2.0</v>
      </c>
      <c r="R209" s="4">
        <v>0.0</v>
      </c>
      <c r="AG209" s="5"/>
      <c r="AH209" s="5"/>
      <c r="AI209" s="5"/>
      <c r="AJ209" s="5"/>
      <c r="AK209" s="5"/>
      <c r="AL209" s="5"/>
    </row>
    <row r="210" ht="15.75" customHeight="1">
      <c r="N210" s="4">
        <v>2177.0</v>
      </c>
      <c r="O210" s="4">
        <v>2.0</v>
      </c>
      <c r="P210" s="4">
        <v>2.0</v>
      </c>
      <c r="Q210" s="4">
        <v>2.0</v>
      </c>
      <c r="R210" s="4">
        <v>0.0</v>
      </c>
      <c r="AG210" s="5"/>
      <c r="AH210" s="5"/>
      <c r="AI210" s="5"/>
      <c r="AJ210" s="5"/>
      <c r="AK210" s="5"/>
      <c r="AL210" s="5"/>
    </row>
    <row r="211" ht="15.75" customHeight="1">
      <c r="N211" s="4">
        <v>2178.0</v>
      </c>
      <c r="O211" s="4">
        <v>2.0</v>
      </c>
      <c r="P211" s="4">
        <v>2.0</v>
      </c>
      <c r="Q211" s="4">
        <v>2.0</v>
      </c>
      <c r="R211" s="4">
        <v>0.0</v>
      </c>
      <c r="AG211" s="5"/>
      <c r="AH211" s="5"/>
      <c r="AI211" s="5"/>
      <c r="AJ211" s="5"/>
      <c r="AK211" s="5"/>
      <c r="AL211" s="5"/>
    </row>
    <row r="212" ht="15.75" customHeight="1">
      <c r="N212" s="4">
        <v>2179.0</v>
      </c>
      <c r="O212" s="4">
        <v>2.0</v>
      </c>
      <c r="P212" s="4">
        <v>2.0</v>
      </c>
      <c r="Q212" s="4">
        <v>2.0</v>
      </c>
      <c r="R212" s="4">
        <v>0.0</v>
      </c>
      <c r="AG212" s="5"/>
      <c r="AH212" s="5"/>
      <c r="AI212" s="5"/>
      <c r="AJ212" s="5"/>
      <c r="AK212" s="5"/>
      <c r="AL212" s="5"/>
    </row>
    <row r="213" ht="15.75" customHeight="1">
      <c r="N213" s="4">
        <v>2180.0</v>
      </c>
      <c r="O213" s="4">
        <v>2.0</v>
      </c>
      <c r="P213" s="4">
        <v>2.0</v>
      </c>
      <c r="Q213" s="4">
        <v>2.0</v>
      </c>
      <c r="R213" s="4">
        <v>0.0</v>
      </c>
      <c r="AG213" s="5"/>
      <c r="AH213" s="5"/>
      <c r="AI213" s="5"/>
      <c r="AJ213" s="5"/>
      <c r="AK213" s="5"/>
      <c r="AL213" s="5"/>
    </row>
    <row r="214" ht="15.75" customHeight="1">
      <c r="N214" s="4">
        <v>2181.0</v>
      </c>
      <c r="O214" s="4">
        <v>2.0</v>
      </c>
      <c r="P214" s="4">
        <v>2.0</v>
      </c>
      <c r="Q214" s="4">
        <v>2.0</v>
      </c>
      <c r="R214" s="4">
        <v>0.0</v>
      </c>
      <c r="AG214" s="5"/>
      <c r="AH214" s="5"/>
      <c r="AI214" s="5"/>
      <c r="AJ214" s="5"/>
      <c r="AK214" s="5"/>
      <c r="AL214" s="5"/>
    </row>
    <row r="215" ht="15.75" customHeight="1">
      <c r="N215" s="4">
        <v>2182.0</v>
      </c>
      <c r="O215" s="4">
        <v>2.0</v>
      </c>
      <c r="P215" s="4">
        <v>2.0</v>
      </c>
      <c r="Q215" s="4">
        <v>2.0</v>
      </c>
      <c r="R215" s="4">
        <v>0.0</v>
      </c>
      <c r="AG215" s="5"/>
      <c r="AH215" s="5"/>
      <c r="AI215" s="5"/>
      <c r="AJ215" s="5"/>
      <c r="AK215" s="5"/>
      <c r="AL215" s="5"/>
    </row>
    <row r="216" ht="15.75" customHeight="1">
      <c r="N216" s="4">
        <v>2183.0</v>
      </c>
      <c r="O216" s="4">
        <v>2.0</v>
      </c>
      <c r="P216" s="4">
        <v>2.0</v>
      </c>
      <c r="Q216" s="4">
        <v>2.0</v>
      </c>
      <c r="R216" s="4">
        <v>0.0</v>
      </c>
      <c r="AG216" s="5"/>
      <c r="AH216" s="5"/>
      <c r="AI216" s="5"/>
      <c r="AJ216" s="5"/>
      <c r="AK216" s="5"/>
      <c r="AL216" s="5"/>
    </row>
    <row r="217" ht="15.75" customHeight="1">
      <c r="N217" s="4">
        <v>2184.0</v>
      </c>
      <c r="O217" s="4">
        <v>2.0</v>
      </c>
      <c r="P217" s="4">
        <v>2.0</v>
      </c>
      <c r="Q217" s="4">
        <v>2.0</v>
      </c>
      <c r="R217" s="4">
        <v>0.0</v>
      </c>
      <c r="AG217" s="5"/>
      <c r="AH217" s="5"/>
      <c r="AI217" s="5"/>
      <c r="AJ217" s="5"/>
      <c r="AK217" s="5"/>
      <c r="AL217" s="5"/>
    </row>
    <row r="218" ht="15.75" customHeight="1">
      <c r="N218" s="4">
        <v>2185.0</v>
      </c>
      <c r="O218" s="4">
        <v>2.0</v>
      </c>
      <c r="P218" s="4">
        <v>2.0</v>
      </c>
      <c r="Q218" s="4">
        <v>2.0</v>
      </c>
      <c r="R218" s="4">
        <v>0.0</v>
      </c>
      <c r="AG218" s="5"/>
      <c r="AH218" s="5"/>
      <c r="AI218" s="5"/>
      <c r="AJ218" s="5"/>
      <c r="AK218" s="5"/>
      <c r="AL218" s="5"/>
    </row>
    <row r="219" ht="15.75" customHeight="1">
      <c r="N219" s="4">
        <v>2186.0</v>
      </c>
      <c r="O219" s="4">
        <v>2.0</v>
      </c>
      <c r="P219" s="4">
        <v>2.0</v>
      </c>
      <c r="Q219" s="4">
        <v>2.0</v>
      </c>
      <c r="R219" s="4">
        <v>0.0</v>
      </c>
      <c r="AG219" s="5"/>
      <c r="AH219" s="5"/>
      <c r="AI219" s="5"/>
      <c r="AJ219" s="5"/>
      <c r="AK219" s="5"/>
      <c r="AL219" s="5"/>
    </row>
    <row r="220" ht="15.75" customHeight="1">
      <c r="N220" s="4">
        <v>2187.0</v>
      </c>
      <c r="O220" s="4">
        <v>2.0</v>
      </c>
      <c r="P220" s="4">
        <v>2.0</v>
      </c>
      <c r="Q220" s="4">
        <v>2.0</v>
      </c>
      <c r="R220" s="4">
        <v>0.0</v>
      </c>
      <c r="AG220" s="5"/>
      <c r="AH220" s="5"/>
      <c r="AI220" s="5"/>
      <c r="AJ220" s="5"/>
      <c r="AK220" s="5"/>
      <c r="AL220" s="5"/>
    </row>
    <row r="221" ht="15.75" customHeight="1">
      <c r="N221" s="4">
        <v>2188.0</v>
      </c>
      <c r="O221" s="4">
        <v>2.0</v>
      </c>
      <c r="P221" s="4">
        <v>2.0</v>
      </c>
      <c r="Q221" s="4">
        <v>2.0</v>
      </c>
      <c r="R221" s="4">
        <v>0.0</v>
      </c>
      <c r="AG221" s="5"/>
      <c r="AH221" s="5"/>
      <c r="AI221" s="5"/>
      <c r="AJ221" s="5"/>
      <c r="AK221" s="5"/>
      <c r="AL221" s="5"/>
    </row>
    <row r="222" ht="15.75" customHeight="1">
      <c r="N222" s="4">
        <v>2189.0</v>
      </c>
      <c r="O222" s="4">
        <v>2.0</v>
      </c>
      <c r="P222" s="4">
        <v>2.0</v>
      </c>
      <c r="Q222" s="4">
        <v>2.0</v>
      </c>
      <c r="R222" s="4">
        <v>0.0</v>
      </c>
      <c r="AG222" s="5"/>
      <c r="AH222" s="5"/>
      <c r="AI222" s="5"/>
      <c r="AJ222" s="5"/>
      <c r="AK222" s="5"/>
      <c r="AL222" s="5"/>
    </row>
    <row r="223" ht="15.75" customHeight="1">
      <c r="N223" s="4">
        <v>2190.0</v>
      </c>
      <c r="O223" s="4">
        <v>2.0</v>
      </c>
      <c r="P223" s="4">
        <v>2.0</v>
      </c>
      <c r="Q223" s="4">
        <v>2.0</v>
      </c>
      <c r="R223" s="4">
        <v>0.0</v>
      </c>
      <c r="AG223" s="5"/>
      <c r="AH223" s="5"/>
      <c r="AI223" s="5"/>
      <c r="AJ223" s="5"/>
      <c r="AK223" s="5"/>
      <c r="AL223" s="5"/>
    </row>
    <row r="224" ht="15.75" customHeight="1">
      <c r="N224" s="4">
        <v>2191.0</v>
      </c>
      <c r="O224" s="4">
        <v>2.0</v>
      </c>
      <c r="P224" s="4">
        <v>2.0</v>
      </c>
      <c r="Q224" s="4">
        <v>2.0</v>
      </c>
      <c r="R224" s="4">
        <v>0.0</v>
      </c>
      <c r="AG224" s="5"/>
      <c r="AH224" s="5"/>
      <c r="AI224" s="5"/>
      <c r="AJ224" s="5"/>
      <c r="AK224" s="5"/>
      <c r="AL224" s="5"/>
    </row>
    <row r="225" ht="15.75" customHeight="1">
      <c r="N225" s="4">
        <v>2192.0</v>
      </c>
      <c r="O225" s="4">
        <v>2.0</v>
      </c>
      <c r="P225" s="4">
        <v>2.0</v>
      </c>
      <c r="Q225" s="4">
        <v>2.0</v>
      </c>
      <c r="R225" s="4">
        <v>0.0</v>
      </c>
      <c r="AG225" s="5"/>
      <c r="AH225" s="5"/>
      <c r="AI225" s="5"/>
      <c r="AJ225" s="5"/>
      <c r="AK225" s="5"/>
      <c r="AL225" s="5"/>
    </row>
    <row r="226" ht="15.75" customHeight="1">
      <c r="N226" s="4">
        <v>2193.0</v>
      </c>
      <c r="O226" s="4">
        <v>2.0</v>
      </c>
      <c r="P226" s="4">
        <v>2.0</v>
      </c>
      <c r="Q226" s="4">
        <v>2.0</v>
      </c>
      <c r="R226" s="4">
        <v>0.0</v>
      </c>
      <c r="AG226" s="5"/>
      <c r="AH226" s="5"/>
      <c r="AI226" s="5"/>
      <c r="AJ226" s="5"/>
      <c r="AK226" s="5"/>
      <c r="AL226" s="5"/>
    </row>
    <row r="227" ht="15.75" customHeight="1">
      <c r="N227" s="4">
        <v>2194.0</v>
      </c>
      <c r="O227" s="4">
        <v>2.0</v>
      </c>
      <c r="P227" s="4">
        <v>2.0</v>
      </c>
      <c r="Q227" s="4">
        <v>2.0</v>
      </c>
      <c r="R227" s="4">
        <v>0.0</v>
      </c>
      <c r="AG227" s="5"/>
      <c r="AH227" s="5"/>
      <c r="AI227" s="5"/>
      <c r="AJ227" s="5"/>
      <c r="AK227" s="5"/>
      <c r="AL227" s="5"/>
    </row>
    <row r="228" ht="15.75" customHeight="1">
      <c r="N228" s="4">
        <v>2195.0</v>
      </c>
      <c r="O228" s="4">
        <v>2.0</v>
      </c>
      <c r="P228" s="4">
        <v>2.0</v>
      </c>
      <c r="Q228" s="4">
        <v>2.0</v>
      </c>
      <c r="R228" s="4">
        <v>0.0</v>
      </c>
      <c r="AG228" s="5"/>
      <c r="AH228" s="5"/>
      <c r="AI228" s="5"/>
      <c r="AJ228" s="5"/>
      <c r="AK228" s="5"/>
      <c r="AL228" s="5"/>
    </row>
    <row r="229" ht="15.75" customHeight="1">
      <c r="N229" s="4">
        <v>2196.0</v>
      </c>
      <c r="O229" s="4">
        <v>2.0</v>
      </c>
      <c r="P229" s="4">
        <v>2.0</v>
      </c>
      <c r="Q229" s="4">
        <v>2.0</v>
      </c>
      <c r="R229" s="4">
        <v>0.0</v>
      </c>
      <c r="AG229" s="5"/>
      <c r="AH229" s="5"/>
      <c r="AI229" s="5"/>
      <c r="AJ229" s="5"/>
      <c r="AK229" s="5"/>
      <c r="AL229" s="5"/>
    </row>
    <row r="230" ht="15.75" customHeight="1">
      <c r="N230" s="4">
        <v>2197.0</v>
      </c>
      <c r="O230" s="4">
        <v>2.0</v>
      </c>
      <c r="P230" s="4">
        <v>2.0</v>
      </c>
      <c r="Q230" s="4">
        <v>2.0</v>
      </c>
      <c r="R230" s="4">
        <v>0.0</v>
      </c>
      <c r="AG230" s="5"/>
      <c r="AH230" s="5"/>
      <c r="AI230" s="5"/>
      <c r="AJ230" s="5"/>
      <c r="AK230" s="5"/>
      <c r="AL230" s="5"/>
    </row>
    <row r="231" ht="15.75" customHeight="1">
      <c r="N231" s="4">
        <v>2198.0</v>
      </c>
      <c r="O231" s="4">
        <v>2.0</v>
      </c>
      <c r="P231" s="4">
        <v>2.0</v>
      </c>
      <c r="Q231" s="4">
        <v>2.0</v>
      </c>
      <c r="R231" s="4">
        <v>0.0</v>
      </c>
      <c r="AG231" s="5"/>
      <c r="AH231" s="5"/>
      <c r="AI231" s="5"/>
      <c r="AJ231" s="5"/>
      <c r="AK231" s="5"/>
      <c r="AL231" s="5"/>
    </row>
    <row r="232" ht="15.75" customHeight="1">
      <c r="N232" s="4">
        <v>2199.0</v>
      </c>
      <c r="O232" s="4">
        <v>2.0</v>
      </c>
      <c r="P232" s="4">
        <v>2.0</v>
      </c>
      <c r="Q232" s="4">
        <v>2.0</v>
      </c>
      <c r="R232" s="4">
        <v>0.0</v>
      </c>
      <c r="AG232" s="5"/>
      <c r="AH232" s="5"/>
      <c r="AI232" s="5"/>
      <c r="AJ232" s="5"/>
      <c r="AK232" s="5"/>
      <c r="AL232" s="5"/>
    </row>
    <row r="233" ht="15.75" customHeight="1">
      <c r="N233" s="4">
        <v>2200.0</v>
      </c>
      <c r="O233" s="4">
        <v>2.0</v>
      </c>
      <c r="P233" s="4">
        <v>2.0</v>
      </c>
      <c r="Q233" s="4">
        <v>2.0</v>
      </c>
      <c r="R233" s="4">
        <v>0.0</v>
      </c>
      <c r="AG233" s="5"/>
      <c r="AH233" s="5"/>
      <c r="AI233" s="5"/>
      <c r="AJ233" s="5"/>
      <c r="AK233" s="5"/>
      <c r="AL233" s="5"/>
    </row>
    <row r="234" ht="15.75" customHeight="1">
      <c r="N234" s="4">
        <v>2201.0</v>
      </c>
      <c r="O234" s="4">
        <v>2.0</v>
      </c>
      <c r="P234" s="4">
        <v>2.0</v>
      </c>
      <c r="Q234" s="4">
        <v>2.0</v>
      </c>
      <c r="R234" s="4">
        <v>0.0</v>
      </c>
      <c r="AG234" s="5"/>
      <c r="AH234" s="5"/>
      <c r="AI234" s="5"/>
      <c r="AJ234" s="5"/>
      <c r="AK234" s="5"/>
      <c r="AL234" s="5"/>
    </row>
    <row r="235" ht="15.75" customHeight="1">
      <c r="N235" s="4">
        <v>2202.0</v>
      </c>
      <c r="O235" s="4">
        <v>2.0</v>
      </c>
      <c r="P235" s="4">
        <v>2.0</v>
      </c>
      <c r="Q235" s="4">
        <v>2.0</v>
      </c>
      <c r="R235" s="4">
        <v>0.0</v>
      </c>
      <c r="AG235" s="5"/>
      <c r="AH235" s="5"/>
      <c r="AI235" s="5"/>
      <c r="AJ235" s="5"/>
      <c r="AK235" s="5"/>
      <c r="AL235" s="5"/>
    </row>
    <row r="236" ht="15.75" customHeight="1">
      <c r="N236" s="4">
        <v>2203.0</v>
      </c>
      <c r="O236" s="4">
        <v>2.0</v>
      </c>
      <c r="P236" s="4">
        <v>2.0</v>
      </c>
      <c r="Q236" s="4">
        <v>2.0</v>
      </c>
      <c r="R236" s="4">
        <v>0.0</v>
      </c>
      <c r="AG236" s="5"/>
      <c r="AH236" s="5"/>
      <c r="AI236" s="5"/>
      <c r="AJ236" s="5"/>
      <c r="AK236" s="5"/>
      <c r="AL236" s="5"/>
    </row>
    <row r="237" ht="15.75" customHeight="1">
      <c r="N237" s="4">
        <v>2204.0</v>
      </c>
      <c r="O237" s="4">
        <v>2.0</v>
      </c>
      <c r="P237" s="4">
        <v>2.0</v>
      </c>
      <c r="Q237" s="4">
        <v>2.0</v>
      </c>
      <c r="R237" s="4">
        <v>0.0</v>
      </c>
      <c r="AG237" s="5"/>
      <c r="AH237" s="5"/>
      <c r="AI237" s="5"/>
      <c r="AJ237" s="5"/>
      <c r="AK237" s="5"/>
      <c r="AL237" s="5"/>
    </row>
    <row r="238" ht="15.75" customHeight="1">
      <c r="N238" s="4">
        <v>2205.0</v>
      </c>
      <c r="O238" s="4">
        <v>2.0</v>
      </c>
      <c r="P238" s="4">
        <v>2.0</v>
      </c>
      <c r="Q238" s="4">
        <v>2.0</v>
      </c>
      <c r="R238" s="4">
        <v>0.0</v>
      </c>
      <c r="AG238" s="5"/>
      <c r="AH238" s="5"/>
      <c r="AI238" s="5"/>
      <c r="AJ238" s="5"/>
      <c r="AK238" s="5"/>
      <c r="AL238" s="5"/>
    </row>
    <row r="239" ht="15.75" customHeight="1">
      <c r="N239" s="4">
        <v>2206.0</v>
      </c>
      <c r="O239" s="4">
        <v>2.0</v>
      </c>
      <c r="P239" s="4">
        <v>2.0</v>
      </c>
      <c r="Q239" s="4">
        <v>2.0</v>
      </c>
      <c r="R239" s="4">
        <v>0.0</v>
      </c>
      <c r="AG239" s="5"/>
      <c r="AH239" s="5"/>
      <c r="AI239" s="5"/>
      <c r="AJ239" s="5"/>
      <c r="AK239" s="5"/>
      <c r="AL239" s="5"/>
    </row>
    <row r="240" ht="15.75" customHeight="1">
      <c r="N240" s="4">
        <v>2207.0</v>
      </c>
      <c r="O240" s="4">
        <v>2.0</v>
      </c>
      <c r="P240" s="4">
        <v>2.0</v>
      </c>
      <c r="Q240" s="4">
        <v>2.0</v>
      </c>
      <c r="R240" s="4">
        <v>0.0</v>
      </c>
      <c r="AG240" s="5"/>
      <c r="AH240" s="5"/>
      <c r="AI240" s="5"/>
      <c r="AJ240" s="5"/>
      <c r="AK240" s="5"/>
      <c r="AL240" s="5"/>
    </row>
    <row r="241" ht="15.75" customHeight="1">
      <c r="N241" s="4">
        <v>2208.0</v>
      </c>
      <c r="O241" s="4">
        <v>2.0</v>
      </c>
      <c r="P241" s="4">
        <v>2.0</v>
      </c>
      <c r="Q241" s="4">
        <v>2.0</v>
      </c>
      <c r="R241" s="4">
        <v>0.0</v>
      </c>
      <c r="AG241" s="5"/>
      <c r="AH241" s="5"/>
      <c r="AI241" s="5"/>
      <c r="AJ241" s="5"/>
      <c r="AK241" s="5"/>
      <c r="AL241" s="5"/>
    </row>
    <row r="242" ht="15.75" customHeight="1">
      <c r="N242" s="4">
        <v>2209.0</v>
      </c>
      <c r="O242" s="4">
        <v>2.0</v>
      </c>
      <c r="P242" s="4">
        <v>2.0</v>
      </c>
      <c r="Q242" s="4">
        <v>2.0</v>
      </c>
      <c r="R242" s="4">
        <v>0.0</v>
      </c>
      <c r="AG242" s="5"/>
      <c r="AH242" s="5"/>
      <c r="AI242" s="5"/>
      <c r="AJ242" s="5"/>
      <c r="AK242" s="5"/>
      <c r="AL242" s="5"/>
    </row>
    <row r="243" ht="15.75" customHeight="1">
      <c r="N243" s="4">
        <v>2210.0</v>
      </c>
      <c r="O243" s="4">
        <v>2.0</v>
      </c>
      <c r="P243" s="4">
        <v>2.0</v>
      </c>
      <c r="Q243" s="4">
        <v>2.0</v>
      </c>
      <c r="R243" s="4">
        <v>0.0</v>
      </c>
      <c r="AG243" s="5"/>
      <c r="AH243" s="5"/>
      <c r="AI243" s="5"/>
      <c r="AJ243" s="5"/>
      <c r="AK243" s="5"/>
      <c r="AL243" s="5"/>
    </row>
    <row r="244" ht="15.75" customHeight="1">
      <c r="N244" s="4">
        <v>2211.0</v>
      </c>
      <c r="O244" s="4">
        <v>2.0</v>
      </c>
      <c r="P244" s="4">
        <v>2.0</v>
      </c>
      <c r="Q244" s="4">
        <v>2.0</v>
      </c>
      <c r="R244" s="4">
        <v>0.0</v>
      </c>
      <c r="AG244" s="5"/>
      <c r="AH244" s="5"/>
      <c r="AI244" s="5"/>
      <c r="AJ244" s="5"/>
      <c r="AK244" s="5"/>
      <c r="AL244" s="5"/>
    </row>
    <row r="245" ht="15.75" customHeight="1">
      <c r="N245" s="4">
        <v>2212.0</v>
      </c>
      <c r="O245" s="4">
        <v>2.0</v>
      </c>
      <c r="P245" s="4">
        <v>2.0</v>
      </c>
      <c r="Q245" s="4">
        <v>2.0</v>
      </c>
      <c r="R245" s="4">
        <v>0.0</v>
      </c>
      <c r="AG245" s="5"/>
      <c r="AH245" s="5"/>
      <c r="AI245" s="5"/>
      <c r="AJ245" s="5"/>
      <c r="AK245" s="5"/>
      <c r="AL245" s="5"/>
    </row>
    <row r="246" ht="15.75" customHeight="1">
      <c r="N246" s="4">
        <v>2213.0</v>
      </c>
      <c r="O246" s="4">
        <v>2.0</v>
      </c>
      <c r="P246" s="4">
        <v>2.0</v>
      </c>
      <c r="Q246" s="4">
        <v>2.0</v>
      </c>
      <c r="R246" s="4">
        <v>0.0</v>
      </c>
      <c r="AG246" s="5"/>
      <c r="AH246" s="5"/>
      <c r="AI246" s="5"/>
      <c r="AJ246" s="5"/>
      <c r="AK246" s="5"/>
      <c r="AL246" s="5"/>
    </row>
    <row r="247" ht="15.75" customHeight="1">
      <c r="N247" s="4">
        <v>2214.0</v>
      </c>
      <c r="O247" s="4">
        <v>2.0</v>
      </c>
      <c r="P247" s="4">
        <v>2.0</v>
      </c>
      <c r="Q247" s="4">
        <v>2.0</v>
      </c>
      <c r="R247" s="4">
        <v>0.0</v>
      </c>
      <c r="AG247" s="5"/>
      <c r="AH247" s="5"/>
      <c r="AI247" s="5"/>
      <c r="AJ247" s="5"/>
      <c r="AK247" s="5"/>
      <c r="AL247" s="5"/>
    </row>
    <row r="248" ht="15.75" customHeight="1">
      <c r="N248" s="4">
        <v>2215.0</v>
      </c>
      <c r="O248" s="4">
        <v>2.0</v>
      </c>
      <c r="P248" s="4">
        <v>2.0</v>
      </c>
      <c r="Q248" s="4">
        <v>2.0</v>
      </c>
      <c r="R248" s="4">
        <v>0.0</v>
      </c>
      <c r="AG248" s="5"/>
      <c r="AH248" s="5"/>
      <c r="AI248" s="5"/>
      <c r="AJ248" s="5"/>
      <c r="AK248" s="5"/>
      <c r="AL248" s="5"/>
    </row>
    <row r="249" ht="15.75" customHeight="1">
      <c r="N249" s="4">
        <v>2216.0</v>
      </c>
      <c r="O249" s="4">
        <v>2.0</v>
      </c>
      <c r="P249" s="4">
        <v>2.0</v>
      </c>
      <c r="Q249" s="4">
        <v>2.0</v>
      </c>
      <c r="R249" s="4">
        <v>0.0</v>
      </c>
      <c r="AG249" s="5"/>
      <c r="AH249" s="5"/>
      <c r="AI249" s="5"/>
      <c r="AJ249" s="5"/>
      <c r="AK249" s="5"/>
      <c r="AL249" s="5"/>
    </row>
    <row r="250" ht="15.75" customHeight="1">
      <c r="N250" s="4">
        <v>2217.0</v>
      </c>
      <c r="O250" s="4">
        <v>2.0</v>
      </c>
      <c r="P250" s="4">
        <v>2.0</v>
      </c>
      <c r="Q250" s="4">
        <v>2.0</v>
      </c>
      <c r="R250" s="4">
        <v>0.0</v>
      </c>
      <c r="AG250" s="5"/>
      <c r="AH250" s="5"/>
      <c r="AI250" s="5"/>
      <c r="AJ250" s="5"/>
      <c r="AK250" s="5"/>
      <c r="AL250" s="5"/>
    </row>
    <row r="251" ht="15.75" customHeight="1">
      <c r="N251" s="4">
        <v>2218.0</v>
      </c>
      <c r="O251" s="4">
        <v>2.0</v>
      </c>
      <c r="P251" s="4">
        <v>2.0</v>
      </c>
      <c r="Q251" s="4">
        <v>2.0</v>
      </c>
      <c r="R251" s="4">
        <v>0.0</v>
      </c>
      <c r="AG251" s="5"/>
      <c r="AH251" s="5"/>
      <c r="AI251" s="5"/>
      <c r="AJ251" s="5"/>
      <c r="AK251" s="5"/>
      <c r="AL251" s="5"/>
    </row>
    <row r="252" ht="15.75" customHeight="1">
      <c r="N252" s="4">
        <v>2219.0</v>
      </c>
      <c r="O252" s="4">
        <v>2.0</v>
      </c>
      <c r="P252" s="4">
        <v>2.0</v>
      </c>
      <c r="Q252" s="4">
        <v>2.0</v>
      </c>
      <c r="R252" s="4">
        <v>0.0</v>
      </c>
      <c r="AG252" s="5"/>
      <c r="AH252" s="5"/>
      <c r="AI252" s="5"/>
      <c r="AJ252" s="5"/>
      <c r="AK252" s="5"/>
      <c r="AL252" s="5"/>
    </row>
    <row r="253" ht="15.75" customHeight="1">
      <c r="N253" s="4">
        <v>2220.0</v>
      </c>
      <c r="O253" s="4">
        <v>2.0</v>
      </c>
      <c r="P253" s="4">
        <v>2.0</v>
      </c>
      <c r="Q253" s="4">
        <v>2.0</v>
      </c>
      <c r="R253" s="4">
        <v>0.0</v>
      </c>
      <c r="AG253" s="5"/>
      <c r="AH253" s="5"/>
      <c r="AI253" s="5"/>
      <c r="AJ253" s="5"/>
      <c r="AK253" s="5"/>
      <c r="AL253" s="5"/>
    </row>
    <row r="254" ht="15.75" customHeight="1">
      <c r="N254" s="4">
        <v>2221.0</v>
      </c>
      <c r="O254" s="4">
        <v>2.0</v>
      </c>
      <c r="P254" s="4">
        <v>2.0</v>
      </c>
      <c r="Q254" s="4">
        <v>2.0</v>
      </c>
      <c r="R254" s="4">
        <v>0.0</v>
      </c>
      <c r="AG254" s="5"/>
      <c r="AH254" s="5"/>
      <c r="AI254" s="5"/>
      <c r="AJ254" s="5"/>
      <c r="AK254" s="5"/>
      <c r="AL254" s="5"/>
    </row>
    <row r="255" ht="15.75" customHeight="1">
      <c r="N255" s="4">
        <v>2222.0</v>
      </c>
      <c r="O255" s="4">
        <v>2.0</v>
      </c>
      <c r="P255" s="4">
        <v>2.0</v>
      </c>
      <c r="Q255" s="4">
        <v>2.0</v>
      </c>
      <c r="R255" s="4">
        <v>0.0</v>
      </c>
      <c r="AG255" s="5"/>
      <c r="AH255" s="5"/>
      <c r="AI255" s="5"/>
      <c r="AJ255" s="5"/>
      <c r="AK255" s="5"/>
      <c r="AL255" s="5"/>
    </row>
    <row r="256" ht="15.75" customHeight="1">
      <c r="N256" s="4">
        <v>2223.0</v>
      </c>
      <c r="O256" s="4">
        <v>2.0</v>
      </c>
      <c r="P256" s="4">
        <v>2.0</v>
      </c>
      <c r="Q256" s="4">
        <v>2.0</v>
      </c>
      <c r="R256" s="4">
        <v>0.0</v>
      </c>
      <c r="AG256" s="5"/>
      <c r="AH256" s="5"/>
      <c r="AI256" s="5"/>
      <c r="AJ256" s="5"/>
      <c r="AK256" s="5"/>
      <c r="AL256" s="5"/>
    </row>
    <row r="257" ht="15.75" customHeight="1">
      <c r="N257" s="4">
        <v>2224.0</v>
      </c>
      <c r="O257" s="4">
        <v>2.0</v>
      </c>
      <c r="P257" s="4">
        <v>2.0</v>
      </c>
      <c r="Q257" s="4">
        <v>2.0</v>
      </c>
      <c r="R257" s="4">
        <v>0.0</v>
      </c>
      <c r="AG257" s="5"/>
      <c r="AH257" s="5"/>
      <c r="AI257" s="5"/>
      <c r="AJ257" s="5"/>
      <c r="AK257" s="5"/>
      <c r="AL257" s="5"/>
    </row>
    <row r="258" ht="15.75" customHeight="1">
      <c r="N258" s="4">
        <v>2225.0</v>
      </c>
      <c r="O258" s="4">
        <v>2.0</v>
      </c>
      <c r="P258" s="4">
        <v>2.0</v>
      </c>
      <c r="Q258" s="4">
        <v>2.0</v>
      </c>
      <c r="R258" s="4">
        <v>0.0</v>
      </c>
      <c r="AG258" s="5"/>
      <c r="AH258" s="5"/>
      <c r="AI258" s="5"/>
      <c r="AJ258" s="5"/>
      <c r="AK258" s="5"/>
      <c r="AL258" s="5"/>
    </row>
    <row r="259" ht="15.75" customHeight="1">
      <c r="N259" s="4">
        <v>2226.0</v>
      </c>
      <c r="O259" s="4">
        <v>2.0</v>
      </c>
      <c r="P259" s="4">
        <v>2.0</v>
      </c>
      <c r="Q259" s="4">
        <v>2.0</v>
      </c>
      <c r="R259" s="4">
        <v>0.0</v>
      </c>
      <c r="AG259" s="5"/>
      <c r="AH259" s="5"/>
      <c r="AI259" s="5"/>
      <c r="AJ259" s="5"/>
      <c r="AK259" s="5"/>
      <c r="AL259" s="5"/>
    </row>
    <row r="260" ht="15.75" customHeight="1">
      <c r="N260" s="4">
        <v>2227.0</v>
      </c>
      <c r="O260" s="4">
        <v>2.0</v>
      </c>
      <c r="P260" s="4">
        <v>2.0</v>
      </c>
      <c r="Q260" s="4">
        <v>2.0</v>
      </c>
      <c r="R260" s="4">
        <v>0.0</v>
      </c>
      <c r="AG260" s="5"/>
      <c r="AH260" s="5"/>
      <c r="AI260" s="5"/>
      <c r="AJ260" s="5"/>
      <c r="AK260" s="5"/>
      <c r="AL260" s="5"/>
    </row>
    <row r="261" ht="15.75" customHeight="1">
      <c r="N261" s="4">
        <v>2228.0</v>
      </c>
      <c r="O261" s="4">
        <v>2.0</v>
      </c>
      <c r="P261" s="4">
        <v>2.0</v>
      </c>
      <c r="Q261" s="4">
        <v>2.0</v>
      </c>
      <c r="R261" s="4">
        <v>0.0</v>
      </c>
      <c r="AG261" s="5"/>
      <c r="AH261" s="5"/>
      <c r="AI261" s="5"/>
      <c r="AJ261" s="5"/>
      <c r="AK261" s="5"/>
      <c r="AL261" s="5"/>
    </row>
    <row r="262" ht="15.75" customHeight="1">
      <c r="N262" s="4">
        <v>2229.0</v>
      </c>
      <c r="O262" s="4">
        <v>2.0</v>
      </c>
      <c r="P262" s="4">
        <v>2.0</v>
      </c>
      <c r="Q262" s="4">
        <v>2.0</v>
      </c>
      <c r="R262" s="4">
        <v>0.0</v>
      </c>
      <c r="AG262" s="5"/>
      <c r="AH262" s="5"/>
      <c r="AI262" s="5"/>
      <c r="AJ262" s="5"/>
      <c r="AK262" s="5"/>
      <c r="AL262" s="5"/>
    </row>
    <row r="263" ht="15.75" customHeight="1">
      <c r="N263" s="4">
        <v>2230.0</v>
      </c>
      <c r="O263" s="4">
        <v>2.0</v>
      </c>
      <c r="P263" s="4">
        <v>2.0</v>
      </c>
      <c r="Q263" s="4">
        <v>2.0</v>
      </c>
      <c r="R263" s="4">
        <v>0.0</v>
      </c>
      <c r="AG263" s="5"/>
      <c r="AH263" s="5"/>
      <c r="AI263" s="5"/>
      <c r="AJ263" s="5"/>
      <c r="AK263" s="5"/>
      <c r="AL263" s="5"/>
    </row>
    <row r="264" ht="15.75" customHeight="1">
      <c r="N264" s="4">
        <v>2231.0</v>
      </c>
      <c r="O264" s="4">
        <v>2.0</v>
      </c>
      <c r="P264" s="4">
        <v>2.0</v>
      </c>
      <c r="Q264" s="4">
        <v>2.0</v>
      </c>
      <c r="R264" s="4">
        <v>0.0</v>
      </c>
      <c r="AG264" s="5"/>
      <c r="AH264" s="5"/>
      <c r="AI264" s="5"/>
      <c r="AJ264" s="5"/>
      <c r="AK264" s="5"/>
      <c r="AL264" s="5"/>
    </row>
    <row r="265" ht="15.75" customHeight="1">
      <c r="N265" s="4">
        <v>2232.0</v>
      </c>
      <c r="O265" s="4">
        <v>2.0</v>
      </c>
      <c r="P265" s="4">
        <v>2.0</v>
      </c>
      <c r="Q265" s="4">
        <v>2.0</v>
      </c>
      <c r="R265" s="4">
        <v>0.0</v>
      </c>
      <c r="AG265" s="5"/>
      <c r="AH265" s="5"/>
      <c r="AI265" s="5"/>
      <c r="AJ265" s="5"/>
      <c r="AK265" s="5"/>
      <c r="AL265" s="5"/>
    </row>
    <row r="266" ht="15.75" customHeight="1">
      <c r="N266" s="4">
        <v>2233.0</v>
      </c>
      <c r="O266" s="4">
        <v>2.0</v>
      </c>
      <c r="P266" s="4">
        <v>2.0</v>
      </c>
      <c r="Q266" s="4">
        <v>2.0</v>
      </c>
      <c r="R266" s="4">
        <v>0.0</v>
      </c>
      <c r="AG266" s="5"/>
      <c r="AH266" s="5"/>
      <c r="AI266" s="5"/>
      <c r="AJ266" s="5"/>
      <c r="AK266" s="5"/>
      <c r="AL266" s="5"/>
    </row>
    <row r="267" ht="15.75" customHeight="1">
      <c r="N267" s="4">
        <v>2234.0</v>
      </c>
      <c r="O267" s="4">
        <v>2.0</v>
      </c>
      <c r="P267" s="4">
        <v>2.0</v>
      </c>
      <c r="Q267" s="4">
        <v>2.0</v>
      </c>
      <c r="R267" s="4">
        <v>0.0</v>
      </c>
      <c r="AG267" s="5"/>
      <c r="AH267" s="5"/>
      <c r="AI267" s="5"/>
      <c r="AJ267" s="5"/>
      <c r="AK267" s="5"/>
      <c r="AL267" s="5"/>
    </row>
    <row r="268" ht="15.75" customHeight="1">
      <c r="N268" s="4">
        <v>2235.0</v>
      </c>
      <c r="O268" s="4">
        <v>2.0</v>
      </c>
      <c r="P268" s="4">
        <v>2.0</v>
      </c>
      <c r="Q268" s="4">
        <v>2.0</v>
      </c>
      <c r="R268" s="4">
        <v>0.0</v>
      </c>
      <c r="AG268" s="5"/>
      <c r="AH268" s="5"/>
      <c r="AI268" s="5"/>
      <c r="AJ268" s="5"/>
      <c r="AK268" s="5"/>
      <c r="AL268" s="5"/>
    </row>
    <row r="269" ht="15.75" customHeight="1">
      <c r="N269" s="4">
        <v>2236.0</v>
      </c>
      <c r="O269" s="4">
        <v>2.0</v>
      </c>
      <c r="P269" s="4">
        <v>2.0</v>
      </c>
      <c r="Q269" s="4">
        <v>2.0</v>
      </c>
      <c r="R269" s="4">
        <v>0.0</v>
      </c>
      <c r="AG269" s="5"/>
      <c r="AH269" s="5"/>
      <c r="AI269" s="5"/>
      <c r="AJ269" s="5"/>
      <c r="AK269" s="5"/>
      <c r="AL269" s="5"/>
    </row>
    <row r="270" ht="15.75" customHeight="1">
      <c r="N270" s="4">
        <v>2237.0</v>
      </c>
      <c r="O270" s="4">
        <v>2.0</v>
      </c>
      <c r="P270" s="4">
        <v>2.0</v>
      </c>
      <c r="Q270" s="4">
        <v>2.0</v>
      </c>
      <c r="R270" s="4">
        <v>0.0</v>
      </c>
      <c r="AG270" s="5"/>
      <c r="AH270" s="5"/>
      <c r="AI270" s="5"/>
      <c r="AJ270" s="5"/>
      <c r="AK270" s="5"/>
      <c r="AL270" s="5"/>
    </row>
    <row r="271" ht="15.75" customHeight="1">
      <c r="N271" s="4">
        <v>2238.0</v>
      </c>
      <c r="O271" s="4">
        <v>2.0</v>
      </c>
      <c r="P271" s="4">
        <v>2.0</v>
      </c>
      <c r="Q271" s="4">
        <v>2.0</v>
      </c>
      <c r="R271" s="4">
        <v>0.0</v>
      </c>
      <c r="AG271" s="5"/>
      <c r="AH271" s="5"/>
      <c r="AI271" s="5"/>
      <c r="AJ271" s="5"/>
      <c r="AK271" s="5"/>
      <c r="AL271" s="5"/>
    </row>
    <row r="272" ht="15.75" customHeight="1">
      <c r="N272" s="4">
        <v>2239.0</v>
      </c>
      <c r="O272" s="4">
        <v>2.0</v>
      </c>
      <c r="P272" s="4">
        <v>2.0</v>
      </c>
      <c r="Q272" s="4">
        <v>2.0</v>
      </c>
      <c r="R272" s="4">
        <v>0.0</v>
      </c>
      <c r="AG272" s="5"/>
      <c r="AH272" s="5"/>
      <c r="AI272" s="5"/>
      <c r="AJ272" s="5"/>
      <c r="AK272" s="5"/>
      <c r="AL272" s="5"/>
    </row>
    <row r="273" ht="15.75" customHeight="1">
      <c r="N273" s="4">
        <v>2240.0</v>
      </c>
      <c r="O273" s="4">
        <v>2.0</v>
      </c>
      <c r="P273" s="4">
        <v>2.0</v>
      </c>
      <c r="Q273" s="4">
        <v>2.0</v>
      </c>
      <c r="R273" s="4">
        <v>0.0</v>
      </c>
      <c r="AG273" s="5"/>
      <c r="AH273" s="5"/>
      <c r="AI273" s="5"/>
      <c r="AJ273" s="5"/>
      <c r="AK273" s="5"/>
      <c r="AL273" s="5"/>
    </row>
    <row r="274" ht="15.75" customHeight="1">
      <c r="N274" s="4">
        <v>2241.0</v>
      </c>
      <c r="O274" s="4">
        <v>2.0</v>
      </c>
      <c r="P274" s="4">
        <v>2.0</v>
      </c>
      <c r="Q274" s="4">
        <v>2.0</v>
      </c>
      <c r="R274" s="4">
        <v>0.0</v>
      </c>
      <c r="AG274" s="5"/>
      <c r="AH274" s="5"/>
      <c r="AI274" s="5"/>
      <c r="AJ274" s="5"/>
      <c r="AK274" s="5"/>
      <c r="AL274" s="5"/>
    </row>
    <row r="275" ht="15.75" customHeight="1">
      <c r="N275" s="4">
        <v>2242.0</v>
      </c>
      <c r="O275" s="4">
        <v>2.0</v>
      </c>
      <c r="P275" s="4">
        <v>2.0</v>
      </c>
      <c r="Q275" s="4">
        <v>2.0</v>
      </c>
      <c r="R275" s="4">
        <v>0.0</v>
      </c>
      <c r="AG275" s="5"/>
      <c r="AH275" s="5"/>
      <c r="AI275" s="5"/>
      <c r="AJ275" s="5"/>
      <c r="AK275" s="5"/>
      <c r="AL275" s="5"/>
    </row>
    <row r="276" ht="15.75" customHeight="1">
      <c r="N276" s="4">
        <v>2243.0</v>
      </c>
      <c r="O276" s="4">
        <v>2.0</v>
      </c>
      <c r="P276" s="4">
        <v>2.0</v>
      </c>
      <c r="Q276" s="4">
        <v>2.0</v>
      </c>
      <c r="R276" s="4">
        <v>0.0</v>
      </c>
      <c r="AG276" s="5"/>
      <c r="AH276" s="5"/>
      <c r="AI276" s="5"/>
      <c r="AJ276" s="5"/>
      <c r="AK276" s="5"/>
      <c r="AL276" s="5"/>
    </row>
    <row r="277" ht="15.75" customHeight="1">
      <c r="N277" s="4">
        <v>2244.0</v>
      </c>
      <c r="O277" s="4">
        <v>2.0</v>
      </c>
      <c r="P277" s="4">
        <v>2.0</v>
      </c>
      <c r="Q277" s="4">
        <v>2.0</v>
      </c>
      <c r="R277" s="4">
        <v>0.0</v>
      </c>
      <c r="AG277" s="5"/>
      <c r="AH277" s="5"/>
      <c r="AI277" s="5"/>
      <c r="AJ277" s="5"/>
      <c r="AK277" s="5"/>
      <c r="AL277" s="5"/>
    </row>
    <row r="278" ht="15.75" customHeight="1">
      <c r="N278" s="4">
        <v>2245.0</v>
      </c>
      <c r="O278" s="4">
        <v>2.0</v>
      </c>
      <c r="P278" s="4">
        <v>2.0</v>
      </c>
      <c r="Q278" s="4">
        <v>2.0</v>
      </c>
      <c r="R278" s="4">
        <v>0.0</v>
      </c>
      <c r="AG278" s="5"/>
      <c r="AH278" s="5"/>
      <c r="AI278" s="5"/>
      <c r="AJ278" s="5"/>
      <c r="AK278" s="5"/>
      <c r="AL278" s="5"/>
    </row>
    <row r="279" ht="15.75" customHeight="1">
      <c r="N279" s="4">
        <v>2246.0</v>
      </c>
      <c r="O279" s="4">
        <v>2.0</v>
      </c>
      <c r="P279" s="4">
        <v>2.0</v>
      </c>
      <c r="Q279" s="4">
        <v>2.0</v>
      </c>
      <c r="R279" s="4">
        <v>0.0</v>
      </c>
      <c r="AG279" s="5"/>
      <c r="AH279" s="5"/>
      <c r="AI279" s="5"/>
      <c r="AJ279" s="5"/>
      <c r="AK279" s="5"/>
      <c r="AL279" s="5"/>
    </row>
    <row r="280" ht="15.75" customHeight="1">
      <c r="N280" s="4">
        <v>2247.0</v>
      </c>
      <c r="O280" s="4">
        <v>2.0</v>
      </c>
      <c r="P280" s="4">
        <v>2.0</v>
      </c>
      <c r="Q280" s="4">
        <v>2.0</v>
      </c>
      <c r="R280" s="4">
        <v>0.0</v>
      </c>
      <c r="AG280" s="5"/>
      <c r="AH280" s="5"/>
      <c r="AI280" s="5"/>
      <c r="AJ280" s="5"/>
      <c r="AK280" s="5"/>
      <c r="AL280" s="5"/>
    </row>
    <row r="281" ht="15.75" customHeight="1">
      <c r="N281" s="4">
        <v>2248.0</v>
      </c>
      <c r="O281" s="4">
        <v>2.0</v>
      </c>
      <c r="P281" s="4">
        <v>2.0</v>
      </c>
      <c r="Q281" s="4">
        <v>2.0</v>
      </c>
      <c r="R281" s="4">
        <v>0.0</v>
      </c>
      <c r="AG281" s="5"/>
      <c r="AH281" s="5"/>
      <c r="AI281" s="5"/>
      <c r="AJ281" s="5"/>
      <c r="AK281" s="5"/>
      <c r="AL281" s="5"/>
    </row>
    <row r="282" ht="15.75" customHeight="1">
      <c r="N282" s="4">
        <v>2249.0</v>
      </c>
      <c r="O282" s="4">
        <v>2.0</v>
      </c>
      <c r="P282" s="4">
        <v>2.0</v>
      </c>
      <c r="Q282" s="4">
        <v>2.0</v>
      </c>
      <c r="R282" s="4">
        <v>0.0</v>
      </c>
      <c r="AG282" s="5"/>
      <c r="AH282" s="5"/>
      <c r="AI282" s="5"/>
      <c r="AJ282" s="5"/>
      <c r="AK282" s="5"/>
      <c r="AL282" s="5"/>
    </row>
    <row r="283" ht="15.75" customHeight="1">
      <c r="N283" s="4">
        <v>2250.0</v>
      </c>
      <c r="O283" s="4">
        <v>2.0</v>
      </c>
      <c r="P283" s="4">
        <v>2.0</v>
      </c>
      <c r="Q283" s="4">
        <v>2.0</v>
      </c>
      <c r="R283" s="4">
        <v>0.0</v>
      </c>
      <c r="AG283" s="5"/>
      <c r="AH283" s="5"/>
      <c r="AI283" s="5"/>
      <c r="AJ283" s="5"/>
      <c r="AK283" s="5"/>
      <c r="AL283" s="5"/>
    </row>
    <row r="284" ht="15.75" customHeight="1">
      <c r="N284" s="4">
        <v>2251.0</v>
      </c>
      <c r="O284" s="4">
        <v>2.0</v>
      </c>
      <c r="P284" s="4">
        <v>2.0</v>
      </c>
      <c r="Q284" s="4">
        <v>2.0</v>
      </c>
      <c r="R284" s="4">
        <v>0.0</v>
      </c>
      <c r="AG284" s="5"/>
      <c r="AH284" s="5"/>
      <c r="AI284" s="5"/>
      <c r="AJ284" s="5"/>
      <c r="AK284" s="5"/>
      <c r="AL284" s="5"/>
    </row>
    <row r="285" ht="15.75" customHeight="1">
      <c r="N285" s="4">
        <v>2252.0</v>
      </c>
      <c r="O285" s="4">
        <v>2.0</v>
      </c>
      <c r="P285" s="4">
        <v>2.0</v>
      </c>
      <c r="Q285" s="4">
        <v>2.0</v>
      </c>
      <c r="R285" s="4">
        <v>0.0</v>
      </c>
      <c r="AG285" s="5"/>
      <c r="AH285" s="5"/>
      <c r="AI285" s="5"/>
      <c r="AJ285" s="5"/>
      <c r="AK285" s="5"/>
      <c r="AL285" s="5"/>
    </row>
    <row r="286" ht="15.75" customHeight="1">
      <c r="N286" s="4">
        <v>2253.0</v>
      </c>
      <c r="O286" s="4">
        <v>2.0</v>
      </c>
      <c r="P286" s="4">
        <v>2.0</v>
      </c>
      <c r="Q286" s="4">
        <v>2.0</v>
      </c>
      <c r="R286" s="4">
        <v>0.0</v>
      </c>
      <c r="AG286" s="5"/>
      <c r="AH286" s="5"/>
      <c r="AI286" s="5"/>
      <c r="AJ286" s="5"/>
      <c r="AK286" s="5"/>
      <c r="AL286" s="5"/>
    </row>
    <row r="287" ht="15.75" customHeight="1">
      <c r="N287" s="4">
        <v>2254.0</v>
      </c>
      <c r="O287" s="4">
        <v>2.0</v>
      </c>
      <c r="P287" s="4">
        <v>2.0</v>
      </c>
      <c r="Q287" s="4">
        <v>2.0</v>
      </c>
      <c r="R287" s="4">
        <v>0.0</v>
      </c>
      <c r="AG287" s="5"/>
      <c r="AH287" s="5"/>
      <c r="AI287" s="5"/>
      <c r="AJ287" s="5"/>
      <c r="AK287" s="5"/>
      <c r="AL287" s="5"/>
    </row>
    <row r="288" ht="15.75" customHeight="1">
      <c r="N288" s="4">
        <v>2255.0</v>
      </c>
      <c r="O288" s="4">
        <v>2.0</v>
      </c>
      <c r="P288" s="4">
        <v>2.0</v>
      </c>
      <c r="Q288" s="4">
        <v>2.0</v>
      </c>
      <c r="R288" s="4">
        <v>0.0</v>
      </c>
      <c r="AG288" s="5"/>
      <c r="AH288" s="5"/>
      <c r="AI288" s="5"/>
      <c r="AJ288" s="5"/>
      <c r="AK288" s="5"/>
      <c r="AL288" s="5"/>
    </row>
    <row r="289" ht="15.75" customHeight="1">
      <c r="N289" s="4">
        <v>2256.0</v>
      </c>
      <c r="O289" s="4">
        <v>2.0</v>
      </c>
      <c r="P289" s="4">
        <v>2.0</v>
      </c>
      <c r="Q289" s="4">
        <v>2.0</v>
      </c>
      <c r="R289" s="4">
        <v>0.0</v>
      </c>
      <c r="AG289" s="5"/>
      <c r="AH289" s="5"/>
      <c r="AI289" s="5"/>
      <c r="AJ289" s="5"/>
      <c r="AK289" s="5"/>
      <c r="AL289" s="5"/>
    </row>
    <row r="290" ht="15.75" customHeight="1">
      <c r="N290" s="4">
        <v>2257.0</v>
      </c>
      <c r="O290" s="4">
        <v>2.0</v>
      </c>
      <c r="P290" s="4">
        <v>2.0</v>
      </c>
      <c r="Q290" s="4">
        <v>2.0</v>
      </c>
      <c r="R290" s="4">
        <v>0.0</v>
      </c>
      <c r="AG290" s="5"/>
      <c r="AH290" s="5"/>
      <c r="AI290" s="5"/>
      <c r="AJ290" s="5"/>
      <c r="AK290" s="5"/>
      <c r="AL290" s="5"/>
    </row>
    <row r="291" ht="15.75" customHeight="1">
      <c r="N291" s="4">
        <v>2258.0</v>
      </c>
      <c r="O291" s="4">
        <v>2.0</v>
      </c>
      <c r="P291" s="4">
        <v>2.0</v>
      </c>
      <c r="Q291" s="4">
        <v>2.0</v>
      </c>
      <c r="R291" s="4">
        <v>0.0</v>
      </c>
      <c r="AG291" s="5"/>
      <c r="AH291" s="5"/>
      <c r="AI291" s="5"/>
      <c r="AJ291" s="5"/>
      <c r="AK291" s="5"/>
      <c r="AL291" s="5"/>
    </row>
    <row r="292" ht="15.75" customHeight="1">
      <c r="N292" s="4">
        <v>2259.0</v>
      </c>
      <c r="O292" s="4">
        <v>2.0</v>
      </c>
      <c r="P292" s="4">
        <v>2.0</v>
      </c>
      <c r="Q292" s="4">
        <v>2.0</v>
      </c>
      <c r="R292" s="4">
        <v>0.0</v>
      </c>
      <c r="AG292" s="5"/>
      <c r="AH292" s="5"/>
      <c r="AI292" s="5"/>
      <c r="AJ292" s="5"/>
      <c r="AK292" s="5"/>
      <c r="AL292" s="5"/>
    </row>
    <row r="293" ht="15.75" customHeight="1">
      <c r="N293" s="4">
        <v>2260.0</v>
      </c>
      <c r="O293" s="4">
        <v>2.0</v>
      </c>
      <c r="P293" s="4">
        <v>2.0</v>
      </c>
      <c r="Q293" s="4">
        <v>2.0</v>
      </c>
      <c r="R293" s="4">
        <v>0.0</v>
      </c>
      <c r="AG293" s="5"/>
      <c r="AH293" s="5"/>
      <c r="AI293" s="5"/>
      <c r="AJ293" s="5"/>
      <c r="AK293" s="5"/>
      <c r="AL293" s="5"/>
    </row>
    <row r="294" ht="15.75" customHeight="1">
      <c r="N294" s="4">
        <v>2261.0</v>
      </c>
      <c r="O294" s="4">
        <v>2.0</v>
      </c>
      <c r="P294" s="4">
        <v>2.0</v>
      </c>
      <c r="Q294" s="4">
        <v>2.0</v>
      </c>
      <c r="R294" s="4">
        <v>0.0</v>
      </c>
      <c r="AG294" s="5"/>
      <c r="AH294" s="5"/>
      <c r="AI294" s="5"/>
      <c r="AJ294" s="5"/>
      <c r="AK294" s="5"/>
      <c r="AL294" s="5"/>
    </row>
    <row r="295" ht="15.75" customHeight="1">
      <c r="N295" s="4">
        <v>2262.0</v>
      </c>
      <c r="O295" s="4">
        <v>2.0</v>
      </c>
      <c r="P295" s="4">
        <v>2.0</v>
      </c>
      <c r="Q295" s="4">
        <v>2.0</v>
      </c>
      <c r="R295" s="4">
        <v>0.0</v>
      </c>
      <c r="AG295" s="5"/>
      <c r="AH295" s="5"/>
      <c r="AI295" s="5"/>
      <c r="AJ295" s="5"/>
      <c r="AK295" s="5"/>
      <c r="AL295" s="5"/>
    </row>
    <row r="296" ht="15.75" customHeight="1">
      <c r="N296" s="4">
        <v>2263.0</v>
      </c>
      <c r="O296" s="4">
        <v>2.0</v>
      </c>
      <c r="P296" s="4">
        <v>2.0</v>
      </c>
      <c r="Q296" s="4">
        <v>2.0</v>
      </c>
      <c r="R296" s="4">
        <v>0.0</v>
      </c>
      <c r="AG296" s="5"/>
      <c r="AH296" s="5"/>
      <c r="AI296" s="5"/>
      <c r="AJ296" s="5"/>
      <c r="AK296" s="5"/>
      <c r="AL296" s="5"/>
    </row>
    <row r="297" ht="15.75" customHeight="1">
      <c r="N297" s="4">
        <v>2264.0</v>
      </c>
      <c r="O297" s="4">
        <v>2.0</v>
      </c>
      <c r="P297" s="4">
        <v>2.0</v>
      </c>
      <c r="Q297" s="4">
        <v>2.0</v>
      </c>
      <c r="R297" s="4">
        <v>0.0</v>
      </c>
      <c r="AG297" s="5"/>
      <c r="AH297" s="5"/>
      <c r="AI297" s="5"/>
      <c r="AJ297" s="5"/>
      <c r="AK297" s="5"/>
      <c r="AL297" s="5"/>
    </row>
    <row r="298" ht="15.75" customHeight="1">
      <c r="N298" s="4">
        <v>2265.0</v>
      </c>
      <c r="O298" s="4">
        <v>2.0</v>
      </c>
      <c r="P298" s="4">
        <v>2.0</v>
      </c>
      <c r="Q298" s="4">
        <v>2.0</v>
      </c>
      <c r="R298" s="4">
        <v>0.0</v>
      </c>
      <c r="AG298" s="5"/>
      <c r="AH298" s="5"/>
      <c r="AI298" s="5"/>
      <c r="AJ298" s="5"/>
      <c r="AK298" s="5"/>
      <c r="AL298" s="5"/>
    </row>
    <row r="299" ht="15.75" customHeight="1">
      <c r="N299" s="4">
        <v>2266.0</v>
      </c>
      <c r="O299" s="4">
        <v>2.0</v>
      </c>
      <c r="P299" s="4">
        <v>2.0</v>
      </c>
      <c r="Q299" s="4">
        <v>2.0</v>
      </c>
      <c r="R299" s="4">
        <v>0.0</v>
      </c>
      <c r="AG299" s="5"/>
      <c r="AH299" s="5"/>
      <c r="AI299" s="5"/>
      <c r="AJ299" s="5"/>
      <c r="AK299" s="5"/>
      <c r="AL299" s="5"/>
    </row>
    <row r="300" ht="15.75" customHeight="1">
      <c r="N300" s="4">
        <v>2267.0</v>
      </c>
      <c r="O300" s="4">
        <v>2.0</v>
      </c>
      <c r="P300" s="4">
        <v>2.0</v>
      </c>
      <c r="Q300" s="4">
        <v>2.0</v>
      </c>
      <c r="R300" s="4">
        <v>0.0</v>
      </c>
      <c r="AG300" s="5"/>
      <c r="AH300" s="5"/>
      <c r="AI300" s="5"/>
      <c r="AJ300" s="5"/>
      <c r="AK300" s="5"/>
      <c r="AL300" s="5"/>
    </row>
    <row r="301" ht="15.75" customHeight="1">
      <c r="N301" s="4">
        <v>2268.0</v>
      </c>
      <c r="O301" s="4">
        <v>2.0</v>
      </c>
      <c r="P301" s="4">
        <v>2.0</v>
      </c>
      <c r="Q301" s="4">
        <v>2.0</v>
      </c>
      <c r="R301" s="4">
        <v>0.0</v>
      </c>
      <c r="AG301" s="5"/>
      <c r="AH301" s="5"/>
      <c r="AI301" s="5"/>
      <c r="AJ301" s="5"/>
      <c r="AK301" s="5"/>
      <c r="AL301" s="5"/>
    </row>
    <row r="302" ht="15.75" customHeight="1">
      <c r="N302" s="4">
        <v>2269.0</v>
      </c>
      <c r="O302" s="4">
        <v>2.0</v>
      </c>
      <c r="P302" s="4">
        <v>2.0</v>
      </c>
      <c r="Q302" s="4">
        <v>2.0</v>
      </c>
      <c r="R302" s="4">
        <v>0.0</v>
      </c>
      <c r="AG302" s="5"/>
      <c r="AH302" s="5"/>
      <c r="AI302" s="5"/>
      <c r="AJ302" s="5"/>
      <c r="AK302" s="5"/>
      <c r="AL302" s="5"/>
    </row>
    <row r="303" ht="15.75" customHeight="1">
      <c r="N303" s="4">
        <v>2270.0</v>
      </c>
      <c r="O303" s="4">
        <v>2.0</v>
      </c>
      <c r="P303" s="4">
        <v>2.0</v>
      </c>
      <c r="Q303" s="4">
        <v>2.0</v>
      </c>
      <c r="R303" s="4">
        <v>0.0</v>
      </c>
      <c r="AG303" s="5"/>
      <c r="AH303" s="5"/>
      <c r="AI303" s="5"/>
      <c r="AJ303" s="5"/>
      <c r="AK303" s="5"/>
      <c r="AL303" s="5"/>
    </row>
    <row r="304" ht="15.75" customHeight="1">
      <c r="N304" s="4">
        <v>2271.0</v>
      </c>
      <c r="O304" s="4">
        <v>2.0</v>
      </c>
      <c r="P304" s="4">
        <v>2.0</v>
      </c>
      <c r="Q304" s="4">
        <v>2.0</v>
      </c>
      <c r="R304" s="4">
        <v>0.0</v>
      </c>
      <c r="AG304" s="5"/>
      <c r="AH304" s="5"/>
      <c r="AI304" s="5"/>
      <c r="AJ304" s="5"/>
      <c r="AK304" s="5"/>
      <c r="AL304" s="5"/>
    </row>
    <row r="305" ht="15.75" customHeight="1">
      <c r="N305" s="4">
        <v>2272.0</v>
      </c>
      <c r="O305" s="4">
        <v>2.0</v>
      </c>
      <c r="P305" s="4">
        <v>2.0</v>
      </c>
      <c r="Q305" s="4">
        <v>2.0</v>
      </c>
      <c r="R305" s="4">
        <v>0.0</v>
      </c>
      <c r="AG305" s="5"/>
      <c r="AH305" s="5"/>
      <c r="AI305" s="5"/>
      <c r="AJ305" s="5"/>
      <c r="AK305" s="5"/>
      <c r="AL305" s="5"/>
    </row>
    <row r="306" ht="15.75" customHeight="1">
      <c r="AG306" s="5"/>
      <c r="AH306" s="5"/>
      <c r="AI306" s="5"/>
      <c r="AJ306" s="5"/>
      <c r="AK306" s="5"/>
      <c r="AL306" s="5"/>
    </row>
    <row r="307" ht="15.75" customHeight="1">
      <c r="AG307" s="5"/>
      <c r="AH307" s="5"/>
      <c r="AI307" s="5"/>
      <c r="AJ307" s="5"/>
      <c r="AK307" s="5"/>
      <c r="AL307" s="5"/>
    </row>
    <row r="308" ht="15.75" customHeight="1">
      <c r="AG308" s="5"/>
      <c r="AH308" s="5"/>
      <c r="AI308" s="5"/>
      <c r="AJ308" s="5"/>
      <c r="AK308" s="5"/>
      <c r="AL308" s="5"/>
    </row>
    <row r="309" ht="15.75" customHeight="1">
      <c r="AG309" s="5"/>
      <c r="AH309" s="5"/>
      <c r="AI309" s="5"/>
      <c r="AJ309" s="5"/>
      <c r="AK309" s="5"/>
      <c r="AL309" s="5"/>
    </row>
    <row r="310" ht="15.75" customHeight="1">
      <c r="AG310" s="5"/>
      <c r="AH310" s="5"/>
      <c r="AI310" s="5"/>
      <c r="AJ310" s="5"/>
      <c r="AK310" s="5"/>
      <c r="AL310" s="5"/>
    </row>
    <row r="311" ht="15.75" customHeight="1">
      <c r="AG311" s="5"/>
      <c r="AH311" s="5"/>
      <c r="AI311" s="5"/>
      <c r="AJ311" s="5"/>
      <c r="AK311" s="5"/>
      <c r="AL311" s="5"/>
    </row>
    <row r="312" ht="15.75" customHeight="1">
      <c r="AG312" s="5"/>
      <c r="AH312" s="5"/>
      <c r="AI312" s="5"/>
      <c r="AJ312" s="5"/>
      <c r="AK312" s="5"/>
      <c r="AL312" s="5"/>
    </row>
    <row r="313" ht="15.75" customHeight="1">
      <c r="AG313" s="5"/>
      <c r="AH313" s="5"/>
      <c r="AI313" s="5"/>
      <c r="AJ313" s="5"/>
      <c r="AK313" s="5"/>
      <c r="AL313" s="5"/>
    </row>
    <row r="314" ht="15.75" customHeight="1">
      <c r="AG314" s="5"/>
      <c r="AH314" s="5"/>
      <c r="AI314" s="5"/>
      <c r="AJ314" s="5"/>
      <c r="AK314" s="5"/>
      <c r="AL314" s="5"/>
    </row>
    <row r="315" ht="15.75" customHeight="1">
      <c r="AG315" s="5"/>
      <c r="AH315" s="5"/>
      <c r="AI315" s="5"/>
      <c r="AJ315" s="5"/>
      <c r="AK315" s="5"/>
      <c r="AL315" s="5"/>
    </row>
    <row r="316" ht="15.75" customHeight="1">
      <c r="AG316" s="5"/>
      <c r="AH316" s="5"/>
      <c r="AI316" s="5"/>
      <c r="AJ316" s="5"/>
      <c r="AK316" s="5"/>
      <c r="AL316" s="5"/>
    </row>
    <row r="317" ht="15.75" customHeight="1">
      <c r="AG317" s="5"/>
      <c r="AH317" s="5"/>
      <c r="AI317" s="5"/>
      <c r="AJ317" s="5"/>
      <c r="AK317" s="5"/>
      <c r="AL317" s="5"/>
    </row>
    <row r="318" ht="15.75" customHeight="1">
      <c r="AG318" s="5"/>
      <c r="AH318" s="5"/>
      <c r="AI318" s="5"/>
      <c r="AJ318" s="5"/>
      <c r="AK318" s="5"/>
      <c r="AL318" s="5"/>
    </row>
    <row r="319" ht="15.75" customHeight="1">
      <c r="AG319" s="5"/>
      <c r="AH319" s="5"/>
      <c r="AI319" s="5"/>
      <c r="AJ319" s="5"/>
      <c r="AK319" s="5"/>
      <c r="AL319" s="5"/>
    </row>
    <row r="320" ht="15.75" customHeight="1">
      <c r="AG320" s="5"/>
      <c r="AH320" s="5"/>
      <c r="AI320" s="5"/>
      <c r="AJ320" s="5"/>
      <c r="AK320" s="5"/>
      <c r="AL320" s="5"/>
    </row>
    <row r="321" ht="15.75" customHeight="1">
      <c r="AG321" s="5"/>
      <c r="AH321" s="5"/>
      <c r="AI321" s="5"/>
      <c r="AJ321" s="5"/>
      <c r="AK321" s="5"/>
      <c r="AL321" s="5"/>
    </row>
    <row r="322" ht="15.75" customHeight="1">
      <c r="AG322" s="5"/>
      <c r="AH322" s="5"/>
      <c r="AI322" s="5"/>
      <c r="AJ322" s="5"/>
      <c r="AK322" s="5"/>
      <c r="AL322" s="5"/>
    </row>
    <row r="323" ht="15.75" customHeight="1">
      <c r="AG323" s="5"/>
      <c r="AH323" s="5"/>
      <c r="AI323" s="5"/>
      <c r="AJ323" s="5"/>
      <c r="AK323" s="5"/>
      <c r="AL323" s="5"/>
    </row>
    <row r="324" ht="15.75" customHeight="1">
      <c r="AG324" s="5"/>
      <c r="AH324" s="5"/>
      <c r="AI324" s="5"/>
      <c r="AJ324" s="5"/>
      <c r="AK324" s="5"/>
      <c r="AL324" s="5"/>
    </row>
    <row r="325" ht="15.75" customHeight="1">
      <c r="AG325" s="5"/>
      <c r="AH325" s="5"/>
      <c r="AI325" s="5"/>
      <c r="AJ325" s="5"/>
      <c r="AK325" s="5"/>
      <c r="AL325" s="5"/>
    </row>
    <row r="326" ht="15.75" customHeight="1">
      <c r="AG326" s="5"/>
      <c r="AH326" s="5"/>
      <c r="AI326" s="5"/>
      <c r="AJ326" s="5"/>
      <c r="AK326" s="5"/>
      <c r="AL326" s="5"/>
    </row>
    <row r="327" ht="15.75" customHeight="1">
      <c r="AG327" s="5"/>
      <c r="AH327" s="5"/>
      <c r="AI327" s="5"/>
      <c r="AJ327" s="5"/>
      <c r="AK327" s="5"/>
      <c r="AL327" s="5"/>
    </row>
    <row r="328" ht="15.75" customHeight="1">
      <c r="AG328" s="5"/>
      <c r="AH328" s="5"/>
      <c r="AI328" s="5"/>
      <c r="AJ328" s="5"/>
      <c r="AK328" s="5"/>
      <c r="AL328" s="5"/>
    </row>
    <row r="329" ht="15.75" customHeight="1">
      <c r="AG329" s="5"/>
      <c r="AH329" s="5"/>
      <c r="AI329" s="5"/>
      <c r="AJ329" s="5"/>
      <c r="AK329" s="5"/>
      <c r="AL329" s="5"/>
    </row>
    <row r="330" ht="15.75" customHeight="1">
      <c r="AG330" s="5"/>
      <c r="AH330" s="5"/>
      <c r="AI330" s="5"/>
      <c r="AJ330" s="5"/>
      <c r="AK330" s="5"/>
      <c r="AL330" s="5"/>
    </row>
    <row r="331" ht="15.75" customHeight="1">
      <c r="AG331" s="5"/>
      <c r="AH331" s="5"/>
      <c r="AI331" s="5"/>
      <c r="AJ331" s="5"/>
      <c r="AK331" s="5"/>
      <c r="AL331" s="5"/>
    </row>
    <row r="332" ht="15.75" customHeight="1">
      <c r="AG332" s="5"/>
      <c r="AH332" s="5"/>
      <c r="AI332" s="5"/>
      <c r="AJ332" s="5"/>
      <c r="AK332" s="5"/>
      <c r="AL332" s="5"/>
    </row>
    <row r="333" ht="15.75" customHeight="1">
      <c r="AG333" s="5"/>
      <c r="AH333" s="5"/>
      <c r="AI333" s="5"/>
      <c r="AJ333" s="5"/>
      <c r="AK333" s="5"/>
      <c r="AL333" s="5"/>
    </row>
    <row r="334" ht="15.75" customHeight="1">
      <c r="AG334" s="5"/>
      <c r="AH334" s="5"/>
      <c r="AI334" s="5"/>
      <c r="AJ334" s="5"/>
      <c r="AK334" s="5"/>
      <c r="AL334" s="5"/>
    </row>
    <row r="335" ht="15.75" customHeight="1">
      <c r="AG335" s="5"/>
      <c r="AH335" s="5"/>
      <c r="AI335" s="5"/>
      <c r="AJ335" s="5"/>
      <c r="AK335" s="5"/>
      <c r="AL335" s="5"/>
    </row>
    <row r="336" ht="15.75" customHeight="1">
      <c r="AG336" s="5"/>
      <c r="AH336" s="5"/>
      <c r="AI336" s="5"/>
      <c r="AJ336" s="5"/>
      <c r="AK336" s="5"/>
      <c r="AL336" s="5"/>
    </row>
    <row r="337" ht="15.75" customHeight="1">
      <c r="AG337" s="5"/>
      <c r="AH337" s="5"/>
      <c r="AI337" s="5"/>
      <c r="AJ337" s="5"/>
      <c r="AK337" s="5"/>
      <c r="AL337" s="5"/>
    </row>
    <row r="338" ht="15.75" customHeight="1">
      <c r="AG338" s="5"/>
      <c r="AH338" s="5"/>
      <c r="AI338" s="5"/>
      <c r="AJ338" s="5"/>
      <c r="AK338" s="5"/>
      <c r="AL338" s="5"/>
    </row>
    <row r="339" ht="15.75" customHeight="1">
      <c r="AG339" s="5"/>
      <c r="AH339" s="5"/>
      <c r="AI339" s="5"/>
      <c r="AJ339" s="5"/>
      <c r="AK339" s="5"/>
      <c r="AL339" s="5"/>
    </row>
    <row r="340" ht="15.75" customHeight="1">
      <c r="AG340" s="5"/>
      <c r="AH340" s="5"/>
      <c r="AI340" s="5"/>
      <c r="AJ340" s="5"/>
      <c r="AK340" s="5"/>
      <c r="AL340" s="5"/>
    </row>
    <row r="341" ht="15.75" customHeight="1">
      <c r="AG341" s="5"/>
      <c r="AH341" s="5"/>
      <c r="AI341" s="5"/>
      <c r="AJ341" s="5"/>
      <c r="AK341" s="5"/>
      <c r="AL341" s="5"/>
    </row>
    <row r="342" ht="15.75" customHeight="1">
      <c r="AG342" s="5"/>
      <c r="AH342" s="5"/>
      <c r="AI342" s="5"/>
      <c r="AJ342" s="5"/>
      <c r="AK342" s="5"/>
      <c r="AL342" s="5"/>
    </row>
    <row r="343" ht="15.75" customHeight="1">
      <c r="AG343" s="5"/>
      <c r="AH343" s="5"/>
      <c r="AI343" s="5"/>
      <c r="AJ343" s="5"/>
      <c r="AK343" s="5"/>
      <c r="AL343" s="5"/>
    </row>
    <row r="344" ht="15.75" customHeight="1">
      <c r="AG344" s="5"/>
      <c r="AH344" s="5"/>
      <c r="AI344" s="5"/>
      <c r="AJ344" s="5"/>
      <c r="AK344" s="5"/>
      <c r="AL344" s="5"/>
    </row>
    <row r="345" ht="15.75" customHeight="1">
      <c r="AG345" s="5"/>
      <c r="AH345" s="5"/>
      <c r="AI345" s="5"/>
      <c r="AJ345" s="5"/>
      <c r="AK345" s="5"/>
      <c r="AL345" s="5"/>
    </row>
    <row r="346" ht="15.75" customHeight="1">
      <c r="AG346" s="5"/>
      <c r="AH346" s="5"/>
      <c r="AI346" s="5"/>
      <c r="AJ346" s="5"/>
      <c r="AK346" s="5"/>
      <c r="AL346" s="5"/>
    </row>
    <row r="347" ht="15.75" customHeight="1">
      <c r="AG347" s="5"/>
      <c r="AH347" s="5"/>
      <c r="AI347" s="5"/>
      <c r="AJ347" s="5"/>
      <c r="AK347" s="5"/>
      <c r="AL347" s="5"/>
    </row>
    <row r="348" ht="15.75" customHeight="1">
      <c r="AG348" s="5"/>
      <c r="AH348" s="5"/>
      <c r="AI348" s="5"/>
      <c r="AJ348" s="5"/>
      <c r="AK348" s="5"/>
      <c r="AL348" s="5"/>
    </row>
    <row r="349" ht="15.75" customHeight="1">
      <c r="AG349" s="5"/>
      <c r="AH349" s="5"/>
      <c r="AI349" s="5"/>
      <c r="AJ349" s="5"/>
      <c r="AK349" s="5"/>
      <c r="AL349" s="5"/>
    </row>
    <row r="350" ht="15.75" customHeight="1">
      <c r="AG350" s="5"/>
      <c r="AH350" s="5"/>
      <c r="AI350" s="5"/>
      <c r="AJ350" s="5"/>
      <c r="AK350" s="5"/>
      <c r="AL350" s="5"/>
    </row>
    <row r="351" ht="15.75" customHeight="1">
      <c r="AG351" s="5"/>
      <c r="AH351" s="5"/>
      <c r="AI351" s="5"/>
      <c r="AJ351" s="5"/>
      <c r="AK351" s="5"/>
      <c r="AL351" s="5"/>
    </row>
    <row r="352" ht="15.75" customHeight="1">
      <c r="AG352" s="5"/>
      <c r="AH352" s="5"/>
      <c r="AI352" s="5"/>
      <c r="AJ352" s="5"/>
      <c r="AK352" s="5"/>
      <c r="AL352" s="5"/>
    </row>
    <row r="353" ht="15.75" customHeight="1">
      <c r="AG353" s="5"/>
      <c r="AH353" s="5"/>
      <c r="AI353" s="5"/>
      <c r="AJ353" s="5"/>
      <c r="AK353" s="5"/>
      <c r="AL353" s="5"/>
    </row>
    <row r="354" ht="15.75" customHeight="1">
      <c r="AG354" s="5"/>
      <c r="AH354" s="5"/>
      <c r="AI354" s="5"/>
      <c r="AJ354" s="5"/>
      <c r="AK354" s="5"/>
      <c r="AL354" s="5"/>
    </row>
    <row r="355" ht="15.75" customHeight="1">
      <c r="AG355" s="5"/>
      <c r="AH355" s="5"/>
      <c r="AI355" s="5"/>
      <c r="AJ355" s="5"/>
      <c r="AK355" s="5"/>
      <c r="AL355" s="5"/>
    </row>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W1"/>
  </mergeCells>
  <printOptions/>
  <pageMargins bottom="0.75" footer="0.0" header="0.0" left="0.7" right="0.7" top="0.75"/>
  <pageSetup paperSize="9" orientation="portrait"/>
  <headerFooter>
    <oddHeader>&amp;CFF0000 OFFICIAL#_x000D_</oddHeader>
  </headerFoo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7" width="11.43"/>
    <col customWidth="1" min="8" max="8" width="14.71"/>
    <col customWidth="1" min="9" max="26" width="11.43"/>
  </cols>
  <sheetData>
    <row r="1" ht="19.5" customHeight="1">
      <c r="A1" s="1" t="s">
        <v>126</v>
      </c>
      <c r="B1" s="2"/>
      <c r="C1" s="2"/>
      <c r="D1" s="2"/>
      <c r="E1" s="2"/>
      <c r="F1" s="2"/>
      <c r="G1" s="2"/>
      <c r="H1" s="2"/>
      <c r="I1" s="2"/>
      <c r="J1" s="2"/>
      <c r="K1" s="2"/>
      <c r="L1" s="2"/>
      <c r="M1" s="2"/>
      <c r="N1" s="2"/>
      <c r="O1" s="2"/>
      <c r="P1" s="2"/>
      <c r="Q1" s="2"/>
      <c r="R1" s="2"/>
      <c r="S1" s="2"/>
      <c r="T1" s="2"/>
      <c r="U1" s="3"/>
    </row>
    <row r="2">
      <c r="A2" s="4" t="s">
        <v>127</v>
      </c>
      <c r="B2" s="4" t="s">
        <v>77</v>
      </c>
      <c r="C2" s="4" t="s">
        <v>128</v>
      </c>
      <c r="D2" s="4" t="s">
        <v>129</v>
      </c>
      <c r="E2" s="4" t="s">
        <v>130</v>
      </c>
      <c r="F2" s="4" t="s">
        <v>131</v>
      </c>
      <c r="G2" s="4" t="s">
        <v>132</v>
      </c>
      <c r="H2" s="4" t="s">
        <v>133</v>
      </c>
    </row>
    <row r="3">
      <c r="A3" s="4">
        <v>1.0</v>
      </c>
      <c r="B3" s="4">
        <v>0.0</v>
      </c>
      <c r="C3" s="4">
        <v>5.0</v>
      </c>
      <c r="D3" s="4">
        <v>0.0</v>
      </c>
      <c r="E3" s="5">
        <v>3.0</v>
      </c>
      <c r="F3" s="4">
        <v>2.0</v>
      </c>
      <c r="G3" s="4">
        <v>0.5</v>
      </c>
      <c r="H3" s="4">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2" width="11.43"/>
    <col customWidth="1" min="3" max="5" width="10.0"/>
    <col customWidth="1" min="6" max="6" width="17.29"/>
    <col customWidth="1" min="7" max="8" width="10.0"/>
    <col customWidth="1" min="9" max="26" width="11.43"/>
  </cols>
  <sheetData>
    <row r="1" ht="33.0" customHeight="1">
      <c r="A1" s="1" t="s">
        <v>134</v>
      </c>
      <c r="B1" s="2"/>
      <c r="C1" s="2"/>
      <c r="D1" s="2"/>
      <c r="E1" s="2"/>
      <c r="F1" s="2"/>
      <c r="G1" s="2"/>
      <c r="H1" s="2"/>
      <c r="I1" s="2"/>
      <c r="J1" s="2"/>
      <c r="K1" s="2"/>
      <c r="L1" s="2"/>
      <c r="M1" s="2"/>
      <c r="N1" s="2"/>
      <c r="O1" s="2"/>
      <c r="P1" s="2"/>
      <c r="Q1" s="2"/>
      <c r="R1" s="2"/>
      <c r="S1" s="2"/>
      <c r="T1" s="2"/>
      <c r="U1" s="3"/>
    </row>
    <row r="2">
      <c r="A2" s="4" t="s">
        <v>109</v>
      </c>
      <c r="B2" s="4" t="s">
        <v>50</v>
      </c>
      <c r="C2" s="4" t="s">
        <v>135</v>
      </c>
      <c r="D2" s="4" t="s">
        <v>44</v>
      </c>
      <c r="E2" s="4" t="s">
        <v>136</v>
      </c>
      <c r="F2" s="4" t="s">
        <v>137</v>
      </c>
      <c r="G2" s="4" t="s">
        <v>138</v>
      </c>
    </row>
    <row r="3">
      <c r="A3" s="4">
        <v>999.0</v>
      </c>
      <c r="B3" s="6" t="str">
        <f t="shared" ref="B3:B4" si="1">MID(F3,6,1)</f>
        <v>1</v>
      </c>
      <c r="C3" s="6" t="str">
        <f t="shared" ref="C3:C4" si="2">MID(F3,9,1)</f>
        <v>1</v>
      </c>
      <c r="D3" s="6">
        <v>1.0</v>
      </c>
      <c r="E3" s="6" t="str">
        <f>RIGHT(G3,1)</f>
        <v>1</v>
      </c>
      <c r="F3" s="4" t="s">
        <v>139</v>
      </c>
      <c r="G3" s="4">
        <v>1.0</v>
      </c>
    </row>
    <row r="4">
      <c r="A4" s="4">
        <v>999.0</v>
      </c>
      <c r="B4" s="6" t="str">
        <f t="shared" si="1"/>
        <v>2</v>
      </c>
      <c r="C4" s="6" t="str">
        <f t="shared" si="2"/>
        <v>1</v>
      </c>
      <c r="D4" s="6" t="str">
        <f>MID(F4,13,1)</f>
        <v>1</v>
      </c>
      <c r="E4" s="4">
        <v>1.0</v>
      </c>
      <c r="F4" s="4" t="s">
        <v>140</v>
      </c>
      <c r="G4" s="4">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6" width="11.43"/>
    <col customWidth="1" min="37" max="37" width="12.0"/>
    <col customWidth="1" min="38" max="41" width="11.43"/>
  </cols>
  <sheetData>
    <row r="1" ht="22.5" customHeight="1">
      <c r="A1" s="1" t="s">
        <v>141</v>
      </c>
      <c r="B1" s="2"/>
      <c r="C1" s="2"/>
      <c r="D1" s="2"/>
      <c r="E1" s="2"/>
      <c r="F1" s="2"/>
      <c r="G1" s="2"/>
      <c r="H1" s="2"/>
      <c r="I1" s="2"/>
      <c r="J1" s="2"/>
      <c r="K1" s="2"/>
      <c r="L1" s="2"/>
      <c r="M1" s="2"/>
      <c r="N1" s="2"/>
      <c r="O1" s="2"/>
      <c r="P1" s="2"/>
      <c r="Q1" s="2"/>
      <c r="R1" s="2"/>
      <c r="S1" s="2"/>
      <c r="T1" s="2"/>
      <c r="U1" s="3"/>
    </row>
    <row r="3">
      <c r="A3" s="4" t="s">
        <v>142</v>
      </c>
    </row>
    <row r="4">
      <c r="A4" s="4">
        <v>0.0011180500160453291</v>
      </c>
      <c r="B4" s="4">
        <v>0.0</v>
      </c>
      <c r="C4" s="4">
        <v>0.0</v>
      </c>
      <c r="D4" s="4">
        <v>0.0</v>
      </c>
      <c r="E4" s="4">
        <v>0.0</v>
      </c>
      <c r="F4" s="4">
        <v>0.0</v>
      </c>
      <c r="G4" s="4">
        <v>0.0</v>
      </c>
      <c r="H4" s="4">
        <v>0.0</v>
      </c>
      <c r="I4" s="4">
        <v>0.0</v>
      </c>
      <c r="J4" s="4">
        <v>0.0</v>
      </c>
      <c r="K4" s="4">
        <v>0.0</v>
      </c>
      <c r="L4" s="4">
        <v>0.0</v>
      </c>
      <c r="M4" s="4">
        <v>0.0</v>
      </c>
      <c r="N4" s="4">
        <v>0.0</v>
      </c>
      <c r="O4" s="4">
        <v>0.0</v>
      </c>
      <c r="P4" s="4">
        <v>0.0</v>
      </c>
      <c r="Q4" s="4">
        <v>0.0</v>
      </c>
      <c r="R4" s="4">
        <v>0.0</v>
      </c>
      <c r="S4" s="4">
        <v>0.0</v>
      </c>
      <c r="T4" s="4">
        <v>0.0</v>
      </c>
      <c r="U4" s="4">
        <v>0.0</v>
      </c>
      <c r="V4" s="4">
        <v>0.0</v>
      </c>
      <c r="W4" s="4">
        <v>0.0</v>
      </c>
      <c r="X4" s="4">
        <v>0.0</v>
      </c>
      <c r="Y4" s="4">
        <v>0.0</v>
      </c>
      <c r="Z4" s="4">
        <v>0.0</v>
      </c>
      <c r="AA4" s="4">
        <v>0.0</v>
      </c>
      <c r="AB4" s="4">
        <v>0.0</v>
      </c>
      <c r="AC4" s="4">
        <v>0.0</v>
      </c>
      <c r="AD4" s="4">
        <v>0.0</v>
      </c>
      <c r="AE4" s="4">
        <v>0.0</v>
      </c>
      <c r="AF4" s="4">
        <v>0.0</v>
      </c>
      <c r="AG4" s="4">
        <v>0.0</v>
      </c>
      <c r="AH4" s="4">
        <v>0.0</v>
      </c>
      <c r="AI4" s="4">
        <v>0.0</v>
      </c>
      <c r="AJ4" s="4">
        <v>0.0</v>
      </c>
      <c r="AK4" s="4">
        <v>0.0</v>
      </c>
      <c r="AL4" s="4">
        <v>0.0</v>
      </c>
      <c r="AM4" s="4">
        <v>0.0</v>
      </c>
      <c r="AN4" s="4">
        <v>0.0</v>
      </c>
      <c r="AO4" s="4">
        <v>0.0</v>
      </c>
    </row>
    <row r="5">
      <c r="A5" s="4">
        <v>0.04847661370782958</v>
      </c>
      <c r="B5" s="4">
        <v>0.0011725585629315664</v>
      </c>
      <c r="C5" s="4">
        <v>0.0</v>
      </c>
      <c r="D5" s="4">
        <v>0.0</v>
      </c>
      <c r="E5" s="4">
        <v>0.0</v>
      </c>
      <c r="F5" s="4">
        <v>0.0</v>
      </c>
      <c r="G5" s="4">
        <v>0.0</v>
      </c>
      <c r="H5" s="4">
        <v>0.0</v>
      </c>
      <c r="I5" s="4">
        <v>0.0</v>
      </c>
      <c r="J5" s="4">
        <v>0.0</v>
      </c>
      <c r="K5" s="4">
        <v>0.0</v>
      </c>
      <c r="L5" s="4">
        <v>0.0</v>
      </c>
      <c r="M5" s="4">
        <v>0.0</v>
      </c>
      <c r="N5" s="4">
        <v>0.0</v>
      </c>
      <c r="O5" s="4">
        <v>0.0</v>
      </c>
      <c r="P5" s="4">
        <v>0.0</v>
      </c>
      <c r="Q5" s="4">
        <v>0.0</v>
      </c>
      <c r="R5" s="4">
        <v>0.0</v>
      </c>
      <c r="S5" s="4">
        <v>0.0</v>
      </c>
      <c r="T5" s="4">
        <v>0.0</v>
      </c>
      <c r="U5" s="4">
        <v>0.0</v>
      </c>
      <c r="V5" s="4">
        <v>0.0</v>
      </c>
      <c r="W5" s="4">
        <v>0.0</v>
      </c>
      <c r="X5" s="4">
        <v>0.0</v>
      </c>
      <c r="Y5" s="4">
        <v>0.0</v>
      </c>
      <c r="Z5" s="4">
        <v>0.0</v>
      </c>
      <c r="AA5" s="4">
        <v>0.0</v>
      </c>
      <c r="AB5" s="4">
        <v>0.0</v>
      </c>
      <c r="AC5" s="4">
        <v>0.0</v>
      </c>
      <c r="AD5" s="4">
        <v>0.0</v>
      </c>
      <c r="AE5" s="4">
        <v>0.0</v>
      </c>
      <c r="AF5" s="4">
        <v>0.0</v>
      </c>
      <c r="AG5" s="4">
        <v>0.0</v>
      </c>
      <c r="AH5" s="4">
        <v>0.0</v>
      </c>
      <c r="AI5" s="4">
        <v>0.0</v>
      </c>
      <c r="AJ5" s="4">
        <v>0.0</v>
      </c>
      <c r="AK5" s="4">
        <v>0.0</v>
      </c>
      <c r="AL5" s="4">
        <v>0.0</v>
      </c>
      <c r="AM5" s="4">
        <v>0.0</v>
      </c>
      <c r="AN5" s="4">
        <v>0.0</v>
      </c>
      <c r="AO5" s="4">
        <v>0.0</v>
      </c>
    </row>
    <row r="6">
      <c r="A6" s="4">
        <v>0.36433780145507444</v>
      </c>
      <c r="B6" s="4">
        <v>0.04993352315130419</v>
      </c>
      <c r="C6" s="4">
        <v>0.001249469697710062</v>
      </c>
      <c r="D6" s="4">
        <v>0.0</v>
      </c>
      <c r="E6" s="4">
        <v>0.0</v>
      </c>
      <c r="F6" s="4">
        <v>0.0</v>
      </c>
      <c r="G6" s="4">
        <v>0.0</v>
      </c>
      <c r="H6" s="4">
        <v>0.0</v>
      </c>
      <c r="I6" s="4">
        <v>0.0</v>
      </c>
      <c r="J6" s="4">
        <v>0.0</v>
      </c>
      <c r="K6" s="4">
        <v>0.0</v>
      </c>
      <c r="L6" s="4">
        <v>0.0</v>
      </c>
      <c r="M6" s="4">
        <v>0.0</v>
      </c>
      <c r="N6" s="4">
        <v>0.0</v>
      </c>
      <c r="O6" s="4">
        <v>0.0</v>
      </c>
      <c r="P6" s="4">
        <v>0.0</v>
      </c>
      <c r="Q6" s="4">
        <v>0.0</v>
      </c>
      <c r="R6" s="4">
        <v>0.0</v>
      </c>
      <c r="S6" s="4">
        <v>0.0</v>
      </c>
      <c r="T6" s="4">
        <v>0.0</v>
      </c>
      <c r="U6" s="4">
        <v>0.0</v>
      </c>
      <c r="V6" s="4">
        <v>0.0</v>
      </c>
      <c r="W6" s="4">
        <v>0.0</v>
      </c>
      <c r="X6" s="4">
        <v>0.0</v>
      </c>
      <c r="Y6" s="4">
        <v>0.0</v>
      </c>
      <c r="Z6" s="4">
        <v>0.0</v>
      </c>
      <c r="AA6" s="4">
        <v>0.0</v>
      </c>
      <c r="AB6" s="4">
        <v>0.0</v>
      </c>
      <c r="AC6" s="4">
        <v>0.0</v>
      </c>
      <c r="AD6" s="4">
        <v>0.0</v>
      </c>
      <c r="AE6" s="4">
        <v>0.0</v>
      </c>
      <c r="AF6" s="4">
        <v>0.0</v>
      </c>
      <c r="AG6" s="4">
        <v>0.0</v>
      </c>
      <c r="AH6" s="4">
        <v>0.0</v>
      </c>
      <c r="AI6" s="4">
        <v>0.0</v>
      </c>
      <c r="AJ6" s="4">
        <v>0.0</v>
      </c>
      <c r="AK6" s="4">
        <v>0.0</v>
      </c>
      <c r="AL6" s="4">
        <v>0.0</v>
      </c>
      <c r="AM6" s="4">
        <v>0.0</v>
      </c>
      <c r="AN6" s="4">
        <v>0.0</v>
      </c>
      <c r="AO6" s="4">
        <v>0.0</v>
      </c>
    </row>
    <row r="7">
      <c r="A7" s="4">
        <v>0.4746539586358506</v>
      </c>
      <c r="B7" s="4">
        <v>0.3685961478648773</v>
      </c>
      <c r="C7" s="4">
        <v>0.05194070753237533</v>
      </c>
      <c r="D7" s="4">
        <v>0.0013592286746411475</v>
      </c>
      <c r="E7" s="4">
        <v>0.0</v>
      </c>
      <c r="F7" s="4">
        <v>0.0</v>
      </c>
      <c r="G7" s="4">
        <v>0.0</v>
      </c>
      <c r="H7" s="4">
        <v>0.0</v>
      </c>
      <c r="I7" s="4">
        <v>0.0</v>
      </c>
      <c r="J7" s="4">
        <v>0.0</v>
      </c>
      <c r="K7" s="4">
        <v>0.0</v>
      </c>
      <c r="L7" s="4">
        <v>0.0</v>
      </c>
      <c r="M7" s="4">
        <v>0.0</v>
      </c>
      <c r="N7" s="4">
        <v>0.0</v>
      </c>
      <c r="O7" s="4">
        <v>0.0</v>
      </c>
      <c r="P7" s="4">
        <v>0.0</v>
      </c>
      <c r="Q7" s="4">
        <v>0.0</v>
      </c>
      <c r="R7" s="4">
        <v>0.0</v>
      </c>
      <c r="S7" s="4">
        <v>0.0</v>
      </c>
      <c r="T7" s="4">
        <v>0.0</v>
      </c>
      <c r="U7" s="4">
        <v>0.0</v>
      </c>
      <c r="V7" s="4">
        <v>0.0</v>
      </c>
      <c r="W7" s="4">
        <v>0.0</v>
      </c>
      <c r="X7" s="4">
        <v>0.0</v>
      </c>
      <c r="Y7" s="4">
        <v>0.0</v>
      </c>
      <c r="Z7" s="4">
        <v>0.0</v>
      </c>
      <c r="AA7" s="4">
        <v>0.0</v>
      </c>
      <c r="AB7" s="4">
        <v>0.0</v>
      </c>
      <c r="AC7" s="4">
        <v>0.0</v>
      </c>
      <c r="AD7" s="4">
        <v>0.0</v>
      </c>
      <c r="AE7" s="4">
        <v>0.0</v>
      </c>
      <c r="AF7" s="4">
        <v>0.0</v>
      </c>
      <c r="AG7" s="4">
        <v>0.0</v>
      </c>
      <c r="AH7" s="4">
        <v>0.0</v>
      </c>
      <c r="AI7" s="4">
        <v>0.0</v>
      </c>
      <c r="AJ7" s="4">
        <v>0.0</v>
      </c>
      <c r="AK7" s="4">
        <v>0.0</v>
      </c>
      <c r="AL7" s="4">
        <v>0.0</v>
      </c>
      <c r="AM7" s="4">
        <v>0.0</v>
      </c>
      <c r="AN7" s="4">
        <v>0.0</v>
      </c>
      <c r="AO7" s="4">
        <v>0.0</v>
      </c>
    </row>
    <row r="8">
      <c r="A8" s="4">
        <v>0.1071891672222422</v>
      </c>
      <c r="B8" s="4">
        <v>0.47163963038714196</v>
      </c>
      <c r="C8" s="4">
        <v>0.37427507846499025</v>
      </c>
      <c r="D8" s="4">
        <v>0.05471497066074562</v>
      </c>
      <c r="E8" s="4">
        <v>0.0015181197450394388</v>
      </c>
      <c r="F8" s="4">
        <v>0.0</v>
      </c>
      <c r="G8" s="4">
        <v>0.0</v>
      </c>
      <c r="H8" s="4">
        <v>0.0</v>
      </c>
      <c r="I8" s="4">
        <v>0.0</v>
      </c>
      <c r="J8" s="4">
        <v>0.0</v>
      </c>
      <c r="K8" s="4">
        <v>0.0</v>
      </c>
      <c r="L8" s="4">
        <v>0.0</v>
      </c>
      <c r="M8" s="4">
        <v>0.0</v>
      </c>
      <c r="N8" s="4">
        <v>0.0</v>
      </c>
      <c r="O8" s="4">
        <v>0.0</v>
      </c>
      <c r="P8" s="4">
        <v>0.0</v>
      </c>
      <c r="Q8" s="4">
        <v>0.0</v>
      </c>
      <c r="R8" s="4">
        <v>0.0</v>
      </c>
      <c r="S8" s="4">
        <v>0.0</v>
      </c>
      <c r="T8" s="4">
        <v>0.0</v>
      </c>
      <c r="U8" s="4">
        <v>0.0</v>
      </c>
      <c r="V8" s="4">
        <v>0.0</v>
      </c>
      <c r="W8" s="4">
        <v>0.0</v>
      </c>
      <c r="X8" s="4">
        <v>0.0</v>
      </c>
      <c r="Y8" s="4">
        <v>0.0</v>
      </c>
      <c r="Z8" s="4">
        <v>0.0</v>
      </c>
      <c r="AA8" s="4">
        <v>0.0</v>
      </c>
      <c r="AB8" s="4">
        <v>0.0</v>
      </c>
      <c r="AC8" s="4">
        <v>0.0</v>
      </c>
      <c r="AD8" s="4">
        <v>0.0</v>
      </c>
      <c r="AE8" s="4">
        <v>0.0</v>
      </c>
      <c r="AF8" s="4">
        <v>0.0</v>
      </c>
      <c r="AG8" s="4">
        <v>0.0</v>
      </c>
      <c r="AH8" s="4">
        <v>0.0</v>
      </c>
      <c r="AI8" s="4">
        <v>0.0</v>
      </c>
      <c r="AJ8" s="4">
        <v>0.0</v>
      </c>
      <c r="AK8" s="4">
        <v>0.0</v>
      </c>
      <c r="AL8" s="4">
        <v>0.0</v>
      </c>
      <c r="AM8" s="4">
        <v>0.0</v>
      </c>
      <c r="AN8" s="4">
        <v>0.0</v>
      </c>
      <c r="AO8" s="4">
        <v>0.0</v>
      </c>
    </row>
    <row r="9">
      <c r="A9" s="4">
        <v>0.004195904567262812</v>
      </c>
      <c r="B9" s="4">
        <v>0.1046093983050583</v>
      </c>
      <c r="C9" s="4">
        <v>0.46749274395448176</v>
      </c>
      <c r="D9" s="4">
        <v>0.3817866418520638</v>
      </c>
      <c r="E9" s="4">
        <v>0.05856361367547347</v>
      </c>
      <c r="F9" s="4">
        <v>0.0017521968001875908</v>
      </c>
      <c r="G9" s="4">
        <v>0.0</v>
      </c>
      <c r="H9" s="4">
        <v>0.0</v>
      </c>
      <c r="I9" s="4">
        <v>0.0</v>
      </c>
      <c r="J9" s="4">
        <v>0.0</v>
      </c>
      <c r="K9" s="4">
        <v>0.0</v>
      </c>
      <c r="L9" s="4">
        <v>0.0</v>
      </c>
      <c r="M9" s="4">
        <v>0.0</v>
      </c>
      <c r="N9" s="4">
        <v>0.0</v>
      </c>
      <c r="O9" s="4">
        <v>0.0</v>
      </c>
      <c r="P9" s="4">
        <v>0.0</v>
      </c>
      <c r="Q9" s="4">
        <v>0.0</v>
      </c>
      <c r="R9" s="4">
        <v>0.0</v>
      </c>
      <c r="S9" s="4">
        <v>0.0</v>
      </c>
      <c r="T9" s="4">
        <v>0.0</v>
      </c>
      <c r="U9" s="4">
        <v>0.0</v>
      </c>
      <c r="V9" s="4">
        <v>0.0</v>
      </c>
      <c r="W9" s="4">
        <v>0.0</v>
      </c>
      <c r="X9" s="4">
        <v>0.0</v>
      </c>
      <c r="Y9" s="4">
        <v>0.0</v>
      </c>
      <c r="Z9" s="4">
        <v>0.0</v>
      </c>
      <c r="AA9" s="4">
        <v>0.0</v>
      </c>
      <c r="AB9" s="4">
        <v>0.0</v>
      </c>
      <c r="AC9" s="4">
        <v>0.0</v>
      </c>
      <c r="AD9" s="4">
        <v>0.0</v>
      </c>
      <c r="AE9" s="4">
        <v>0.0</v>
      </c>
      <c r="AF9" s="4">
        <v>0.0</v>
      </c>
      <c r="AG9" s="4">
        <v>0.0</v>
      </c>
      <c r="AH9" s="4">
        <v>0.0</v>
      </c>
      <c r="AI9" s="4">
        <v>0.0</v>
      </c>
      <c r="AJ9" s="4">
        <v>0.0</v>
      </c>
      <c r="AK9" s="4">
        <v>0.0</v>
      </c>
      <c r="AL9" s="4">
        <v>0.0</v>
      </c>
      <c r="AM9" s="4">
        <v>0.0</v>
      </c>
      <c r="AN9" s="4">
        <v>0.0</v>
      </c>
      <c r="AO9" s="4">
        <v>0.0</v>
      </c>
    </row>
    <row r="10">
      <c r="A10" s="4">
        <v>2.8470901750461252E-5</v>
      </c>
      <c r="B10" s="4">
        <v>0.0040219070874687015</v>
      </c>
      <c r="C10" s="4">
        <v>0.1012184667804443</v>
      </c>
      <c r="D10" s="4">
        <v>0.46178115208658604</v>
      </c>
      <c r="E10" s="4">
        <v>0.3916071574862681</v>
      </c>
      <c r="F10" s="4">
        <v>0.06392301744407632</v>
      </c>
      <c r="G10" s="4">
        <v>0.0021041977536124115</v>
      </c>
      <c r="H10" s="4">
        <v>0.0</v>
      </c>
      <c r="I10" s="4">
        <v>0.0</v>
      </c>
      <c r="J10" s="4">
        <v>0.0</v>
      </c>
      <c r="K10" s="4">
        <v>0.0</v>
      </c>
      <c r="L10" s="4">
        <v>0.0</v>
      </c>
      <c r="M10" s="4">
        <v>0.0</v>
      </c>
      <c r="N10" s="4">
        <v>0.0</v>
      </c>
      <c r="O10" s="4">
        <v>0.0</v>
      </c>
      <c r="P10" s="4">
        <v>0.0</v>
      </c>
      <c r="Q10" s="4">
        <v>0.0</v>
      </c>
      <c r="R10" s="4">
        <v>0.0</v>
      </c>
      <c r="S10" s="4">
        <v>0.0</v>
      </c>
      <c r="T10" s="4">
        <v>0.0</v>
      </c>
      <c r="U10" s="4">
        <v>0.0</v>
      </c>
      <c r="V10" s="4">
        <v>0.0</v>
      </c>
      <c r="W10" s="4">
        <v>0.0</v>
      </c>
      <c r="X10" s="4">
        <v>0.0</v>
      </c>
      <c r="Y10" s="4">
        <v>0.0</v>
      </c>
      <c r="Z10" s="4">
        <v>0.0</v>
      </c>
      <c r="AA10" s="4">
        <v>0.0</v>
      </c>
      <c r="AB10" s="4">
        <v>0.0</v>
      </c>
      <c r="AC10" s="4">
        <v>0.0</v>
      </c>
      <c r="AD10" s="4">
        <v>0.0</v>
      </c>
      <c r="AE10" s="4">
        <v>0.0</v>
      </c>
      <c r="AF10" s="4">
        <v>0.0</v>
      </c>
      <c r="AG10" s="4">
        <v>0.0</v>
      </c>
      <c r="AH10" s="4">
        <v>0.0</v>
      </c>
      <c r="AI10" s="4">
        <v>0.0</v>
      </c>
      <c r="AJ10" s="4">
        <v>0.0</v>
      </c>
      <c r="AK10" s="4">
        <v>0.0</v>
      </c>
      <c r="AL10" s="4">
        <v>0.0</v>
      </c>
      <c r="AM10" s="4">
        <v>0.0</v>
      </c>
      <c r="AN10" s="4">
        <v>0.0</v>
      </c>
      <c r="AO10" s="4">
        <v>0.0</v>
      </c>
    </row>
    <row r="11">
      <c r="A11" s="4">
        <v>3.348711695647974E-8</v>
      </c>
      <c r="B11" s="4">
        <v>2.6803670990472522E-5</v>
      </c>
      <c r="C11" s="4">
        <v>0.003798792309148259</v>
      </c>
      <c r="D11" s="4">
        <v>0.0968172164828598</v>
      </c>
      <c r="E11" s="4">
        <v>0.4539147446638189</v>
      </c>
      <c r="F11" s="4">
        <v>0.4042337471477325</v>
      </c>
      <c r="G11" s="4">
        <v>0.0714100100135693</v>
      </c>
      <c r="H11" s="4">
        <v>0.0026456972404927275</v>
      </c>
      <c r="I11" s="4">
        <v>0.0</v>
      </c>
      <c r="J11" s="4">
        <v>0.0</v>
      </c>
      <c r="K11" s="4">
        <v>0.0</v>
      </c>
      <c r="L11" s="4">
        <v>0.0</v>
      </c>
      <c r="M11" s="4">
        <v>0.0</v>
      </c>
      <c r="N11" s="4">
        <v>0.0</v>
      </c>
      <c r="O11" s="4">
        <v>0.0</v>
      </c>
      <c r="P11" s="4">
        <v>0.0</v>
      </c>
      <c r="Q11" s="4">
        <v>0.0</v>
      </c>
      <c r="R11" s="4">
        <v>0.0</v>
      </c>
      <c r="S11" s="4">
        <v>0.0</v>
      </c>
      <c r="T11" s="4">
        <v>0.0</v>
      </c>
      <c r="U11" s="4">
        <v>0.0</v>
      </c>
      <c r="V11" s="4">
        <v>0.0</v>
      </c>
      <c r="W11" s="4">
        <v>0.0</v>
      </c>
      <c r="X11" s="4">
        <v>0.0</v>
      </c>
      <c r="Y11" s="4">
        <v>0.0</v>
      </c>
      <c r="Z11" s="4">
        <v>0.0</v>
      </c>
      <c r="AA11" s="4">
        <v>0.0</v>
      </c>
      <c r="AB11" s="4">
        <v>0.0</v>
      </c>
      <c r="AC11" s="4">
        <v>0.0</v>
      </c>
      <c r="AD11" s="4">
        <v>0.0</v>
      </c>
      <c r="AE11" s="4">
        <v>0.0</v>
      </c>
      <c r="AF11" s="4">
        <v>0.0</v>
      </c>
      <c r="AG11" s="4">
        <v>0.0</v>
      </c>
      <c r="AH11" s="4">
        <v>0.0</v>
      </c>
      <c r="AI11" s="4">
        <v>0.0</v>
      </c>
      <c r="AJ11" s="4">
        <v>0.0</v>
      </c>
      <c r="AK11" s="4">
        <v>0.0</v>
      </c>
      <c r="AL11" s="4">
        <v>0.0</v>
      </c>
      <c r="AM11" s="4">
        <v>0.0</v>
      </c>
      <c r="AN11" s="4">
        <v>0.0</v>
      </c>
      <c r="AO11" s="4">
        <v>0.0</v>
      </c>
    </row>
    <row r="12">
      <c r="A12" s="4">
        <v>6.8273978469391306E-12</v>
      </c>
      <c r="B12" s="4">
        <v>3.096402710529956E-8</v>
      </c>
      <c r="C12" s="4">
        <v>2.4713386498494263E-5</v>
      </c>
      <c r="D12" s="4">
        <v>0.003518599993116506</v>
      </c>
      <c r="E12" s="4">
        <v>0.09120084775142824</v>
      </c>
      <c r="F12" s="4">
        <v>0.4431071757148298</v>
      </c>
      <c r="G12" s="4">
        <v>0.4200805277768595</v>
      </c>
      <c r="H12" s="4">
        <v>0.08188213023765763</v>
      </c>
      <c r="I12" s="4">
        <v>0.0034980153758482338</v>
      </c>
      <c r="J12" s="4">
        <v>0.0</v>
      </c>
      <c r="K12" s="4">
        <v>0.0</v>
      </c>
      <c r="L12" s="4">
        <v>0.0</v>
      </c>
      <c r="M12" s="4">
        <v>0.0</v>
      </c>
      <c r="N12" s="4">
        <v>0.0</v>
      </c>
      <c r="O12" s="4">
        <v>0.0</v>
      </c>
      <c r="P12" s="4">
        <v>0.0</v>
      </c>
      <c r="Q12" s="4">
        <v>0.0</v>
      </c>
      <c r="R12" s="4">
        <v>0.0</v>
      </c>
      <c r="S12" s="4">
        <v>0.0</v>
      </c>
      <c r="T12" s="4">
        <v>0.0</v>
      </c>
      <c r="U12" s="4">
        <v>0.0</v>
      </c>
      <c r="V12" s="4">
        <v>0.0</v>
      </c>
      <c r="W12" s="4">
        <v>0.0</v>
      </c>
      <c r="X12" s="4">
        <v>0.0</v>
      </c>
      <c r="Y12" s="4">
        <v>0.0</v>
      </c>
      <c r="Z12" s="4">
        <v>0.0</v>
      </c>
      <c r="AA12" s="4">
        <v>0.0</v>
      </c>
      <c r="AB12" s="4">
        <v>0.0</v>
      </c>
      <c r="AC12" s="4">
        <v>0.0</v>
      </c>
      <c r="AD12" s="4">
        <v>0.0</v>
      </c>
      <c r="AE12" s="4">
        <v>0.0</v>
      </c>
      <c r="AF12" s="4">
        <v>0.0</v>
      </c>
      <c r="AG12" s="4">
        <v>0.0</v>
      </c>
      <c r="AH12" s="4">
        <v>0.0</v>
      </c>
      <c r="AI12" s="4">
        <v>0.0</v>
      </c>
      <c r="AJ12" s="4">
        <v>0.0</v>
      </c>
      <c r="AK12" s="4">
        <v>0.0</v>
      </c>
      <c r="AL12" s="4">
        <v>0.0</v>
      </c>
      <c r="AM12" s="4">
        <v>0.0</v>
      </c>
      <c r="AN12" s="4">
        <v>0.0</v>
      </c>
      <c r="AO12" s="4">
        <v>0.0</v>
      </c>
    </row>
    <row r="13">
      <c r="A13" s="4">
        <v>0.0</v>
      </c>
      <c r="B13" s="4">
        <v>6.200425805492478E-12</v>
      </c>
      <c r="C13" s="4">
        <v>2.786890390188903E-8</v>
      </c>
      <c r="D13" s="4">
        <v>2.2166040284751908E-5</v>
      </c>
      <c r="E13" s="4">
        <v>0.003176320926719344</v>
      </c>
      <c r="F13" s="4">
        <v>0.08419492498459498</v>
      </c>
      <c r="G13" s="4">
        <v>0.42835804069718425</v>
      </c>
      <c r="H13" s="4">
        <v>0.4392775784676207</v>
      </c>
      <c r="I13" s="4">
        <v>0.0964878417073006</v>
      </c>
      <c r="J13" s="4">
        <v>0.004866280156329334</v>
      </c>
      <c r="K13" s="4">
        <v>0.0</v>
      </c>
      <c r="L13" s="4">
        <v>0.0</v>
      </c>
      <c r="M13" s="4">
        <v>0.0</v>
      </c>
      <c r="N13" s="4">
        <v>0.0</v>
      </c>
      <c r="O13" s="4">
        <v>0.0</v>
      </c>
      <c r="P13" s="4">
        <v>0.0</v>
      </c>
      <c r="Q13" s="4">
        <v>0.0</v>
      </c>
      <c r="R13" s="4">
        <v>0.0</v>
      </c>
      <c r="S13" s="4">
        <v>0.0</v>
      </c>
      <c r="T13" s="4">
        <v>0.0</v>
      </c>
      <c r="U13" s="4">
        <v>0.0</v>
      </c>
      <c r="V13" s="4">
        <v>0.0</v>
      </c>
      <c r="W13" s="4">
        <v>0.0</v>
      </c>
      <c r="X13" s="4">
        <v>0.0</v>
      </c>
      <c r="Y13" s="4">
        <v>0.0</v>
      </c>
      <c r="Z13" s="4">
        <v>0.0</v>
      </c>
      <c r="AA13" s="4">
        <v>0.0</v>
      </c>
      <c r="AB13" s="4">
        <v>0.0</v>
      </c>
      <c r="AC13" s="4">
        <v>0.0</v>
      </c>
      <c r="AD13" s="4">
        <v>0.0</v>
      </c>
      <c r="AE13" s="4">
        <v>0.0</v>
      </c>
      <c r="AF13" s="4">
        <v>0.0</v>
      </c>
      <c r="AG13" s="4">
        <v>0.0</v>
      </c>
      <c r="AH13" s="4">
        <v>0.0</v>
      </c>
      <c r="AI13" s="4">
        <v>0.0</v>
      </c>
      <c r="AJ13" s="4">
        <v>0.0</v>
      </c>
      <c r="AK13" s="4">
        <v>0.0</v>
      </c>
      <c r="AL13" s="4">
        <v>0.0</v>
      </c>
      <c r="AM13" s="4">
        <v>0.0</v>
      </c>
      <c r="AN13" s="4">
        <v>0.0</v>
      </c>
      <c r="AO13" s="4">
        <v>0.0</v>
      </c>
    </row>
    <row r="14">
      <c r="A14" s="4">
        <v>0.0</v>
      </c>
      <c r="B14" s="4">
        <v>0.0</v>
      </c>
      <c r="C14" s="4">
        <v>5.447640380084009E-12</v>
      </c>
      <c r="D14" s="4">
        <v>2.4205120802946864E-8</v>
      </c>
      <c r="E14" s="4">
        <v>1.9175680812549964E-5</v>
      </c>
      <c r="F14" s="4">
        <v>0.0027730899771836537</v>
      </c>
      <c r="G14" s="4">
        <v>0.07571504966550227</v>
      </c>
      <c r="H14" s="4">
        <v>0.4084979262604165</v>
      </c>
      <c r="I14" s="4">
        <v>0.4613434780312652</v>
      </c>
      <c r="J14" s="4">
        <v>0.11665704120380281</v>
      </c>
      <c r="K14" s="4">
        <v>0.007089070303067497</v>
      </c>
      <c r="L14" s="4">
        <v>0.0</v>
      </c>
      <c r="M14" s="4">
        <v>0.0</v>
      </c>
      <c r="N14" s="4">
        <v>0.0</v>
      </c>
      <c r="O14" s="4">
        <v>0.0</v>
      </c>
      <c r="P14" s="4">
        <v>0.0</v>
      </c>
      <c r="Q14" s="4">
        <v>0.0</v>
      </c>
      <c r="R14" s="4">
        <v>0.0</v>
      </c>
      <c r="S14" s="4">
        <v>0.0</v>
      </c>
      <c r="T14" s="4">
        <v>0.0</v>
      </c>
      <c r="U14" s="4">
        <v>0.0</v>
      </c>
      <c r="V14" s="4">
        <v>0.0</v>
      </c>
      <c r="W14" s="4">
        <v>0.0</v>
      </c>
      <c r="X14" s="4">
        <v>0.0</v>
      </c>
      <c r="Y14" s="4">
        <v>0.0</v>
      </c>
      <c r="Z14" s="4">
        <v>0.0</v>
      </c>
      <c r="AA14" s="4">
        <v>0.0</v>
      </c>
      <c r="AB14" s="4">
        <v>0.0</v>
      </c>
      <c r="AC14" s="4">
        <v>0.0</v>
      </c>
      <c r="AD14" s="4">
        <v>0.0</v>
      </c>
      <c r="AE14" s="4">
        <v>0.0</v>
      </c>
      <c r="AF14" s="4">
        <v>0.0</v>
      </c>
      <c r="AG14" s="4">
        <v>0.0</v>
      </c>
      <c r="AH14" s="4">
        <v>0.0</v>
      </c>
      <c r="AI14" s="4">
        <v>0.0</v>
      </c>
      <c r="AJ14" s="4">
        <v>0.0</v>
      </c>
      <c r="AK14" s="4">
        <v>0.0</v>
      </c>
      <c r="AL14" s="4">
        <v>0.0</v>
      </c>
      <c r="AM14" s="4">
        <v>0.0</v>
      </c>
      <c r="AN14" s="4">
        <v>0.0</v>
      </c>
      <c r="AO14" s="4">
        <v>0.0</v>
      </c>
    </row>
    <row r="15">
      <c r="A15" s="4">
        <v>0.0</v>
      </c>
      <c r="B15" s="4">
        <v>0.0</v>
      </c>
      <c r="C15" s="4">
        <v>0.0</v>
      </c>
      <c r="D15" s="4">
        <v>4.581706933473297E-12</v>
      </c>
      <c r="E15" s="4">
        <v>2.006680007519932E-8</v>
      </c>
      <c r="F15" s="4">
        <v>1.583226037431173E-5</v>
      </c>
      <c r="G15" s="4">
        <v>0.002319842044535996</v>
      </c>
      <c r="H15" s="4">
        <v>0.06584784877684334</v>
      </c>
      <c r="I15" s="4">
        <v>0.38236408647595754</v>
      </c>
      <c r="J15" s="4">
        <v>0.4847588224092709</v>
      </c>
      <c r="K15" s="4">
        <v>0.14393962827432746</v>
      </c>
      <c r="L15" s="4">
        <v>0.010696195963635446</v>
      </c>
      <c r="M15" s="4">
        <v>0.0</v>
      </c>
      <c r="N15" s="4">
        <v>0.0</v>
      </c>
      <c r="O15" s="4">
        <v>0.0</v>
      </c>
      <c r="P15" s="4">
        <v>0.0</v>
      </c>
      <c r="Q15" s="4">
        <v>0.0</v>
      </c>
      <c r="R15" s="4">
        <v>0.0</v>
      </c>
      <c r="S15" s="4">
        <v>0.0</v>
      </c>
      <c r="T15" s="4">
        <v>0.0</v>
      </c>
      <c r="U15" s="4">
        <v>0.0</v>
      </c>
      <c r="V15" s="4">
        <v>0.0</v>
      </c>
      <c r="W15" s="4">
        <v>0.0</v>
      </c>
      <c r="X15" s="4">
        <v>0.0</v>
      </c>
      <c r="Y15" s="4">
        <v>0.0</v>
      </c>
      <c r="Z15" s="4">
        <v>0.0</v>
      </c>
      <c r="AA15" s="4">
        <v>0.0</v>
      </c>
      <c r="AB15" s="4">
        <v>0.0</v>
      </c>
      <c r="AC15" s="4">
        <v>0.0</v>
      </c>
      <c r="AD15" s="4">
        <v>0.0</v>
      </c>
      <c r="AE15" s="4">
        <v>0.0</v>
      </c>
      <c r="AF15" s="4">
        <v>0.0</v>
      </c>
      <c r="AG15" s="4">
        <v>0.0</v>
      </c>
      <c r="AH15" s="4">
        <v>0.0</v>
      </c>
      <c r="AI15" s="4">
        <v>0.0</v>
      </c>
      <c r="AJ15" s="4">
        <v>0.0</v>
      </c>
      <c r="AK15" s="4">
        <v>0.0</v>
      </c>
      <c r="AL15" s="4">
        <v>0.0</v>
      </c>
      <c r="AM15" s="4">
        <v>0.0</v>
      </c>
      <c r="AN15" s="4">
        <v>0.0</v>
      </c>
      <c r="AO15" s="4">
        <v>0.0</v>
      </c>
    </row>
    <row r="16">
      <c r="A16" s="4">
        <v>0.0</v>
      </c>
      <c r="B16" s="4">
        <v>0.0</v>
      </c>
      <c r="C16" s="4">
        <v>0.0</v>
      </c>
      <c r="D16" s="4">
        <v>0.0</v>
      </c>
      <c r="E16" s="4">
        <v>3.6400418028578506E-12</v>
      </c>
      <c r="F16" s="4">
        <v>1.5668333307723346E-8</v>
      </c>
      <c r="G16" s="4">
        <v>1.2320704301269434E-5</v>
      </c>
      <c r="H16" s="4">
        <v>0.0018399000957681237</v>
      </c>
      <c r="I16" s="4">
        <v>0.05493267134738322</v>
      </c>
      <c r="J16" s="4">
        <v>0.3491736012268023</v>
      </c>
      <c r="K16" s="4">
        <v>0.5066083992402686</v>
      </c>
      <c r="L16" s="4">
        <v>0.17958455144348934</v>
      </c>
      <c r="M16" s="4">
        <v>0.016445564533687774</v>
      </c>
      <c r="N16" s="4">
        <v>0.0</v>
      </c>
      <c r="O16" s="4">
        <v>0.0</v>
      </c>
      <c r="P16" s="4">
        <v>0.0</v>
      </c>
      <c r="Q16" s="4">
        <v>0.0</v>
      </c>
      <c r="R16" s="4">
        <v>0.0</v>
      </c>
      <c r="S16" s="4">
        <v>0.0</v>
      </c>
      <c r="T16" s="4">
        <v>0.0</v>
      </c>
      <c r="U16" s="4">
        <v>0.0</v>
      </c>
      <c r="V16" s="4">
        <v>0.0</v>
      </c>
      <c r="W16" s="4">
        <v>0.0</v>
      </c>
      <c r="X16" s="4">
        <v>0.0</v>
      </c>
      <c r="Y16" s="4">
        <v>0.0</v>
      </c>
      <c r="Z16" s="4">
        <v>0.0</v>
      </c>
      <c r="AA16" s="4">
        <v>0.0</v>
      </c>
      <c r="AB16" s="4">
        <v>0.0</v>
      </c>
      <c r="AC16" s="4">
        <v>0.0</v>
      </c>
      <c r="AD16" s="4">
        <v>0.0</v>
      </c>
      <c r="AE16" s="4">
        <v>0.0</v>
      </c>
      <c r="AF16" s="4">
        <v>0.0</v>
      </c>
      <c r="AG16" s="4">
        <v>0.0</v>
      </c>
      <c r="AH16" s="4">
        <v>0.0</v>
      </c>
      <c r="AI16" s="4">
        <v>0.0</v>
      </c>
      <c r="AJ16" s="4">
        <v>0.0</v>
      </c>
      <c r="AK16" s="4">
        <v>0.0</v>
      </c>
      <c r="AL16" s="4">
        <v>0.0</v>
      </c>
      <c r="AM16" s="4">
        <v>0.0</v>
      </c>
      <c r="AN16" s="4">
        <v>0.0</v>
      </c>
      <c r="AO16" s="4">
        <v>0.0</v>
      </c>
    </row>
    <row r="17">
      <c r="A17" s="4">
        <v>0.0</v>
      </c>
      <c r="B17" s="4">
        <v>0.0</v>
      </c>
      <c r="C17" s="4">
        <v>0.0</v>
      </c>
      <c r="D17" s="4">
        <v>0.0</v>
      </c>
      <c r="E17" s="4">
        <v>0.0</v>
      </c>
      <c r="F17" s="4">
        <v>2.6878411291003915E-12</v>
      </c>
      <c r="G17" s="4">
        <v>1.1342624879845714E-8</v>
      </c>
      <c r="H17" s="4">
        <v>8.911438377754964E-6</v>
      </c>
      <c r="I17" s="4">
        <v>0.0013679973599481604</v>
      </c>
      <c r="J17" s="4">
        <v>0.04359713976853977</v>
      </c>
      <c r="K17" s="4">
        <v>0.3090760195160376</v>
      </c>
      <c r="L17" s="4">
        <v>0.5226482650871567</v>
      </c>
      <c r="M17" s="4">
        <v>0.2238533272974553</v>
      </c>
      <c r="N17" s="4">
        <v>0.025288648612529257</v>
      </c>
      <c r="O17" s="4">
        <v>0.0</v>
      </c>
      <c r="P17" s="4">
        <v>0.0</v>
      </c>
      <c r="Q17" s="4">
        <v>0.0</v>
      </c>
      <c r="R17" s="4">
        <v>0.0</v>
      </c>
      <c r="S17" s="4">
        <v>0.0</v>
      </c>
      <c r="T17" s="4">
        <v>0.0</v>
      </c>
      <c r="U17" s="4">
        <v>0.0</v>
      </c>
      <c r="V17" s="4">
        <v>0.0</v>
      </c>
      <c r="W17" s="4">
        <v>0.0</v>
      </c>
      <c r="X17" s="4">
        <v>0.0</v>
      </c>
      <c r="Y17" s="4">
        <v>0.0</v>
      </c>
      <c r="Z17" s="4">
        <v>0.0</v>
      </c>
      <c r="AA17" s="4">
        <v>0.0</v>
      </c>
      <c r="AB17" s="4">
        <v>0.0</v>
      </c>
      <c r="AC17" s="4">
        <v>0.0</v>
      </c>
      <c r="AD17" s="4">
        <v>0.0</v>
      </c>
      <c r="AE17" s="4">
        <v>0.0</v>
      </c>
      <c r="AF17" s="4">
        <v>0.0</v>
      </c>
      <c r="AG17" s="4">
        <v>0.0</v>
      </c>
      <c r="AH17" s="4">
        <v>0.0</v>
      </c>
      <c r="AI17" s="4">
        <v>0.0</v>
      </c>
      <c r="AJ17" s="4">
        <v>0.0</v>
      </c>
      <c r="AK17" s="4">
        <v>0.0</v>
      </c>
      <c r="AL17" s="4">
        <v>0.0</v>
      </c>
      <c r="AM17" s="4">
        <v>0.0</v>
      </c>
      <c r="AN17" s="4">
        <v>0.0</v>
      </c>
      <c r="AO17" s="4">
        <v>0.0</v>
      </c>
    </row>
    <row r="18">
      <c r="A18" s="4">
        <v>0.0</v>
      </c>
      <c r="B18" s="4">
        <v>0.0</v>
      </c>
      <c r="C18" s="4">
        <v>0.0</v>
      </c>
      <c r="D18" s="4">
        <v>0.0</v>
      </c>
      <c r="E18" s="4">
        <v>0.0</v>
      </c>
      <c r="F18" s="4">
        <v>0.0</v>
      </c>
      <c r="G18" s="4">
        <v>1.8100581194628295E-12</v>
      </c>
      <c r="H18" s="4">
        <v>7.48173445910551E-9</v>
      </c>
      <c r="I18" s="4">
        <v>5.905282997586599E-6</v>
      </c>
      <c r="J18" s="4">
        <v>9.435730089674238E-4</v>
      </c>
      <c r="K18" s="4">
        <v>0.03268580238748558</v>
      </c>
      <c r="L18" s="4">
        <v>0.26366407962834537</v>
      </c>
      <c r="M18" s="4">
        <v>0.5281766981846011</v>
      </c>
      <c r="N18" s="4">
        <v>0.2753367656647039</v>
      </c>
      <c r="O18" s="4">
        <v>0.03823337431029641</v>
      </c>
      <c r="P18" s="4">
        <v>0.0</v>
      </c>
      <c r="Q18" s="4">
        <v>0.0</v>
      </c>
      <c r="R18" s="4">
        <v>0.0</v>
      </c>
      <c r="S18" s="4">
        <v>0.0</v>
      </c>
      <c r="T18" s="4">
        <v>0.0</v>
      </c>
      <c r="U18" s="4">
        <v>0.0</v>
      </c>
      <c r="V18" s="4">
        <v>0.0</v>
      </c>
      <c r="W18" s="4">
        <v>0.0</v>
      </c>
      <c r="X18" s="4">
        <v>0.0</v>
      </c>
      <c r="Y18" s="4">
        <v>0.0</v>
      </c>
      <c r="Z18" s="4">
        <v>0.0</v>
      </c>
      <c r="AA18" s="4">
        <v>0.0</v>
      </c>
      <c r="AB18" s="4">
        <v>0.0</v>
      </c>
      <c r="AC18" s="4">
        <v>0.0</v>
      </c>
      <c r="AD18" s="4">
        <v>0.0</v>
      </c>
      <c r="AE18" s="4">
        <v>0.0</v>
      </c>
      <c r="AF18" s="4">
        <v>0.0</v>
      </c>
      <c r="AG18" s="4">
        <v>0.0</v>
      </c>
      <c r="AH18" s="4">
        <v>0.0</v>
      </c>
      <c r="AI18" s="4">
        <v>0.0</v>
      </c>
      <c r="AJ18" s="4">
        <v>0.0</v>
      </c>
      <c r="AK18" s="4">
        <v>0.0</v>
      </c>
      <c r="AL18" s="4">
        <v>0.0</v>
      </c>
      <c r="AM18" s="4">
        <v>0.0</v>
      </c>
      <c r="AN18" s="4">
        <v>0.0</v>
      </c>
      <c r="AO18" s="4">
        <v>0.0</v>
      </c>
    </row>
    <row r="19">
      <c r="A19" s="4">
        <v>0.0</v>
      </c>
      <c r="B19" s="4">
        <v>0.0</v>
      </c>
      <c r="C19" s="4">
        <v>0.0</v>
      </c>
      <c r="D19" s="4">
        <v>0.0</v>
      </c>
      <c r="E19" s="4">
        <v>0.0</v>
      </c>
      <c r="F19" s="4">
        <v>0.0</v>
      </c>
      <c r="G19" s="4">
        <v>0.0</v>
      </c>
      <c r="H19" s="4">
        <v>1.0888240065367553E-12</v>
      </c>
      <c r="I19" s="4">
        <v>4.418726143692298E-9</v>
      </c>
      <c r="J19" s="4">
        <v>3.539923985933582E-6</v>
      </c>
      <c r="K19" s="4">
        <v>5.991753062593009E-4</v>
      </c>
      <c r="L19" s="4">
        <v>0.02305649766265016</v>
      </c>
      <c r="M19" s="4">
        <v>0.2160209323801849</v>
      </c>
      <c r="N19" s="4">
        <v>0.519641355195648</v>
      </c>
      <c r="O19" s="4">
        <v>0.33080163110756</v>
      </c>
      <c r="P19" s="4">
        <v>0.05616350473334527</v>
      </c>
      <c r="Q19" s="4">
        <v>0.0</v>
      </c>
      <c r="R19" s="4">
        <v>0.0</v>
      </c>
      <c r="S19" s="4">
        <v>0.0</v>
      </c>
      <c r="T19" s="4">
        <v>0.0</v>
      </c>
      <c r="U19" s="4">
        <v>0.0</v>
      </c>
      <c r="V19" s="4">
        <v>0.0</v>
      </c>
      <c r="W19" s="4">
        <v>0.0</v>
      </c>
      <c r="X19" s="4">
        <v>0.0</v>
      </c>
      <c r="Y19" s="4">
        <v>0.0</v>
      </c>
      <c r="Z19" s="4">
        <v>0.0</v>
      </c>
      <c r="AA19" s="4">
        <v>0.0</v>
      </c>
      <c r="AB19" s="4">
        <v>0.0</v>
      </c>
      <c r="AC19" s="4">
        <v>0.0</v>
      </c>
      <c r="AD19" s="4">
        <v>0.0</v>
      </c>
      <c r="AE19" s="4">
        <v>0.0</v>
      </c>
      <c r="AF19" s="4">
        <v>0.0</v>
      </c>
      <c r="AG19" s="4">
        <v>0.0</v>
      </c>
      <c r="AH19" s="4">
        <v>0.0</v>
      </c>
      <c r="AI19" s="4">
        <v>0.0</v>
      </c>
      <c r="AJ19" s="4">
        <v>0.0</v>
      </c>
      <c r="AK19" s="4">
        <v>0.0</v>
      </c>
      <c r="AL19" s="4">
        <v>0.0</v>
      </c>
      <c r="AM19" s="4">
        <v>0.0</v>
      </c>
      <c r="AN19" s="4">
        <v>0.0</v>
      </c>
      <c r="AO19" s="4">
        <v>0.0</v>
      </c>
    </row>
    <row r="20">
      <c r="A20" s="4">
        <v>0.0</v>
      </c>
      <c r="B20" s="4">
        <v>0.0</v>
      </c>
      <c r="C20" s="4">
        <v>0.0</v>
      </c>
      <c r="D20" s="4">
        <v>0.0</v>
      </c>
      <c r="E20" s="4">
        <v>0.0</v>
      </c>
      <c r="F20" s="4">
        <v>0.0</v>
      </c>
      <c r="G20" s="4">
        <v>0.0</v>
      </c>
      <c r="H20" s="4">
        <v>0.0</v>
      </c>
      <c r="I20" s="4">
        <v>5.731316252888049E-13</v>
      </c>
      <c r="J20" s="4">
        <v>2.302042191093932E-9</v>
      </c>
      <c r="K20" s="4">
        <v>1.9039238664022043E-6</v>
      </c>
      <c r="L20" s="4">
        <v>3.4949150443267364E-4</v>
      </c>
      <c r="M20" s="4">
        <v>0.015314871271811067</v>
      </c>
      <c r="N20" s="4">
        <v>0.16999812154007476</v>
      </c>
      <c r="O20" s="4">
        <v>0.49612780980328686</v>
      </c>
      <c r="P20" s="4">
        <v>0.3859030792581257</v>
      </c>
      <c r="Q20" s="4">
        <v>0.07976340421393727</v>
      </c>
      <c r="R20" s="4">
        <v>0.0</v>
      </c>
      <c r="S20" s="4">
        <v>0.0</v>
      </c>
      <c r="T20" s="4">
        <v>0.0</v>
      </c>
      <c r="U20" s="4">
        <v>0.0</v>
      </c>
      <c r="V20" s="4">
        <v>0.0</v>
      </c>
      <c r="W20" s="4">
        <v>0.0</v>
      </c>
      <c r="X20" s="4">
        <v>0.0</v>
      </c>
      <c r="Y20" s="4">
        <v>0.0</v>
      </c>
      <c r="Z20" s="4">
        <v>0.0</v>
      </c>
      <c r="AA20" s="4">
        <v>0.0</v>
      </c>
      <c r="AB20" s="4">
        <v>0.0</v>
      </c>
      <c r="AC20" s="4">
        <v>0.0</v>
      </c>
      <c r="AD20" s="4">
        <v>0.0</v>
      </c>
      <c r="AE20" s="4">
        <v>0.0</v>
      </c>
      <c r="AF20" s="4">
        <v>0.0</v>
      </c>
      <c r="AG20" s="4">
        <v>0.0</v>
      </c>
      <c r="AH20" s="4">
        <v>0.0</v>
      </c>
      <c r="AI20" s="4">
        <v>0.0</v>
      </c>
      <c r="AJ20" s="4">
        <v>0.0</v>
      </c>
      <c r="AK20" s="4">
        <v>0.0</v>
      </c>
      <c r="AL20" s="4">
        <v>0.0</v>
      </c>
      <c r="AM20" s="4">
        <v>0.0</v>
      </c>
      <c r="AN20" s="4">
        <v>0.0</v>
      </c>
      <c r="AO20" s="4">
        <v>0.0</v>
      </c>
    </row>
    <row r="21" ht="15.75" customHeight="1">
      <c r="A21" s="4">
        <v>0.0</v>
      </c>
      <c r="B21" s="4">
        <v>0.0</v>
      </c>
      <c r="C21" s="4">
        <v>0.0</v>
      </c>
      <c r="D21" s="4">
        <v>0.0</v>
      </c>
      <c r="E21" s="4">
        <v>0.0</v>
      </c>
      <c r="F21" s="4">
        <v>0.0</v>
      </c>
      <c r="G21" s="4">
        <v>0.0</v>
      </c>
      <c r="H21" s="4">
        <v>0.0</v>
      </c>
      <c r="I21" s="4">
        <v>0.0</v>
      </c>
      <c r="J21" s="4">
        <v>2.5949771449029505E-13</v>
      </c>
      <c r="K21" s="4">
        <v>1.0486876776063124E-9</v>
      </c>
      <c r="L21" s="4">
        <v>9.182920499035356E-7</v>
      </c>
      <c r="M21" s="4">
        <v>1.88205270310794E-4</v>
      </c>
      <c r="N21" s="4">
        <v>0.009640186899208604</v>
      </c>
      <c r="O21" s="4">
        <v>0.12897941902377835</v>
      </c>
      <c r="P21" s="4">
        <v>0.45962453403026116</v>
      </c>
      <c r="Q21" s="4">
        <v>0.4363934571736191</v>
      </c>
      <c r="R21" s="4">
        <v>0.10963924762958933</v>
      </c>
      <c r="S21" s="4">
        <v>0.0</v>
      </c>
      <c r="T21" s="4">
        <v>0.0</v>
      </c>
      <c r="U21" s="4">
        <v>0.0</v>
      </c>
      <c r="V21" s="4">
        <v>0.0</v>
      </c>
      <c r="W21" s="4">
        <v>0.0</v>
      </c>
      <c r="X21" s="4">
        <v>0.0</v>
      </c>
      <c r="Y21" s="4">
        <v>0.0</v>
      </c>
      <c r="Z21" s="4">
        <v>0.0</v>
      </c>
      <c r="AA21" s="4">
        <v>0.0</v>
      </c>
      <c r="AB21" s="4">
        <v>0.0</v>
      </c>
      <c r="AC21" s="4">
        <v>0.0</v>
      </c>
      <c r="AD21" s="4">
        <v>0.0</v>
      </c>
      <c r="AE21" s="4">
        <v>0.0</v>
      </c>
      <c r="AF21" s="4">
        <v>0.0</v>
      </c>
      <c r="AG21" s="4">
        <v>0.0</v>
      </c>
      <c r="AH21" s="4">
        <v>0.0</v>
      </c>
      <c r="AI21" s="4">
        <v>0.0</v>
      </c>
      <c r="AJ21" s="4">
        <v>0.0</v>
      </c>
      <c r="AK21" s="4">
        <v>0.0</v>
      </c>
      <c r="AL21" s="4">
        <v>0.0</v>
      </c>
      <c r="AM21" s="4">
        <v>0.0</v>
      </c>
      <c r="AN21" s="4">
        <v>0.0</v>
      </c>
      <c r="AO21" s="4">
        <v>0.0</v>
      </c>
    </row>
    <row r="22" ht="15.75" customHeight="1">
      <c r="A22" s="4">
        <v>0.0</v>
      </c>
      <c r="B22" s="4">
        <v>0.0</v>
      </c>
      <c r="C22" s="4">
        <v>0.0</v>
      </c>
      <c r="D22" s="4">
        <v>0.0</v>
      </c>
      <c r="E22" s="4">
        <v>0.0</v>
      </c>
      <c r="F22" s="4">
        <v>0.0</v>
      </c>
      <c r="G22" s="4">
        <v>0.0</v>
      </c>
      <c r="H22" s="4">
        <v>0.0</v>
      </c>
      <c r="I22" s="4">
        <v>0.0</v>
      </c>
      <c r="J22" s="4">
        <v>0.0</v>
      </c>
      <c r="K22" s="4">
        <v>0.0</v>
      </c>
      <c r="L22" s="4">
        <v>4.182403614665444E-10</v>
      </c>
      <c r="M22" s="4">
        <v>4.009139116658442E-7</v>
      </c>
      <c r="N22" s="4">
        <v>9.476057794769221E-5</v>
      </c>
      <c r="O22" s="4">
        <v>0.005812302069199003</v>
      </c>
      <c r="P22" s="4">
        <v>0.09489188564061776</v>
      </c>
      <c r="Q22" s="4">
        <v>0.4138602310743275</v>
      </c>
      <c r="R22" s="4">
        <v>0.478966524231341</v>
      </c>
      <c r="S22" s="4">
        <v>0.14651276911681238</v>
      </c>
      <c r="T22" s="4">
        <v>0.0</v>
      </c>
      <c r="U22" s="4">
        <v>0.0</v>
      </c>
      <c r="V22" s="4">
        <v>0.0</v>
      </c>
      <c r="W22" s="4">
        <v>0.0</v>
      </c>
      <c r="X22" s="4">
        <v>0.0</v>
      </c>
      <c r="Y22" s="4">
        <v>0.0</v>
      </c>
      <c r="Z22" s="4">
        <v>0.0</v>
      </c>
      <c r="AA22" s="4">
        <v>0.0</v>
      </c>
      <c r="AB22" s="4">
        <v>0.0</v>
      </c>
      <c r="AC22" s="4">
        <v>0.0</v>
      </c>
      <c r="AD22" s="4">
        <v>0.0</v>
      </c>
      <c r="AE22" s="4">
        <v>0.0</v>
      </c>
      <c r="AF22" s="4">
        <v>0.0</v>
      </c>
      <c r="AG22" s="4">
        <v>0.0</v>
      </c>
      <c r="AH22" s="4">
        <v>0.0</v>
      </c>
      <c r="AI22" s="4">
        <v>0.0</v>
      </c>
      <c r="AJ22" s="4">
        <v>0.0</v>
      </c>
      <c r="AK22" s="4">
        <v>0.0</v>
      </c>
      <c r="AL22" s="4">
        <v>0.0</v>
      </c>
      <c r="AM22" s="4">
        <v>0.0</v>
      </c>
      <c r="AN22" s="4">
        <v>0.0</v>
      </c>
      <c r="AO22" s="4">
        <v>0.0</v>
      </c>
    </row>
    <row r="23" ht="15.75" customHeight="1">
      <c r="A23" s="4">
        <v>0.0</v>
      </c>
      <c r="B23" s="4">
        <v>0.0</v>
      </c>
      <c r="C23" s="4">
        <v>0.0</v>
      </c>
      <c r="D23" s="4">
        <v>0.0</v>
      </c>
      <c r="E23" s="4">
        <v>0.0</v>
      </c>
      <c r="F23" s="4">
        <v>0.0</v>
      </c>
      <c r="G23" s="4">
        <v>0.0</v>
      </c>
      <c r="H23" s="4">
        <v>0.0</v>
      </c>
      <c r="I23" s="4">
        <v>0.0</v>
      </c>
      <c r="J23" s="4">
        <v>0.0</v>
      </c>
      <c r="K23" s="4">
        <v>0.0</v>
      </c>
      <c r="L23" s="4">
        <v>0.0</v>
      </c>
      <c r="M23" s="4">
        <v>1.480373791463745E-10</v>
      </c>
      <c r="N23" s="4">
        <v>1.6146219915483304E-7</v>
      </c>
      <c r="O23" s="4">
        <v>4.54021953311545E-5</v>
      </c>
      <c r="P23" s="4">
        <v>0.0033959076129792304</v>
      </c>
      <c r="Q23" s="4">
        <v>0.06803463775735595</v>
      </c>
      <c r="R23" s="4">
        <v>0.36269802503377935</v>
      </c>
      <c r="S23" s="4">
        <v>0.5112440802697139</v>
      </c>
      <c r="T23" s="4">
        <v>0.1911877174818949</v>
      </c>
      <c r="U23" s="4">
        <v>0.0</v>
      </c>
      <c r="V23" s="4">
        <v>0.0</v>
      </c>
      <c r="W23" s="4">
        <v>0.0</v>
      </c>
      <c r="X23" s="4">
        <v>0.0</v>
      </c>
      <c r="Y23" s="4">
        <v>0.0</v>
      </c>
      <c r="Z23" s="4">
        <v>0.0</v>
      </c>
      <c r="AA23" s="4">
        <v>0.0</v>
      </c>
      <c r="AB23" s="4">
        <v>0.0</v>
      </c>
      <c r="AC23" s="4">
        <v>0.0</v>
      </c>
      <c r="AD23" s="4">
        <v>0.0</v>
      </c>
      <c r="AE23" s="4">
        <v>0.0</v>
      </c>
      <c r="AF23" s="4">
        <v>0.0</v>
      </c>
      <c r="AG23" s="4">
        <v>0.0</v>
      </c>
      <c r="AH23" s="4">
        <v>0.0</v>
      </c>
      <c r="AI23" s="4">
        <v>0.0</v>
      </c>
      <c r="AJ23" s="4">
        <v>0.0</v>
      </c>
      <c r="AK23" s="4">
        <v>0.0</v>
      </c>
      <c r="AL23" s="4">
        <v>0.0</v>
      </c>
      <c r="AM23" s="4">
        <v>0.0</v>
      </c>
      <c r="AN23" s="4">
        <v>0.0</v>
      </c>
      <c r="AO23" s="4">
        <v>0.0</v>
      </c>
    </row>
    <row r="24" ht="15.75" customHeight="1">
      <c r="A24" s="4">
        <v>0.0</v>
      </c>
      <c r="B24" s="4">
        <v>0.0</v>
      </c>
      <c r="C24" s="4">
        <v>0.0</v>
      </c>
      <c r="D24" s="4">
        <v>0.0</v>
      </c>
      <c r="E24" s="4">
        <v>0.0</v>
      </c>
      <c r="F24" s="4">
        <v>0.0</v>
      </c>
      <c r="G24" s="4">
        <v>0.0</v>
      </c>
      <c r="H24" s="4">
        <v>0.0</v>
      </c>
      <c r="I24" s="4">
        <v>0.0</v>
      </c>
      <c r="J24" s="4">
        <v>0.0</v>
      </c>
      <c r="K24" s="4">
        <v>0.0</v>
      </c>
      <c r="L24" s="4">
        <v>0.0</v>
      </c>
      <c r="M24" s="4">
        <v>0.0</v>
      </c>
      <c r="N24" s="4">
        <v>4.768864046832846E-11</v>
      </c>
      <c r="O24" s="4">
        <v>6.147611925474125E-8</v>
      </c>
      <c r="P24" s="4">
        <v>2.1066072376721096E-5</v>
      </c>
      <c r="Q24" s="4">
        <v>0.001938685549762207</v>
      </c>
      <c r="R24" s="4">
        <v>0.04760867954270929</v>
      </c>
      <c r="S24" s="4">
        <v>0.30923028702845334</v>
      </c>
      <c r="T24" s="4">
        <v>0.5312533597851636</v>
      </c>
      <c r="U24" s="4">
        <v>0.24403865318256</v>
      </c>
      <c r="V24" s="4">
        <v>0.0</v>
      </c>
      <c r="W24" s="4">
        <v>0.0</v>
      </c>
      <c r="X24" s="4">
        <v>0.0</v>
      </c>
      <c r="Y24" s="4">
        <v>0.0</v>
      </c>
      <c r="Z24" s="4">
        <v>0.0</v>
      </c>
      <c r="AA24" s="4">
        <v>0.0</v>
      </c>
      <c r="AB24" s="4">
        <v>0.0</v>
      </c>
      <c r="AC24" s="4">
        <v>0.0</v>
      </c>
      <c r="AD24" s="4">
        <v>0.0</v>
      </c>
      <c r="AE24" s="4">
        <v>0.0</v>
      </c>
      <c r="AF24" s="4">
        <v>0.0</v>
      </c>
      <c r="AG24" s="4">
        <v>0.0</v>
      </c>
      <c r="AH24" s="4">
        <v>0.0</v>
      </c>
      <c r="AI24" s="4">
        <v>0.0</v>
      </c>
      <c r="AJ24" s="4">
        <v>0.0</v>
      </c>
      <c r="AK24" s="4">
        <v>0.0</v>
      </c>
      <c r="AL24" s="4">
        <v>0.0</v>
      </c>
      <c r="AM24" s="4">
        <v>0.0</v>
      </c>
      <c r="AN24" s="4">
        <v>0.0</v>
      </c>
      <c r="AO24" s="4">
        <v>0.0</v>
      </c>
    </row>
    <row r="25" ht="15.75" customHeight="1">
      <c r="A25" s="4">
        <v>0.0</v>
      </c>
      <c r="B25" s="4">
        <v>0.0</v>
      </c>
      <c r="C25" s="4">
        <v>0.0</v>
      </c>
      <c r="D25" s="4">
        <v>0.0</v>
      </c>
      <c r="E25" s="4">
        <v>0.0</v>
      </c>
      <c r="F25" s="4">
        <v>0.0</v>
      </c>
      <c r="G25" s="4">
        <v>0.0</v>
      </c>
      <c r="H25" s="4">
        <v>0.0</v>
      </c>
      <c r="I25" s="4">
        <v>0.0</v>
      </c>
      <c r="J25" s="4">
        <v>0.0</v>
      </c>
      <c r="K25" s="4">
        <v>0.0</v>
      </c>
      <c r="L25" s="4">
        <v>0.0</v>
      </c>
      <c r="M25" s="4">
        <v>0.0</v>
      </c>
      <c r="N25" s="4">
        <v>0.0</v>
      </c>
      <c r="O25" s="4">
        <v>1.4429023860430333E-11</v>
      </c>
      <c r="P25" s="4">
        <v>2.2652294172437443E-8</v>
      </c>
      <c r="Q25" s="4">
        <v>9.576031925750642E-6</v>
      </c>
      <c r="R25" s="4">
        <v>0.0010832482528373695</v>
      </c>
      <c r="S25" s="4">
        <v>0.03242176625277414</v>
      </c>
      <c r="T25" s="4">
        <v>0.2558846926161825</v>
      </c>
      <c r="U25" s="4">
        <v>0.5372360484200293</v>
      </c>
      <c r="V25" s="4">
        <v>0.30410526072286426</v>
      </c>
      <c r="W25" s="4">
        <v>0.0</v>
      </c>
      <c r="X25" s="4">
        <v>0.0</v>
      </c>
      <c r="Y25" s="4">
        <v>0.0</v>
      </c>
      <c r="Z25" s="4">
        <v>0.0</v>
      </c>
      <c r="AA25" s="4">
        <v>0.0</v>
      </c>
      <c r="AB25" s="4">
        <v>0.0</v>
      </c>
      <c r="AC25" s="4">
        <v>0.0</v>
      </c>
      <c r="AD25" s="4">
        <v>0.0</v>
      </c>
      <c r="AE25" s="4">
        <v>0.0</v>
      </c>
      <c r="AF25" s="4">
        <v>0.0</v>
      </c>
      <c r="AG25" s="4">
        <v>0.0</v>
      </c>
      <c r="AH25" s="4">
        <v>0.0</v>
      </c>
      <c r="AI25" s="4">
        <v>0.0</v>
      </c>
      <c r="AJ25" s="4">
        <v>0.0</v>
      </c>
      <c r="AK25" s="4">
        <v>0.0</v>
      </c>
      <c r="AL25" s="4">
        <v>0.0</v>
      </c>
      <c r="AM25" s="4">
        <v>0.0</v>
      </c>
      <c r="AN25" s="4">
        <v>0.0</v>
      </c>
      <c r="AO25" s="4">
        <v>0.0</v>
      </c>
    </row>
    <row r="26" ht="15.75" customHeight="1">
      <c r="A26" s="4">
        <v>0.0</v>
      </c>
      <c r="B26" s="4">
        <v>0.0</v>
      </c>
      <c r="C26" s="4">
        <v>0.0</v>
      </c>
      <c r="D26" s="4">
        <v>0.0</v>
      </c>
      <c r="E26" s="4">
        <v>0.0</v>
      </c>
      <c r="F26" s="4">
        <v>0.0</v>
      </c>
      <c r="G26" s="4">
        <v>0.0</v>
      </c>
      <c r="H26" s="4">
        <v>0.0</v>
      </c>
      <c r="I26" s="4">
        <v>0.0</v>
      </c>
      <c r="J26" s="4">
        <v>0.0</v>
      </c>
      <c r="K26" s="4">
        <v>0.0</v>
      </c>
      <c r="L26" s="4">
        <v>0.0</v>
      </c>
      <c r="M26" s="4">
        <v>0.0</v>
      </c>
      <c r="N26" s="4">
        <v>0.0</v>
      </c>
      <c r="O26" s="4">
        <v>0.0</v>
      </c>
      <c r="P26" s="4">
        <v>0.0</v>
      </c>
      <c r="Q26" s="4">
        <v>8.199072241165657E-9</v>
      </c>
      <c r="R26" s="4">
        <v>4.27238885861267E-6</v>
      </c>
      <c r="S26" s="4">
        <v>5.892400162198038E-4</v>
      </c>
      <c r="T26" s="4">
        <v>0.021364259233016117</v>
      </c>
      <c r="U26" s="4">
        <v>0.20500883994124508</v>
      </c>
      <c r="V26" s="4">
        <v>0.528376978900255</v>
      </c>
      <c r="W26" s="4">
        <v>0.36839875910488273</v>
      </c>
      <c r="X26" s="4">
        <v>0.0</v>
      </c>
      <c r="Y26" s="4">
        <v>0.0</v>
      </c>
      <c r="Z26" s="4">
        <v>0.0</v>
      </c>
      <c r="AA26" s="4">
        <v>0.0</v>
      </c>
      <c r="AB26" s="4">
        <v>0.0</v>
      </c>
      <c r="AC26" s="4">
        <v>0.0</v>
      </c>
      <c r="AD26" s="4">
        <v>0.0</v>
      </c>
      <c r="AE26" s="4">
        <v>0.0</v>
      </c>
      <c r="AF26" s="4">
        <v>0.0</v>
      </c>
      <c r="AG26" s="4">
        <v>0.0</v>
      </c>
      <c r="AH26" s="4">
        <v>0.0</v>
      </c>
      <c r="AI26" s="4">
        <v>0.0</v>
      </c>
      <c r="AJ26" s="4">
        <v>0.0</v>
      </c>
      <c r="AK26" s="4">
        <v>0.0</v>
      </c>
      <c r="AL26" s="4">
        <v>0.0</v>
      </c>
      <c r="AM26" s="4">
        <v>0.0</v>
      </c>
      <c r="AN26" s="4">
        <v>0.0</v>
      </c>
      <c r="AO26" s="4">
        <v>0.0</v>
      </c>
    </row>
    <row r="27" ht="15.75" customHeight="1">
      <c r="A27" s="4">
        <v>0.0</v>
      </c>
      <c r="B27" s="4">
        <v>0.0</v>
      </c>
      <c r="C27" s="4">
        <v>0.0</v>
      </c>
      <c r="D27" s="4">
        <v>0.0</v>
      </c>
      <c r="E27" s="4">
        <v>0.0</v>
      </c>
      <c r="F27" s="4">
        <v>0.0</v>
      </c>
      <c r="G27" s="4">
        <v>0.0</v>
      </c>
      <c r="H27" s="4">
        <v>0.0</v>
      </c>
      <c r="I27" s="4">
        <v>0.0</v>
      </c>
      <c r="J27" s="4">
        <v>0.0</v>
      </c>
      <c r="K27" s="4">
        <v>0.0</v>
      </c>
      <c r="L27" s="4">
        <v>0.0</v>
      </c>
      <c r="M27" s="4">
        <v>0.0</v>
      </c>
      <c r="N27" s="4">
        <v>0.0</v>
      </c>
      <c r="O27" s="4">
        <v>0.0</v>
      </c>
      <c r="P27" s="4">
        <v>0.0</v>
      </c>
      <c r="Q27" s="4">
        <v>0.0</v>
      </c>
      <c r="R27" s="4">
        <v>2.9208850513744097E-9</v>
      </c>
      <c r="S27" s="4">
        <v>1.8563023343132937E-6</v>
      </c>
      <c r="T27" s="4">
        <v>3.0919487526539336E-4</v>
      </c>
      <c r="U27" s="4">
        <v>0.01356066370365693</v>
      </c>
      <c r="V27" s="4">
        <v>0.15913465146080125</v>
      </c>
      <c r="W27" s="4">
        <v>0.5060812935873543</v>
      </c>
      <c r="X27" s="4">
        <v>0.43224990891020154</v>
      </c>
      <c r="Y27" s="4">
        <v>0.0</v>
      </c>
      <c r="Z27" s="4">
        <v>0.0</v>
      </c>
      <c r="AA27" s="4">
        <v>0.0</v>
      </c>
      <c r="AB27" s="4">
        <v>0.0</v>
      </c>
      <c r="AC27" s="4">
        <v>0.0</v>
      </c>
      <c r="AD27" s="4">
        <v>0.0</v>
      </c>
      <c r="AE27" s="4">
        <v>0.0</v>
      </c>
      <c r="AF27" s="4">
        <v>0.0</v>
      </c>
      <c r="AG27" s="4">
        <v>0.0</v>
      </c>
      <c r="AH27" s="4">
        <v>0.0</v>
      </c>
      <c r="AI27" s="4">
        <v>0.0</v>
      </c>
      <c r="AJ27" s="4">
        <v>0.0</v>
      </c>
      <c r="AK27" s="4">
        <v>0.0</v>
      </c>
      <c r="AL27" s="4">
        <v>0.0</v>
      </c>
      <c r="AM27" s="4">
        <v>0.0</v>
      </c>
      <c r="AN27" s="4">
        <v>0.0</v>
      </c>
      <c r="AO27" s="4">
        <v>0.0</v>
      </c>
    </row>
    <row r="28" ht="15.75" customHeight="1">
      <c r="A28" s="4">
        <v>0.0</v>
      </c>
      <c r="B28" s="4">
        <v>0.0</v>
      </c>
      <c r="C28" s="4">
        <v>0.0</v>
      </c>
      <c r="D28" s="4">
        <v>0.0</v>
      </c>
      <c r="E28" s="4">
        <v>0.0</v>
      </c>
      <c r="F28" s="4">
        <v>0.0</v>
      </c>
      <c r="G28" s="4">
        <v>0.0</v>
      </c>
      <c r="H28" s="4">
        <v>0.0</v>
      </c>
      <c r="I28" s="4">
        <v>0.0</v>
      </c>
      <c r="J28" s="4">
        <v>0.0</v>
      </c>
      <c r="K28" s="4">
        <v>0.0</v>
      </c>
      <c r="L28" s="4">
        <v>0.0</v>
      </c>
      <c r="M28" s="4">
        <v>0.0</v>
      </c>
      <c r="N28" s="4">
        <v>0.0</v>
      </c>
      <c r="O28" s="4">
        <v>0.0</v>
      </c>
      <c r="P28" s="4">
        <v>0.0</v>
      </c>
      <c r="Q28" s="4">
        <v>0.0</v>
      </c>
      <c r="R28" s="4">
        <v>0.0</v>
      </c>
      <c r="S28" s="4">
        <v>1.0136921991308225E-9</v>
      </c>
      <c r="T28" s="4">
        <v>7.756711714455844E-7</v>
      </c>
      <c r="U28" s="4">
        <v>1.5548561620896625E-4</v>
      </c>
      <c r="V28" s="4">
        <v>0.008307809753345897</v>
      </c>
      <c r="W28" s="4">
        <v>0.12051006654074994</v>
      </c>
      <c r="X28" s="4">
        <v>0.47447512279146253</v>
      </c>
      <c r="Y28" s="4">
        <v>0.49081880344230483</v>
      </c>
      <c r="Z28" s="4">
        <v>0.0</v>
      </c>
      <c r="AA28" s="4">
        <v>0.0</v>
      </c>
      <c r="AB28" s="4">
        <v>0.0</v>
      </c>
      <c r="AC28" s="4">
        <v>0.0</v>
      </c>
      <c r="AD28" s="4">
        <v>0.0</v>
      </c>
      <c r="AE28" s="4">
        <v>0.0</v>
      </c>
      <c r="AF28" s="4">
        <v>0.0</v>
      </c>
      <c r="AG28" s="4">
        <v>0.0</v>
      </c>
      <c r="AH28" s="4">
        <v>0.0</v>
      </c>
      <c r="AI28" s="4">
        <v>0.0</v>
      </c>
      <c r="AJ28" s="4">
        <v>0.0</v>
      </c>
      <c r="AK28" s="4">
        <v>0.0</v>
      </c>
      <c r="AL28" s="4">
        <v>0.0</v>
      </c>
      <c r="AM28" s="4">
        <v>0.0</v>
      </c>
      <c r="AN28" s="4">
        <v>0.0</v>
      </c>
      <c r="AO28" s="4">
        <v>0.0</v>
      </c>
    </row>
    <row r="29" ht="15.75" customHeight="1">
      <c r="A29" s="4">
        <v>0.0</v>
      </c>
      <c r="B29" s="4">
        <v>0.0</v>
      </c>
      <c r="C29" s="4">
        <v>0.0</v>
      </c>
      <c r="D29" s="4">
        <v>0.0</v>
      </c>
      <c r="E29" s="4">
        <v>0.0</v>
      </c>
      <c r="F29" s="4">
        <v>0.0</v>
      </c>
      <c r="G29" s="4">
        <v>0.0</v>
      </c>
      <c r="H29" s="4">
        <v>0.0</v>
      </c>
      <c r="I29" s="4">
        <v>0.0</v>
      </c>
      <c r="J29" s="4">
        <v>0.0</v>
      </c>
      <c r="K29" s="4">
        <v>0.0</v>
      </c>
      <c r="L29" s="4">
        <v>0.0</v>
      </c>
      <c r="M29" s="4">
        <v>0.0</v>
      </c>
      <c r="N29" s="4">
        <v>0.0</v>
      </c>
      <c r="O29" s="4">
        <v>0.0</v>
      </c>
      <c r="P29" s="4">
        <v>0.0</v>
      </c>
      <c r="Q29" s="4">
        <v>0.0</v>
      </c>
      <c r="R29" s="4">
        <v>0.0</v>
      </c>
      <c r="S29" s="4">
        <v>0.0</v>
      </c>
      <c r="T29" s="4">
        <v>3.3730589401614296E-10</v>
      </c>
      <c r="U29" s="4">
        <v>3.0902983359445475E-7</v>
      </c>
      <c r="V29" s="4">
        <v>7.518119834143048E-5</v>
      </c>
      <c r="W29" s="4">
        <v>0.004974246275372406</v>
      </c>
      <c r="X29" s="4">
        <v>0.09028028031987674</v>
      </c>
      <c r="Y29" s="4">
        <v>0.4392123345994201</v>
      </c>
      <c r="Z29" s="4">
        <v>0.5407437237903224</v>
      </c>
      <c r="AA29" s="4">
        <v>0.0</v>
      </c>
      <c r="AB29" s="4">
        <v>0.0</v>
      </c>
      <c r="AC29" s="4">
        <v>0.0</v>
      </c>
      <c r="AD29" s="4">
        <v>0.0</v>
      </c>
      <c r="AE29" s="4">
        <v>0.0</v>
      </c>
      <c r="AF29" s="4">
        <v>0.0</v>
      </c>
      <c r="AG29" s="4">
        <v>0.0</v>
      </c>
      <c r="AH29" s="4">
        <v>0.0</v>
      </c>
      <c r="AI29" s="4">
        <v>0.0</v>
      </c>
      <c r="AJ29" s="4">
        <v>0.0</v>
      </c>
      <c r="AK29" s="4">
        <v>0.0</v>
      </c>
      <c r="AL29" s="4">
        <v>0.0</v>
      </c>
      <c r="AM29" s="4">
        <v>0.0</v>
      </c>
      <c r="AN29" s="4">
        <v>0.0</v>
      </c>
      <c r="AO29" s="4">
        <v>0.0</v>
      </c>
    </row>
    <row r="30" ht="15.75" customHeight="1">
      <c r="A30" s="4">
        <v>0.0</v>
      </c>
      <c r="B30" s="4">
        <v>0.0</v>
      </c>
      <c r="C30" s="4">
        <v>0.0</v>
      </c>
      <c r="D30" s="4">
        <v>0.0</v>
      </c>
      <c r="E30" s="4">
        <v>0.0</v>
      </c>
      <c r="F30" s="4">
        <v>0.0</v>
      </c>
      <c r="G30" s="4">
        <v>0.0</v>
      </c>
      <c r="H30" s="4">
        <v>0.0</v>
      </c>
      <c r="I30" s="4">
        <v>0.0</v>
      </c>
      <c r="J30" s="4">
        <v>0.0</v>
      </c>
      <c r="K30" s="4">
        <v>0.0</v>
      </c>
      <c r="L30" s="4">
        <v>0.0</v>
      </c>
      <c r="M30" s="4">
        <v>0.0</v>
      </c>
      <c r="N30" s="4">
        <v>0.0</v>
      </c>
      <c r="O30" s="4">
        <v>0.0</v>
      </c>
      <c r="P30" s="4">
        <v>0.0</v>
      </c>
      <c r="Q30" s="4">
        <v>0.0</v>
      </c>
      <c r="R30" s="4">
        <v>0.0</v>
      </c>
      <c r="S30" s="4">
        <v>0.0</v>
      </c>
      <c r="T30" s="4">
        <v>0.0</v>
      </c>
      <c r="U30" s="4">
        <v>1.0646614092787798E-10</v>
      </c>
      <c r="V30" s="4">
        <v>1.1793232496360163E-7</v>
      </c>
      <c r="W30" s="4">
        <v>3.559034158008619E-5</v>
      </c>
      <c r="X30" s="4">
        <v>0.0029776473814990506</v>
      </c>
      <c r="Y30" s="4">
        <v>0.06812849252605892</v>
      </c>
      <c r="Z30" s="4">
        <v>0.4053850859985094</v>
      </c>
      <c r="AA30" s="4">
        <v>0.5808076916344121</v>
      </c>
      <c r="AB30" s="4">
        <v>0.0</v>
      </c>
      <c r="AC30" s="4">
        <v>0.0</v>
      </c>
      <c r="AD30" s="4">
        <v>0.0</v>
      </c>
      <c r="AE30" s="4">
        <v>0.0</v>
      </c>
      <c r="AF30" s="4">
        <v>0.0</v>
      </c>
      <c r="AG30" s="4">
        <v>0.0</v>
      </c>
      <c r="AH30" s="4">
        <v>0.0</v>
      </c>
      <c r="AI30" s="4">
        <v>0.0</v>
      </c>
      <c r="AJ30" s="4">
        <v>0.0</v>
      </c>
      <c r="AK30" s="4">
        <v>0.0</v>
      </c>
      <c r="AL30" s="4">
        <v>0.0</v>
      </c>
      <c r="AM30" s="4">
        <v>0.0</v>
      </c>
      <c r="AN30" s="4">
        <v>0.0</v>
      </c>
      <c r="AO30" s="4">
        <v>0.0</v>
      </c>
    </row>
    <row r="31" ht="15.75" customHeight="1">
      <c r="A31" s="4">
        <v>0.0</v>
      </c>
      <c r="B31" s="4">
        <v>0.0</v>
      </c>
      <c r="C31" s="4">
        <v>0.0</v>
      </c>
      <c r="D31" s="4">
        <v>0.0</v>
      </c>
      <c r="E31" s="4">
        <v>0.0</v>
      </c>
      <c r="F31" s="4">
        <v>0.0</v>
      </c>
      <c r="G31" s="4">
        <v>0.0</v>
      </c>
      <c r="H31" s="4">
        <v>0.0</v>
      </c>
      <c r="I31" s="4">
        <v>0.0</v>
      </c>
      <c r="J31" s="4">
        <v>0.0</v>
      </c>
      <c r="K31" s="4">
        <v>0.0</v>
      </c>
      <c r="L31" s="4">
        <v>0.0</v>
      </c>
      <c r="M31" s="4">
        <v>0.0</v>
      </c>
      <c r="N31" s="4">
        <v>0.0</v>
      </c>
      <c r="O31" s="4">
        <v>0.0</v>
      </c>
      <c r="P31" s="4">
        <v>0.0</v>
      </c>
      <c r="Q31" s="4">
        <v>0.0</v>
      </c>
      <c r="R31" s="4">
        <v>0.0</v>
      </c>
      <c r="S31" s="4">
        <v>0.0</v>
      </c>
      <c r="T31" s="4">
        <v>0.0</v>
      </c>
      <c r="U31" s="4">
        <v>0.0</v>
      </c>
      <c r="V31" s="4">
        <v>3.2066930662022026E-11</v>
      </c>
      <c r="W31" s="4">
        <v>4.414057076289738E-8</v>
      </c>
      <c r="X31" s="4">
        <v>1.7023723220456304E-5</v>
      </c>
      <c r="Y31" s="4">
        <v>0.0018318248506013735</v>
      </c>
      <c r="Z31" s="4">
        <v>0.05267990247648298</v>
      </c>
      <c r="AA31" s="4">
        <v>0.37614250688243783</v>
      </c>
      <c r="AB31" s="4">
        <v>0.6115311216635863</v>
      </c>
      <c r="AC31" s="4">
        <v>0.0</v>
      </c>
      <c r="AD31" s="4">
        <v>0.0</v>
      </c>
      <c r="AE31" s="4">
        <v>0.0</v>
      </c>
      <c r="AF31" s="4">
        <v>0.0</v>
      </c>
      <c r="AG31" s="4">
        <v>0.0</v>
      </c>
      <c r="AH31" s="4">
        <v>0.0</v>
      </c>
      <c r="AI31" s="4">
        <v>0.0</v>
      </c>
      <c r="AJ31" s="4">
        <v>0.0</v>
      </c>
      <c r="AK31" s="4">
        <v>0.0</v>
      </c>
      <c r="AL31" s="4">
        <v>0.0</v>
      </c>
      <c r="AM31" s="4">
        <v>0.0</v>
      </c>
      <c r="AN31" s="4">
        <v>0.0</v>
      </c>
      <c r="AO31" s="4">
        <v>0.0</v>
      </c>
    </row>
    <row r="32" ht="15.75" customHeight="1">
      <c r="A32" s="4">
        <v>0.0</v>
      </c>
      <c r="B32" s="4">
        <v>0.0</v>
      </c>
      <c r="C32" s="4">
        <v>0.0</v>
      </c>
      <c r="D32" s="4">
        <v>0.0</v>
      </c>
      <c r="E32" s="4">
        <v>0.0</v>
      </c>
      <c r="F32" s="4">
        <v>0.0</v>
      </c>
      <c r="G32" s="4">
        <v>0.0</v>
      </c>
      <c r="H32" s="4">
        <v>0.0</v>
      </c>
      <c r="I32" s="4">
        <v>0.0</v>
      </c>
      <c r="J32" s="4">
        <v>0.0</v>
      </c>
      <c r="K32" s="4">
        <v>0.0</v>
      </c>
      <c r="L32" s="4">
        <v>0.0</v>
      </c>
      <c r="M32" s="4">
        <v>0.0</v>
      </c>
      <c r="N32" s="4">
        <v>0.0</v>
      </c>
      <c r="O32" s="4">
        <v>0.0</v>
      </c>
      <c r="P32" s="4">
        <v>0.0</v>
      </c>
      <c r="Q32" s="4">
        <v>0.0</v>
      </c>
      <c r="R32" s="4">
        <v>0.0</v>
      </c>
      <c r="S32" s="4">
        <v>0.0</v>
      </c>
      <c r="T32" s="4">
        <v>0.0</v>
      </c>
      <c r="U32" s="4">
        <v>0.0</v>
      </c>
      <c r="V32" s="4">
        <v>0.0</v>
      </c>
      <c r="W32" s="4">
        <v>9.489528806397128E-12</v>
      </c>
      <c r="X32" s="4">
        <v>1.687084162514672E-8</v>
      </c>
      <c r="Y32" s="4">
        <v>8.53768306433344E-6</v>
      </c>
      <c r="Z32" s="4">
        <v>0.00118665117368063</v>
      </c>
      <c r="AA32" s="4">
        <v>0.04222536242535385</v>
      </c>
      <c r="AB32" s="4">
        <v>0.35261295151089167</v>
      </c>
      <c r="AC32" s="4">
        <v>0.6343497748961678</v>
      </c>
      <c r="AD32" s="4">
        <v>0.0</v>
      </c>
      <c r="AE32" s="4">
        <v>0.0</v>
      </c>
      <c r="AF32" s="4">
        <v>0.0</v>
      </c>
      <c r="AG32" s="4">
        <v>0.0</v>
      </c>
      <c r="AH32" s="4">
        <v>0.0</v>
      </c>
      <c r="AI32" s="4">
        <v>0.0</v>
      </c>
      <c r="AJ32" s="4">
        <v>0.0</v>
      </c>
      <c r="AK32" s="4">
        <v>0.0</v>
      </c>
      <c r="AL32" s="4">
        <v>0.0</v>
      </c>
      <c r="AM32" s="4">
        <v>0.0</v>
      </c>
      <c r="AN32" s="4">
        <v>0.0</v>
      </c>
      <c r="AO32" s="4">
        <v>0.0</v>
      </c>
    </row>
    <row r="33" ht="15.75" customHeight="1">
      <c r="A33" s="4">
        <v>0.0</v>
      </c>
      <c r="B33" s="4">
        <v>0.0</v>
      </c>
      <c r="C33" s="4">
        <v>0.0</v>
      </c>
      <c r="D33" s="4">
        <v>0.0</v>
      </c>
      <c r="E33" s="4">
        <v>0.0</v>
      </c>
      <c r="F33" s="4">
        <v>0.0</v>
      </c>
      <c r="G33" s="4">
        <v>0.0</v>
      </c>
      <c r="H33" s="4">
        <v>0.0</v>
      </c>
      <c r="I33" s="4">
        <v>0.0</v>
      </c>
      <c r="J33" s="4">
        <v>0.0</v>
      </c>
      <c r="K33" s="4">
        <v>0.0</v>
      </c>
      <c r="L33" s="4">
        <v>0.0</v>
      </c>
      <c r="M33" s="4">
        <v>0.0</v>
      </c>
      <c r="N33" s="4">
        <v>0.0</v>
      </c>
      <c r="O33" s="4">
        <v>0.0</v>
      </c>
      <c r="P33" s="4">
        <v>0.0</v>
      </c>
      <c r="Q33" s="4">
        <v>0.0</v>
      </c>
      <c r="R33" s="4">
        <v>0.0</v>
      </c>
      <c r="S33" s="4">
        <v>0.0</v>
      </c>
      <c r="T33" s="4">
        <v>0.0</v>
      </c>
      <c r="U33" s="4">
        <v>0.0</v>
      </c>
      <c r="V33" s="4">
        <v>0.0</v>
      </c>
      <c r="W33" s="4">
        <v>0.0</v>
      </c>
      <c r="X33" s="4">
        <v>2.8981433489769374E-12</v>
      </c>
      <c r="Y33" s="4">
        <v>6.897584459149303E-9</v>
      </c>
      <c r="Z33" s="4">
        <v>4.633424593641158E-6</v>
      </c>
      <c r="AA33" s="4">
        <v>8.216659169526079E-4</v>
      </c>
      <c r="AB33" s="4">
        <v>0.03524348704929958</v>
      </c>
      <c r="AC33" s="4">
        <v>0.3345754796297871</v>
      </c>
      <c r="AD33" s="4">
        <v>0.6509355356125838</v>
      </c>
      <c r="AE33" s="4">
        <v>0.0</v>
      </c>
      <c r="AF33" s="4">
        <v>0.0</v>
      </c>
      <c r="AG33" s="4">
        <v>0.0</v>
      </c>
      <c r="AH33" s="4">
        <v>0.0</v>
      </c>
      <c r="AI33" s="4">
        <v>0.0</v>
      </c>
      <c r="AJ33" s="4">
        <v>0.0</v>
      </c>
      <c r="AK33" s="4">
        <v>0.0</v>
      </c>
      <c r="AL33" s="4">
        <v>0.0</v>
      </c>
      <c r="AM33" s="4">
        <v>0.0</v>
      </c>
      <c r="AN33" s="4">
        <v>0.0</v>
      </c>
      <c r="AO33" s="4">
        <v>0.0</v>
      </c>
    </row>
    <row r="34" ht="15.75" customHeight="1">
      <c r="A34" s="4">
        <v>0.0</v>
      </c>
      <c r="B34" s="4">
        <v>0.0</v>
      </c>
      <c r="C34" s="4">
        <v>0.0</v>
      </c>
      <c r="D34" s="4">
        <v>0.0</v>
      </c>
      <c r="E34" s="4">
        <v>0.0</v>
      </c>
      <c r="F34" s="4">
        <v>0.0</v>
      </c>
      <c r="G34" s="4">
        <v>0.0</v>
      </c>
      <c r="H34" s="4">
        <v>0.0</v>
      </c>
      <c r="I34" s="4">
        <v>0.0</v>
      </c>
      <c r="J34" s="4">
        <v>0.0</v>
      </c>
      <c r="K34" s="4">
        <v>0.0</v>
      </c>
      <c r="L34" s="4">
        <v>0.0</v>
      </c>
      <c r="M34" s="4">
        <v>0.0</v>
      </c>
      <c r="N34" s="4">
        <v>0.0</v>
      </c>
      <c r="O34" s="4">
        <v>0.0</v>
      </c>
      <c r="P34" s="4">
        <v>0.0</v>
      </c>
      <c r="Q34" s="4">
        <v>0.0</v>
      </c>
      <c r="R34" s="4">
        <v>0.0</v>
      </c>
      <c r="S34" s="4">
        <v>0.0</v>
      </c>
      <c r="T34" s="4">
        <v>0.0</v>
      </c>
      <c r="U34" s="4">
        <v>0.0</v>
      </c>
      <c r="V34" s="4">
        <v>0.0</v>
      </c>
      <c r="W34" s="4">
        <v>0.0</v>
      </c>
      <c r="X34" s="4">
        <v>0.0</v>
      </c>
      <c r="Y34" s="4">
        <v>9.659506536527752E-13</v>
      </c>
      <c r="Z34" s="4">
        <v>3.136043235453663E-9</v>
      </c>
      <c r="AA34" s="4">
        <v>2.771520370568179E-6</v>
      </c>
      <c r="AB34" s="4">
        <v>6.106050601478441E-4</v>
      </c>
      <c r="AC34" s="4">
        <v>0.030588652372373158</v>
      </c>
      <c r="AD34" s="4">
        <v>0.32118517243196076</v>
      </c>
      <c r="AE34" s="4">
        <v>0.6509355356125838</v>
      </c>
      <c r="AF34" s="4">
        <v>0.0</v>
      </c>
      <c r="AG34" s="4">
        <v>0.0</v>
      </c>
      <c r="AH34" s="4">
        <v>0.0</v>
      </c>
      <c r="AI34" s="4">
        <v>0.0</v>
      </c>
      <c r="AJ34" s="4">
        <v>0.0</v>
      </c>
      <c r="AK34" s="4">
        <v>0.0</v>
      </c>
      <c r="AL34" s="4">
        <v>0.0</v>
      </c>
      <c r="AM34" s="4">
        <v>0.0</v>
      </c>
      <c r="AN34" s="4">
        <v>0.0</v>
      </c>
      <c r="AO34" s="4">
        <v>0.0</v>
      </c>
    </row>
    <row r="35" ht="15.75" customHeight="1">
      <c r="A35" s="4">
        <v>0.0</v>
      </c>
      <c r="B35" s="4">
        <v>0.0</v>
      </c>
      <c r="C35" s="4">
        <v>0.0</v>
      </c>
      <c r="D35" s="4">
        <v>0.0</v>
      </c>
      <c r="E35" s="4">
        <v>0.0</v>
      </c>
      <c r="F35" s="4">
        <v>0.0</v>
      </c>
      <c r="G35" s="4">
        <v>0.0</v>
      </c>
      <c r="H35" s="4">
        <v>0.0</v>
      </c>
      <c r="I35" s="4">
        <v>0.0</v>
      </c>
      <c r="J35" s="4">
        <v>0.0</v>
      </c>
      <c r="K35" s="4">
        <v>0.0</v>
      </c>
      <c r="L35" s="4">
        <v>0.0</v>
      </c>
      <c r="M35" s="4">
        <v>0.0</v>
      </c>
      <c r="N35" s="4">
        <v>0.0</v>
      </c>
      <c r="O35" s="4">
        <v>0.0</v>
      </c>
      <c r="P35" s="4">
        <v>0.0</v>
      </c>
      <c r="Q35" s="4">
        <v>0.0</v>
      </c>
      <c r="R35" s="4">
        <v>0.0</v>
      </c>
      <c r="S35" s="4">
        <v>0.0</v>
      </c>
      <c r="T35" s="4">
        <v>0.0</v>
      </c>
      <c r="U35" s="4">
        <v>0.0</v>
      </c>
      <c r="V35" s="4">
        <v>0.0</v>
      </c>
      <c r="W35" s="4">
        <v>0.0</v>
      </c>
      <c r="X35" s="4">
        <v>0.0</v>
      </c>
      <c r="Y35" s="4">
        <v>0.0</v>
      </c>
      <c r="Z35" s="4">
        <v>3.679280503132334E-13</v>
      </c>
      <c r="AA35" s="4">
        <v>1.6204729762525686E-9</v>
      </c>
      <c r="AB35" s="4">
        <v>1.8337614641600792E-6</v>
      </c>
      <c r="AC35" s="4">
        <v>4.8476080079966214E-4</v>
      </c>
      <c r="AD35" s="4">
        <v>0.02747096465634479</v>
      </c>
      <c r="AE35" s="4">
        <v>0.32118517243196076</v>
      </c>
      <c r="AF35" s="4">
        <v>0.6509355356125838</v>
      </c>
      <c r="AG35" s="4">
        <v>0.0</v>
      </c>
      <c r="AH35" s="4">
        <v>0.0</v>
      </c>
      <c r="AI35" s="4">
        <v>0.0</v>
      </c>
      <c r="AJ35" s="4">
        <v>0.0</v>
      </c>
      <c r="AK35" s="4">
        <v>0.0</v>
      </c>
      <c r="AL35" s="4">
        <v>0.0</v>
      </c>
      <c r="AM35" s="4">
        <v>0.0</v>
      </c>
      <c r="AN35" s="4">
        <v>0.0</v>
      </c>
      <c r="AO35" s="4">
        <v>0.0</v>
      </c>
    </row>
    <row r="36" ht="15.75" customHeight="1">
      <c r="A36" s="4">
        <v>0.0</v>
      </c>
      <c r="B36" s="4">
        <v>0.0</v>
      </c>
      <c r="C36" s="4">
        <v>0.0</v>
      </c>
      <c r="D36" s="4">
        <v>0.0</v>
      </c>
      <c r="E36" s="4">
        <v>0.0</v>
      </c>
      <c r="F36" s="4">
        <v>0.0</v>
      </c>
      <c r="G36" s="4">
        <v>0.0</v>
      </c>
      <c r="H36" s="4">
        <v>0.0</v>
      </c>
      <c r="I36" s="4">
        <v>0.0</v>
      </c>
      <c r="J36" s="4">
        <v>0.0</v>
      </c>
      <c r="K36" s="4">
        <v>0.0</v>
      </c>
      <c r="L36" s="4">
        <v>0.0</v>
      </c>
      <c r="M36" s="4">
        <v>0.0</v>
      </c>
      <c r="N36" s="4">
        <v>0.0</v>
      </c>
      <c r="O36" s="4">
        <v>0.0</v>
      </c>
      <c r="P36" s="4">
        <v>0.0</v>
      </c>
      <c r="Q36" s="4">
        <v>0.0</v>
      </c>
      <c r="R36" s="4">
        <v>0.0</v>
      </c>
      <c r="S36" s="4">
        <v>0.0</v>
      </c>
      <c r="T36" s="4">
        <v>0.0</v>
      </c>
      <c r="U36" s="4">
        <v>0.0</v>
      </c>
      <c r="V36" s="4">
        <v>0.0</v>
      </c>
      <c r="W36" s="4">
        <v>0.0</v>
      </c>
      <c r="X36" s="4">
        <v>0.0</v>
      </c>
      <c r="Y36" s="4">
        <v>0.0</v>
      </c>
      <c r="Z36" s="4">
        <v>0.0</v>
      </c>
      <c r="AA36" s="4">
        <v>0.0</v>
      </c>
      <c r="AB36" s="4">
        <v>9.546104856925603E-10</v>
      </c>
      <c r="AC36" s="4">
        <v>1.3316667623264556E-6</v>
      </c>
      <c r="AD36" s="4">
        <v>4.0728015386583044E-4</v>
      </c>
      <c r="AE36" s="4">
        <v>0.02747096465634479</v>
      </c>
      <c r="AF36" s="4">
        <v>0.32118517243196076</v>
      </c>
      <c r="AG36" s="4">
        <v>0.6509355356125838</v>
      </c>
      <c r="AH36" s="4">
        <v>0.0</v>
      </c>
      <c r="AI36" s="4">
        <v>0.0</v>
      </c>
      <c r="AJ36" s="4">
        <v>0.0</v>
      </c>
      <c r="AK36" s="4">
        <v>0.0</v>
      </c>
      <c r="AL36" s="4">
        <v>0.0</v>
      </c>
      <c r="AM36" s="4">
        <v>0.0</v>
      </c>
      <c r="AN36" s="4">
        <v>0.0</v>
      </c>
      <c r="AO36" s="4">
        <v>0.0</v>
      </c>
    </row>
    <row r="37" ht="15.75" customHeight="1">
      <c r="A37" s="4">
        <v>0.0</v>
      </c>
      <c r="B37" s="4">
        <v>0.0</v>
      </c>
      <c r="C37" s="4">
        <v>0.0</v>
      </c>
      <c r="D37" s="4">
        <v>0.0</v>
      </c>
      <c r="E37" s="4">
        <v>0.0</v>
      </c>
      <c r="F37" s="4">
        <v>0.0</v>
      </c>
      <c r="G37" s="4">
        <v>0.0</v>
      </c>
      <c r="H37" s="4">
        <v>0.0</v>
      </c>
      <c r="I37" s="4">
        <v>0.0</v>
      </c>
      <c r="J37" s="4">
        <v>0.0</v>
      </c>
      <c r="K37" s="4">
        <v>0.0</v>
      </c>
      <c r="L37" s="4">
        <v>0.0</v>
      </c>
      <c r="M37" s="4">
        <v>0.0</v>
      </c>
      <c r="N37" s="4">
        <v>0.0</v>
      </c>
      <c r="O37" s="4">
        <v>0.0</v>
      </c>
      <c r="P37" s="4">
        <v>0.0</v>
      </c>
      <c r="Q37" s="4">
        <v>0.0</v>
      </c>
      <c r="R37" s="4">
        <v>0.0</v>
      </c>
      <c r="S37" s="4">
        <v>0.0</v>
      </c>
      <c r="T37" s="4">
        <v>0.0</v>
      </c>
      <c r="U37" s="4">
        <v>0.0</v>
      </c>
      <c r="V37" s="4">
        <v>0.0</v>
      </c>
      <c r="W37" s="4">
        <v>0.0</v>
      </c>
      <c r="X37" s="4">
        <v>0.0</v>
      </c>
      <c r="Y37" s="4">
        <v>0.0</v>
      </c>
      <c r="Z37" s="4">
        <v>0.0</v>
      </c>
      <c r="AA37" s="4">
        <v>0.0</v>
      </c>
      <c r="AB37" s="4">
        <v>0.0</v>
      </c>
      <c r="AC37" s="4">
        <v>6.341099116454581E-10</v>
      </c>
      <c r="AD37" s="4">
        <v>1.0466789779083405E-6</v>
      </c>
      <c r="AE37" s="4">
        <v>4.0728015386583044E-4</v>
      </c>
      <c r="AF37" s="4">
        <v>0.02747096465634479</v>
      </c>
      <c r="AG37" s="4">
        <v>0.32118517243196076</v>
      </c>
      <c r="AH37" s="4">
        <v>0.6509355356125838</v>
      </c>
      <c r="AI37" s="4">
        <v>0.0</v>
      </c>
      <c r="AJ37" s="4">
        <v>0.0</v>
      </c>
      <c r="AK37" s="4">
        <v>0.0</v>
      </c>
      <c r="AL37" s="4">
        <v>0.0</v>
      </c>
      <c r="AM37" s="4">
        <v>0.0</v>
      </c>
      <c r="AN37" s="4">
        <v>0.0</v>
      </c>
      <c r="AO37" s="4">
        <v>0.0</v>
      </c>
    </row>
    <row r="38" ht="15.75" customHeight="1">
      <c r="A38" s="4">
        <v>0.0</v>
      </c>
      <c r="B38" s="4">
        <v>0.0</v>
      </c>
      <c r="C38" s="4">
        <v>0.0</v>
      </c>
      <c r="D38" s="4">
        <v>0.0</v>
      </c>
      <c r="E38" s="4">
        <v>0.0</v>
      </c>
      <c r="F38" s="4">
        <v>0.0</v>
      </c>
      <c r="G38" s="4">
        <v>0.0</v>
      </c>
      <c r="H38" s="4">
        <v>0.0</v>
      </c>
      <c r="I38" s="4">
        <v>0.0</v>
      </c>
      <c r="J38" s="4">
        <v>0.0</v>
      </c>
      <c r="K38" s="4">
        <v>0.0</v>
      </c>
      <c r="L38" s="4">
        <v>0.0</v>
      </c>
      <c r="M38" s="4">
        <v>0.0</v>
      </c>
      <c r="N38" s="4">
        <v>0.0</v>
      </c>
      <c r="O38" s="4">
        <v>0.0</v>
      </c>
      <c r="P38" s="4">
        <v>0.0</v>
      </c>
      <c r="Q38" s="4">
        <v>0.0</v>
      </c>
      <c r="R38" s="4">
        <v>0.0</v>
      </c>
      <c r="S38" s="4">
        <v>0.0</v>
      </c>
      <c r="T38" s="4">
        <v>0.0</v>
      </c>
      <c r="U38" s="4">
        <v>0.0</v>
      </c>
      <c r="V38" s="4">
        <v>0.0</v>
      </c>
      <c r="W38" s="4">
        <v>0.0</v>
      </c>
      <c r="X38" s="4">
        <v>0.0</v>
      </c>
      <c r="Y38" s="4">
        <v>0.0</v>
      </c>
      <c r="Z38" s="4">
        <v>0.0</v>
      </c>
      <c r="AA38" s="4">
        <v>0.0</v>
      </c>
      <c r="AB38" s="4">
        <v>0.0</v>
      </c>
      <c r="AC38" s="4">
        <v>0.0</v>
      </c>
      <c r="AD38" s="4">
        <v>4.662669907389647E-10</v>
      </c>
      <c r="AE38" s="4">
        <v>1.0466789779083405E-6</v>
      </c>
      <c r="AF38" s="4">
        <v>4.0728015386583044E-4</v>
      </c>
      <c r="AG38" s="4">
        <v>0.02747096465634479</v>
      </c>
      <c r="AH38" s="4">
        <v>0.32118517243196076</v>
      </c>
      <c r="AI38" s="4">
        <v>0.6509355356125838</v>
      </c>
      <c r="AJ38" s="4">
        <v>0.0</v>
      </c>
      <c r="AK38" s="4">
        <v>0.0</v>
      </c>
      <c r="AL38" s="4">
        <v>0.0</v>
      </c>
      <c r="AM38" s="4">
        <v>0.0</v>
      </c>
      <c r="AN38" s="4">
        <v>0.0</v>
      </c>
      <c r="AO38" s="4">
        <v>0.0</v>
      </c>
    </row>
    <row r="39" ht="15.75" customHeight="1">
      <c r="A39" s="4">
        <v>0.0</v>
      </c>
      <c r="B39" s="4">
        <v>0.0</v>
      </c>
      <c r="C39" s="4">
        <v>0.0</v>
      </c>
      <c r="D39" s="4">
        <v>0.0</v>
      </c>
      <c r="E39" s="4">
        <v>0.0</v>
      </c>
      <c r="F39" s="4">
        <v>0.0</v>
      </c>
      <c r="G39" s="4">
        <v>0.0</v>
      </c>
      <c r="H39" s="4">
        <v>0.0</v>
      </c>
      <c r="I39" s="4">
        <v>0.0</v>
      </c>
      <c r="J39" s="4">
        <v>0.0</v>
      </c>
      <c r="K39" s="4">
        <v>0.0</v>
      </c>
      <c r="L39" s="4">
        <v>0.0</v>
      </c>
      <c r="M39" s="4">
        <v>0.0</v>
      </c>
      <c r="N39" s="4">
        <v>0.0</v>
      </c>
      <c r="O39" s="4">
        <v>0.0</v>
      </c>
      <c r="P39" s="4">
        <v>0.0</v>
      </c>
      <c r="Q39" s="4">
        <v>0.0</v>
      </c>
      <c r="R39" s="4">
        <v>0.0</v>
      </c>
      <c r="S39" s="4">
        <v>0.0</v>
      </c>
      <c r="T39" s="4">
        <v>0.0</v>
      </c>
      <c r="U39" s="4">
        <v>0.0</v>
      </c>
      <c r="V39" s="4">
        <v>0.0</v>
      </c>
      <c r="W39" s="4">
        <v>0.0</v>
      </c>
      <c r="X39" s="4">
        <v>0.0</v>
      </c>
      <c r="Y39" s="4">
        <v>0.0</v>
      </c>
      <c r="Z39" s="4">
        <v>0.0</v>
      </c>
      <c r="AA39" s="4">
        <v>0.0</v>
      </c>
      <c r="AB39" s="4">
        <v>0.0</v>
      </c>
      <c r="AC39" s="4">
        <v>0.0</v>
      </c>
      <c r="AD39" s="4">
        <v>0.0</v>
      </c>
      <c r="AE39" s="4">
        <v>4.662669907389647E-10</v>
      </c>
      <c r="AF39" s="4">
        <v>1.0466789779083405E-6</v>
      </c>
      <c r="AG39" s="4">
        <v>4.0728015386583044E-4</v>
      </c>
      <c r="AH39" s="4">
        <v>0.02747096465634479</v>
      </c>
      <c r="AI39" s="4">
        <v>0.32118517243196076</v>
      </c>
      <c r="AJ39" s="4">
        <v>0.6509355356125838</v>
      </c>
      <c r="AK39" s="4">
        <v>0.0</v>
      </c>
      <c r="AL39" s="4">
        <v>0.0</v>
      </c>
      <c r="AM39" s="4">
        <v>0.0</v>
      </c>
      <c r="AN39" s="4">
        <v>0.0</v>
      </c>
      <c r="AO39" s="4">
        <v>0.0</v>
      </c>
    </row>
    <row r="40" ht="15.75" customHeight="1">
      <c r="A40" s="4">
        <v>0.0</v>
      </c>
      <c r="B40" s="4">
        <v>0.0</v>
      </c>
      <c r="C40" s="4">
        <v>0.0</v>
      </c>
      <c r="D40" s="4">
        <v>0.0</v>
      </c>
      <c r="E40" s="4">
        <v>0.0</v>
      </c>
      <c r="F40" s="4">
        <v>0.0</v>
      </c>
      <c r="G40" s="4">
        <v>0.0</v>
      </c>
      <c r="H40" s="4">
        <v>0.0</v>
      </c>
      <c r="I40" s="4">
        <v>0.0</v>
      </c>
      <c r="J40" s="4">
        <v>0.0</v>
      </c>
      <c r="K40" s="4">
        <v>0.0</v>
      </c>
      <c r="L40" s="4">
        <v>0.0</v>
      </c>
      <c r="M40" s="4">
        <v>0.0</v>
      </c>
      <c r="N40" s="4">
        <v>0.0</v>
      </c>
      <c r="O40" s="4">
        <v>0.0</v>
      </c>
      <c r="P40" s="4">
        <v>0.0</v>
      </c>
      <c r="Q40" s="4">
        <v>0.0</v>
      </c>
      <c r="R40" s="4">
        <v>0.0</v>
      </c>
      <c r="S40" s="4">
        <v>0.0</v>
      </c>
      <c r="T40" s="4">
        <v>0.0</v>
      </c>
      <c r="U40" s="4">
        <v>0.0</v>
      </c>
      <c r="V40" s="4">
        <v>0.0</v>
      </c>
      <c r="W40" s="4">
        <v>0.0</v>
      </c>
      <c r="X40" s="4">
        <v>0.0</v>
      </c>
      <c r="Y40" s="4">
        <v>0.0</v>
      </c>
      <c r="Z40" s="4">
        <v>0.0</v>
      </c>
      <c r="AA40" s="4">
        <v>0.0</v>
      </c>
      <c r="AB40" s="4">
        <v>0.0</v>
      </c>
      <c r="AC40" s="4">
        <v>0.0</v>
      </c>
      <c r="AD40" s="4">
        <v>0.0</v>
      </c>
      <c r="AE40" s="4">
        <v>0.0</v>
      </c>
      <c r="AF40" s="4">
        <v>4.662669907389647E-10</v>
      </c>
      <c r="AG40" s="4">
        <v>1.0466789779083405E-6</v>
      </c>
      <c r="AH40" s="4">
        <v>4.0728015386583044E-4</v>
      </c>
      <c r="AI40" s="4">
        <v>0.02747096465634479</v>
      </c>
      <c r="AJ40" s="4">
        <v>0.32118517243196076</v>
      </c>
      <c r="AK40" s="4">
        <v>0.6509355356125838</v>
      </c>
      <c r="AL40" s="4">
        <v>0.0</v>
      </c>
      <c r="AM40" s="4">
        <v>0.0</v>
      </c>
      <c r="AN40" s="4">
        <v>0.0</v>
      </c>
      <c r="AO40" s="4">
        <v>0.0</v>
      </c>
    </row>
    <row r="41" ht="15.75" customHeight="1">
      <c r="A41" s="4">
        <v>0.0</v>
      </c>
      <c r="B41" s="4">
        <v>0.0</v>
      </c>
      <c r="C41" s="4">
        <v>0.0</v>
      </c>
      <c r="D41" s="4">
        <v>0.0</v>
      </c>
      <c r="E41" s="4">
        <v>0.0</v>
      </c>
      <c r="F41" s="4">
        <v>0.0</v>
      </c>
      <c r="G41" s="4">
        <v>0.0</v>
      </c>
      <c r="H41" s="4">
        <v>0.0</v>
      </c>
      <c r="I41" s="4">
        <v>0.0</v>
      </c>
      <c r="J41" s="4">
        <v>0.0</v>
      </c>
      <c r="K41" s="4">
        <v>0.0</v>
      </c>
      <c r="L41" s="4">
        <v>0.0</v>
      </c>
      <c r="M41" s="4">
        <v>0.0</v>
      </c>
      <c r="N41" s="4">
        <v>0.0</v>
      </c>
      <c r="O41" s="4">
        <v>0.0</v>
      </c>
      <c r="P41" s="4">
        <v>0.0</v>
      </c>
      <c r="Q41" s="4">
        <v>0.0</v>
      </c>
      <c r="R41" s="4">
        <v>0.0</v>
      </c>
      <c r="S41" s="4">
        <v>0.0</v>
      </c>
      <c r="T41" s="4">
        <v>0.0</v>
      </c>
      <c r="U41" s="4">
        <v>0.0</v>
      </c>
      <c r="V41" s="4">
        <v>0.0</v>
      </c>
      <c r="W41" s="4">
        <v>0.0</v>
      </c>
      <c r="X41" s="4">
        <v>0.0</v>
      </c>
      <c r="Y41" s="4">
        <v>0.0</v>
      </c>
      <c r="Z41" s="4">
        <v>0.0</v>
      </c>
      <c r="AA41" s="4">
        <v>0.0</v>
      </c>
      <c r="AB41" s="4">
        <v>0.0</v>
      </c>
      <c r="AC41" s="4">
        <v>0.0</v>
      </c>
      <c r="AD41" s="4">
        <v>0.0</v>
      </c>
      <c r="AE41" s="4">
        <v>0.0</v>
      </c>
      <c r="AF41" s="4">
        <v>0.0</v>
      </c>
      <c r="AG41" s="4">
        <v>4.662669907389647E-10</v>
      </c>
      <c r="AH41" s="4">
        <v>1.0466789779083405E-6</v>
      </c>
      <c r="AI41" s="4">
        <v>4.0728015386583044E-4</v>
      </c>
      <c r="AJ41" s="4">
        <v>0.02747096465634479</v>
      </c>
      <c r="AK41" s="4">
        <v>0.32118517243196076</v>
      </c>
      <c r="AL41" s="4">
        <v>0.6509355356125838</v>
      </c>
      <c r="AM41" s="4">
        <v>0.0</v>
      </c>
      <c r="AN41" s="4">
        <v>0.0</v>
      </c>
      <c r="AO41" s="4">
        <v>0.0</v>
      </c>
    </row>
    <row r="42" ht="15.75" customHeight="1">
      <c r="A42" s="4">
        <v>0.0</v>
      </c>
      <c r="B42" s="4">
        <v>0.0</v>
      </c>
      <c r="C42" s="4">
        <v>0.0</v>
      </c>
      <c r="D42" s="4">
        <v>0.0</v>
      </c>
      <c r="E42" s="4">
        <v>0.0</v>
      </c>
      <c r="F42" s="4">
        <v>0.0</v>
      </c>
      <c r="G42" s="4">
        <v>0.0</v>
      </c>
      <c r="H42" s="4">
        <v>0.0</v>
      </c>
      <c r="I42" s="4">
        <v>0.0</v>
      </c>
      <c r="J42" s="4">
        <v>0.0</v>
      </c>
      <c r="K42" s="4">
        <v>0.0</v>
      </c>
      <c r="L42" s="4">
        <v>0.0</v>
      </c>
      <c r="M42" s="4">
        <v>0.0</v>
      </c>
      <c r="N42" s="4">
        <v>0.0</v>
      </c>
      <c r="O42" s="4">
        <v>0.0</v>
      </c>
      <c r="P42" s="4">
        <v>0.0</v>
      </c>
      <c r="Q42" s="4">
        <v>0.0</v>
      </c>
      <c r="R42" s="4">
        <v>0.0</v>
      </c>
      <c r="S42" s="4">
        <v>0.0</v>
      </c>
      <c r="T42" s="4">
        <v>0.0</v>
      </c>
      <c r="U42" s="4">
        <v>0.0</v>
      </c>
      <c r="V42" s="4">
        <v>0.0</v>
      </c>
      <c r="W42" s="4">
        <v>0.0</v>
      </c>
      <c r="X42" s="4">
        <v>0.0</v>
      </c>
      <c r="Y42" s="4">
        <v>0.0</v>
      </c>
      <c r="Z42" s="4">
        <v>0.0</v>
      </c>
      <c r="AA42" s="4">
        <v>0.0</v>
      </c>
      <c r="AB42" s="4">
        <v>0.0</v>
      </c>
      <c r="AC42" s="4">
        <v>0.0</v>
      </c>
      <c r="AD42" s="4">
        <v>0.0</v>
      </c>
      <c r="AE42" s="4">
        <v>0.0</v>
      </c>
      <c r="AF42" s="4">
        <v>0.0</v>
      </c>
      <c r="AG42" s="4">
        <v>0.0</v>
      </c>
      <c r="AH42" s="4">
        <v>4.662669907389647E-10</v>
      </c>
      <c r="AI42" s="4">
        <v>1.0466789779083405E-6</v>
      </c>
      <c r="AJ42" s="4">
        <v>4.0728015386583044E-4</v>
      </c>
      <c r="AK42" s="4">
        <v>0.02747096465634479</v>
      </c>
      <c r="AL42" s="4">
        <v>0.32118517243196076</v>
      </c>
      <c r="AM42" s="4">
        <v>0.6509355356125838</v>
      </c>
      <c r="AN42" s="4">
        <v>0.0</v>
      </c>
      <c r="AO42" s="4">
        <v>0.0</v>
      </c>
    </row>
    <row r="43" ht="15.75" customHeight="1">
      <c r="A43" s="4">
        <v>0.0</v>
      </c>
      <c r="B43" s="4">
        <v>0.0</v>
      </c>
      <c r="C43" s="4">
        <v>0.0</v>
      </c>
      <c r="D43" s="4">
        <v>0.0</v>
      </c>
      <c r="E43" s="4">
        <v>0.0</v>
      </c>
      <c r="F43" s="4">
        <v>0.0</v>
      </c>
      <c r="G43" s="4">
        <v>0.0</v>
      </c>
      <c r="H43" s="4">
        <v>0.0</v>
      </c>
      <c r="I43" s="4">
        <v>0.0</v>
      </c>
      <c r="J43" s="4">
        <v>0.0</v>
      </c>
      <c r="K43" s="4">
        <v>0.0</v>
      </c>
      <c r="L43" s="4">
        <v>0.0</v>
      </c>
      <c r="M43" s="4">
        <v>0.0</v>
      </c>
      <c r="N43" s="4">
        <v>0.0</v>
      </c>
      <c r="O43" s="4">
        <v>0.0</v>
      </c>
      <c r="P43" s="4">
        <v>0.0</v>
      </c>
      <c r="Q43" s="4">
        <v>0.0</v>
      </c>
      <c r="R43" s="4">
        <v>0.0</v>
      </c>
      <c r="S43" s="4">
        <v>0.0</v>
      </c>
      <c r="T43" s="4">
        <v>0.0</v>
      </c>
      <c r="U43" s="4">
        <v>0.0</v>
      </c>
      <c r="V43" s="4">
        <v>0.0</v>
      </c>
      <c r="W43" s="4">
        <v>0.0</v>
      </c>
      <c r="X43" s="4">
        <v>0.0</v>
      </c>
      <c r="Y43" s="4">
        <v>0.0</v>
      </c>
      <c r="Z43" s="4">
        <v>0.0</v>
      </c>
      <c r="AA43" s="4">
        <v>0.0</v>
      </c>
      <c r="AB43" s="4">
        <v>0.0</v>
      </c>
      <c r="AC43" s="4">
        <v>0.0</v>
      </c>
      <c r="AD43" s="4">
        <v>0.0</v>
      </c>
      <c r="AE43" s="4">
        <v>0.0</v>
      </c>
      <c r="AF43" s="4">
        <v>0.0</v>
      </c>
      <c r="AG43" s="4">
        <v>0.0</v>
      </c>
      <c r="AH43" s="4">
        <v>0.0</v>
      </c>
      <c r="AI43" s="4">
        <v>4.662669907389647E-10</v>
      </c>
      <c r="AJ43" s="4">
        <v>1.0466789779083405E-6</v>
      </c>
      <c r="AK43" s="4">
        <v>4.0728015386583044E-4</v>
      </c>
      <c r="AL43" s="4">
        <v>0.02747096465634479</v>
      </c>
      <c r="AM43" s="4">
        <v>0.32118517243196076</v>
      </c>
      <c r="AN43" s="4">
        <v>0.6509355356125838</v>
      </c>
      <c r="AO43" s="4">
        <v>0.0</v>
      </c>
    </row>
    <row r="44" ht="15.75" customHeight="1">
      <c r="A44" s="4">
        <v>0.0</v>
      </c>
      <c r="B44" s="4">
        <v>0.0</v>
      </c>
      <c r="C44" s="4">
        <v>0.0</v>
      </c>
      <c r="D44" s="4">
        <v>0.0</v>
      </c>
      <c r="E44" s="4">
        <v>0.0</v>
      </c>
      <c r="F44" s="4">
        <v>0.0</v>
      </c>
      <c r="G44" s="4">
        <v>0.0</v>
      </c>
      <c r="H44" s="4">
        <v>0.0</v>
      </c>
      <c r="I44" s="4">
        <v>0.0</v>
      </c>
      <c r="J44" s="4">
        <v>0.0</v>
      </c>
      <c r="K44" s="4">
        <v>0.0</v>
      </c>
      <c r="L44" s="4">
        <v>0.0</v>
      </c>
      <c r="M44" s="4">
        <v>0.0</v>
      </c>
      <c r="N44" s="4">
        <v>0.0</v>
      </c>
      <c r="O44" s="4">
        <v>0.0</v>
      </c>
      <c r="P44" s="4">
        <v>0.0</v>
      </c>
      <c r="Q44" s="4">
        <v>0.0</v>
      </c>
      <c r="R44" s="4">
        <v>0.0</v>
      </c>
      <c r="S44" s="4">
        <v>0.0</v>
      </c>
      <c r="T44" s="4">
        <v>0.0</v>
      </c>
      <c r="U44" s="4">
        <v>0.0</v>
      </c>
      <c r="V44" s="4">
        <v>0.0</v>
      </c>
      <c r="W44" s="4">
        <v>0.0</v>
      </c>
      <c r="X44" s="4">
        <v>0.0</v>
      </c>
      <c r="Y44" s="4">
        <v>0.0</v>
      </c>
      <c r="Z44" s="4">
        <v>0.0</v>
      </c>
      <c r="AA44" s="4">
        <v>0.0</v>
      </c>
      <c r="AB44" s="4">
        <v>0.0</v>
      </c>
      <c r="AC44" s="4">
        <v>0.0</v>
      </c>
      <c r="AD44" s="4">
        <v>0.0</v>
      </c>
      <c r="AE44" s="4">
        <v>0.0</v>
      </c>
      <c r="AF44" s="4">
        <v>0.0</v>
      </c>
      <c r="AG44" s="4">
        <v>0.0</v>
      </c>
      <c r="AH44" s="4">
        <v>0.0</v>
      </c>
      <c r="AI44" s="4">
        <v>0.0</v>
      </c>
      <c r="AJ44" s="4">
        <v>4.662669139676723E-10</v>
      </c>
      <c r="AK44" s="4">
        <v>1.0471452448479468E-6</v>
      </c>
      <c r="AL44" s="4">
        <v>4.083272991106668E-4</v>
      </c>
      <c r="AM44" s="4">
        <v>0.027879291955455465</v>
      </c>
      <c r="AN44" s="4">
        <v>0.34906446438741623</v>
      </c>
      <c r="AO44" s="4">
        <v>1.0</v>
      </c>
    </row>
    <row r="45" ht="15.75" customHeight="1"/>
    <row r="46" ht="15.75" customHeight="1">
      <c r="A46" s="4" t="s">
        <v>143</v>
      </c>
    </row>
    <row r="47" ht="15.75" customHeight="1">
      <c r="A47" s="4">
        <v>0.15307271504047792</v>
      </c>
      <c r="B47" s="4">
        <v>0.0</v>
      </c>
      <c r="C47" s="4">
        <v>0.0</v>
      </c>
      <c r="D47" s="4">
        <v>0.0</v>
      </c>
      <c r="E47" s="4">
        <v>0.0</v>
      </c>
      <c r="F47" s="4">
        <v>0.0</v>
      </c>
      <c r="G47" s="4">
        <v>0.0</v>
      </c>
      <c r="H47" s="4">
        <v>0.0</v>
      </c>
      <c r="I47" s="4">
        <v>0.0</v>
      </c>
      <c r="J47" s="4">
        <v>0.0</v>
      </c>
      <c r="K47" s="4">
        <v>0.0</v>
      </c>
      <c r="L47" s="4">
        <v>0.0</v>
      </c>
      <c r="M47" s="4">
        <v>0.0</v>
      </c>
      <c r="N47" s="4">
        <v>0.0</v>
      </c>
      <c r="O47" s="4">
        <v>0.0</v>
      </c>
      <c r="P47" s="4">
        <v>0.0</v>
      </c>
      <c r="Q47" s="4">
        <v>0.0</v>
      </c>
      <c r="R47" s="4">
        <v>0.0</v>
      </c>
      <c r="S47" s="4">
        <v>0.0</v>
      </c>
      <c r="T47" s="4">
        <v>0.0</v>
      </c>
      <c r="U47" s="4">
        <v>0.0</v>
      </c>
      <c r="V47" s="4">
        <v>0.0</v>
      </c>
      <c r="W47" s="4">
        <v>0.0</v>
      </c>
      <c r="X47" s="4">
        <v>0.0</v>
      </c>
      <c r="Y47" s="4">
        <v>0.0</v>
      </c>
      <c r="Z47" s="4">
        <v>0.0</v>
      </c>
      <c r="AA47" s="4">
        <v>0.0</v>
      </c>
      <c r="AB47" s="4">
        <v>0.0</v>
      </c>
      <c r="AC47" s="4">
        <v>0.0</v>
      </c>
      <c r="AD47" s="4">
        <v>0.0</v>
      </c>
      <c r="AE47" s="4">
        <v>0.0</v>
      </c>
      <c r="AF47" s="4">
        <v>0.0</v>
      </c>
      <c r="AG47" s="4">
        <v>0.0</v>
      </c>
      <c r="AH47" s="4">
        <v>0.0</v>
      </c>
      <c r="AI47" s="4">
        <v>0.0</v>
      </c>
      <c r="AJ47" s="4">
        <v>0.0</v>
      </c>
      <c r="AK47" s="4">
        <v>0.0</v>
      </c>
      <c r="AL47" s="4">
        <v>0.0</v>
      </c>
      <c r="AM47" s="4">
        <v>0.0</v>
      </c>
      <c r="AN47" s="4">
        <v>0.0</v>
      </c>
      <c r="AO47" s="4">
        <v>0.0</v>
      </c>
    </row>
    <row r="48" ht="15.75" customHeight="1">
      <c r="A48" s="4">
        <v>0.1994809634039233</v>
      </c>
      <c r="B48" s="4">
        <v>0.1530727150929184</v>
      </c>
      <c r="C48" s="4">
        <v>0.0</v>
      </c>
      <c r="D48" s="4">
        <v>0.0</v>
      </c>
      <c r="E48" s="4">
        <v>0.0</v>
      </c>
      <c r="F48" s="4">
        <v>0.0</v>
      </c>
      <c r="G48" s="4">
        <v>0.0</v>
      </c>
      <c r="H48" s="4">
        <v>0.0</v>
      </c>
      <c r="I48" s="4">
        <v>0.0</v>
      </c>
      <c r="J48" s="4">
        <v>0.0</v>
      </c>
      <c r="K48" s="4">
        <v>0.0</v>
      </c>
      <c r="L48" s="4">
        <v>0.0</v>
      </c>
      <c r="M48" s="4">
        <v>0.0</v>
      </c>
      <c r="N48" s="4">
        <v>0.0</v>
      </c>
      <c r="O48" s="4">
        <v>0.0</v>
      </c>
      <c r="P48" s="4">
        <v>0.0</v>
      </c>
      <c r="Q48" s="4">
        <v>0.0</v>
      </c>
      <c r="R48" s="4">
        <v>0.0</v>
      </c>
      <c r="S48" s="4">
        <v>0.0</v>
      </c>
      <c r="T48" s="4">
        <v>0.0</v>
      </c>
      <c r="U48" s="4">
        <v>0.0</v>
      </c>
      <c r="V48" s="4">
        <v>0.0</v>
      </c>
      <c r="W48" s="4">
        <v>0.0</v>
      </c>
      <c r="X48" s="4">
        <v>0.0</v>
      </c>
      <c r="Y48" s="4">
        <v>0.0</v>
      </c>
      <c r="Z48" s="4">
        <v>0.0</v>
      </c>
      <c r="AA48" s="4">
        <v>0.0</v>
      </c>
      <c r="AB48" s="4">
        <v>0.0</v>
      </c>
      <c r="AC48" s="4">
        <v>0.0</v>
      </c>
      <c r="AD48" s="4">
        <v>0.0</v>
      </c>
      <c r="AE48" s="4">
        <v>0.0</v>
      </c>
      <c r="AF48" s="4">
        <v>0.0</v>
      </c>
      <c r="AG48" s="4">
        <v>0.0</v>
      </c>
      <c r="AH48" s="4">
        <v>0.0</v>
      </c>
      <c r="AI48" s="4">
        <v>0.0</v>
      </c>
      <c r="AJ48" s="4">
        <v>0.0</v>
      </c>
      <c r="AK48" s="4">
        <v>0.0</v>
      </c>
      <c r="AL48" s="4">
        <v>0.0</v>
      </c>
      <c r="AM48" s="4">
        <v>0.0</v>
      </c>
      <c r="AN48" s="4">
        <v>0.0</v>
      </c>
      <c r="AO48" s="4">
        <v>0.0</v>
      </c>
    </row>
    <row r="49" ht="15.75" customHeight="1">
      <c r="A49" s="4">
        <v>0.21152541059593205</v>
      </c>
      <c r="B49" s="4">
        <v>0.1994809634436186</v>
      </c>
      <c r="C49" s="4">
        <v>0.15307271524709687</v>
      </c>
      <c r="D49" s="4">
        <v>0.0</v>
      </c>
      <c r="E49" s="4">
        <v>0.0</v>
      </c>
      <c r="F49" s="4">
        <v>0.0</v>
      </c>
      <c r="G49" s="4">
        <v>0.0</v>
      </c>
      <c r="H49" s="4">
        <v>0.0</v>
      </c>
      <c r="I49" s="4">
        <v>0.0</v>
      </c>
      <c r="J49" s="4">
        <v>0.0</v>
      </c>
      <c r="K49" s="4">
        <v>0.0</v>
      </c>
      <c r="L49" s="4">
        <v>0.0</v>
      </c>
      <c r="M49" s="4">
        <v>0.0</v>
      </c>
      <c r="N49" s="4">
        <v>0.0</v>
      </c>
      <c r="O49" s="4">
        <v>0.0</v>
      </c>
      <c r="P49" s="4">
        <v>0.0</v>
      </c>
      <c r="Q49" s="4">
        <v>0.0</v>
      </c>
      <c r="R49" s="4">
        <v>0.0</v>
      </c>
      <c r="S49" s="4">
        <v>0.0</v>
      </c>
      <c r="T49" s="4">
        <v>0.0</v>
      </c>
      <c r="U49" s="4">
        <v>0.0</v>
      </c>
      <c r="V49" s="4">
        <v>0.0</v>
      </c>
      <c r="W49" s="4">
        <v>0.0</v>
      </c>
      <c r="X49" s="4">
        <v>0.0</v>
      </c>
      <c r="Y49" s="4">
        <v>0.0</v>
      </c>
      <c r="Z49" s="4">
        <v>0.0</v>
      </c>
      <c r="AA49" s="4">
        <v>0.0</v>
      </c>
      <c r="AB49" s="4">
        <v>0.0</v>
      </c>
      <c r="AC49" s="4">
        <v>0.0</v>
      </c>
      <c r="AD49" s="4">
        <v>0.0</v>
      </c>
      <c r="AE49" s="4">
        <v>0.0</v>
      </c>
      <c r="AF49" s="4">
        <v>0.0</v>
      </c>
      <c r="AG49" s="4">
        <v>0.0</v>
      </c>
      <c r="AH49" s="4">
        <v>0.0</v>
      </c>
      <c r="AI49" s="4">
        <v>0.0</v>
      </c>
      <c r="AJ49" s="4">
        <v>0.0</v>
      </c>
      <c r="AK49" s="4">
        <v>0.0</v>
      </c>
      <c r="AL49" s="4">
        <v>0.0</v>
      </c>
      <c r="AM49" s="4">
        <v>0.0</v>
      </c>
      <c r="AN49" s="4">
        <v>0.0</v>
      </c>
      <c r="AO49" s="4">
        <v>0.0</v>
      </c>
    </row>
    <row r="50" ht="15.75" customHeight="1">
      <c r="A50" s="4">
        <v>0.18250764220815685</v>
      </c>
      <c r="B50" s="4">
        <v>0.21152541060765206</v>
      </c>
      <c r="C50" s="4">
        <v>0.1994809635603259</v>
      </c>
      <c r="D50" s="4">
        <v>0.153072715700392</v>
      </c>
      <c r="E50" s="4">
        <v>0.0</v>
      </c>
      <c r="F50" s="4">
        <v>0.0</v>
      </c>
      <c r="G50" s="4">
        <v>0.0</v>
      </c>
      <c r="H50" s="4">
        <v>0.0</v>
      </c>
      <c r="I50" s="4">
        <v>0.0</v>
      </c>
      <c r="J50" s="4">
        <v>0.0</v>
      </c>
      <c r="K50" s="4">
        <v>0.0</v>
      </c>
      <c r="L50" s="4">
        <v>0.0</v>
      </c>
      <c r="M50" s="4">
        <v>0.0</v>
      </c>
      <c r="N50" s="4">
        <v>0.0</v>
      </c>
      <c r="O50" s="4">
        <v>0.0</v>
      </c>
      <c r="P50" s="4">
        <v>0.0</v>
      </c>
      <c r="Q50" s="4">
        <v>0.0</v>
      </c>
      <c r="R50" s="4">
        <v>0.0</v>
      </c>
      <c r="S50" s="4">
        <v>0.0</v>
      </c>
      <c r="T50" s="4">
        <v>0.0</v>
      </c>
      <c r="U50" s="4">
        <v>0.0</v>
      </c>
      <c r="V50" s="4">
        <v>0.0</v>
      </c>
      <c r="W50" s="4">
        <v>0.0</v>
      </c>
      <c r="X50" s="4">
        <v>0.0</v>
      </c>
      <c r="Y50" s="4">
        <v>0.0</v>
      </c>
      <c r="Z50" s="4">
        <v>0.0</v>
      </c>
      <c r="AA50" s="4">
        <v>0.0</v>
      </c>
      <c r="AB50" s="4">
        <v>0.0</v>
      </c>
      <c r="AC50" s="4">
        <v>0.0</v>
      </c>
      <c r="AD50" s="4">
        <v>0.0</v>
      </c>
      <c r="AE50" s="4">
        <v>0.0</v>
      </c>
      <c r="AF50" s="4">
        <v>0.0</v>
      </c>
      <c r="AG50" s="4">
        <v>0.0</v>
      </c>
      <c r="AH50" s="4">
        <v>0.0</v>
      </c>
      <c r="AI50" s="4">
        <v>0.0</v>
      </c>
      <c r="AJ50" s="4">
        <v>0.0</v>
      </c>
      <c r="AK50" s="4">
        <v>0.0</v>
      </c>
      <c r="AL50" s="4">
        <v>0.0</v>
      </c>
      <c r="AM50" s="4">
        <v>0.0</v>
      </c>
      <c r="AN50" s="4">
        <v>0.0</v>
      </c>
      <c r="AO50" s="4">
        <v>0.0</v>
      </c>
    </row>
    <row r="51" ht="15.75" customHeight="1">
      <c r="A51" s="4">
        <v>0.12813181570527035</v>
      </c>
      <c r="B51" s="4">
        <v>0.18250764219206145</v>
      </c>
      <c r="C51" s="4">
        <v>0.21152541064210784</v>
      </c>
      <c r="D51" s="4">
        <v>0.19948096390345563</v>
      </c>
      <c r="E51" s="4">
        <v>0.15307271703311062</v>
      </c>
      <c r="F51" s="4">
        <v>0.0</v>
      </c>
      <c r="G51" s="4">
        <v>0.0</v>
      </c>
      <c r="H51" s="4">
        <v>0.0</v>
      </c>
      <c r="I51" s="4">
        <v>0.0</v>
      </c>
      <c r="J51" s="4">
        <v>0.0</v>
      </c>
      <c r="K51" s="4">
        <v>0.0</v>
      </c>
      <c r="L51" s="4">
        <v>0.0</v>
      </c>
      <c r="M51" s="4">
        <v>0.0</v>
      </c>
      <c r="N51" s="4">
        <v>0.0</v>
      </c>
      <c r="O51" s="4">
        <v>0.0</v>
      </c>
      <c r="P51" s="4">
        <v>0.0</v>
      </c>
      <c r="Q51" s="4">
        <v>0.0</v>
      </c>
      <c r="R51" s="4">
        <v>0.0</v>
      </c>
      <c r="S51" s="4">
        <v>0.0</v>
      </c>
      <c r="T51" s="4">
        <v>0.0</v>
      </c>
      <c r="U51" s="4">
        <v>0.0</v>
      </c>
      <c r="V51" s="4">
        <v>0.0</v>
      </c>
      <c r="W51" s="4">
        <v>0.0</v>
      </c>
      <c r="X51" s="4">
        <v>0.0</v>
      </c>
      <c r="Y51" s="4">
        <v>0.0</v>
      </c>
      <c r="Z51" s="4">
        <v>0.0</v>
      </c>
      <c r="AA51" s="4">
        <v>0.0</v>
      </c>
      <c r="AB51" s="4">
        <v>0.0</v>
      </c>
      <c r="AC51" s="4">
        <v>0.0</v>
      </c>
      <c r="AD51" s="4">
        <v>0.0</v>
      </c>
      <c r="AE51" s="4">
        <v>0.0</v>
      </c>
      <c r="AF51" s="4">
        <v>0.0</v>
      </c>
      <c r="AG51" s="4">
        <v>0.0</v>
      </c>
      <c r="AH51" s="4">
        <v>0.0</v>
      </c>
      <c r="AI51" s="4">
        <v>0.0</v>
      </c>
      <c r="AJ51" s="4">
        <v>0.0</v>
      </c>
      <c r="AK51" s="4">
        <v>0.0</v>
      </c>
      <c r="AL51" s="4">
        <v>0.0</v>
      </c>
      <c r="AM51" s="4">
        <v>0.0</v>
      </c>
      <c r="AN51" s="4">
        <v>0.0</v>
      </c>
      <c r="AO51" s="4">
        <v>0.0</v>
      </c>
    </row>
    <row r="52" ht="15.75" customHeight="1">
      <c r="A52" s="4">
        <v>0.07319650155297555</v>
      </c>
      <c r="B52" s="4">
        <v>0.1281318156755723</v>
      </c>
      <c r="C52" s="4">
        <v>0.1825076421447424</v>
      </c>
      <c r="D52" s="4">
        <v>0.21152541074340905</v>
      </c>
      <c r="E52" s="4">
        <v>0.19948096491227754</v>
      </c>
      <c r="F52" s="4">
        <v>0.15307272095139335</v>
      </c>
      <c r="G52" s="4">
        <v>0.0</v>
      </c>
      <c r="H52" s="4">
        <v>0.0</v>
      </c>
      <c r="I52" s="4">
        <v>0.0</v>
      </c>
      <c r="J52" s="4">
        <v>0.0</v>
      </c>
      <c r="K52" s="4">
        <v>0.0</v>
      </c>
      <c r="L52" s="4">
        <v>0.0</v>
      </c>
      <c r="M52" s="4">
        <v>0.0</v>
      </c>
      <c r="N52" s="4">
        <v>0.0</v>
      </c>
      <c r="O52" s="4">
        <v>0.0</v>
      </c>
      <c r="P52" s="4">
        <v>0.0</v>
      </c>
      <c r="Q52" s="4">
        <v>0.0</v>
      </c>
      <c r="R52" s="4">
        <v>0.0</v>
      </c>
      <c r="S52" s="4">
        <v>0.0</v>
      </c>
      <c r="T52" s="4">
        <v>0.0</v>
      </c>
      <c r="U52" s="4">
        <v>0.0</v>
      </c>
      <c r="V52" s="4">
        <v>0.0</v>
      </c>
      <c r="W52" s="4">
        <v>0.0</v>
      </c>
      <c r="X52" s="4">
        <v>0.0</v>
      </c>
      <c r="Y52" s="4">
        <v>0.0</v>
      </c>
      <c r="Z52" s="4">
        <v>0.0</v>
      </c>
      <c r="AA52" s="4">
        <v>0.0</v>
      </c>
      <c r="AB52" s="4">
        <v>0.0</v>
      </c>
      <c r="AC52" s="4">
        <v>0.0</v>
      </c>
      <c r="AD52" s="4">
        <v>0.0</v>
      </c>
      <c r="AE52" s="4">
        <v>0.0</v>
      </c>
      <c r="AF52" s="4">
        <v>0.0</v>
      </c>
      <c r="AG52" s="4">
        <v>0.0</v>
      </c>
      <c r="AH52" s="4">
        <v>0.0</v>
      </c>
      <c r="AI52" s="4">
        <v>0.0</v>
      </c>
      <c r="AJ52" s="4">
        <v>0.0</v>
      </c>
      <c r="AK52" s="4">
        <v>0.0</v>
      </c>
      <c r="AL52" s="4">
        <v>0.0</v>
      </c>
      <c r="AM52" s="4">
        <v>0.0</v>
      </c>
      <c r="AN52" s="4">
        <v>0.0</v>
      </c>
      <c r="AO52" s="4">
        <v>0.0</v>
      </c>
    </row>
    <row r="53" ht="15.75" customHeight="1">
      <c r="A53" s="4">
        <v>0.0340236644272932</v>
      </c>
      <c r="B53" s="4">
        <v>0.07319650152549999</v>
      </c>
      <c r="C53" s="4">
        <v>0.12813181558825784</v>
      </c>
      <c r="D53" s="4">
        <v>0.18250764200561834</v>
      </c>
      <c r="E53" s="4">
        <v>0.2115254110412429</v>
      </c>
      <c r="F53" s="4">
        <v>0.1994809678782833</v>
      </c>
      <c r="G53" s="4">
        <v>0.15307273247141556</v>
      </c>
      <c r="H53" s="4">
        <v>0.0</v>
      </c>
      <c r="I53" s="4">
        <v>0.0</v>
      </c>
      <c r="J53" s="4">
        <v>0.0</v>
      </c>
      <c r="K53" s="4">
        <v>0.0</v>
      </c>
      <c r="L53" s="4">
        <v>0.0</v>
      </c>
      <c r="M53" s="4">
        <v>0.0</v>
      </c>
      <c r="N53" s="4">
        <v>0.0</v>
      </c>
      <c r="O53" s="4">
        <v>0.0</v>
      </c>
      <c r="P53" s="4">
        <v>0.0</v>
      </c>
      <c r="Q53" s="4">
        <v>0.0</v>
      </c>
      <c r="R53" s="4">
        <v>0.0</v>
      </c>
      <c r="S53" s="4">
        <v>0.0</v>
      </c>
      <c r="T53" s="4">
        <v>0.0</v>
      </c>
      <c r="U53" s="4">
        <v>0.0</v>
      </c>
      <c r="V53" s="4">
        <v>0.0</v>
      </c>
      <c r="W53" s="4">
        <v>0.0</v>
      </c>
      <c r="X53" s="4">
        <v>0.0</v>
      </c>
      <c r="Y53" s="4">
        <v>0.0</v>
      </c>
      <c r="Z53" s="4">
        <v>0.0</v>
      </c>
      <c r="AA53" s="4">
        <v>0.0</v>
      </c>
      <c r="AB53" s="4">
        <v>0.0</v>
      </c>
      <c r="AC53" s="4">
        <v>0.0</v>
      </c>
      <c r="AD53" s="4">
        <v>0.0</v>
      </c>
      <c r="AE53" s="4">
        <v>0.0</v>
      </c>
      <c r="AF53" s="4">
        <v>0.0</v>
      </c>
      <c r="AG53" s="4">
        <v>0.0</v>
      </c>
      <c r="AH53" s="4">
        <v>0.0</v>
      </c>
      <c r="AI53" s="4">
        <v>0.0</v>
      </c>
      <c r="AJ53" s="4">
        <v>0.0</v>
      </c>
      <c r="AK53" s="4">
        <v>0.0</v>
      </c>
      <c r="AL53" s="4">
        <v>0.0</v>
      </c>
      <c r="AM53" s="4">
        <v>0.0</v>
      </c>
      <c r="AN53" s="4">
        <v>0.0</v>
      </c>
      <c r="AO53" s="4">
        <v>0.0</v>
      </c>
    </row>
    <row r="54" ht="15.75" customHeight="1">
      <c r="A54" s="4">
        <v>0.012868539689936006</v>
      </c>
      <c r="B54" s="4">
        <v>0.03402366440963644</v>
      </c>
      <c r="C54" s="4">
        <v>0.07319650144471958</v>
      </c>
      <c r="D54" s="4">
        <v>0.12813181533154785</v>
      </c>
      <c r="E54" s="4">
        <v>0.18250764159658728</v>
      </c>
      <c r="F54" s="4">
        <v>0.2115254119168953</v>
      </c>
      <c r="G54" s="4">
        <v>0.19948097659854347</v>
      </c>
      <c r="H54" s="4">
        <v>0.15307276634107997</v>
      </c>
      <c r="I54" s="4">
        <v>0.0</v>
      </c>
      <c r="J54" s="4">
        <v>0.0</v>
      </c>
      <c r="K54" s="4">
        <v>0.0</v>
      </c>
      <c r="L54" s="4">
        <v>0.0</v>
      </c>
      <c r="M54" s="4">
        <v>0.0</v>
      </c>
      <c r="N54" s="4">
        <v>0.0</v>
      </c>
      <c r="O54" s="4">
        <v>0.0</v>
      </c>
      <c r="P54" s="4">
        <v>0.0</v>
      </c>
      <c r="Q54" s="4">
        <v>0.0</v>
      </c>
      <c r="R54" s="4">
        <v>0.0</v>
      </c>
      <c r="S54" s="4">
        <v>0.0</v>
      </c>
      <c r="T54" s="4">
        <v>0.0</v>
      </c>
      <c r="U54" s="4">
        <v>0.0</v>
      </c>
      <c r="V54" s="4">
        <v>0.0</v>
      </c>
      <c r="W54" s="4">
        <v>0.0</v>
      </c>
      <c r="X54" s="4">
        <v>0.0</v>
      </c>
      <c r="Y54" s="4">
        <v>0.0</v>
      </c>
      <c r="Z54" s="4">
        <v>0.0</v>
      </c>
      <c r="AA54" s="4">
        <v>0.0</v>
      </c>
      <c r="AB54" s="4">
        <v>0.0</v>
      </c>
      <c r="AC54" s="4">
        <v>0.0</v>
      </c>
      <c r="AD54" s="4">
        <v>0.0</v>
      </c>
      <c r="AE54" s="4">
        <v>0.0</v>
      </c>
      <c r="AF54" s="4">
        <v>0.0</v>
      </c>
      <c r="AG54" s="4">
        <v>0.0</v>
      </c>
      <c r="AH54" s="4">
        <v>0.0</v>
      </c>
      <c r="AI54" s="4">
        <v>0.0</v>
      </c>
      <c r="AJ54" s="4">
        <v>0.0</v>
      </c>
      <c r="AK54" s="4">
        <v>0.0</v>
      </c>
      <c r="AL54" s="4">
        <v>0.0</v>
      </c>
      <c r="AM54" s="4">
        <v>0.0</v>
      </c>
      <c r="AN54" s="4">
        <v>0.0</v>
      </c>
      <c r="AO54" s="4">
        <v>0.0</v>
      </c>
    </row>
    <row r="55" ht="15.75" customHeight="1">
      <c r="A55" s="4">
        <v>0.0039603618148931225</v>
      </c>
      <c r="B55" s="4">
        <v>0.012868539681409958</v>
      </c>
      <c r="C55" s="4">
        <v>0.03402366435772384</v>
      </c>
      <c r="D55" s="4">
        <v>0.07319650120722039</v>
      </c>
      <c r="E55" s="4">
        <v>0.12813181457680217</v>
      </c>
      <c r="F55" s="4">
        <v>0.18250764039400674</v>
      </c>
      <c r="G55" s="4">
        <v>0.2115254144913721</v>
      </c>
      <c r="H55" s="4">
        <v>0.19948100223671036</v>
      </c>
      <c r="I55" s="4">
        <v>0.15307286592036362</v>
      </c>
      <c r="J55" s="4">
        <v>0.0</v>
      </c>
      <c r="K55" s="4">
        <v>0.0</v>
      </c>
      <c r="L55" s="4">
        <v>0.0</v>
      </c>
      <c r="M55" s="4">
        <v>0.0</v>
      </c>
      <c r="N55" s="4">
        <v>0.0</v>
      </c>
      <c r="O55" s="4">
        <v>0.0</v>
      </c>
      <c r="P55" s="4">
        <v>0.0</v>
      </c>
      <c r="Q55" s="4">
        <v>0.0</v>
      </c>
      <c r="R55" s="4">
        <v>0.0</v>
      </c>
      <c r="S55" s="4">
        <v>0.0</v>
      </c>
      <c r="T55" s="4">
        <v>0.0</v>
      </c>
      <c r="U55" s="4">
        <v>0.0</v>
      </c>
      <c r="V55" s="4">
        <v>0.0</v>
      </c>
      <c r="W55" s="4">
        <v>0.0</v>
      </c>
      <c r="X55" s="4">
        <v>0.0</v>
      </c>
      <c r="Y55" s="4">
        <v>0.0</v>
      </c>
      <c r="Z55" s="4">
        <v>0.0</v>
      </c>
      <c r="AA55" s="4">
        <v>0.0</v>
      </c>
      <c r="AB55" s="4">
        <v>0.0</v>
      </c>
      <c r="AC55" s="4">
        <v>0.0</v>
      </c>
      <c r="AD55" s="4">
        <v>0.0</v>
      </c>
      <c r="AE55" s="4">
        <v>0.0</v>
      </c>
      <c r="AF55" s="4">
        <v>0.0</v>
      </c>
      <c r="AG55" s="4">
        <v>0.0</v>
      </c>
      <c r="AH55" s="4">
        <v>0.0</v>
      </c>
      <c r="AI55" s="4">
        <v>0.0</v>
      </c>
      <c r="AJ55" s="4">
        <v>0.0</v>
      </c>
      <c r="AK55" s="4">
        <v>0.0</v>
      </c>
      <c r="AL55" s="4">
        <v>0.0</v>
      </c>
      <c r="AM55" s="4">
        <v>0.0</v>
      </c>
      <c r="AN55" s="4">
        <v>0.0</v>
      </c>
      <c r="AO55" s="4">
        <v>0.0</v>
      </c>
    </row>
    <row r="56" ht="15.75" customHeight="1">
      <c r="A56" s="4">
        <v>9.917401155171244E-4</v>
      </c>
      <c r="B56" s="4">
        <v>0.0039603618117005105</v>
      </c>
      <c r="C56" s="4">
        <v>0.012868539656342803</v>
      </c>
      <c r="D56" s="4">
        <v>0.0340236642050977</v>
      </c>
      <c r="E56" s="4">
        <v>0.07319650050895578</v>
      </c>
      <c r="F56" s="4">
        <v>0.1281318123577995</v>
      </c>
      <c r="G56" s="4">
        <v>0.1825076368583339</v>
      </c>
      <c r="H56" s="4">
        <v>0.21152542206051136</v>
      </c>
      <c r="I56" s="4">
        <v>0.19948107761476716</v>
      </c>
      <c r="J56" s="4">
        <v>0.15307315869164967</v>
      </c>
      <c r="K56" s="4">
        <v>0.0</v>
      </c>
      <c r="L56" s="4">
        <v>0.0</v>
      </c>
      <c r="M56" s="4">
        <v>0.0</v>
      </c>
      <c r="N56" s="4">
        <v>0.0</v>
      </c>
      <c r="O56" s="4">
        <v>0.0</v>
      </c>
      <c r="P56" s="4">
        <v>0.0</v>
      </c>
      <c r="Q56" s="4">
        <v>0.0</v>
      </c>
      <c r="R56" s="4">
        <v>0.0</v>
      </c>
      <c r="S56" s="4">
        <v>0.0</v>
      </c>
      <c r="T56" s="4">
        <v>0.0</v>
      </c>
      <c r="U56" s="4">
        <v>0.0</v>
      </c>
      <c r="V56" s="4">
        <v>0.0</v>
      </c>
      <c r="W56" s="4">
        <v>0.0</v>
      </c>
      <c r="X56" s="4">
        <v>0.0</v>
      </c>
      <c r="Y56" s="4">
        <v>0.0</v>
      </c>
      <c r="Z56" s="4">
        <v>0.0</v>
      </c>
      <c r="AA56" s="4">
        <v>0.0</v>
      </c>
      <c r="AB56" s="4">
        <v>0.0</v>
      </c>
      <c r="AC56" s="4">
        <v>0.0</v>
      </c>
      <c r="AD56" s="4">
        <v>0.0</v>
      </c>
      <c r="AE56" s="4">
        <v>0.0</v>
      </c>
      <c r="AF56" s="4">
        <v>0.0</v>
      </c>
      <c r="AG56" s="4">
        <v>0.0</v>
      </c>
      <c r="AH56" s="4">
        <v>0.0</v>
      </c>
      <c r="AI56" s="4">
        <v>0.0</v>
      </c>
      <c r="AJ56" s="4">
        <v>0.0</v>
      </c>
      <c r="AK56" s="4">
        <v>0.0</v>
      </c>
      <c r="AL56" s="4">
        <v>0.0</v>
      </c>
      <c r="AM56" s="4">
        <v>0.0</v>
      </c>
      <c r="AN56" s="4">
        <v>0.0</v>
      </c>
      <c r="AO56" s="4">
        <v>0.0</v>
      </c>
    </row>
    <row r="57" ht="15.75" customHeight="1">
      <c r="A57" s="4">
        <v>2.0207766494642317E-4</v>
      </c>
      <c r="B57" s="4">
        <v>9.91740114575239E-4</v>
      </c>
      <c r="C57" s="4">
        <v>0.003960361802314027</v>
      </c>
      <c r="D57" s="4">
        <v>0.012868539582643597</v>
      </c>
      <c r="E57" s="4">
        <v>0.03402366375636665</v>
      </c>
      <c r="F57" s="4">
        <v>0.0731964984560109</v>
      </c>
      <c r="G57" s="4">
        <v>0.12813180583378012</v>
      </c>
      <c r="H57" s="4">
        <v>0.18250762646321184</v>
      </c>
      <c r="I57" s="4">
        <v>0.2115254443142918</v>
      </c>
      <c r="J57" s="4">
        <v>0.19948129923222427</v>
      </c>
      <c r="K57" s="4">
        <v>0.15307401947116053</v>
      </c>
      <c r="L57" s="4">
        <v>0.0</v>
      </c>
      <c r="M57" s="4">
        <v>0.0</v>
      </c>
      <c r="N57" s="4">
        <v>0.0</v>
      </c>
      <c r="O57" s="4">
        <v>0.0</v>
      </c>
      <c r="P57" s="4">
        <v>0.0</v>
      </c>
      <c r="Q57" s="4">
        <v>0.0</v>
      </c>
      <c r="R57" s="4">
        <v>0.0</v>
      </c>
      <c r="S57" s="4">
        <v>0.0</v>
      </c>
      <c r="T57" s="4">
        <v>0.0</v>
      </c>
      <c r="U57" s="4">
        <v>0.0</v>
      </c>
      <c r="V57" s="4">
        <v>0.0</v>
      </c>
      <c r="W57" s="4">
        <v>0.0</v>
      </c>
      <c r="X57" s="4">
        <v>0.0</v>
      </c>
      <c r="Y57" s="4">
        <v>0.0</v>
      </c>
      <c r="Z57" s="4">
        <v>0.0</v>
      </c>
      <c r="AA57" s="4">
        <v>0.0</v>
      </c>
      <c r="AB57" s="4">
        <v>0.0</v>
      </c>
      <c r="AC57" s="4">
        <v>0.0</v>
      </c>
      <c r="AD57" s="4">
        <v>0.0</v>
      </c>
      <c r="AE57" s="4">
        <v>0.0</v>
      </c>
      <c r="AF57" s="4">
        <v>0.0</v>
      </c>
      <c r="AG57" s="4">
        <v>0.0</v>
      </c>
      <c r="AH57" s="4">
        <v>0.0</v>
      </c>
      <c r="AI57" s="4">
        <v>0.0</v>
      </c>
      <c r="AJ57" s="4">
        <v>0.0</v>
      </c>
      <c r="AK57" s="4">
        <v>0.0</v>
      </c>
      <c r="AL57" s="4">
        <v>0.0</v>
      </c>
      <c r="AM57" s="4">
        <v>0.0</v>
      </c>
      <c r="AN57" s="4">
        <v>0.0</v>
      </c>
      <c r="AO57" s="4">
        <v>0.0</v>
      </c>
    </row>
    <row r="58" ht="15.75" customHeight="1">
      <c r="A58" s="4">
        <v>3.3503961979542276E-5</v>
      </c>
      <c r="B58" s="4">
        <v>2.0207766472548697E-4</v>
      </c>
      <c r="C58" s="4">
        <v>9.917401118060287E-4</v>
      </c>
      <c r="D58" s="4">
        <v>0.003960361774717128</v>
      </c>
      <c r="E58" s="4">
        <v>0.012868539365963147</v>
      </c>
      <c r="F58" s="4">
        <v>0.03402366243706657</v>
      </c>
      <c r="G58" s="4">
        <v>0.07319649242021234</v>
      </c>
      <c r="H58" s="4">
        <v>0.12813178665270805</v>
      </c>
      <c r="I58" s="4">
        <v>0.18250759590077328</v>
      </c>
      <c r="J58" s="4">
        <v>0.2115255097419345</v>
      </c>
      <c r="K58" s="4">
        <v>0.19948195080972267</v>
      </c>
      <c r="L58" s="4">
        <v>0.15307655032236198</v>
      </c>
      <c r="M58" s="4">
        <v>0.0</v>
      </c>
      <c r="N58" s="4">
        <v>0.0</v>
      </c>
      <c r="O58" s="4">
        <v>0.0</v>
      </c>
      <c r="P58" s="4">
        <v>0.0</v>
      </c>
      <c r="Q58" s="4">
        <v>0.0</v>
      </c>
      <c r="R58" s="4">
        <v>0.0</v>
      </c>
      <c r="S58" s="4">
        <v>0.0</v>
      </c>
      <c r="T58" s="4">
        <v>0.0</v>
      </c>
      <c r="U58" s="4">
        <v>0.0</v>
      </c>
      <c r="V58" s="4">
        <v>0.0</v>
      </c>
      <c r="W58" s="4">
        <v>0.0</v>
      </c>
      <c r="X58" s="4">
        <v>0.0</v>
      </c>
      <c r="Y58" s="4">
        <v>0.0</v>
      </c>
      <c r="Z58" s="4">
        <v>0.0</v>
      </c>
      <c r="AA58" s="4">
        <v>0.0</v>
      </c>
      <c r="AB58" s="4">
        <v>0.0</v>
      </c>
      <c r="AC58" s="4">
        <v>0.0</v>
      </c>
      <c r="AD58" s="4">
        <v>0.0</v>
      </c>
      <c r="AE58" s="4">
        <v>0.0</v>
      </c>
      <c r="AF58" s="4">
        <v>0.0</v>
      </c>
      <c r="AG58" s="4">
        <v>0.0</v>
      </c>
      <c r="AH58" s="4">
        <v>0.0</v>
      </c>
      <c r="AI58" s="4">
        <v>0.0</v>
      </c>
      <c r="AJ58" s="4">
        <v>0.0</v>
      </c>
      <c r="AK58" s="4">
        <v>0.0</v>
      </c>
      <c r="AL58" s="4">
        <v>0.0</v>
      </c>
      <c r="AM58" s="4">
        <v>0.0</v>
      </c>
      <c r="AN58" s="4">
        <v>0.0</v>
      </c>
      <c r="AO58" s="4">
        <v>0.0</v>
      </c>
    </row>
    <row r="59" ht="15.75" customHeight="1">
      <c r="A59" s="4">
        <v>4.519927174901155E-6</v>
      </c>
      <c r="B59" s="4">
        <v>3.350396193810077E-5</v>
      </c>
      <c r="C59" s="4">
        <v>2.0207766407592053E-4</v>
      </c>
      <c r="D59" s="4">
        <v>9.91740103664362E-4</v>
      </c>
      <c r="E59" s="4">
        <v>0.003960361693580382</v>
      </c>
      <c r="F59" s="4">
        <v>0.012868538728907888</v>
      </c>
      <c r="G59" s="4">
        <v>0.034023658558235026</v>
      </c>
      <c r="H59" s="4">
        <v>0.07319647467454772</v>
      </c>
      <c r="I59" s="4">
        <v>0.1281317302589698</v>
      </c>
      <c r="J59" s="4">
        <v>0.18250750604452767</v>
      </c>
      <c r="K59" s="4">
        <v>0.21152570210369023</v>
      </c>
      <c r="L59" s="4">
        <v>0.19948386655105252</v>
      </c>
      <c r="M59" s="4">
        <v>0.15308399203603226</v>
      </c>
      <c r="N59" s="4">
        <v>0.0</v>
      </c>
      <c r="O59" s="4">
        <v>0.0</v>
      </c>
      <c r="P59" s="4">
        <v>0.0</v>
      </c>
      <c r="Q59" s="4">
        <v>0.0</v>
      </c>
      <c r="R59" s="4">
        <v>0.0</v>
      </c>
      <c r="S59" s="4">
        <v>0.0</v>
      </c>
      <c r="T59" s="4">
        <v>0.0</v>
      </c>
      <c r="U59" s="4">
        <v>0.0</v>
      </c>
      <c r="V59" s="4">
        <v>0.0</v>
      </c>
      <c r="W59" s="4">
        <v>0.0</v>
      </c>
      <c r="X59" s="4">
        <v>0.0</v>
      </c>
      <c r="Y59" s="4">
        <v>0.0</v>
      </c>
      <c r="Z59" s="4">
        <v>0.0</v>
      </c>
      <c r="AA59" s="4">
        <v>0.0</v>
      </c>
      <c r="AB59" s="4">
        <v>0.0</v>
      </c>
      <c r="AC59" s="4">
        <v>0.0</v>
      </c>
      <c r="AD59" s="4">
        <v>0.0</v>
      </c>
      <c r="AE59" s="4">
        <v>0.0</v>
      </c>
      <c r="AF59" s="4">
        <v>0.0</v>
      </c>
      <c r="AG59" s="4">
        <v>0.0</v>
      </c>
      <c r="AH59" s="4">
        <v>0.0</v>
      </c>
      <c r="AI59" s="4">
        <v>0.0</v>
      </c>
      <c r="AJ59" s="4">
        <v>0.0</v>
      </c>
      <c r="AK59" s="4">
        <v>0.0</v>
      </c>
      <c r="AL59" s="4">
        <v>0.0</v>
      </c>
      <c r="AM59" s="4">
        <v>0.0</v>
      </c>
      <c r="AN59" s="4">
        <v>0.0</v>
      </c>
      <c r="AO59" s="4">
        <v>0.0</v>
      </c>
    </row>
    <row r="60" ht="15.75" customHeight="1">
      <c r="A60" s="4">
        <v>4.961627156494478E-7</v>
      </c>
      <c r="B60" s="4">
        <v>4.51992716866137E-6</v>
      </c>
      <c r="C60" s="4">
        <v>3.350396181626008E-5</v>
      </c>
      <c r="D60" s="4">
        <v>2.0207766216615033E-4</v>
      </c>
      <c r="E60" s="4">
        <v>9.917400797273166E-4</v>
      </c>
      <c r="F60" s="4">
        <v>0.003960361455032845</v>
      </c>
      <c r="G60" s="4">
        <v>0.012868536855921939</v>
      </c>
      <c r="H60" s="4">
        <v>0.03402364715420222</v>
      </c>
      <c r="I60" s="4">
        <v>0.07319642250102304</v>
      </c>
      <c r="J60" s="4">
        <v>0.12813156445680787</v>
      </c>
      <c r="K60" s="4">
        <v>0.18250724185598263</v>
      </c>
      <c r="L60" s="4">
        <v>0.21152626765999863</v>
      </c>
      <c r="M60" s="4">
        <v>0.19948949944716274</v>
      </c>
      <c r="N60" s="4">
        <v>0.15310587772893103</v>
      </c>
      <c r="O60" s="4">
        <v>0.0</v>
      </c>
      <c r="P60" s="4">
        <v>0.0</v>
      </c>
      <c r="Q60" s="4">
        <v>0.0</v>
      </c>
      <c r="R60" s="4">
        <v>0.0</v>
      </c>
      <c r="S60" s="4">
        <v>0.0</v>
      </c>
      <c r="T60" s="4">
        <v>0.0</v>
      </c>
      <c r="U60" s="4">
        <v>0.0</v>
      </c>
      <c r="V60" s="4">
        <v>0.0</v>
      </c>
      <c r="W60" s="4">
        <v>0.0</v>
      </c>
      <c r="X60" s="4">
        <v>0.0</v>
      </c>
      <c r="Y60" s="4">
        <v>0.0</v>
      </c>
      <c r="Z60" s="4">
        <v>0.0</v>
      </c>
      <c r="AA60" s="4">
        <v>0.0</v>
      </c>
      <c r="AB60" s="4">
        <v>0.0</v>
      </c>
      <c r="AC60" s="4">
        <v>0.0</v>
      </c>
      <c r="AD60" s="4">
        <v>0.0</v>
      </c>
      <c r="AE60" s="4">
        <v>0.0</v>
      </c>
      <c r="AF60" s="4">
        <v>0.0</v>
      </c>
      <c r="AG60" s="4">
        <v>0.0</v>
      </c>
      <c r="AH60" s="4">
        <v>0.0</v>
      </c>
      <c r="AI60" s="4">
        <v>0.0</v>
      </c>
      <c r="AJ60" s="4">
        <v>0.0</v>
      </c>
      <c r="AK60" s="4">
        <v>0.0</v>
      </c>
      <c r="AL60" s="4">
        <v>0.0</v>
      </c>
      <c r="AM60" s="4">
        <v>0.0</v>
      </c>
      <c r="AN60" s="4">
        <v>0.0</v>
      </c>
      <c r="AO60" s="4">
        <v>0.0</v>
      </c>
    </row>
    <row r="61" ht="15.75" customHeight="1">
      <c r="A61" s="4">
        <v>4.431739581531823E-8</v>
      </c>
      <c r="B61" s="4">
        <v>4.961627148932494E-7</v>
      </c>
      <c r="C61" s="4">
        <v>4.519927150316025E-6</v>
      </c>
      <c r="D61" s="4">
        <v>3.350396145804011E-5</v>
      </c>
      <c r="E61" s="4">
        <v>2.0207765655129805E-4</v>
      </c>
      <c r="F61" s="4">
        <v>9.917400093507765E-4</v>
      </c>
      <c r="G61" s="4">
        <v>0.0039603607536868295</v>
      </c>
      <c r="H61" s="4">
        <v>0.012868531349214599</v>
      </c>
      <c r="I61" s="4">
        <v>0.03402361362553929</v>
      </c>
      <c r="J61" s="4">
        <v>0.0731962691067772</v>
      </c>
      <c r="K61" s="4">
        <v>0.12813107698097861</v>
      </c>
      <c r="L61" s="4">
        <v>0.182506465080723</v>
      </c>
      <c r="M61" s="4">
        <v>0.2115279304236581</v>
      </c>
      <c r="N61" s="4">
        <v>0.19950606421493744</v>
      </c>
      <c r="O61" s="4">
        <v>0.15317025112461807</v>
      </c>
      <c r="P61" s="4">
        <v>0.0</v>
      </c>
      <c r="Q61" s="4">
        <v>0.0</v>
      </c>
      <c r="R61" s="4">
        <v>0.0</v>
      </c>
      <c r="S61" s="4">
        <v>0.0</v>
      </c>
      <c r="T61" s="4">
        <v>0.0</v>
      </c>
      <c r="U61" s="4">
        <v>0.0</v>
      </c>
      <c r="V61" s="4">
        <v>0.0</v>
      </c>
      <c r="W61" s="4">
        <v>0.0</v>
      </c>
      <c r="X61" s="4">
        <v>0.0</v>
      </c>
      <c r="Y61" s="4">
        <v>0.0</v>
      </c>
      <c r="Z61" s="4">
        <v>0.0</v>
      </c>
      <c r="AA61" s="4">
        <v>0.0</v>
      </c>
      <c r="AB61" s="4">
        <v>0.0</v>
      </c>
      <c r="AC61" s="4">
        <v>0.0</v>
      </c>
      <c r="AD61" s="4">
        <v>0.0</v>
      </c>
      <c r="AE61" s="4">
        <v>0.0</v>
      </c>
      <c r="AF61" s="4">
        <v>0.0</v>
      </c>
      <c r="AG61" s="4">
        <v>0.0</v>
      </c>
      <c r="AH61" s="4">
        <v>0.0</v>
      </c>
      <c r="AI61" s="4">
        <v>0.0</v>
      </c>
      <c r="AJ61" s="4">
        <v>0.0</v>
      </c>
      <c r="AK61" s="4">
        <v>0.0</v>
      </c>
      <c r="AL61" s="4">
        <v>0.0</v>
      </c>
      <c r="AM61" s="4">
        <v>0.0</v>
      </c>
      <c r="AN61" s="4">
        <v>0.0</v>
      </c>
      <c r="AO61" s="4">
        <v>0.0</v>
      </c>
    </row>
    <row r="62" ht="15.75" customHeight="1">
      <c r="A62" s="4">
        <v>3.22093348924364E-9</v>
      </c>
      <c r="B62" s="4">
        <v>4.4317395741410714E-8</v>
      </c>
      <c r="C62" s="4">
        <v>4.961627126699774E-7</v>
      </c>
      <c r="D62" s="4">
        <v>4.5199270963794154E-6</v>
      </c>
      <c r="E62" s="4">
        <v>3.350396040484902E-5</v>
      </c>
      <c r="F62" s="4">
        <v>2.020776400432509E-4</v>
      </c>
      <c r="G62" s="4">
        <v>9.917398024389499E-4</v>
      </c>
      <c r="H62" s="4">
        <v>0.003960358691681537</v>
      </c>
      <c r="I62" s="4">
        <v>0.012868515159108548</v>
      </c>
      <c r="J62" s="4">
        <v>0.03402351504871491</v>
      </c>
      <c r="K62" s="4">
        <v>0.07319581811276278</v>
      </c>
      <c r="L62" s="4">
        <v>0.1281296437170091</v>
      </c>
      <c r="M62" s="4">
        <v>0.18250418094739515</v>
      </c>
      <c r="N62" s="4">
        <v>0.21153281881420166</v>
      </c>
      <c r="O62" s="4">
        <v>0.19955477579850883</v>
      </c>
      <c r="P62" s="4">
        <v>0.153359201606196</v>
      </c>
      <c r="Q62" s="4">
        <v>0.0</v>
      </c>
      <c r="R62" s="4">
        <v>0.0</v>
      </c>
      <c r="S62" s="4">
        <v>0.0</v>
      </c>
      <c r="T62" s="4">
        <v>0.0</v>
      </c>
      <c r="U62" s="4">
        <v>0.0</v>
      </c>
      <c r="V62" s="4">
        <v>0.0</v>
      </c>
      <c r="W62" s="4">
        <v>0.0</v>
      </c>
      <c r="X62" s="4">
        <v>0.0</v>
      </c>
      <c r="Y62" s="4">
        <v>0.0</v>
      </c>
      <c r="Z62" s="4">
        <v>0.0</v>
      </c>
      <c r="AA62" s="4">
        <v>0.0</v>
      </c>
      <c r="AB62" s="4">
        <v>0.0</v>
      </c>
      <c r="AC62" s="4">
        <v>0.0</v>
      </c>
      <c r="AD62" s="4">
        <v>0.0</v>
      </c>
      <c r="AE62" s="4">
        <v>0.0</v>
      </c>
      <c r="AF62" s="4">
        <v>0.0</v>
      </c>
      <c r="AG62" s="4">
        <v>0.0</v>
      </c>
      <c r="AH62" s="4">
        <v>0.0</v>
      </c>
      <c r="AI62" s="4">
        <v>0.0</v>
      </c>
      <c r="AJ62" s="4">
        <v>0.0</v>
      </c>
      <c r="AK62" s="4">
        <v>0.0</v>
      </c>
      <c r="AL62" s="4">
        <v>0.0</v>
      </c>
      <c r="AM62" s="4">
        <v>0.0</v>
      </c>
      <c r="AN62" s="4">
        <v>0.0</v>
      </c>
      <c r="AO62" s="4">
        <v>0.0</v>
      </c>
    </row>
    <row r="63" ht="15.75" customHeight="1">
      <c r="A63" s="4">
        <v>1.9047882330932558E-10</v>
      </c>
      <c r="B63" s="4">
        <v>3.220933483409636E-9</v>
      </c>
      <c r="C63" s="4">
        <v>4.431739552411784E-8</v>
      </c>
      <c r="D63" s="4">
        <v>4.961627061333989E-7</v>
      </c>
      <c r="E63" s="4">
        <v>4.51992693780218E-6</v>
      </c>
      <c r="F63" s="4">
        <v>3.350395730839571E-5</v>
      </c>
      <c r="G63" s="4">
        <v>2.0207759150846986E-4</v>
      </c>
      <c r="H63" s="4">
        <v>9.917391941040672E-4</v>
      </c>
      <c r="I63" s="4">
        <v>0.003960352629242513</v>
      </c>
      <c r="J63" s="4">
        <v>0.012868467558993572</v>
      </c>
      <c r="K63" s="4">
        <v>0.034023225223862794</v>
      </c>
      <c r="L63" s="4">
        <v>0.07319449212235576</v>
      </c>
      <c r="M63" s="4">
        <v>0.12812542939379426</v>
      </c>
      <c r="N63" s="4">
        <v>0.18249746253311863</v>
      </c>
      <c r="O63" s="4">
        <v>0.21154718246515786</v>
      </c>
      <c r="P63" s="4">
        <v>0.1996976594184746</v>
      </c>
      <c r="Q63" s="4">
        <v>0.15391157965149213</v>
      </c>
      <c r="R63" s="4">
        <v>0.0</v>
      </c>
      <c r="S63" s="4">
        <v>0.0</v>
      </c>
      <c r="T63" s="4">
        <v>0.0</v>
      </c>
      <c r="U63" s="4">
        <v>0.0</v>
      </c>
      <c r="V63" s="4">
        <v>0.0</v>
      </c>
      <c r="W63" s="4">
        <v>0.0</v>
      </c>
      <c r="X63" s="4">
        <v>0.0</v>
      </c>
      <c r="Y63" s="4">
        <v>0.0</v>
      </c>
      <c r="Z63" s="4">
        <v>0.0</v>
      </c>
      <c r="AA63" s="4">
        <v>0.0</v>
      </c>
      <c r="AB63" s="4">
        <v>0.0</v>
      </c>
      <c r="AC63" s="4">
        <v>0.0</v>
      </c>
      <c r="AD63" s="4">
        <v>0.0</v>
      </c>
      <c r="AE63" s="4">
        <v>0.0</v>
      </c>
      <c r="AF63" s="4">
        <v>0.0</v>
      </c>
      <c r="AG63" s="4">
        <v>0.0</v>
      </c>
      <c r="AH63" s="4">
        <v>0.0</v>
      </c>
      <c r="AI63" s="4">
        <v>0.0</v>
      </c>
      <c r="AJ63" s="4">
        <v>0.0</v>
      </c>
      <c r="AK63" s="4">
        <v>0.0</v>
      </c>
      <c r="AL63" s="4">
        <v>0.0</v>
      </c>
      <c r="AM63" s="4">
        <v>0.0</v>
      </c>
      <c r="AN63" s="4">
        <v>0.0</v>
      </c>
      <c r="AO63" s="4">
        <v>0.0</v>
      </c>
    </row>
    <row r="64" ht="15.75" customHeight="1">
      <c r="A64" s="4">
        <v>0.0</v>
      </c>
      <c r="B64" s="4">
        <v>1.9047882293696488E-10</v>
      </c>
      <c r="C64" s="4">
        <v>3.2209334662573E-9</v>
      </c>
      <c r="D64" s="4">
        <v>4.431739488526203E-8</v>
      </c>
      <c r="E64" s="4">
        <v>4.961626869154086E-7</v>
      </c>
      <c r="F64" s="4">
        <v>4.519926471574282E-6</v>
      </c>
      <c r="G64" s="4">
        <v>3.350394820461296E-5</v>
      </c>
      <c r="H64" s="4">
        <v>2.0207744881290966E-4</v>
      </c>
      <c r="I64" s="4">
        <v>9.917374055575304E-4</v>
      </c>
      <c r="J64" s="4">
        <v>0.003960334805231878</v>
      </c>
      <c r="K64" s="4">
        <v>0.012868327610577086</v>
      </c>
      <c r="L64" s="4">
        <v>0.03402237310034686</v>
      </c>
      <c r="M64" s="4">
        <v>0.07319059331508307</v>
      </c>
      <c r="N64" s="4">
        <v>0.12811303568182414</v>
      </c>
      <c r="O64" s="4">
        <v>0.18247769359693358</v>
      </c>
      <c r="P64" s="4">
        <v>0.21158921558814506</v>
      </c>
      <c r="Q64" s="4">
        <v>0.2001145462247215</v>
      </c>
      <c r="R64" s="4">
        <v>0.15551426429829038</v>
      </c>
      <c r="S64" s="4">
        <v>0.0</v>
      </c>
      <c r="T64" s="4">
        <v>0.0</v>
      </c>
      <c r="U64" s="4">
        <v>0.0</v>
      </c>
      <c r="V64" s="4">
        <v>0.0</v>
      </c>
      <c r="W64" s="4">
        <v>0.0</v>
      </c>
      <c r="X64" s="4">
        <v>0.0</v>
      </c>
      <c r="Y64" s="4">
        <v>0.0</v>
      </c>
      <c r="Z64" s="4">
        <v>0.0</v>
      </c>
      <c r="AA64" s="4">
        <v>0.0</v>
      </c>
      <c r="AB64" s="4">
        <v>0.0</v>
      </c>
      <c r="AC64" s="4">
        <v>0.0</v>
      </c>
      <c r="AD64" s="4">
        <v>0.0</v>
      </c>
      <c r="AE64" s="4">
        <v>0.0</v>
      </c>
      <c r="AF64" s="4">
        <v>0.0</v>
      </c>
      <c r="AG64" s="4">
        <v>0.0</v>
      </c>
      <c r="AH64" s="4">
        <v>0.0</v>
      </c>
      <c r="AI64" s="4">
        <v>0.0</v>
      </c>
      <c r="AJ64" s="4">
        <v>0.0</v>
      </c>
      <c r="AK64" s="4">
        <v>0.0</v>
      </c>
      <c r="AL64" s="4">
        <v>0.0</v>
      </c>
      <c r="AM64" s="4">
        <v>0.0</v>
      </c>
      <c r="AN64" s="4">
        <v>0.0</v>
      </c>
      <c r="AO64" s="4">
        <v>0.0</v>
      </c>
    </row>
    <row r="65" ht="15.75" customHeight="1">
      <c r="A65" s="4">
        <v>0.0</v>
      </c>
      <c r="B65" s="4">
        <v>0.0</v>
      </c>
      <c r="C65" s="4">
        <v>1.9047882184219977E-10</v>
      </c>
      <c r="D65" s="4">
        <v>3.2209334158282427E-9</v>
      </c>
      <c r="E65" s="4">
        <v>4.4317393006982875E-8</v>
      </c>
      <c r="F65" s="4">
        <v>4.96162630413226E-7</v>
      </c>
      <c r="G65" s="4">
        <v>4.519925100832732E-6</v>
      </c>
      <c r="H65" s="4">
        <v>3.350392143887365E-5</v>
      </c>
      <c r="I65" s="4">
        <v>2.0207702927819662E-4</v>
      </c>
      <c r="J65" s="4">
        <v>9.917321471039939E-4</v>
      </c>
      <c r="K65" s="4">
        <v>0.0039602824012061845</v>
      </c>
      <c r="L65" s="4">
        <v>0.01286791614593051</v>
      </c>
      <c r="M65" s="4">
        <v>0.03401986764845973</v>
      </c>
      <c r="N65" s="4">
        <v>0.07317912828700637</v>
      </c>
      <c r="O65" s="4">
        <v>0.12807658489159135</v>
      </c>
      <c r="P65" s="4">
        <v>0.18241960056161258</v>
      </c>
      <c r="Q65" s="4">
        <v>0.21171100774021934</v>
      </c>
      <c r="R65" s="4">
        <v>0.20131722906276273</v>
      </c>
      <c r="S65" s="4">
        <v>0.16005174879241205</v>
      </c>
      <c r="T65" s="4">
        <v>0.0</v>
      </c>
      <c r="U65" s="4">
        <v>0.0</v>
      </c>
      <c r="V65" s="4">
        <v>0.0</v>
      </c>
      <c r="W65" s="4">
        <v>0.0</v>
      </c>
      <c r="X65" s="4">
        <v>0.0</v>
      </c>
      <c r="Y65" s="4">
        <v>0.0</v>
      </c>
      <c r="Z65" s="4">
        <v>0.0</v>
      </c>
      <c r="AA65" s="4">
        <v>0.0</v>
      </c>
      <c r="AB65" s="4">
        <v>0.0</v>
      </c>
      <c r="AC65" s="4">
        <v>0.0</v>
      </c>
      <c r="AD65" s="4">
        <v>0.0</v>
      </c>
      <c r="AE65" s="4">
        <v>0.0</v>
      </c>
      <c r="AF65" s="4">
        <v>0.0</v>
      </c>
      <c r="AG65" s="4">
        <v>0.0</v>
      </c>
      <c r="AH65" s="4">
        <v>0.0</v>
      </c>
      <c r="AI65" s="4">
        <v>0.0</v>
      </c>
      <c r="AJ65" s="4">
        <v>0.0</v>
      </c>
      <c r="AK65" s="4">
        <v>0.0</v>
      </c>
      <c r="AL65" s="4">
        <v>0.0</v>
      </c>
      <c r="AM65" s="4">
        <v>0.0</v>
      </c>
      <c r="AN65" s="4">
        <v>0.0</v>
      </c>
      <c r="AO65" s="4">
        <v>0.0</v>
      </c>
    </row>
    <row r="66" ht="15.75" customHeight="1">
      <c r="A66" s="4">
        <v>0.0</v>
      </c>
      <c r="B66" s="4">
        <v>0.0</v>
      </c>
      <c r="C66" s="4">
        <v>0.0</v>
      </c>
      <c r="D66" s="4">
        <v>1.9047881862351543E-10</v>
      </c>
      <c r="E66" s="4">
        <v>3.2209332675633847E-9</v>
      </c>
      <c r="F66" s="4">
        <v>4.4317387484714214E-8</v>
      </c>
      <c r="G66" s="4">
        <v>4.961624642929813E-7</v>
      </c>
      <c r="H66" s="4">
        <v>4.519921070759746E-6</v>
      </c>
      <c r="I66" s="4">
        <v>3.350384274578364E-5</v>
      </c>
      <c r="J66" s="4">
        <v>2.0207579581712145E-4</v>
      </c>
      <c r="K66" s="4">
        <v>9.917166868538547E-4</v>
      </c>
      <c r="L66" s="4">
        <v>0.0039601283280669775</v>
      </c>
      <c r="M66" s="4">
        <v>0.012866706358647971</v>
      </c>
      <c r="N66" s="4">
        <v>0.03401250038359238</v>
      </c>
      <c r="O66" s="4">
        <v>0.07314541571714421</v>
      </c>
      <c r="P66" s="4">
        <v>0.127969622963403</v>
      </c>
      <c r="Q66" s="4">
        <v>0.18224920327249927</v>
      </c>
      <c r="R66" s="4">
        <v>0.21205527299036792</v>
      </c>
      <c r="S66" s="4">
        <v>0.20466731155916942</v>
      </c>
      <c r="T66" s="4">
        <v>0.17203269112135222</v>
      </c>
      <c r="U66" s="4">
        <v>0.0</v>
      </c>
      <c r="V66" s="4">
        <v>0.0</v>
      </c>
      <c r="W66" s="4">
        <v>0.0</v>
      </c>
      <c r="X66" s="4">
        <v>0.0</v>
      </c>
      <c r="Y66" s="4">
        <v>0.0</v>
      </c>
      <c r="Z66" s="4">
        <v>0.0</v>
      </c>
      <c r="AA66" s="4">
        <v>0.0</v>
      </c>
      <c r="AB66" s="4">
        <v>0.0</v>
      </c>
      <c r="AC66" s="4">
        <v>0.0</v>
      </c>
      <c r="AD66" s="4">
        <v>0.0</v>
      </c>
      <c r="AE66" s="4">
        <v>0.0</v>
      </c>
      <c r="AF66" s="4">
        <v>0.0</v>
      </c>
      <c r="AG66" s="4">
        <v>0.0</v>
      </c>
      <c r="AH66" s="4">
        <v>0.0</v>
      </c>
      <c r="AI66" s="4">
        <v>0.0</v>
      </c>
      <c r="AJ66" s="4">
        <v>0.0</v>
      </c>
      <c r="AK66" s="4">
        <v>0.0</v>
      </c>
      <c r="AL66" s="4">
        <v>0.0</v>
      </c>
      <c r="AM66" s="4">
        <v>0.0</v>
      </c>
      <c r="AN66" s="4">
        <v>0.0</v>
      </c>
      <c r="AO66" s="4">
        <v>0.0</v>
      </c>
    </row>
    <row r="67" ht="15.75" customHeight="1">
      <c r="A67" s="4">
        <v>0.0</v>
      </c>
      <c r="B67" s="4">
        <v>0.0</v>
      </c>
      <c r="C67" s="4">
        <v>0.0</v>
      </c>
      <c r="D67" s="4">
        <v>0.0</v>
      </c>
      <c r="E67" s="4">
        <v>1.9047880916036592E-10</v>
      </c>
      <c r="F67" s="4">
        <v>3.220932831654643E-9</v>
      </c>
      <c r="G67" s="4">
        <v>4.431737124887094E-8</v>
      </c>
      <c r="H67" s="4">
        <v>4.961619758882431E-7</v>
      </c>
      <c r="I67" s="4">
        <v>4.519909222073869E-6</v>
      </c>
      <c r="J67" s="4">
        <v>3.350361138278584E-5</v>
      </c>
      <c r="K67" s="4">
        <v>2.0207216935457032E-4</v>
      </c>
      <c r="L67" s="4">
        <v>9.916712323823876E-4</v>
      </c>
      <c r="M67" s="4">
        <v>0.003959675329546793</v>
      </c>
      <c r="N67" s="4">
        <v>0.012863149156347863</v>
      </c>
      <c r="O67" s="4">
        <v>0.03399084055686715</v>
      </c>
      <c r="P67" s="4">
        <v>0.07304654822571739</v>
      </c>
      <c r="Q67" s="4">
        <v>0.1276571826591714</v>
      </c>
      <c r="R67" s="4">
        <v>0.18175008650259047</v>
      </c>
      <c r="S67" s="4">
        <v>0.21295800221621347</v>
      </c>
      <c r="T67" s="4">
        <v>0.21313376966830716</v>
      </c>
      <c r="U67" s="4">
        <v>0.17203269112135222</v>
      </c>
      <c r="V67" s="4">
        <v>0.0</v>
      </c>
      <c r="W67" s="4">
        <v>0.0</v>
      </c>
      <c r="X67" s="4">
        <v>0.0</v>
      </c>
      <c r="Y67" s="4">
        <v>0.0</v>
      </c>
      <c r="Z67" s="4">
        <v>0.0</v>
      </c>
      <c r="AA67" s="4">
        <v>0.0</v>
      </c>
      <c r="AB67" s="4">
        <v>0.0</v>
      </c>
      <c r="AC67" s="4">
        <v>0.0</v>
      </c>
      <c r="AD67" s="4">
        <v>0.0</v>
      </c>
      <c r="AE67" s="4">
        <v>0.0</v>
      </c>
      <c r="AF67" s="4">
        <v>0.0</v>
      </c>
      <c r="AG67" s="4">
        <v>0.0</v>
      </c>
      <c r="AH67" s="4">
        <v>0.0</v>
      </c>
      <c r="AI67" s="4">
        <v>0.0</v>
      </c>
      <c r="AJ67" s="4">
        <v>0.0</v>
      </c>
      <c r="AK67" s="4">
        <v>0.0</v>
      </c>
      <c r="AL67" s="4">
        <v>0.0</v>
      </c>
      <c r="AM67" s="4">
        <v>0.0</v>
      </c>
      <c r="AN67" s="4">
        <v>0.0</v>
      </c>
      <c r="AO67" s="4">
        <v>0.0</v>
      </c>
    </row>
    <row r="68" ht="15.75" customHeight="1">
      <c r="A68" s="4">
        <v>0.0</v>
      </c>
      <c r="B68" s="4">
        <v>0.0</v>
      </c>
      <c r="C68" s="4">
        <v>0.0</v>
      </c>
      <c r="D68" s="4">
        <v>0.0</v>
      </c>
      <c r="E68" s="4">
        <v>0.0</v>
      </c>
      <c r="F68" s="4">
        <v>1.9047878133806376E-10</v>
      </c>
      <c r="G68" s="4">
        <v>3.220931550053408E-9</v>
      </c>
      <c r="H68" s="4">
        <v>4.431732351439874E-8</v>
      </c>
      <c r="I68" s="4">
        <v>4.96160539945722E-7</v>
      </c>
      <c r="J68" s="4">
        <v>4.519874386156925E-6</v>
      </c>
      <c r="K68" s="4">
        <v>3.3502931160380646E-5</v>
      </c>
      <c r="L68" s="4">
        <v>2.0206150729382976E-4</v>
      </c>
      <c r="M68" s="4">
        <v>9.9153759128245E-4</v>
      </c>
      <c r="N68" s="4">
        <v>0.003958343413605025</v>
      </c>
      <c r="O68" s="4">
        <v>0.012852692412164102</v>
      </c>
      <c r="P68" s="4">
        <v>0.03392734886150262</v>
      </c>
      <c r="Q68" s="4">
        <v>0.07275825768845279</v>
      </c>
      <c r="R68" s="4">
        <v>0.1267528095130703</v>
      </c>
      <c r="S68" s="4">
        <v>0.18030047097388124</v>
      </c>
      <c r="T68" s="4">
        <v>0.21485772236255804</v>
      </c>
      <c r="U68" s="4">
        <v>0.21313376966830716</v>
      </c>
      <c r="V68" s="4">
        <v>0.17203269112135222</v>
      </c>
      <c r="W68" s="4">
        <v>0.0</v>
      </c>
      <c r="X68" s="4">
        <v>0.0</v>
      </c>
      <c r="Y68" s="4">
        <v>0.0</v>
      </c>
      <c r="Z68" s="4">
        <v>0.0</v>
      </c>
      <c r="AA68" s="4">
        <v>0.0</v>
      </c>
      <c r="AB68" s="4">
        <v>0.0</v>
      </c>
      <c r="AC68" s="4">
        <v>0.0</v>
      </c>
      <c r="AD68" s="4">
        <v>0.0</v>
      </c>
      <c r="AE68" s="4">
        <v>0.0</v>
      </c>
      <c r="AF68" s="4">
        <v>0.0</v>
      </c>
      <c r="AG68" s="4">
        <v>0.0</v>
      </c>
      <c r="AH68" s="4">
        <v>0.0</v>
      </c>
      <c r="AI68" s="4">
        <v>0.0</v>
      </c>
      <c r="AJ68" s="4">
        <v>0.0</v>
      </c>
      <c r="AK68" s="4">
        <v>0.0</v>
      </c>
      <c r="AL68" s="4">
        <v>0.0</v>
      </c>
      <c r="AM68" s="4">
        <v>0.0</v>
      </c>
      <c r="AN68" s="4">
        <v>0.0</v>
      </c>
      <c r="AO68" s="4">
        <v>0.0</v>
      </c>
    </row>
    <row r="69" ht="15.75" customHeight="1">
      <c r="A69" s="4">
        <v>0.0</v>
      </c>
      <c r="B69" s="4">
        <v>0.0</v>
      </c>
      <c r="C69" s="4">
        <v>0.0</v>
      </c>
      <c r="D69" s="4">
        <v>0.0</v>
      </c>
      <c r="E69" s="4">
        <v>0.0</v>
      </c>
      <c r="F69" s="4">
        <v>0.0</v>
      </c>
      <c r="G69" s="4">
        <v>1.9047869953861708E-10</v>
      </c>
      <c r="H69" s="4">
        <v>3.2209277820598555E-9</v>
      </c>
      <c r="I69" s="4">
        <v>4.431718317189053E-8</v>
      </c>
      <c r="J69" s="4">
        <v>4.961563181824372E-7</v>
      </c>
      <c r="K69" s="4">
        <v>4.519771966441491E-6</v>
      </c>
      <c r="L69" s="4">
        <v>3.350093126730592E-5</v>
      </c>
      <c r="M69" s="4">
        <v>2.020301601274889E-4</v>
      </c>
      <c r="N69" s="4">
        <v>9.911446739487417E-4</v>
      </c>
      <c r="O69" s="4">
        <v>0.0039544286337425865</v>
      </c>
      <c r="P69" s="4">
        <v>0.012822053027255777</v>
      </c>
      <c r="Q69" s="4">
        <v>0.03374246016566259</v>
      </c>
      <c r="R69" s="4">
        <v>0.07192799932525672</v>
      </c>
      <c r="S69" s="4">
        <v>0.12421017578913099</v>
      </c>
      <c r="T69" s="4">
        <v>0.17624105624197287</v>
      </c>
      <c r="U69" s="4">
        <v>0.21485772236255804</v>
      </c>
      <c r="V69" s="4">
        <v>0.21313376966830716</v>
      </c>
      <c r="W69" s="4">
        <v>0.17203269112135222</v>
      </c>
      <c r="X69" s="4">
        <v>0.0</v>
      </c>
      <c r="Y69" s="4">
        <v>0.0</v>
      </c>
      <c r="Z69" s="4">
        <v>0.0</v>
      </c>
      <c r="AA69" s="4">
        <v>0.0</v>
      </c>
      <c r="AB69" s="4">
        <v>0.0</v>
      </c>
      <c r="AC69" s="4">
        <v>0.0</v>
      </c>
      <c r="AD69" s="4">
        <v>0.0</v>
      </c>
      <c r="AE69" s="4">
        <v>0.0</v>
      </c>
      <c r="AF69" s="4">
        <v>0.0</v>
      </c>
      <c r="AG69" s="4">
        <v>0.0</v>
      </c>
      <c r="AH69" s="4">
        <v>0.0</v>
      </c>
      <c r="AI69" s="4">
        <v>0.0</v>
      </c>
      <c r="AJ69" s="4">
        <v>0.0</v>
      </c>
      <c r="AK69" s="4">
        <v>0.0</v>
      </c>
      <c r="AL69" s="4">
        <v>0.0</v>
      </c>
      <c r="AM69" s="4">
        <v>0.0</v>
      </c>
      <c r="AN69" s="4">
        <v>0.0</v>
      </c>
      <c r="AO69" s="4">
        <v>0.0</v>
      </c>
    </row>
    <row r="70" ht="15.75" customHeight="1">
      <c r="A70" s="4">
        <v>0.0</v>
      </c>
      <c r="B70" s="4">
        <v>0.0</v>
      </c>
      <c r="C70" s="4">
        <v>0.0</v>
      </c>
      <c r="D70" s="4">
        <v>0.0</v>
      </c>
      <c r="E70" s="4">
        <v>0.0</v>
      </c>
      <c r="F70" s="4">
        <v>0.0</v>
      </c>
      <c r="G70" s="4">
        <v>0.0</v>
      </c>
      <c r="H70" s="4">
        <v>1.9047845904276867E-10</v>
      </c>
      <c r="I70" s="4">
        <v>3.2209167039113093E-9</v>
      </c>
      <c r="J70" s="4">
        <v>4.4316770556125753E-8</v>
      </c>
      <c r="K70" s="4">
        <v>4.961439059616987E-7</v>
      </c>
      <c r="L70" s="4">
        <v>4.51947084802567E-6</v>
      </c>
      <c r="M70" s="4">
        <v>3.349505153296809E-5</v>
      </c>
      <c r="N70" s="4">
        <v>2.019380004535389E-4</v>
      </c>
      <c r="O70" s="4">
        <v>9.899899553083237E-4</v>
      </c>
      <c r="P70" s="4">
        <v>0.003942962356102322</v>
      </c>
      <c r="Q70" s="4">
        <v>0.012732937728348872</v>
      </c>
      <c r="R70" s="4">
        <v>0.03321205778340865</v>
      </c>
      <c r="S70" s="4">
        <v>0.06962655534541473</v>
      </c>
      <c r="T70" s="4">
        <v>0.11763068453883135</v>
      </c>
      <c r="U70" s="4">
        <v>0.17624105624197287</v>
      </c>
      <c r="V70" s="4">
        <v>0.21485772236255804</v>
      </c>
      <c r="W70" s="4">
        <v>0.21313376966830716</v>
      </c>
      <c r="X70" s="4">
        <v>0.17203269112135222</v>
      </c>
      <c r="Y70" s="4">
        <v>0.0</v>
      </c>
      <c r="Z70" s="4">
        <v>0.0</v>
      </c>
      <c r="AA70" s="4">
        <v>0.0</v>
      </c>
      <c r="AB70" s="4">
        <v>0.0</v>
      </c>
      <c r="AC70" s="4">
        <v>0.0</v>
      </c>
      <c r="AD70" s="4">
        <v>0.0</v>
      </c>
      <c r="AE70" s="4">
        <v>0.0</v>
      </c>
      <c r="AF70" s="4">
        <v>0.0</v>
      </c>
      <c r="AG70" s="4">
        <v>0.0</v>
      </c>
      <c r="AH70" s="4">
        <v>0.0</v>
      </c>
      <c r="AI70" s="4">
        <v>0.0</v>
      </c>
      <c r="AJ70" s="4">
        <v>0.0</v>
      </c>
      <c r="AK70" s="4">
        <v>0.0</v>
      </c>
      <c r="AL70" s="4">
        <v>0.0</v>
      </c>
      <c r="AM70" s="4">
        <v>0.0</v>
      </c>
      <c r="AN70" s="4">
        <v>0.0</v>
      </c>
      <c r="AO70" s="4">
        <v>0.0</v>
      </c>
    </row>
    <row r="71" ht="15.75" customHeight="1">
      <c r="A71" s="4">
        <v>0.0</v>
      </c>
      <c r="B71" s="4">
        <v>0.0</v>
      </c>
      <c r="C71" s="4">
        <v>0.0</v>
      </c>
      <c r="D71" s="4">
        <v>0.0</v>
      </c>
      <c r="E71" s="4">
        <v>0.0</v>
      </c>
      <c r="F71" s="4">
        <v>0.0</v>
      </c>
      <c r="G71" s="4">
        <v>0.0</v>
      </c>
      <c r="H71" s="4">
        <v>0.0</v>
      </c>
      <c r="I71" s="4">
        <v>1.9047775196931462E-10</v>
      </c>
      <c r="J71" s="4">
        <v>3.2208841334786966E-9</v>
      </c>
      <c r="K71" s="4">
        <v>4.4315557444610035E-8</v>
      </c>
      <c r="L71" s="4">
        <v>4.961074136677294E-7</v>
      </c>
      <c r="M71" s="4">
        <v>4.518585565088378E-6</v>
      </c>
      <c r="N71" s="4">
        <v>3.347776602733784E-5</v>
      </c>
      <c r="O71" s="4">
        <v>2.0166719244769292E-4</v>
      </c>
      <c r="P71" s="4">
        <v>9.866090869042445E-4</v>
      </c>
      <c r="Q71" s="4">
        <v>0.003909650218427134</v>
      </c>
      <c r="R71" s="4">
        <v>0.012478173134901783</v>
      </c>
      <c r="S71" s="4">
        <v>0.03175777453502383</v>
      </c>
      <c r="T71" s="4">
        <v>0.06388392333449056</v>
      </c>
      <c r="U71" s="4">
        <v>0.11763068453883135</v>
      </c>
      <c r="V71" s="4">
        <v>0.17624105624197287</v>
      </c>
      <c r="W71" s="4">
        <v>0.21485772236255804</v>
      </c>
      <c r="X71" s="4">
        <v>0.21313376966830716</v>
      </c>
      <c r="Y71" s="4">
        <v>0.17203269112135222</v>
      </c>
      <c r="Z71" s="4">
        <v>0.0</v>
      </c>
      <c r="AA71" s="4">
        <v>0.0</v>
      </c>
      <c r="AB71" s="4">
        <v>0.0</v>
      </c>
      <c r="AC71" s="4">
        <v>0.0</v>
      </c>
      <c r="AD71" s="4">
        <v>0.0</v>
      </c>
      <c r="AE71" s="4">
        <v>0.0</v>
      </c>
      <c r="AF71" s="4">
        <v>0.0</v>
      </c>
      <c r="AG71" s="4">
        <v>0.0</v>
      </c>
      <c r="AH71" s="4">
        <v>0.0</v>
      </c>
      <c r="AI71" s="4">
        <v>0.0</v>
      </c>
      <c r="AJ71" s="4">
        <v>0.0</v>
      </c>
      <c r="AK71" s="4">
        <v>0.0</v>
      </c>
      <c r="AL71" s="4">
        <v>0.0</v>
      </c>
      <c r="AM71" s="4">
        <v>0.0</v>
      </c>
      <c r="AN71" s="4">
        <v>0.0</v>
      </c>
      <c r="AO71" s="4">
        <v>0.0</v>
      </c>
    </row>
    <row r="72" ht="15.75" customHeight="1">
      <c r="A72" s="4">
        <v>0.0</v>
      </c>
      <c r="B72" s="4">
        <v>0.0</v>
      </c>
      <c r="C72" s="4">
        <v>0.0</v>
      </c>
      <c r="D72" s="4">
        <v>0.0</v>
      </c>
      <c r="E72" s="4">
        <v>0.0</v>
      </c>
      <c r="F72" s="4">
        <v>0.0</v>
      </c>
      <c r="G72" s="4">
        <v>0.0</v>
      </c>
      <c r="H72" s="4">
        <v>0.0</v>
      </c>
      <c r="I72" s="4">
        <v>0.0</v>
      </c>
      <c r="J72" s="4">
        <v>1.9047567313135315E-10</v>
      </c>
      <c r="K72" s="4">
        <v>3.2207883748902438E-9</v>
      </c>
      <c r="L72" s="4">
        <v>4.431199087805519E-8</v>
      </c>
      <c r="M72" s="4">
        <v>4.960001284633754E-7</v>
      </c>
      <c r="N72" s="4">
        <v>4.515983079150189E-6</v>
      </c>
      <c r="O72" s="4">
        <v>3.3426979447114465E-5</v>
      </c>
      <c r="P72" s="4">
        <v>2.0087459281247576E-4</v>
      </c>
      <c r="Q72" s="4">
        <v>9.767976629143581E-4</v>
      </c>
      <c r="R72" s="4">
        <v>0.0038147286192479965</v>
      </c>
      <c r="S72" s="4">
        <v>0.011786439479255836</v>
      </c>
      <c r="T72" s="4">
        <v>0.028230589912495378</v>
      </c>
      <c r="U72" s="4">
        <v>0.06388392333449056</v>
      </c>
      <c r="V72" s="4">
        <v>0.11763068453883135</v>
      </c>
      <c r="W72" s="4">
        <v>0.17624105624197287</v>
      </c>
      <c r="X72" s="4">
        <v>0.21485772236255804</v>
      </c>
      <c r="Y72" s="4">
        <v>0.21313376966830716</v>
      </c>
      <c r="Z72" s="4">
        <v>0.17203269112135222</v>
      </c>
      <c r="AA72" s="4">
        <v>0.0</v>
      </c>
      <c r="AB72" s="4">
        <v>0.0</v>
      </c>
      <c r="AC72" s="4">
        <v>0.0</v>
      </c>
      <c r="AD72" s="4">
        <v>0.0</v>
      </c>
      <c r="AE72" s="4">
        <v>0.0</v>
      </c>
      <c r="AF72" s="4">
        <v>0.0</v>
      </c>
      <c r="AG72" s="4">
        <v>0.0</v>
      </c>
      <c r="AH72" s="4">
        <v>0.0</v>
      </c>
      <c r="AI72" s="4">
        <v>0.0</v>
      </c>
      <c r="AJ72" s="4">
        <v>0.0</v>
      </c>
      <c r="AK72" s="4">
        <v>0.0</v>
      </c>
      <c r="AL72" s="4">
        <v>0.0</v>
      </c>
      <c r="AM72" s="4">
        <v>0.0</v>
      </c>
      <c r="AN72" s="4">
        <v>0.0</v>
      </c>
      <c r="AO72" s="4">
        <v>0.0</v>
      </c>
    </row>
    <row r="73" ht="15.75" customHeight="1">
      <c r="A73" s="4">
        <v>0.0</v>
      </c>
      <c r="B73" s="4">
        <v>0.0</v>
      </c>
      <c r="C73" s="4">
        <v>0.0</v>
      </c>
      <c r="D73" s="4">
        <v>0.0</v>
      </c>
      <c r="E73" s="4">
        <v>0.0</v>
      </c>
      <c r="F73" s="4">
        <v>0.0</v>
      </c>
      <c r="G73" s="4">
        <v>0.0</v>
      </c>
      <c r="H73" s="4">
        <v>0.0</v>
      </c>
      <c r="I73" s="4">
        <v>0.0</v>
      </c>
      <c r="J73" s="4">
        <v>0.0</v>
      </c>
      <c r="K73" s="4">
        <v>1.904695612607806E-10</v>
      </c>
      <c r="L73" s="4">
        <v>3.2205068444991243E-9</v>
      </c>
      <c r="M73" s="4">
        <v>4.430150552827141E-8</v>
      </c>
      <c r="N73" s="4">
        <v>4.956847528072506E-7</v>
      </c>
      <c r="O73" s="4">
        <v>4.508337646096875E-6</v>
      </c>
      <c r="P73" s="4">
        <v>3.3278391436081216E-5</v>
      </c>
      <c r="Q73" s="4">
        <v>1.9857690488844817E-4</v>
      </c>
      <c r="R73" s="4">
        <v>9.489289711831555E-4</v>
      </c>
      <c r="S73" s="4">
        <v>0.0035593657574139216</v>
      </c>
      <c r="T73" s="4">
        <v>0.010150927943548013</v>
      </c>
      <c r="U73" s="4">
        <v>0.028230589912495378</v>
      </c>
      <c r="V73" s="4">
        <v>0.06388392333449056</v>
      </c>
      <c r="W73" s="4">
        <v>0.11763068453883135</v>
      </c>
      <c r="X73" s="4">
        <v>0.17624105624197287</v>
      </c>
      <c r="Y73" s="4">
        <v>0.21485772236255804</v>
      </c>
      <c r="Z73" s="4">
        <v>0.21313376966830716</v>
      </c>
      <c r="AA73" s="4">
        <v>0.17203269112135222</v>
      </c>
      <c r="AB73" s="4">
        <v>0.0</v>
      </c>
      <c r="AC73" s="4">
        <v>0.0</v>
      </c>
      <c r="AD73" s="4">
        <v>0.0</v>
      </c>
      <c r="AE73" s="4">
        <v>0.0</v>
      </c>
      <c r="AF73" s="4">
        <v>0.0</v>
      </c>
      <c r="AG73" s="4">
        <v>0.0</v>
      </c>
      <c r="AH73" s="4">
        <v>0.0</v>
      </c>
      <c r="AI73" s="4">
        <v>0.0</v>
      </c>
      <c r="AJ73" s="4">
        <v>0.0</v>
      </c>
      <c r="AK73" s="4">
        <v>0.0</v>
      </c>
      <c r="AL73" s="4">
        <v>0.0</v>
      </c>
      <c r="AM73" s="4">
        <v>0.0</v>
      </c>
      <c r="AN73" s="4">
        <v>0.0</v>
      </c>
      <c r="AO73" s="4">
        <v>0.0</v>
      </c>
    </row>
    <row r="74" ht="15.75" customHeight="1">
      <c r="A74" s="4">
        <v>0.0</v>
      </c>
      <c r="B74" s="4">
        <v>0.0</v>
      </c>
      <c r="C74" s="4">
        <v>0.0</v>
      </c>
      <c r="D74" s="4">
        <v>0.0</v>
      </c>
      <c r="E74" s="4">
        <v>0.0</v>
      </c>
      <c r="F74" s="4">
        <v>0.0</v>
      </c>
      <c r="G74" s="4">
        <v>0.0</v>
      </c>
      <c r="H74" s="4">
        <v>0.0</v>
      </c>
      <c r="I74" s="4">
        <v>0.0</v>
      </c>
      <c r="J74" s="4">
        <v>0.0</v>
      </c>
      <c r="K74" s="4">
        <v>0.0</v>
      </c>
      <c r="L74" s="4">
        <v>1.9045159243722264E-10</v>
      </c>
      <c r="M74" s="4">
        <v>3.2196791847796306E-9</v>
      </c>
      <c r="N74" s="4">
        <v>4.4270684055681086E-8</v>
      </c>
      <c r="O74" s="4">
        <v>4.947583730794302E-7</v>
      </c>
      <c r="P74" s="4">
        <v>4.48597718255743E-6</v>
      </c>
      <c r="Q74" s="4">
        <v>3.284810201590265E-5</v>
      </c>
      <c r="R74" s="4">
        <v>1.9207072802752205E-4</v>
      </c>
      <c r="S74" s="4">
        <v>8.746212474419036E-4</v>
      </c>
      <c r="T74" s="4">
        <v>0.0029699487464474256</v>
      </c>
      <c r="U74" s="4">
        <v>0.010150927943548013</v>
      </c>
      <c r="V74" s="4">
        <v>0.028230589912495378</v>
      </c>
      <c r="W74" s="4">
        <v>0.06388392333449056</v>
      </c>
      <c r="X74" s="4">
        <v>0.11763068453883135</v>
      </c>
      <c r="Y74" s="4">
        <v>0.17624105624197287</v>
      </c>
      <c r="Z74" s="4">
        <v>0.21485772236255804</v>
      </c>
      <c r="AA74" s="4">
        <v>0.21313376966830716</v>
      </c>
      <c r="AB74" s="4">
        <v>0.17203269112135222</v>
      </c>
      <c r="AC74" s="4">
        <v>0.0</v>
      </c>
      <c r="AD74" s="4">
        <v>0.0</v>
      </c>
      <c r="AE74" s="4">
        <v>0.0</v>
      </c>
      <c r="AF74" s="4">
        <v>0.0</v>
      </c>
      <c r="AG74" s="4">
        <v>0.0</v>
      </c>
      <c r="AH74" s="4">
        <v>0.0</v>
      </c>
      <c r="AI74" s="4">
        <v>0.0</v>
      </c>
      <c r="AJ74" s="4">
        <v>0.0</v>
      </c>
      <c r="AK74" s="4">
        <v>0.0</v>
      </c>
      <c r="AL74" s="4">
        <v>0.0</v>
      </c>
      <c r="AM74" s="4">
        <v>0.0</v>
      </c>
      <c r="AN74" s="4">
        <v>0.0</v>
      </c>
      <c r="AO74" s="4">
        <v>0.0</v>
      </c>
    </row>
    <row r="75" ht="15.75" customHeight="1">
      <c r="A75" s="4">
        <v>0.0</v>
      </c>
      <c r="B75" s="4">
        <v>0.0</v>
      </c>
      <c r="C75" s="4">
        <v>0.0</v>
      </c>
      <c r="D75" s="4">
        <v>0.0</v>
      </c>
      <c r="E75" s="4">
        <v>0.0</v>
      </c>
      <c r="F75" s="4">
        <v>0.0</v>
      </c>
      <c r="G75" s="4">
        <v>0.0</v>
      </c>
      <c r="H75" s="4">
        <v>0.0</v>
      </c>
      <c r="I75" s="4">
        <v>0.0</v>
      </c>
      <c r="J75" s="4">
        <v>0.0</v>
      </c>
      <c r="K75" s="4">
        <v>0.0</v>
      </c>
      <c r="L75" s="4">
        <v>0.0</v>
      </c>
      <c r="M75" s="4">
        <v>1.9039876735958327E-10</v>
      </c>
      <c r="N75" s="4">
        <v>3.2172463955846343E-9</v>
      </c>
      <c r="O75" s="4">
        <v>4.418016047878208E-8</v>
      </c>
      <c r="P75" s="4">
        <v>4.920499735179469E-7</v>
      </c>
      <c r="Q75" s="4">
        <v>4.421292447622987E-6</v>
      </c>
      <c r="R75" s="4">
        <v>3.163341486895609E-5</v>
      </c>
      <c r="S75" s="4">
        <v>1.7487384021012273E-4</v>
      </c>
      <c r="T75" s="4">
        <v>7.070491138574508E-4</v>
      </c>
      <c r="U75" s="4">
        <v>0.0029699487464474256</v>
      </c>
      <c r="V75" s="4">
        <v>0.010150927943548013</v>
      </c>
      <c r="W75" s="4">
        <v>0.028230589912495378</v>
      </c>
      <c r="X75" s="4">
        <v>0.06388392333449056</v>
      </c>
      <c r="Y75" s="4">
        <v>0.11763068453883135</v>
      </c>
      <c r="Z75" s="4">
        <v>0.17624105624197287</v>
      </c>
      <c r="AA75" s="4">
        <v>0.21485772236255804</v>
      </c>
      <c r="AB75" s="4">
        <v>0.21313376966830716</v>
      </c>
      <c r="AC75" s="4">
        <v>0.17203269112135222</v>
      </c>
      <c r="AD75" s="4">
        <v>0.0</v>
      </c>
      <c r="AE75" s="4">
        <v>0.0</v>
      </c>
      <c r="AF75" s="4">
        <v>0.0</v>
      </c>
      <c r="AG75" s="4">
        <v>0.0</v>
      </c>
      <c r="AH75" s="4">
        <v>0.0</v>
      </c>
      <c r="AI75" s="4">
        <v>0.0</v>
      </c>
      <c r="AJ75" s="4">
        <v>0.0</v>
      </c>
      <c r="AK75" s="4">
        <v>0.0</v>
      </c>
      <c r="AL75" s="4">
        <v>0.0</v>
      </c>
      <c r="AM75" s="4">
        <v>0.0</v>
      </c>
      <c r="AN75" s="4">
        <v>0.0</v>
      </c>
      <c r="AO75" s="4">
        <v>0.0</v>
      </c>
    </row>
    <row r="76" ht="15.75" customHeight="1">
      <c r="A76" s="4">
        <v>0.0</v>
      </c>
      <c r="B76" s="4">
        <v>0.0</v>
      </c>
      <c r="C76" s="4">
        <v>0.0</v>
      </c>
      <c r="D76" s="4">
        <v>0.0</v>
      </c>
      <c r="E76" s="4">
        <v>0.0</v>
      </c>
      <c r="F76" s="4">
        <v>0.0</v>
      </c>
      <c r="G76" s="4">
        <v>0.0</v>
      </c>
      <c r="H76" s="4">
        <v>0.0</v>
      </c>
      <c r="I76" s="4">
        <v>0.0</v>
      </c>
      <c r="J76" s="4">
        <v>0.0</v>
      </c>
      <c r="K76" s="4">
        <v>0.0</v>
      </c>
      <c r="L76" s="4">
        <v>0.0</v>
      </c>
      <c r="M76" s="4">
        <v>0.0</v>
      </c>
      <c r="N76" s="4">
        <v>1.9024350182822966E-10</v>
      </c>
      <c r="O76" s="4">
        <v>3.2101020829615573E-9</v>
      </c>
      <c r="P76" s="4">
        <v>4.391559622133606E-8</v>
      </c>
      <c r="Q76" s="4">
        <v>4.842232318785698E-7</v>
      </c>
      <c r="R76" s="4">
        <v>4.2392437616524845E-6</v>
      </c>
      <c r="S76" s="4">
        <v>2.8450315631691516E-5</v>
      </c>
      <c r="T76" s="4">
        <v>1.369643775309228E-4</v>
      </c>
      <c r="U76" s="4">
        <v>7.070491138574508E-4</v>
      </c>
      <c r="V76" s="4">
        <v>0.0029699487464474256</v>
      </c>
      <c r="W76" s="4">
        <v>0.010150927943548013</v>
      </c>
      <c r="X76" s="4">
        <v>0.028230589912495378</v>
      </c>
      <c r="Y76" s="4">
        <v>0.06388392333449056</v>
      </c>
      <c r="Z76" s="4">
        <v>0.11763068453883135</v>
      </c>
      <c r="AA76" s="4">
        <v>0.17624105624197287</v>
      </c>
      <c r="AB76" s="4">
        <v>0.21485772236255804</v>
      </c>
      <c r="AC76" s="4">
        <v>0.21313376966830716</v>
      </c>
      <c r="AD76" s="4">
        <v>0.17203269112135222</v>
      </c>
      <c r="AE76" s="4">
        <v>0.0</v>
      </c>
      <c r="AF76" s="4">
        <v>0.0</v>
      </c>
      <c r="AG76" s="4">
        <v>0.0</v>
      </c>
      <c r="AH76" s="4">
        <v>0.0</v>
      </c>
      <c r="AI76" s="4">
        <v>0.0</v>
      </c>
      <c r="AJ76" s="4">
        <v>0.0</v>
      </c>
      <c r="AK76" s="4">
        <v>0.0</v>
      </c>
      <c r="AL76" s="4">
        <v>0.0</v>
      </c>
      <c r="AM76" s="4">
        <v>0.0</v>
      </c>
      <c r="AN76" s="4">
        <v>0.0</v>
      </c>
      <c r="AO76" s="4">
        <v>0.0</v>
      </c>
    </row>
    <row r="77" ht="15.75" customHeight="1">
      <c r="A77" s="4">
        <v>0.0</v>
      </c>
      <c r="B77" s="4">
        <v>0.0</v>
      </c>
      <c r="C77" s="4">
        <v>0.0</v>
      </c>
      <c r="D77" s="4">
        <v>0.0</v>
      </c>
      <c r="E77" s="4">
        <v>0.0</v>
      </c>
      <c r="F77" s="4">
        <v>0.0</v>
      </c>
      <c r="G77" s="4">
        <v>0.0</v>
      </c>
      <c r="H77" s="4">
        <v>0.0</v>
      </c>
      <c r="I77" s="4">
        <v>0.0</v>
      </c>
      <c r="J77" s="4">
        <v>0.0</v>
      </c>
      <c r="K77" s="4">
        <v>0.0</v>
      </c>
      <c r="L77" s="4">
        <v>0.0</v>
      </c>
      <c r="M77" s="4">
        <v>0.0</v>
      </c>
      <c r="N77" s="4">
        <v>0.0</v>
      </c>
      <c r="O77" s="4">
        <v>1.8978759212410052E-10</v>
      </c>
      <c r="P77" s="4">
        <v>3.1892294952843256E-9</v>
      </c>
      <c r="Q77" s="4">
        <v>4.3151850025498603E-8</v>
      </c>
      <c r="R77" s="4">
        <v>4.6226192174683514E-7</v>
      </c>
      <c r="S77" s="4">
        <v>3.766229221138519E-6</v>
      </c>
      <c r="T77" s="4">
        <v>2.1588531015541564E-5</v>
      </c>
      <c r="U77" s="4">
        <v>1.369643775309228E-4</v>
      </c>
      <c r="V77" s="4">
        <v>7.070491138574508E-4</v>
      </c>
      <c r="W77" s="4">
        <v>0.0029699487464474256</v>
      </c>
      <c r="X77" s="4">
        <v>0.010150927943548013</v>
      </c>
      <c r="Y77" s="4">
        <v>0.028230589912495378</v>
      </c>
      <c r="Z77" s="4">
        <v>0.06388392333449056</v>
      </c>
      <c r="AA77" s="4">
        <v>0.11763068453883135</v>
      </c>
      <c r="AB77" s="4">
        <v>0.17624105624197287</v>
      </c>
      <c r="AC77" s="4">
        <v>0.21485772236255804</v>
      </c>
      <c r="AD77" s="4">
        <v>0.21313376966830716</v>
      </c>
      <c r="AE77" s="4">
        <v>0.17203269112135222</v>
      </c>
      <c r="AF77" s="4">
        <v>0.0</v>
      </c>
      <c r="AG77" s="4">
        <v>0.0</v>
      </c>
      <c r="AH77" s="4">
        <v>0.0</v>
      </c>
      <c r="AI77" s="4">
        <v>0.0</v>
      </c>
      <c r="AJ77" s="4">
        <v>0.0</v>
      </c>
      <c r="AK77" s="4">
        <v>0.0</v>
      </c>
      <c r="AL77" s="4">
        <v>0.0</v>
      </c>
      <c r="AM77" s="4">
        <v>0.0</v>
      </c>
      <c r="AN77" s="4">
        <v>0.0</v>
      </c>
      <c r="AO77" s="4">
        <v>0.0</v>
      </c>
    </row>
    <row r="78" ht="15.75" customHeight="1">
      <c r="A78" s="4">
        <v>0.0</v>
      </c>
      <c r="B78" s="4">
        <v>0.0</v>
      </c>
      <c r="C78" s="4">
        <v>0.0</v>
      </c>
      <c r="D78" s="4">
        <v>0.0</v>
      </c>
      <c r="E78" s="4">
        <v>0.0</v>
      </c>
      <c r="F78" s="4">
        <v>0.0</v>
      </c>
      <c r="G78" s="4">
        <v>0.0</v>
      </c>
      <c r="H78" s="4">
        <v>0.0</v>
      </c>
      <c r="I78" s="4">
        <v>0.0</v>
      </c>
      <c r="J78" s="4">
        <v>0.0</v>
      </c>
      <c r="K78" s="4">
        <v>0.0</v>
      </c>
      <c r="L78" s="4">
        <v>0.0</v>
      </c>
      <c r="M78" s="4">
        <v>0.0</v>
      </c>
      <c r="N78" s="4">
        <v>0.0</v>
      </c>
      <c r="O78" s="4">
        <v>0.0</v>
      </c>
      <c r="P78" s="4">
        <v>1.8845609101081354E-10</v>
      </c>
      <c r="Q78" s="4">
        <v>3.1290365452826972E-9</v>
      </c>
      <c r="R78" s="4">
        <v>4.1015241136844586E-8</v>
      </c>
      <c r="S78" s="4">
        <v>4.056802137991434E-7</v>
      </c>
      <c r="T78" s="4">
        <v>2.7688279723574842E-6</v>
      </c>
      <c r="U78" s="4">
        <v>2.1588531015541564E-5</v>
      </c>
      <c r="V78" s="4">
        <v>1.369643775309228E-4</v>
      </c>
      <c r="W78" s="4">
        <v>7.070491138574508E-4</v>
      </c>
      <c r="X78" s="4">
        <v>0.0029699487464474256</v>
      </c>
      <c r="Y78" s="4">
        <v>0.010150927943548013</v>
      </c>
      <c r="Z78" s="4">
        <v>0.028230589912495378</v>
      </c>
      <c r="AA78" s="4">
        <v>0.06388392333449056</v>
      </c>
      <c r="AB78" s="4">
        <v>0.11763068453883135</v>
      </c>
      <c r="AC78" s="4">
        <v>0.17624105624197287</v>
      </c>
      <c r="AD78" s="4">
        <v>0.21485772236255804</v>
      </c>
      <c r="AE78" s="4">
        <v>0.21313376966830716</v>
      </c>
      <c r="AF78" s="4">
        <v>0.17203269112135222</v>
      </c>
      <c r="AG78" s="4">
        <v>0.0</v>
      </c>
      <c r="AH78" s="4">
        <v>0.0</v>
      </c>
      <c r="AI78" s="4">
        <v>0.0</v>
      </c>
      <c r="AJ78" s="4">
        <v>0.0</v>
      </c>
      <c r="AK78" s="4">
        <v>0.0</v>
      </c>
      <c r="AL78" s="4">
        <v>0.0</v>
      </c>
      <c r="AM78" s="4">
        <v>0.0</v>
      </c>
      <c r="AN78" s="4">
        <v>0.0</v>
      </c>
      <c r="AO78" s="4">
        <v>0.0</v>
      </c>
    </row>
    <row r="79" ht="15.75" customHeight="1">
      <c r="A79" s="4">
        <v>0.0</v>
      </c>
      <c r="B79" s="4">
        <v>0.0</v>
      </c>
      <c r="C79" s="4">
        <v>0.0</v>
      </c>
      <c r="D79" s="4">
        <v>0.0</v>
      </c>
      <c r="E79" s="4">
        <v>0.0</v>
      </c>
      <c r="F79" s="4">
        <v>0.0</v>
      </c>
      <c r="G79" s="4">
        <v>0.0</v>
      </c>
      <c r="H79" s="4">
        <v>0.0</v>
      </c>
      <c r="I79" s="4">
        <v>0.0</v>
      </c>
      <c r="J79" s="4">
        <v>0.0</v>
      </c>
      <c r="K79" s="4">
        <v>0.0</v>
      </c>
      <c r="L79" s="4">
        <v>0.0</v>
      </c>
      <c r="M79" s="4">
        <v>0.0</v>
      </c>
      <c r="N79" s="4">
        <v>0.0</v>
      </c>
      <c r="O79" s="4">
        <v>0.0</v>
      </c>
      <c r="P79" s="4">
        <v>0.0</v>
      </c>
      <c r="Q79" s="4">
        <v>1.8462022218666017E-10</v>
      </c>
      <c r="R79" s="4">
        <v>2.9611461030172454E-9</v>
      </c>
      <c r="S79" s="4">
        <v>3.555644413115912E-8</v>
      </c>
      <c r="T79" s="4">
        <v>2.8895237854877025E-7</v>
      </c>
      <c r="U79" s="4">
        <v>2.7688279723574842E-6</v>
      </c>
      <c r="V79" s="4">
        <v>2.1588531015541564E-5</v>
      </c>
      <c r="W79" s="4">
        <v>1.369643775309228E-4</v>
      </c>
      <c r="X79" s="4">
        <v>7.070491138574508E-4</v>
      </c>
      <c r="Y79" s="4">
        <v>0.0029699487464474256</v>
      </c>
      <c r="Z79" s="4">
        <v>0.010150927943548013</v>
      </c>
      <c r="AA79" s="4">
        <v>0.028230589912495378</v>
      </c>
      <c r="AB79" s="4">
        <v>0.06388392333449056</v>
      </c>
      <c r="AC79" s="4">
        <v>0.11763068453883135</v>
      </c>
      <c r="AD79" s="4">
        <v>0.17624105624197287</v>
      </c>
      <c r="AE79" s="4">
        <v>0.21485772236255804</v>
      </c>
      <c r="AF79" s="4">
        <v>0.21313376966830716</v>
      </c>
      <c r="AG79" s="4">
        <v>0.17203269112135222</v>
      </c>
      <c r="AH79" s="4">
        <v>0.0</v>
      </c>
      <c r="AI79" s="4">
        <v>0.0</v>
      </c>
      <c r="AJ79" s="4">
        <v>0.0</v>
      </c>
      <c r="AK79" s="4">
        <v>0.0</v>
      </c>
      <c r="AL79" s="4">
        <v>0.0</v>
      </c>
      <c r="AM79" s="4">
        <v>0.0</v>
      </c>
      <c r="AN79" s="4">
        <v>0.0</v>
      </c>
      <c r="AO79" s="4">
        <v>0.0</v>
      </c>
    </row>
    <row r="80" ht="15.75" customHeight="1">
      <c r="A80" s="4">
        <v>0.0</v>
      </c>
      <c r="B80" s="4">
        <v>0.0</v>
      </c>
      <c r="C80" s="4">
        <v>0.0</v>
      </c>
      <c r="D80" s="4">
        <v>0.0</v>
      </c>
      <c r="E80" s="4">
        <v>0.0</v>
      </c>
      <c r="F80" s="4">
        <v>0.0</v>
      </c>
      <c r="G80" s="4">
        <v>0.0</v>
      </c>
      <c r="H80" s="4">
        <v>0.0</v>
      </c>
      <c r="I80" s="4">
        <v>0.0</v>
      </c>
      <c r="J80" s="4">
        <v>0.0</v>
      </c>
      <c r="K80" s="4">
        <v>0.0</v>
      </c>
      <c r="L80" s="4">
        <v>0.0</v>
      </c>
      <c r="M80" s="4">
        <v>0.0</v>
      </c>
      <c r="N80" s="4">
        <v>0.0</v>
      </c>
      <c r="O80" s="4">
        <v>0.0</v>
      </c>
      <c r="P80" s="4">
        <v>0.0</v>
      </c>
      <c r="Q80" s="4">
        <v>0.0</v>
      </c>
      <c r="R80" s="4">
        <v>1.7395295910086342E-10</v>
      </c>
      <c r="S80" s="4">
        <v>2.535772199403849E-9</v>
      </c>
      <c r="T80" s="4">
        <v>2.4536577896099145E-8</v>
      </c>
      <c r="U80" s="4">
        <v>2.8895237854877025E-7</v>
      </c>
      <c r="V80" s="4">
        <v>2.7688279723574842E-6</v>
      </c>
      <c r="W80" s="4">
        <v>2.1588531015541564E-5</v>
      </c>
      <c r="X80" s="4">
        <v>1.369643775309228E-4</v>
      </c>
      <c r="Y80" s="4">
        <v>7.070491138574508E-4</v>
      </c>
      <c r="Z80" s="4">
        <v>0.0029699487464474256</v>
      </c>
      <c r="AA80" s="4">
        <v>0.010150927943548013</v>
      </c>
      <c r="AB80" s="4">
        <v>0.028230589912495378</v>
      </c>
      <c r="AC80" s="4">
        <v>0.06388392333449056</v>
      </c>
      <c r="AD80" s="4">
        <v>0.11763068453883135</v>
      </c>
      <c r="AE80" s="4">
        <v>0.17624105624197287</v>
      </c>
      <c r="AF80" s="4">
        <v>0.21485772236255804</v>
      </c>
      <c r="AG80" s="4">
        <v>0.21313376966830716</v>
      </c>
      <c r="AH80" s="4">
        <v>0.17203269112135222</v>
      </c>
      <c r="AI80" s="4">
        <v>0.0</v>
      </c>
      <c r="AJ80" s="4">
        <v>0.0</v>
      </c>
      <c r="AK80" s="4">
        <v>0.0</v>
      </c>
      <c r="AL80" s="4">
        <v>0.0</v>
      </c>
      <c r="AM80" s="4">
        <v>0.0</v>
      </c>
      <c r="AN80" s="4">
        <v>0.0</v>
      </c>
      <c r="AO80" s="4">
        <v>0.0</v>
      </c>
    </row>
    <row r="81" ht="15.75" customHeight="1">
      <c r="A81" s="4">
        <v>0.0</v>
      </c>
      <c r="B81" s="4">
        <v>0.0</v>
      </c>
      <c r="C81" s="4">
        <v>0.0</v>
      </c>
      <c r="D81" s="4">
        <v>0.0</v>
      </c>
      <c r="E81" s="4">
        <v>0.0</v>
      </c>
      <c r="F81" s="4">
        <v>0.0</v>
      </c>
      <c r="G81" s="4">
        <v>0.0</v>
      </c>
      <c r="H81" s="4">
        <v>0.0</v>
      </c>
      <c r="I81" s="4">
        <v>0.0</v>
      </c>
      <c r="J81" s="4">
        <v>0.0</v>
      </c>
      <c r="K81" s="4">
        <v>0.0</v>
      </c>
      <c r="L81" s="4">
        <v>0.0</v>
      </c>
      <c r="M81" s="4">
        <v>0.0</v>
      </c>
      <c r="N81" s="4">
        <v>0.0</v>
      </c>
      <c r="O81" s="4">
        <v>0.0</v>
      </c>
      <c r="P81" s="4">
        <v>0.0</v>
      </c>
      <c r="Q81" s="4">
        <v>0.0</v>
      </c>
      <c r="R81" s="4">
        <v>0.0</v>
      </c>
      <c r="S81" s="4">
        <v>1.4714976341560116E-10</v>
      </c>
      <c r="T81" s="4">
        <v>1.6953490524096953E-9</v>
      </c>
      <c r="U81" s="4">
        <v>2.4536577896099145E-8</v>
      </c>
      <c r="V81" s="4">
        <v>2.8895237854877025E-7</v>
      </c>
      <c r="W81" s="4">
        <v>2.7688279723574842E-6</v>
      </c>
      <c r="X81" s="4">
        <v>2.1588531015541564E-5</v>
      </c>
      <c r="Y81" s="4">
        <v>1.369643775309228E-4</v>
      </c>
      <c r="Z81" s="4">
        <v>7.070491138574508E-4</v>
      </c>
      <c r="AA81" s="4">
        <v>0.0029699487464474256</v>
      </c>
      <c r="AB81" s="4">
        <v>0.010150927943548013</v>
      </c>
      <c r="AC81" s="4">
        <v>0.028230589912495378</v>
      </c>
      <c r="AD81" s="4">
        <v>0.06388392333449056</v>
      </c>
      <c r="AE81" s="4">
        <v>0.11763068453883135</v>
      </c>
      <c r="AF81" s="4">
        <v>0.17624105624197287</v>
      </c>
      <c r="AG81" s="4">
        <v>0.21485772236255804</v>
      </c>
      <c r="AH81" s="4">
        <v>0.21313376966830716</v>
      </c>
      <c r="AI81" s="4">
        <v>0.17203269112135222</v>
      </c>
      <c r="AJ81" s="4">
        <v>0.0</v>
      </c>
      <c r="AK81" s="4">
        <v>0.0</v>
      </c>
      <c r="AL81" s="4">
        <v>0.0</v>
      </c>
      <c r="AM81" s="4">
        <v>0.0</v>
      </c>
      <c r="AN81" s="4">
        <v>0.0</v>
      </c>
      <c r="AO81" s="4">
        <v>0.0</v>
      </c>
    </row>
    <row r="82" ht="15.75" customHeight="1">
      <c r="A82" s="4">
        <v>0.0</v>
      </c>
      <c r="B82" s="4">
        <v>0.0</v>
      </c>
      <c r="C82" s="4">
        <v>0.0</v>
      </c>
      <c r="D82" s="4">
        <v>0.0</v>
      </c>
      <c r="E82" s="4">
        <v>0.0</v>
      </c>
      <c r="F82" s="4">
        <v>0.0</v>
      </c>
      <c r="G82" s="4">
        <v>0.0</v>
      </c>
      <c r="H82" s="4">
        <v>0.0</v>
      </c>
      <c r="I82" s="4">
        <v>0.0</v>
      </c>
      <c r="J82" s="4">
        <v>0.0</v>
      </c>
      <c r="K82" s="4">
        <v>0.0</v>
      </c>
      <c r="L82" s="4">
        <v>0.0</v>
      </c>
      <c r="M82" s="4">
        <v>0.0</v>
      </c>
      <c r="N82" s="4">
        <v>0.0</v>
      </c>
      <c r="O82" s="4">
        <v>0.0</v>
      </c>
      <c r="P82" s="4">
        <v>0.0</v>
      </c>
      <c r="Q82" s="4">
        <v>0.0</v>
      </c>
      <c r="R82" s="4">
        <v>0.0</v>
      </c>
      <c r="S82" s="4">
        <v>0.0</v>
      </c>
      <c r="T82" s="4">
        <v>9.531509432827459E-11</v>
      </c>
      <c r="U82" s="4">
        <v>1.6953490524096953E-9</v>
      </c>
      <c r="V82" s="4">
        <v>2.4536577896099145E-8</v>
      </c>
      <c r="W82" s="4">
        <v>2.8895237854877025E-7</v>
      </c>
      <c r="X82" s="4">
        <v>2.7688279723574842E-6</v>
      </c>
      <c r="Y82" s="4">
        <v>2.1588531015541564E-5</v>
      </c>
      <c r="Z82" s="4">
        <v>1.369643775309228E-4</v>
      </c>
      <c r="AA82" s="4">
        <v>7.070491138574508E-4</v>
      </c>
      <c r="AB82" s="4">
        <v>0.0029699487464474256</v>
      </c>
      <c r="AC82" s="4">
        <v>0.010150927943548013</v>
      </c>
      <c r="AD82" s="4">
        <v>0.028230589912495378</v>
      </c>
      <c r="AE82" s="4">
        <v>0.06388392333449056</v>
      </c>
      <c r="AF82" s="4">
        <v>0.11763068453883135</v>
      </c>
      <c r="AG82" s="4">
        <v>0.17624105624197287</v>
      </c>
      <c r="AH82" s="4">
        <v>0.21485772236255804</v>
      </c>
      <c r="AI82" s="4">
        <v>0.21313376966830716</v>
      </c>
      <c r="AJ82" s="4">
        <v>0.17203269112135222</v>
      </c>
      <c r="AK82" s="4">
        <v>0.0</v>
      </c>
      <c r="AL82" s="4">
        <v>0.0</v>
      </c>
      <c r="AM82" s="4">
        <v>0.0</v>
      </c>
      <c r="AN82" s="4">
        <v>0.0</v>
      </c>
      <c r="AO82" s="4">
        <v>0.0</v>
      </c>
    </row>
    <row r="83" ht="15.75" customHeight="1">
      <c r="A83" s="4">
        <v>0.0</v>
      </c>
      <c r="B83" s="4">
        <v>0.0</v>
      </c>
      <c r="C83" s="4">
        <v>0.0</v>
      </c>
      <c r="D83" s="4">
        <v>0.0</v>
      </c>
      <c r="E83" s="4">
        <v>0.0</v>
      </c>
      <c r="F83" s="4">
        <v>0.0</v>
      </c>
      <c r="G83" s="4">
        <v>0.0</v>
      </c>
      <c r="H83" s="4">
        <v>0.0</v>
      </c>
      <c r="I83" s="4">
        <v>0.0</v>
      </c>
      <c r="J83" s="4">
        <v>0.0</v>
      </c>
      <c r="K83" s="4">
        <v>0.0</v>
      </c>
      <c r="L83" s="4">
        <v>0.0</v>
      </c>
      <c r="M83" s="4">
        <v>0.0</v>
      </c>
      <c r="N83" s="4">
        <v>0.0</v>
      </c>
      <c r="O83" s="4">
        <v>0.0</v>
      </c>
      <c r="P83" s="4">
        <v>0.0</v>
      </c>
      <c r="Q83" s="4">
        <v>0.0</v>
      </c>
      <c r="R83" s="4">
        <v>0.0</v>
      </c>
      <c r="S83" s="4">
        <v>0.0</v>
      </c>
      <c r="T83" s="4">
        <v>0.0</v>
      </c>
      <c r="U83" s="4">
        <v>9.531509432827459E-11</v>
      </c>
      <c r="V83" s="4">
        <v>1.6953490524096953E-9</v>
      </c>
      <c r="W83" s="4">
        <v>2.4536577896099145E-8</v>
      </c>
      <c r="X83" s="4">
        <v>2.8895237854877025E-7</v>
      </c>
      <c r="Y83" s="4">
        <v>2.7688279723574842E-6</v>
      </c>
      <c r="Z83" s="4">
        <v>2.1588531015541564E-5</v>
      </c>
      <c r="AA83" s="4">
        <v>1.369643775309228E-4</v>
      </c>
      <c r="AB83" s="4">
        <v>7.070491138574508E-4</v>
      </c>
      <c r="AC83" s="4">
        <v>0.0029699487464474256</v>
      </c>
      <c r="AD83" s="4">
        <v>0.010150927943548013</v>
      </c>
      <c r="AE83" s="4">
        <v>0.028230589912495378</v>
      </c>
      <c r="AF83" s="4">
        <v>0.06388392333449056</v>
      </c>
      <c r="AG83" s="4">
        <v>0.11763068453883135</v>
      </c>
      <c r="AH83" s="4">
        <v>0.17624105624197287</v>
      </c>
      <c r="AI83" s="4">
        <v>0.21485772236255804</v>
      </c>
      <c r="AJ83" s="4">
        <v>0.21313376966830716</v>
      </c>
      <c r="AK83" s="4">
        <v>0.17203269112135222</v>
      </c>
      <c r="AL83" s="4">
        <v>0.0</v>
      </c>
      <c r="AM83" s="4">
        <v>0.0</v>
      </c>
      <c r="AN83" s="4">
        <v>0.0</v>
      </c>
      <c r="AO83" s="4">
        <v>0.0</v>
      </c>
    </row>
    <row r="84" ht="15.75" customHeight="1">
      <c r="A84" s="4">
        <v>0.0</v>
      </c>
      <c r="B84" s="4">
        <v>0.0</v>
      </c>
      <c r="C84" s="4">
        <v>0.0</v>
      </c>
      <c r="D84" s="4">
        <v>0.0</v>
      </c>
      <c r="E84" s="4">
        <v>0.0</v>
      </c>
      <c r="F84" s="4">
        <v>0.0</v>
      </c>
      <c r="G84" s="4">
        <v>0.0</v>
      </c>
      <c r="H84" s="4">
        <v>0.0</v>
      </c>
      <c r="I84" s="4">
        <v>0.0</v>
      </c>
      <c r="J84" s="4">
        <v>0.0</v>
      </c>
      <c r="K84" s="4">
        <v>0.0</v>
      </c>
      <c r="L84" s="4">
        <v>0.0</v>
      </c>
      <c r="M84" s="4">
        <v>0.0</v>
      </c>
      <c r="N84" s="4">
        <v>0.0</v>
      </c>
      <c r="O84" s="4">
        <v>0.0</v>
      </c>
      <c r="P84" s="4">
        <v>0.0</v>
      </c>
      <c r="Q84" s="4">
        <v>0.0</v>
      </c>
      <c r="R84" s="4">
        <v>0.0</v>
      </c>
      <c r="S84" s="4">
        <v>0.0</v>
      </c>
      <c r="T84" s="4">
        <v>0.0</v>
      </c>
      <c r="U84" s="4">
        <v>0.0</v>
      </c>
      <c r="V84" s="4">
        <v>9.531509432827459E-11</v>
      </c>
      <c r="W84" s="4">
        <v>1.6953490524096953E-9</v>
      </c>
      <c r="X84" s="4">
        <v>2.4536577896099145E-8</v>
      </c>
      <c r="Y84" s="4">
        <v>2.8895237854877025E-7</v>
      </c>
      <c r="Z84" s="4">
        <v>2.7688279723574842E-6</v>
      </c>
      <c r="AA84" s="4">
        <v>2.1588531015541564E-5</v>
      </c>
      <c r="AB84" s="4">
        <v>1.369643775309228E-4</v>
      </c>
      <c r="AC84" s="4">
        <v>7.070491138574508E-4</v>
      </c>
      <c r="AD84" s="4">
        <v>0.0029699487464474256</v>
      </c>
      <c r="AE84" s="4">
        <v>0.010150927943548013</v>
      </c>
      <c r="AF84" s="4">
        <v>0.028230589912495378</v>
      </c>
      <c r="AG84" s="4">
        <v>0.06388392333449056</v>
      </c>
      <c r="AH84" s="4">
        <v>0.11763068453883135</v>
      </c>
      <c r="AI84" s="4">
        <v>0.17624105624197287</v>
      </c>
      <c r="AJ84" s="4">
        <v>0.21485772236255804</v>
      </c>
      <c r="AK84" s="4">
        <v>0.21313376966830716</v>
      </c>
      <c r="AL84" s="4">
        <v>0.17203269112135222</v>
      </c>
      <c r="AM84" s="4">
        <v>0.0</v>
      </c>
      <c r="AN84" s="4">
        <v>0.0</v>
      </c>
      <c r="AO84" s="4">
        <v>0.0</v>
      </c>
    </row>
    <row r="85" ht="15.75" customHeight="1">
      <c r="A85" s="4">
        <v>0.0</v>
      </c>
      <c r="B85" s="4">
        <v>0.0</v>
      </c>
      <c r="C85" s="4">
        <v>0.0</v>
      </c>
      <c r="D85" s="4">
        <v>0.0</v>
      </c>
      <c r="E85" s="4">
        <v>0.0</v>
      </c>
      <c r="F85" s="4">
        <v>0.0</v>
      </c>
      <c r="G85" s="4">
        <v>0.0</v>
      </c>
      <c r="H85" s="4">
        <v>0.0</v>
      </c>
      <c r="I85" s="4">
        <v>0.0</v>
      </c>
      <c r="J85" s="4">
        <v>0.0</v>
      </c>
      <c r="K85" s="4">
        <v>0.0</v>
      </c>
      <c r="L85" s="4">
        <v>0.0</v>
      </c>
      <c r="M85" s="4">
        <v>0.0</v>
      </c>
      <c r="N85" s="4">
        <v>0.0</v>
      </c>
      <c r="O85" s="4">
        <v>0.0</v>
      </c>
      <c r="P85" s="4">
        <v>0.0</v>
      </c>
      <c r="Q85" s="4">
        <v>0.0</v>
      </c>
      <c r="R85" s="4">
        <v>0.0</v>
      </c>
      <c r="S85" s="4">
        <v>0.0</v>
      </c>
      <c r="T85" s="4">
        <v>0.0</v>
      </c>
      <c r="U85" s="4">
        <v>0.0</v>
      </c>
      <c r="V85" s="4">
        <v>0.0</v>
      </c>
      <c r="W85" s="4">
        <v>9.531509432827459E-11</v>
      </c>
      <c r="X85" s="4">
        <v>1.6953490524096953E-9</v>
      </c>
      <c r="Y85" s="4">
        <v>2.4536577896099145E-8</v>
      </c>
      <c r="Z85" s="4">
        <v>2.8895237854877025E-7</v>
      </c>
      <c r="AA85" s="4">
        <v>2.7688279723574842E-6</v>
      </c>
      <c r="AB85" s="4">
        <v>2.1588531015541564E-5</v>
      </c>
      <c r="AC85" s="4">
        <v>1.369643775309228E-4</v>
      </c>
      <c r="AD85" s="4">
        <v>7.070491138574508E-4</v>
      </c>
      <c r="AE85" s="4">
        <v>0.0029699487464474256</v>
      </c>
      <c r="AF85" s="4">
        <v>0.010150927943548013</v>
      </c>
      <c r="AG85" s="4">
        <v>0.028230589912495378</v>
      </c>
      <c r="AH85" s="4">
        <v>0.06388392333449056</v>
      </c>
      <c r="AI85" s="4">
        <v>0.11763068453883135</v>
      </c>
      <c r="AJ85" s="4">
        <v>0.17624105624197287</v>
      </c>
      <c r="AK85" s="4">
        <v>0.21485772236255804</v>
      </c>
      <c r="AL85" s="4">
        <v>0.21313376966830716</v>
      </c>
      <c r="AM85" s="4">
        <v>0.17203269112135222</v>
      </c>
      <c r="AN85" s="4">
        <v>0.0</v>
      </c>
      <c r="AO85" s="4">
        <v>0.0</v>
      </c>
    </row>
    <row r="86" ht="15.75" customHeight="1">
      <c r="A86" s="4">
        <v>0.0</v>
      </c>
      <c r="B86" s="4">
        <v>0.0</v>
      </c>
      <c r="C86" s="4">
        <v>0.0</v>
      </c>
      <c r="D86" s="4">
        <v>0.0</v>
      </c>
      <c r="E86" s="4">
        <v>0.0</v>
      </c>
      <c r="F86" s="4">
        <v>0.0</v>
      </c>
      <c r="G86" s="4">
        <v>0.0</v>
      </c>
      <c r="H86" s="4">
        <v>0.0</v>
      </c>
      <c r="I86" s="4">
        <v>0.0</v>
      </c>
      <c r="J86" s="4">
        <v>0.0</v>
      </c>
      <c r="K86" s="4">
        <v>0.0</v>
      </c>
      <c r="L86" s="4">
        <v>0.0</v>
      </c>
      <c r="M86" s="4">
        <v>0.0</v>
      </c>
      <c r="N86" s="4">
        <v>0.0</v>
      </c>
      <c r="O86" s="4">
        <v>0.0</v>
      </c>
      <c r="P86" s="4">
        <v>0.0</v>
      </c>
      <c r="Q86" s="4">
        <v>0.0</v>
      </c>
      <c r="R86" s="4">
        <v>0.0</v>
      </c>
      <c r="S86" s="4">
        <v>0.0</v>
      </c>
      <c r="T86" s="4">
        <v>0.0</v>
      </c>
      <c r="U86" s="4">
        <v>0.0</v>
      </c>
      <c r="V86" s="4">
        <v>0.0</v>
      </c>
      <c r="W86" s="4">
        <v>0.0</v>
      </c>
      <c r="X86" s="4">
        <v>9.531509432827459E-11</v>
      </c>
      <c r="Y86" s="4">
        <v>1.6953490524096953E-9</v>
      </c>
      <c r="Z86" s="4">
        <v>2.4536577896099145E-8</v>
      </c>
      <c r="AA86" s="4">
        <v>2.8895237854877025E-7</v>
      </c>
      <c r="AB86" s="4">
        <v>2.7688279723574842E-6</v>
      </c>
      <c r="AC86" s="4">
        <v>2.1588531015541564E-5</v>
      </c>
      <c r="AD86" s="4">
        <v>1.369643775309228E-4</v>
      </c>
      <c r="AE86" s="4">
        <v>7.070491138574508E-4</v>
      </c>
      <c r="AF86" s="4">
        <v>0.0029699487464474256</v>
      </c>
      <c r="AG86" s="4">
        <v>0.010150927943548013</v>
      </c>
      <c r="AH86" s="4">
        <v>0.028230589912495378</v>
      </c>
      <c r="AI86" s="4">
        <v>0.06388392333449056</v>
      </c>
      <c r="AJ86" s="4">
        <v>0.11763068453883135</v>
      </c>
      <c r="AK86" s="4">
        <v>0.17624105624197287</v>
      </c>
      <c r="AL86" s="4">
        <v>0.21485772236255804</v>
      </c>
      <c r="AM86" s="4">
        <v>0.21313376966830716</v>
      </c>
      <c r="AN86" s="4">
        <v>0.17203269112135222</v>
      </c>
      <c r="AO86" s="4">
        <v>0.0</v>
      </c>
    </row>
    <row r="87" ht="15.75" customHeight="1">
      <c r="A87" s="4">
        <v>0.0</v>
      </c>
      <c r="B87" s="4">
        <v>0.0</v>
      </c>
      <c r="C87" s="4">
        <v>0.0</v>
      </c>
      <c r="D87" s="4">
        <v>0.0</v>
      </c>
      <c r="E87" s="4">
        <v>0.0</v>
      </c>
      <c r="F87" s="4">
        <v>0.0</v>
      </c>
      <c r="G87" s="4">
        <v>0.0</v>
      </c>
      <c r="H87" s="4">
        <v>0.0</v>
      </c>
      <c r="I87" s="4">
        <v>0.0</v>
      </c>
      <c r="J87" s="4">
        <v>0.0</v>
      </c>
      <c r="K87" s="4">
        <v>0.0</v>
      </c>
      <c r="L87" s="4">
        <v>0.0</v>
      </c>
      <c r="M87" s="4">
        <v>0.0</v>
      </c>
      <c r="N87" s="4">
        <v>0.0</v>
      </c>
      <c r="O87" s="4">
        <v>0.0</v>
      </c>
      <c r="P87" s="4">
        <v>0.0</v>
      </c>
      <c r="Q87" s="4">
        <v>0.0</v>
      </c>
      <c r="R87" s="4">
        <v>0.0</v>
      </c>
      <c r="S87" s="4">
        <v>0.0</v>
      </c>
      <c r="T87" s="4">
        <v>0.0</v>
      </c>
      <c r="U87" s="4">
        <v>0.0</v>
      </c>
      <c r="V87" s="4">
        <v>0.0</v>
      </c>
      <c r="W87" s="4">
        <v>0.0</v>
      </c>
      <c r="X87" s="4">
        <v>0.0</v>
      </c>
      <c r="Y87" s="4">
        <v>9.531531119932879E-11</v>
      </c>
      <c r="Z87" s="4">
        <v>1.7906643945408973E-9</v>
      </c>
      <c r="AA87" s="4">
        <v>2.6327242275137053E-8</v>
      </c>
      <c r="AB87" s="4">
        <v>3.152796208549802E-7</v>
      </c>
      <c r="AC87" s="4">
        <v>3.0841075931986595E-6</v>
      </c>
      <c r="AD87" s="4">
        <v>2.4672638608724817E-5</v>
      </c>
      <c r="AE87" s="4">
        <v>1.6163701613969295E-4</v>
      </c>
      <c r="AF87" s="4">
        <v>8.686861299971316E-4</v>
      </c>
      <c r="AG87" s="4">
        <v>0.0038386348764445355</v>
      </c>
      <c r="AH87" s="4">
        <v>0.01398956281999253</v>
      </c>
      <c r="AI87" s="4">
        <v>0.042220152732487914</v>
      </c>
      <c r="AJ87" s="4">
        <v>0.10610407606697847</v>
      </c>
      <c r="AK87" s="4">
        <v>0.22373476060580977</v>
      </c>
      <c r="AL87" s="4">
        <v>0.3999758168477826</v>
      </c>
      <c r="AM87" s="4">
        <v>0.6148335392103406</v>
      </c>
      <c r="AN87" s="4">
        <v>0.8279673088786478</v>
      </c>
      <c r="AO87" s="4">
        <v>1.0</v>
      </c>
    </row>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22.5" customHeight="1">
      <c r="A1" s="7" t="s">
        <v>144</v>
      </c>
      <c r="B1" s="2"/>
      <c r="C1" s="2"/>
      <c r="D1" s="2"/>
      <c r="E1" s="2"/>
      <c r="F1" s="2"/>
      <c r="G1" s="2"/>
      <c r="H1" s="2"/>
      <c r="I1" s="2"/>
      <c r="J1" s="2"/>
      <c r="K1" s="2"/>
      <c r="L1" s="2"/>
      <c r="M1" s="2"/>
      <c r="N1" s="2"/>
      <c r="O1" s="2"/>
      <c r="P1" s="2"/>
      <c r="Q1" s="2"/>
      <c r="R1" s="2"/>
      <c r="S1" s="2"/>
      <c r="T1" s="2"/>
      <c r="U1" s="3"/>
    </row>
    <row r="2">
      <c r="A2" s="4" t="s">
        <v>135</v>
      </c>
      <c r="B2" s="4" t="s">
        <v>109</v>
      </c>
      <c r="C2" s="4" t="s">
        <v>145</v>
      </c>
      <c r="D2" s="4" t="s">
        <v>146</v>
      </c>
      <c r="E2" s="4" t="s">
        <v>147</v>
      </c>
    </row>
    <row r="3">
      <c r="A3" s="4">
        <v>1.0</v>
      </c>
      <c r="B3" s="4">
        <v>1973.0</v>
      </c>
      <c r="C3" s="4">
        <v>70.438185893222</v>
      </c>
      <c r="D3" s="4">
        <v>11.9250764246724</v>
      </c>
      <c r="E3" s="4">
        <v>0.169298460394051</v>
      </c>
    </row>
    <row r="4">
      <c r="A4" s="4">
        <v>1.0</v>
      </c>
      <c r="B4" s="4">
        <v>1974.0</v>
      </c>
      <c r="C4" s="4">
        <v>137.229324302045</v>
      </c>
      <c r="D4" s="4">
        <v>16.6448755464291</v>
      </c>
      <c r="E4" s="4">
        <v>0.121292410576863</v>
      </c>
    </row>
    <row r="5">
      <c r="A5" s="4">
        <v>1.0</v>
      </c>
      <c r="B5" s="4">
        <v>1975.0</v>
      </c>
      <c r="C5" s="4">
        <v>45.8681369964806</v>
      </c>
      <c r="D5" s="4">
        <v>9.60016699144278</v>
      </c>
      <c r="E5" s="4">
        <v>0.20929925695869</v>
      </c>
    </row>
    <row r="6">
      <c r="A6" s="4">
        <v>1.0</v>
      </c>
      <c r="B6" s="4">
        <v>1976.0</v>
      </c>
      <c r="C6" s="4">
        <v>34.915137563644</v>
      </c>
      <c r="D6" s="4">
        <v>8.39583642244044</v>
      </c>
      <c r="E6" s="4">
        <v>0.240464079717181</v>
      </c>
    </row>
    <row r="7">
      <c r="A7" s="4">
        <v>1.0</v>
      </c>
      <c r="B7" s="4">
        <v>1977.0</v>
      </c>
      <c r="C7" s="4">
        <v>41.4621116587623</v>
      </c>
      <c r="D7" s="4">
        <v>9.14919319436703</v>
      </c>
      <c r="E7" s="4">
        <v>0.220663946633155</v>
      </c>
    </row>
    <row r="8">
      <c r="A8" s="4">
        <v>1.0</v>
      </c>
      <c r="B8" s="4">
        <v>1978.0</v>
      </c>
      <c r="C8" s="4">
        <v>38.3150327724413</v>
      </c>
      <c r="D8" s="4">
        <v>8.34452817599916</v>
      </c>
      <c r="E8" s="4">
        <v>0.217787316679554</v>
      </c>
    </row>
    <row r="9">
      <c r="A9" s="4">
        <v>1.0</v>
      </c>
      <c r="B9" s="4">
        <v>1979.0</v>
      </c>
      <c r="C9" s="4">
        <v>56.9126930953068</v>
      </c>
      <c r="D9" s="4">
        <v>10.719182330547</v>
      </c>
      <c r="E9" s="4">
        <v>0.188344317366892</v>
      </c>
    </row>
    <row r="10">
      <c r="A10" s="4">
        <v>1.0</v>
      </c>
      <c r="B10" s="4">
        <v>1980.0</v>
      </c>
      <c r="C10" s="4">
        <v>24.7140839269903</v>
      </c>
      <c r="D10" s="4">
        <v>7.06365286837349</v>
      </c>
      <c r="E10" s="4">
        <v>0.285814877429435</v>
      </c>
    </row>
    <row r="11">
      <c r="A11" s="4">
        <v>1.0</v>
      </c>
      <c r="B11" s="4">
        <v>1981.0</v>
      </c>
      <c r="C11" s="4">
        <v>64.5002773962771</v>
      </c>
      <c r="D11" s="4">
        <v>11.3910095263015</v>
      </c>
      <c r="E11" s="4">
        <v>0.17660403933331</v>
      </c>
    </row>
    <row r="12">
      <c r="A12" s="4">
        <v>1.0</v>
      </c>
      <c r="B12" s="4">
        <v>1982.0</v>
      </c>
      <c r="C12" s="4">
        <v>10.4386235016281</v>
      </c>
      <c r="D12" s="4">
        <v>2.65065275562046</v>
      </c>
      <c r="E12" s="4">
        <v>0.253927422059722</v>
      </c>
    </row>
    <row r="13">
      <c r="A13" s="4">
        <v>1.0</v>
      </c>
      <c r="B13" s="4">
        <v>1983.0</v>
      </c>
      <c r="C13" s="4">
        <v>28.7852482787011</v>
      </c>
      <c r="D13" s="4">
        <v>4.4016571349405</v>
      </c>
      <c r="E13" s="4">
        <v>0.152913641470913</v>
      </c>
    </row>
    <row r="14">
      <c r="A14" s="4">
        <v>1.0</v>
      </c>
      <c r="B14" s="4">
        <v>1984.0</v>
      </c>
      <c r="C14" s="4">
        <v>92.2912710302895</v>
      </c>
      <c r="D14" s="4">
        <v>7.85943912285761</v>
      </c>
      <c r="E14" s="4">
        <v>0.085159073389272</v>
      </c>
    </row>
    <row r="15">
      <c r="A15" s="4">
        <v>1.0</v>
      </c>
      <c r="B15" s="4">
        <v>1985.0</v>
      </c>
      <c r="C15" s="4">
        <v>53.9950714490137</v>
      </c>
      <c r="D15" s="4">
        <v>6.02848633222942</v>
      </c>
      <c r="E15" s="4">
        <v>0.111648825910379</v>
      </c>
    </row>
    <row r="16">
      <c r="A16" s="4">
        <v>1.0</v>
      </c>
      <c r="B16" s="4">
        <v>1986.0</v>
      </c>
      <c r="C16" s="4">
        <v>13.7382181479726</v>
      </c>
      <c r="D16" s="4">
        <v>2.87596544864459</v>
      </c>
      <c r="E16" s="4">
        <v>0.209340499449633</v>
      </c>
    </row>
    <row r="17">
      <c r="A17" s="4">
        <v>1.0</v>
      </c>
      <c r="B17" s="4">
        <v>1987.0</v>
      </c>
      <c r="C17" s="4">
        <v>25.2941511317649</v>
      </c>
      <c r="D17" s="4">
        <v>4.12611449596419</v>
      </c>
      <c r="E17" s="4">
        <v>0.163125240869718</v>
      </c>
    </row>
    <row r="18">
      <c r="A18" s="4">
        <v>1.0</v>
      </c>
      <c r="B18" s="4">
        <v>1988.0</v>
      </c>
      <c r="C18" s="4">
        <v>79.496697594262</v>
      </c>
      <c r="D18" s="4">
        <v>7.31485572029852</v>
      </c>
      <c r="E18" s="4">
        <v>0.0920145860351625</v>
      </c>
    </row>
    <row r="19">
      <c r="A19" s="4">
        <v>1.0</v>
      </c>
      <c r="B19" s="4">
        <v>1989.0</v>
      </c>
      <c r="C19" s="4">
        <v>57.8836733877749</v>
      </c>
      <c r="D19" s="4">
        <v>6.05887826851381</v>
      </c>
      <c r="E19" s="4">
        <v>0.10467335457313</v>
      </c>
    </row>
    <row r="20">
      <c r="A20" s="4">
        <v>1.0</v>
      </c>
      <c r="B20" s="4">
        <v>1990.0</v>
      </c>
      <c r="C20" s="4">
        <v>25.9123914919532</v>
      </c>
      <c r="D20" s="4">
        <v>3.63019599442326</v>
      </c>
      <c r="E20" s="4">
        <v>0.140094981026764</v>
      </c>
    </row>
    <row r="21" ht="15.75" customHeight="1">
      <c r="A21" s="4">
        <v>1.0</v>
      </c>
      <c r="B21" s="4">
        <v>1991.0</v>
      </c>
      <c r="C21" s="4">
        <v>31.8020612806893</v>
      </c>
      <c r="D21" s="4">
        <v>4.00443539698238</v>
      </c>
      <c r="E21" s="4">
        <v>0.125917479424956</v>
      </c>
    </row>
    <row r="22" ht="15.75" customHeight="1">
      <c r="A22" s="4">
        <v>1.0</v>
      </c>
      <c r="B22" s="4">
        <v>1992.0</v>
      </c>
      <c r="C22" s="4">
        <v>26.2784043595928</v>
      </c>
      <c r="D22" s="4">
        <v>3.6252482905337</v>
      </c>
      <c r="E22" s="4">
        <v>0.137955419245626</v>
      </c>
    </row>
    <row r="23" ht="15.75" customHeight="1">
      <c r="A23" s="4">
        <v>1.0</v>
      </c>
      <c r="B23" s="4">
        <v>1993.0</v>
      </c>
      <c r="C23" s="4">
        <v>20.8222639272752</v>
      </c>
      <c r="D23" s="4">
        <v>3.73567872660489</v>
      </c>
      <c r="E23" s="4">
        <v>0.179407903946098</v>
      </c>
    </row>
    <row r="24" ht="15.75" customHeight="1">
      <c r="A24" s="4">
        <v>1.0</v>
      </c>
      <c r="B24" s="4">
        <v>1994.0</v>
      </c>
      <c r="C24" s="4">
        <v>57.8061343593749</v>
      </c>
      <c r="D24" s="4">
        <v>6.26054812299465</v>
      </c>
      <c r="E24" s="4">
        <v>0.108302487138708</v>
      </c>
    </row>
    <row r="25" ht="15.75" customHeight="1">
      <c r="A25" s="4">
        <v>1.0</v>
      </c>
      <c r="B25" s="4">
        <v>1995.0</v>
      </c>
      <c r="C25" s="4">
        <v>146.134826108961</v>
      </c>
      <c r="D25" s="4">
        <v>9.91040721029145</v>
      </c>
      <c r="E25" s="4">
        <v>0.0678168748283318</v>
      </c>
    </row>
    <row r="26" ht="15.75" customHeight="1">
      <c r="A26" s="4">
        <v>1.0</v>
      </c>
      <c r="B26" s="4">
        <v>1996.0</v>
      </c>
      <c r="C26" s="4">
        <v>138.273142821319</v>
      </c>
      <c r="D26" s="4">
        <v>9.64014470764476</v>
      </c>
      <c r="E26" s="4">
        <v>0.0697181282709546</v>
      </c>
    </row>
    <row r="27" ht="15.75" customHeight="1">
      <c r="A27" s="4">
        <v>1.0</v>
      </c>
      <c r="B27" s="4">
        <v>1997.0</v>
      </c>
      <c r="C27" s="4">
        <v>32.3294521544233</v>
      </c>
      <c r="D27" s="4">
        <v>4.42459682931721</v>
      </c>
      <c r="E27" s="4">
        <v>0.136859629052262</v>
      </c>
    </row>
    <row r="28" ht="15.75" customHeight="1">
      <c r="A28" s="4">
        <v>1.0</v>
      </c>
      <c r="B28" s="4">
        <v>1998.0</v>
      </c>
      <c r="C28" s="4">
        <v>34.9071300869523</v>
      </c>
      <c r="D28" s="4">
        <v>4.81073875358427</v>
      </c>
      <c r="E28" s="4">
        <v>0.137815361549371</v>
      </c>
    </row>
    <row r="29" ht="15.75" customHeight="1">
      <c r="A29" s="4">
        <v>1.0</v>
      </c>
      <c r="B29" s="4">
        <v>1999.0</v>
      </c>
      <c r="C29" s="4">
        <v>146.045406685978</v>
      </c>
      <c r="D29" s="4">
        <v>9.90737467341281</v>
      </c>
      <c r="E29" s="4">
        <v>0.067837632817274</v>
      </c>
    </row>
    <row r="30" ht="15.75" customHeight="1">
      <c r="A30" s="4">
        <v>1.0</v>
      </c>
      <c r="B30" s="4">
        <v>2000.0</v>
      </c>
      <c r="C30" s="4">
        <v>149.548873576936</v>
      </c>
      <c r="D30" s="4">
        <v>9.96823568097909</v>
      </c>
      <c r="E30" s="4">
        <v>0.0666553712011136</v>
      </c>
    </row>
    <row r="31" ht="15.75" customHeight="1">
      <c r="A31" s="4">
        <v>1.0</v>
      </c>
      <c r="B31" s="4">
        <v>2001.0</v>
      </c>
      <c r="C31" s="4">
        <v>104.077486859219</v>
      </c>
      <c r="D31" s="4">
        <v>8.36359577410404</v>
      </c>
      <c r="E31" s="4">
        <v>0.0803593171443223</v>
      </c>
    </row>
    <row r="32" ht="15.75" customHeight="1">
      <c r="A32" s="4">
        <v>1.0</v>
      </c>
      <c r="B32" s="4">
        <v>2002.0</v>
      </c>
      <c r="C32" s="4">
        <v>13.8313366111413</v>
      </c>
      <c r="D32" s="4">
        <v>3.04892479031244</v>
      </c>
      <c r="E32" s="4">
        <v>0.22043601974494</v>
      </c>
    </row>
    <row r="33" ht="15.75" customHeight="1">
      <c r="A33" s="4">
        <v>1.0</v>
      </c>
      <c r="B33" s="4">
        <v>2003.0</v>
      </c>
      <c r="C33" s="4">
        <v>33.2229587504122</v>
      </c>
      <c r="D33" s="4">
        <v>4.71839450074003</v>
      </c>
      <c r="E33" s="4">
        <v>0.142022103936829</v>
      </c>
    </row>
    <row r="34" ht="15.75" customHeight="1">
      <c r="A34" s="4">
        <v>1.0</v>
      </c>
      <c r="B34" s="4">
        <v>2004.0</v>
      </c>
      <c r="C34" s="4">
        <v>38.5782434593824</v>
      </c>
      <c r="D34" s="4">
        <v>5.09197028786</v>
      </c>
      <c r="E34" s="4">
        <v>0.131990724077967</v>
      </c>
    </row>
    <row r="35" ht="15.75" customHeight="1">
      <c r="A35" s="4">
        <v>1.0</v>
      </c>
      <c r="B35" s="4">
        <v>2005.0</v>
      </c>
      <c r="C35" s="4">
        <v>44.3721643011034</v>
      </c>
      <c r="D35" s="4">
        <v>5.19174743044197</v>
      </c>
      <c r="E35" s="4">
        <v>0.117004602146776</v>
      </c>
    </row>
    <row r="36" ht="15.75" customHeight="1">
      <c r="A36" s="4">
        <v>1.0</v>
      </c>
      <c r="B36" s="4">
        <v>2006.0</v>
      </c>
      <c r="C36" s="4">
        <v>13.0862480841226</v>
      </c>
      <c r="D36" s="4">
        <v>2.9656658120688</v>
      </c>
      <c r="E36" s="4">
        <v>0.226624605693286</v>
      </c>
    </row>
    <row r="37" ht="15.75" customHeight="1">
      <c r="A37" s="4">
        <v>1.0</v>
      </c>
      <c r="B37" s="4">
        <v>2007.0</v>
      </c>
      <c r="C37" s="4">
        <v>4.47930264669735</v>
      </c>
      <c r="D37" s="4">
        <v>1.73508134122891</v>
      </c>
      <c r="E37" s="4">
        <v>0.387355237652496</v>
      </c>
    </row>
    <row r="38" ht="15.75" customHeight="1">
      <c r="A38" s="4">
        <v>1.0</v>
      </c>
      <c r="B38" s="4">
        <v>2008.0</v>
      </c>
      <c r="C38" s="4">
        <v>1.0823392104674</v>
      </c>
      <c r="D38" s="4">
        <v>0.849606771282156</v>
      </c>
      <c r="E38" s="4">
        <v>0.784972735964411</v>
      </c>
    </row>
    <row r="39" ht="15.75" customHeight="1">
      <c r="A39" s="4">
        <v>1.0</v>
      </c>
      <c r="B39" s="4">
        <v>2009.0</v>
      </c>
      <c r="C39" s="4">
        <v>2.60630782261211</v>
      </c>
      <c r="D39" s="4">
        <v>1.32351080092684</v>
      </c>
      <c r="E39" s="4">
        <v>0.507810623689257</v>
      </c>
    </row>
    <row r="40" ht="15.75" customHeight="1">
      <c r="A40" s="4">
        <v>1.0</v>
      </c>
      <c r="B40" s="4">
        <v>2010.0</v>
      </c>
      <c r="C40" s="4">
        <v>21.1458070775721</v>
      </c>
      <c r="D40" s="4">
        <v>3.76987342552345</v>
      </c>
      <c r="E40" s="4">
        <v>0.178279949859275</v>
      </c>
    </row>
    <row r="41" ht="15.75" customHeight="1">
      <c r="A41" s="4">
        <v>1.0</v>
      </c>
      <c r="B41" s="4">
        <v>2011.0</v>
      </c>
      <c r="C41" s="4">
        <v>13.2507498721519</v>
      </c>
      <c r="D41" s="4">
        <v>2.94528360755752</v>
      </c>
      <c r="E41" s="4">
        <v>0.222272975942849</v>
      </c>
    </row>
    <row r="42" ht="15.75" customHeight="1">
      <c r="A42" s="4">
        <v>1.0</v>
      </c>
      <c r="B42" s="4">
        <v>2012.0</v>
      </c>
      <c r="C42" s="4">
        <v>18.9752562881581</v>
      </c>
      <c r="D42" s="4">
        <v>3.57115303348794</v>
      </c>
      <c r="E42" s="4">
        <v>0.188200516465045</v>
      </c>
    </row>
    <row r="43" ht="15.75" customHeight="1">
      <c r="A43" s="4">
        <v>1.0</v>
      </c>
      <c r="B43" s="4">
        <v>2013.0</v>
      </c>
      <c r="C43" s="4">
        <v>80.7909154417557</v>
      </c>
      <c r="D43" s="4">
        <v>7.35176058435777</v>
      </c>
      <c r="E43" s="4">
        <v>0.090997367020279</v>
      </c>
    </row>
    <row r="44" ht="15.75" customHeight="1">
      <c r="A44" s="4">
        <v>1.0</v>
      </c>
      <c r="B44" s="4">
        <v>2014.0</v>
      </c>
      <c r="C44" s="4">
        <v>13.9391477689548</v>
      </c>
      <c r="D44" s="4">
        <v>3.06078445578731</v>
      </c>
      <c r="E44" s="4">
        <v>0.219581893134405</v>
      </c>
    </row>
    <row r="45" ht="15.75" customHeight="1">
      <c r="A45" s="4">
        <v>1.0</v>
      </c>
      <c r="B45" s="4">
        <v>2015.0</v>
      </c>
      <c r="C45" s="4">
        <v>23.9257112243538</v>
      </c>
      <c r="D45" s="4">
        <v>4.01002485429689</v>
      </c>
      <c r="E45" s="4">
        <v>0.167603161999845</v>
      </c>
    </row>
    <row r="46" ht="15.75" customHeight="1">
      <c r="A46" s="4">
        <v>1.0</v>
      </c>
      <c r="B46" s="4">
        <v>2016.0</v>
      </c>
      <c r="C46" s="4">
        <v>42.7986949165798</v>
      </c>
      <c r="D46" s="4">
        <v>5.03801052435741</v>
      </c>
      <c r="E46" s="4">
        <v>0.117714115679862</v>
      </c>
    </row>
    <row r="47" ht="15.75" customHeight="1">
      <c r="A47" s="4">
        <v>1.0</v>
      </c>
      <c r="B47" s="4">
        <v>2017.0</v>
      </c>
      <c r="C47" s="4">
        <v>21.9284433842759</v>
      </c>
      <c r="D47" s="4">
        <v>3.83900376486642</v>
      </c>
      <c r="E47" s="4">
        <v>0.175069597854777</v>
      </c>
    </row>
    <row r="48" ht="15.75" customHeight="1">
      <c r="A48" s="4">
        <v>1.0</v>
      </c>
      <c r="B48" s="4">
        <v>2018.0</v>
      </c>
      <c r="C48" s="4">
        <v>17.2235775662349</v>
      </c>
      <c r="D48" s="4">
        <v>3.40232909230715</v>
      </c>
      <c r="E48" s="4">
        <v>0.197539046648303</v>
      </c>
    </row>
    <row r="49" ht="15.75" customHeight="1">
      <c r="A49" s="4">
        <v>1.0</v>
      </c>
      <c r="B49" s="4">
        <v>2019.0</v>
      </c>
      <c r="C49" s="4">
        <v>37.9177711957006</v>
      </c>
      <c r="D49" s="4">
        <v>5.01294418250376</v>
      </c>
      <c r="E49" s="4">
        <v>0.132205665692507</v>
      </c>
    </row>
    <row r="50" ht="15.75" customHeight="1">
      <c r="A50" s="4">
        <v>1.0</v>
      </c>
      <c r="B50" s="4">
        <v>2020.0</v>
      </c>
      <c r="C50" s="4">
        <v>23.762363659978</v>
      </c>
      <c r="D50" s="4">
        <v>3.99631262575494</v>
      </c>
      <c r="E50" s="4">
        <v>0.168178245352157</v>
      </c>
    </row>
    <row r="51" ht="15.75" customHeight="1">
      <c r="A51" s="4">
        <v>1.0</v>
      </c>
      <c r="B51" s="4">
        <v>2021.0</v>
      </c>
      <c r="C51" s="4">
        <v>32.7491351751276</v>
      </c>
      <c r="D51" s="4">
        <v>4.6915306074084</v>
      </c>
      <c r="E51" s="4">
        <v>0.143256625932874</v>
      </c>
    </row>
    <row r="52" ht="15.75" customHeight="1">
      <c r="A52" s="4">
        <v>1.0</v>
      </c>
      <c r="B52" s="4">
        <v>2022.0</v>
      </c>
      <c r="C52" s="4">
        <v>14.0428600965313</v>
      </c>
      <c r="D52" s="4">
        <v>3.0682895230353</v>
      </c>
      <c r="E52" s="4">
        <v>0.21849463014968</v>
      </c>
    </row>
    <row r="53" ht="15.75" customHeight="1">
      <c r="A53" s="4">
        <v>1.0</v>
      </c>
      <c r="B53" s="4">
        <v>2023.0</v>
      </c>
      <c r="C53" s="4">
        <v>29.8079196608437</v>
      </c>
      <c r="D53" s="4">
        <v>4.47590097485172</v>
      </c>
      <c r="E53" s="4">
        <v>0.150158113205443</v>
      </c>
    </row>
    <row r="54" ht="15.75" customHeight="1">
      <c r="A54" s="4">
        <v>1.0</v>
      </c>
      <c r="B54" s="4">
        <v>2024.0</v>
      </c>
      <c r="C54" s="4">
        <v>20.9840355024237</v>
      </c>
      <c r="D54" s="4">
        <v>4.47590097485172</v>
      </c>
      <c r="E54" s="4">
        <v>0.213300295566825</v>
      </c>
    </row>
    <row r="55" ht="15.75" customHeight="1">
      <c r="A55" s="4">
        <v>2.0</v>
      </c>
      <c r="B55" s="4">
        <v>1973.0</v>
      </c>
      <c r="C55" s="4">
        <v>70.438185893222</v>
      </c>
      <c r="D55" s="4">
        <v>11.9250764246724</v>
      </c>
      <c r="E55" s="4">
        <v>0.169298460394051</v>
      </c>
    </row>
    <row r="56" ht="15.75" customHeight="1">
      <c r="A56" s="4">
        <v>2.0</v>
      </c>
      <c r="B56" s="4">
        <v>1974.0</v>
      </c>
      <c r="C56" s="4">
        <v>137.229324302045</v>
      </c>
      <c r="D56" s="4">
        <v>16.6448755464291</v>
      </c>
      <c r="E56" s="4">
        <v>0.121292410576863</v>
      </c>
    </row>
    <row r="57" ht="15.75" customHeight="1">
      <c r="A57" s="4">
        <v>2.0</v>
      </c>
      <c r="B57" s="4">
        <v>1975.0</v>
      </c>
      <c r="C57" s="4">
        <v>45.8681369964806</v>
      </c>
      <c r="D57" s="4">
        <v>9.60016699144278</v>
      </c>
      <c r="E57" s="4">
        <v>0.20929925695869</v>
      </c>
    </row>
    <row r="58" ht="15.75" customHeight="1">
      <c r="A58" s="4">
        <v>2.0</v>
      </c>
      <c r="B58" s="4">
        <v>1976.0</v>
      </c>
      <c r="C58" s="4">
        <v>34.915137563644</v>
      </c>
      <c r="D58" s="4">
        <v>8.39583642244044</v>
      </c>
      <c r="E58" s="4">
        <v>0.240464079717181</v>
      </c>
    </row>
    <row r="59" ht="15.75" customHeight="1">
      <c r="A59" s="4">
        <v>2.0</v>
      </c>
      <c r="B59" s="4">
        <v>1977.0</v>
      </c>
      <c r="C59" s="4">
        <v>41.4621116587623</v>
      </c>
      <c r="D59" s="4">
        <v>9.14919319436703</v>
      </c>
      <c r="E59" s="4">
        <v>0.220663946633155</v>
      </c>
    </row>
    <row r="60" ht="15.75" customHeight="1">
      <c r="A60" s="4">
        <v>2.0</v>
      </c>
      <c r="B60" s="4">
        <v>1978.0</v>
      </c>
      <c r="C60" s="4">
        <v>38.3150327724413</v>
      </c>
      <c r="D60" s="4">
        <v>8.34452817599916</v>
      </c>
      <c r="E60" s="4">
        <v>0.217787316679554</v>
      </c>
    </row>
    <row r="61" ht="15.75" customHeight="1">
      <c r="A61" s="4">
        <v>2.0</v>
      </c>
      <c r="B61" s="4">
        <v>1979.0</v>
      </c>
      <c r="C61" s="4">
        <v>56.9126930953068</v>
      </c>
      <c r="D61" s="4">
        <v>10.719182330547</v>
      </c>
      <c r="E61" s="4">
        <v>0.188344317366892</v>
      </c>
    </row>
    <row r="62" ht="15.75" customHeight="1">
      <c r="A62" s="4">
        <v>2.0</v>
      </c>
      <c r="B62" s="4">
        <v>1980.0</v>
      </c>
      <c r="C62" s="4">
        <v>24.7140839269903</v>
      </c>
      <c r="D62" s="4">
        <v>7.06365286837349</v>
      </c>
      <c r="E62" s="4">
        <v>0.285814877429435</v>
      </c>
    </row>
    <row r="63" ht="15.75" customHeight="1">
      <c r="A63" s="4">
        <v>2.0</v>
      </c>
      <c r="B63" s="4">
        <v>1981.0</v>
      </c>
      <c r="C63" s="4">
        <v>64.5002773962771</v>
      </c>
      <c r="D63" s="4">
        <v>11.3910095263015</v>
      </c>
      <c r="E63" s="4">
        <v>0.17660403933331</v>
      </c>
    </row>
    <row r="64" ht="15.75" customHeight="1">
      <c r="A64" s="4">
        <v>2.0</v>
      </c>
      <c r="B64" s="4">
        <v>1982.0</v>
      </c>
      <c r="C64" s="4">
        <v>10.4386235016281</v>
      </c>
      <c r="D64" s="4">
        <v>2.65065275562046</v>
      </c>
      <c r="E64" s="4">
        <v>0.253927422059722</v>
      </c>
    </row>
    <row r="65" ht="15.75" customHeight="1">
      <c r="A65" s="4">
        <v>2.0</v>
      </c>
      <c r="B65" s="4">
        <v>1983.0</v>
      </c>
      <c r="C65" s="4">
        <v>28.7852482787011</v>
      </c>
      <c r="D65" s="4">
        <v>4.4016571349405</v>
      </c>
      <c r="E65" s="4">
        <v>0.152913641470913</v>
      </c>
    </row>
    <row r="66" ht="15.75" customHeight="1">
      <c r="A66" s="4">
        <v>2.0</v>
      </c>
      <c r="B66" s="4">
        <v>1984.0</v>
      </c>
      <c r="C66" s="4">
        <v>92.2912710302895</v>
      </c>
      <c r="D66" s="4">
        <v>7.85943912285761</v>
      </c>
      <c r="E66" s="4">
        <v>0.085159073389272</v>
      </c>
    </row>
    <row r="67" ht="15.75" customHeight="1">
      <c r="A67" s="4">
        <v>2.0</v>
      </c>
      <c r="B67" s="4">
        <v>1985.0</v>
      </c>
      <c r="C67" s="4">
        <v>53.9950714490137</v>
      </c>
      <c r="D67" s="4">
        <v>6.02848633222942</v>
      </c>
      <c r="E67" s="4">
        <v>0.111648825910379</v>
      </c>
    </row>
    <row r="68" ht="15.75" customHeight="1">
      <c r="A68" s="4">
        <v>2.0</v>
      </c>
      <c r="B68" s="4">
        <v>1986.0</v>
      </c>
      <c r="C68" s="4">
        <v>13.7382181479726</v>
      </c>
      <c r="D68" s="4">
        <v>2.87596544864459</v>
      </c>
      <c r="E68" s="4">
        <v>0.209340499449633</v>
      </c>
    </row>
    <row r="69" ht="15.75" customHeight="1">
      <c r="A69" s="4">
        <v>2.0</v>
      </c>
      <c r="B69" s="4">
        <v>1987.0</v>
      </c>
      <c r="C69" s="4">
        <v>25.2941511317649</v>
      </c>
      <c r="D69" s="4">
        <v>4.12611449596419</v>
      </c>
      <c r="E69" s="4">
        <v>0.163125240869718</v>
      </c>
    </row>
    <row r="70" ht="15.75" customHeight="1">
      <c r="A70" s="4">
        <v>2.0</v>
      </c>
      <c r="B70" s="4">
        <v>1988.0</v>
      </c>
      <c r="C70" s="4">
        <v>79.496697594262</v>
      </c>
      <c r="D70" s="4">
        <v>7.31485572029852</v>
      </c>
      <c r="E70" s="4">
        <v>0.0920145860351625</v>
      </c>
    </row>
    <row r="71" ht="15.75" customHeight="1">
      <c r="A71" s="4">
        <v>2.0</v>
      </c>
      <c r="B71" s="4">
        <v>1989.0</v>
      </c>
      <c r="C71" s="4">
        <v>57.8836733877749</v>
      </c>
      <c r="D71" s="4">
        <v>6.05887826851381</v>
      </c>
      <c r="E71" s="4">
        <v>0.10467335457313</v>
      </c>
    </row>
    <row r="72" ht="15.75" customHeight="1">
      <c r="A72" s="4">
        <v>2.0</v>
      </c>
      <c r="B72" s="4">
        <v>1990.0</v>
      </c>
      <c r="C72" s="4">
        <v>25.9123914919532</v>
      </c>
      <c r="D72" s="4">
        <v>3.63019599442326</v>
      </c>
      <c r="E72" s="4">
        <v>0.140094981026764</v>
      </c>
    </row>
    <row r="73" ht="15.75" customHeight="1">
      <c r="A73" s="4">
        <v>2.0</v>
      </c>
      <c r="B73" s="4">
        <v>1991.0</v>
      </c>
      <c r="C73" s="4">
        <v>31.8020612806893</v>
      </c>
      <c r="D73" s="4">
        <v>4.00443539698238</v>
      </c>
      <c r="E73" s="4">
        <v>0.125917479424956</v>
      </c>
    </row>
    <row r="74" ht="15.75" customHeight="1">
      <c r="A74" s="4">
        <v>2.0</v>
      </c>
      <c r="B74" s="4">
        <v>1992.0</v>
      </c>
      <c r="C74" s="4">
        <v>26.2784043595928</v>
      </c>
      <c r="D74" s="4">
        <v>3.6252482905337</v>
      </c>
      <c r="E74" s="4">
        <v>0.137955419245626</v>
      </c>
    </row>
    <row r="75" ht="15.75" customHeight="1">
      <c r="A75" s="4">
        <v>2.0</v>
      </c>
      <c r="B75" s="4">
        <v>1993.0</v>
      </c>
      <c r="C75" s="4">
        <v>20.8222639272752</v>
      </c>
      <c r="D75" s="4">
        <v>3.73567872660489</v>
      </c>
      <c r="E75" s="4">
        <v>0.179407903946098</v>
      </c>
    </row>
    <row r="76" ht="15.75" customHeight="1">
      <c r="A76" s="4">
        <v>2.0</v>
      </c>
      <c r="B76" s="4">
        <v>1994.0</v>
      </c>
      <c r="C76" s="4">
        <v>57.8061343593749</v>
      </c>
      <c r="D76" s="4">
        <v>6.26054812299465</v>
      </c>
      <c r="E76" s="4">
        <v>0.108302487138708</v>
      </c>
    </row>
    <row r="77" ht="15.75" customHeight="1">
      <c r="A77" s="4">
        <v>2.0</v>
      </c>
      <c r="B77" s="4">
        <v>1995.0</v>
      </c>
      <c r="C77" s="4">
        <v>146.134826108961</v>
      </c>
      <c r="D77" s="4">
        <v>9.91040721029145</v>
      </c>
      <c r="E77" s="4">
        <v>0.0678168748283318</v>
      </c>
    </row>
    <row r="78" ht="15.75" customHeight="1">
      <c r="A78" s="4">
        <v>2.0</v>
      </c>
      <c r="B78" s="4">
        <v>1996.0</v>
      </c>
      <c r="C78" s="4">
        <v>138.273142821319</v>
      </c>
      <c r="D78" s="4">
        <v>9.64014470764476</v>
      </c>
      <c r="E78" s="4">
        <v>0.0697181282709546</v>
      </c>
    </row>
    <row r="79" ht="15.75" customHeight="1">
      <c r="A79" s="4">
        <v>2.0</v>
      </c>
      <c r="B79" s="4">
        <v>1997.0</v>
      </c>
      <c r="C79" s="4">
        <v>32.3294521544233</v>
      </c>
      <c r="D79" s="4">
        <v>4.42459682931721</v>
      </c>
      <c r="E79" s="4">
        <v>0.136859629052262</v>
      </c>
    </row>
    <row r="80" ht="15.75" customHeight="1">
      <c r="A80" s="4">
        <v>2.0</v>
      </c>
      <c r="B80" s="4">
        <v>1998.0</v>
      </c>
      <c r="C80" s="4">
        <v>34.9071300869523</v>
      </c>
      <c r="D80" s="4">
        <v>4.81073875358427</v>
      </c>
      <c r="E80" s="4">
        <v>0.137815361549371</v>
      </c>
    </row>
    <row r="81" ht="15.75" customHeight="1">
      <c r="A81" s="4">
        <v>2.0</v>
      </c>
      <c r="B81" s="4">
        <v>1999.0</v>
      </c>
      <c r="C81" s="4">
        <v>146.045406685978</v>
      </c>
      <c r="D81" s="4">
        <v>9.90737467341281</v>
      </c>
      <c r="E81" s="4">
        <v>0.067837632817274</v>
      </c>
    </row>
    <row r="82" ht="15.75" customHeight="1">
      <c r="A82" s="4">
        <v>2.0</v>
      </c>
      <c r="B82" s="4">
        <v>2000.0</v>
      </c>
      <c r="C82" s="4">
        <v>149.548873576936</v>
      </c>
      <c r="D82" s="4">
        <v>9.96823568097909</v>
      </c>
      <c r="E82" s="4">
        <v>0.0666553712011136</v>
      </c>
    </row>
    <row r="83" ht="15.75" customHeight="1">
      <c r="A83" s="4">
        <v>2.0</v>
      </c>
      <c r="B83" s="4">
        <v>2001.0</v>
      </c>
      <c r="C83" s="4">
        <v>104.077486859219</v>
      </c>
      <c r="D83" s="4">
        <v>8.36359577410404</v>
      </c>
      <c r="E83" s="4">
        <v>0.0803593171443223</v>
      </c>
    </row>
    <row r="84" ht="15.75" customHeight="1">
      <c r="A84" s="4">
        <v>2.0</v>
      </c>
      <c r="B84" s="4">
        <v>2002.0</v>
      </c>
      <c r="C84" s="4">
        <v>13.8313366111413</v>
      </c>
      <c r="D84" s="4">
        <v>3.04892479031244</v>
      </c>
      <c r="E84" s="4">
        <v>0.22043601974494</v>
      </c>
    </row>
    <row r="85" ht="15.75" customHeight="1">
      <c r="A85" s="4">
        <v>2.0</v>
      </c>
      <c r="B85" s="4">
        <v>2003.0</v>
      </c>
      <c r="C85" s="4">
        <v>33.2229587504122</v>
      </c>
      <c r="D85" s="4">
        <v>4.71839450074003</v>
      </c>
      <c r="E85" s="4">
        <v>0.142022103936829</v>
      </c>
    </row>
    <row r="86" ht="15.75" customHeight="1">
      <c r="A86" s="4">
        <v>2.0</v>
      </c>
      <c r="B86" s="4">
        <v>2004.0</v>
      </c>
      <c r="C86" s="4">
        <v>38.5782434593824</v>
      </c>
      <c r="D86" s="4">
        <v>5.09197028786</v>
      </c>
      <c r="E86" s="4">
        <v>0.131990724077967</v>
      </c>
    </row>
    <row r="87" ht="15.75" customHeight="1">
      <c r="A87" s="4">
        <v>2.0</v>
      </c>
      <c r="B87" s="4">
        <v>2005.0</v>
      </c>
      <c r="C87" s="4">
        <v>44.3721643011034</v>
      </c>
      <c r="D87" s="4">
        <v>5.19174743044197</v>
      </c>
      <c r="E87" s="4">
        <v>0.117004602146776</v>
      </c>
    </row>
    <row r="88" ht="15.75" customHeight="1">
      <c r="A88" s="4">
        <v>2.0</v>
      </c>
      <c r="B88" s="4">
        <v>2006.0</v>
      </c>
      <c r="C88" s="4">
        <v>13.0862480841226</v>
      </c>
      <c r="D88" s="4">
        <v>2.9656658120688</v>
      </c>
      <c r="E88" s="4">
        <v>0.226624605693286</v>
      </c>
    </row>
    <row r="89" ht="15.75" customHeight="1">
      <c r="A89" s="4">
        <v>2.0</v>
      </c>
      <c r="B89" s="4">
        <v>2007.0</v>
      </c>
      <c r="C89" s="4">
        <v>4.47930264669735</v>
      </c>
      <c r="D89" s="4">
        <v>1.73508134122891</v>
      </c>
      <c r="E89" s="4">
        <v>0.387355237652496</v>
      </c>
    </row>
    <row r="90" ht="15.75" customHeight="1">
      <c r="A90" s="4">
        <v>2.0</v>
      </c>
      <c r="B90" s="4">
        <v>2008.0</v>
      </c>
      <c r="C90" s="4">
        <v>1.0823392104674</v>
      </c>
      <c r="D90" s="4">
        <v>0.849606771282156</v>
      </c>
      <c r="E90" s="4">
        <v>0.784972735964411</v>
      </c>
    </row>
    <row r="91" ht="15.75" customHeight="1">
      <c r="A91" s="4">
        <v>2.0</v>
      </c>
      <c r="B91" s="4">
        <v>2009.0</v>
      </c>
      <c r="C91" s="4">
        <v>2.60630782261211</v>
      </c>
      <c r="D91" s="4">
        <v>1.32351080092684</v>
      </c>
      <c r="E91" s="4">
        <v>0.507810623689257</v>
      </c>
    </row>
    <row r="92" ht="15.75" customHeight="1">
      <c r="A92" s="4">
        <v>2.0</v>
      </c>
      <c r="B92" s="4">
        <v>2010.0</v>
      </c>
      <c r="C92" s="4">
        <v>21.1458070775721</v>
      </c>
      <c r="D92" s="4">
        <v>3.76987342552345</v>
      </c>
      <c r="E92" s="4">
        <v>0.178279949859275</v>
      </c>
    </row>
    <row r="93" ht="15.75" customHeight="1">
      <c r="A93" s="4">
        <v>2.0</v>
      </c>
      <c r="B93" s="4">
        <v>2011.0</v>
      </c>
      <c r="C93" s="4">
        <v>13.2507498721519</v>
      </c>
      <c r="D93" s="4">
        <v>2.94528360755752</v>
      </c>
      <c r="E93" s="4">
        <v>0.222272975942849</v>
      </c>
    </row>
    <row r="94" ht="15.75" customHeight="1">
      <c r="A94" s="4">
        <v>2.0</v>
      </c>
      <c r="B94" s="4">
        <v>2012.0</v>
      </c>
      <c r="C94" s="4">
        <v>18.9752562881581</v>
      </c>
      <c r="D94" s="4">
        <v>3.57115303348794</v>
      </c>
      <c r="E94" s="4">
        <v>0.188200516465045</v>
      </c>
    </row>
    <row r="95" ht="15.75" customHeight="1">
      <c r="A95" s="4">
        <v>2.0</v>
      </c>
      <c r="B95" s="4">
        <v>2013.0</v>
      </c>
      <c r="C95" s="4">
        <v>80.7909154417557</v>
      </c>
      <c r="D95" s="4">
        <v>7.35176058435777</v>
      </c>
      <c r="E95" s="4">
        <v>0.090997367020279</v>
      </c>
    </row>
    <row r="96" ht="15.75" customHeight="1">
      <c r="A96" s="4">
        <v>2.0</v>
      </c>
      <c r="B96" s="4">
        <v>2014.0</v>
      </c>
      <c r="C96" s="4">
        <v>13.9391477689548</v>
      </c>
      <c r="D96" s="4">
        <v>3.06078445578731</v>
      </c>
      <c r="E96" s="4">
        <v>0.219581893134405</v>
      </c>
    </row>
    <row r="97" ht="15.75" customHeight="1">
      <c r="A97" s="4">
        <v>2.0</v>
      </c>
      <c r="B97" s="4">
        <v>2015.0</v>
      </c>
      <c r="C97" s="4">
        <v>23.9257112243538</v>
      </c>
      <c r="D97" s="4">
        <v>4.01002485429689</v>
      </c>
      <c r="E97" s="4">
        <v>0.167603161999845</v>
      </c>
    </row>
    <row r="98" ht="15.75" customHeight="1">
      <c r="A98" s="4">
        <v>2.0</v>
      </c>
      <c r="B98" s="4">
        <v>2016.0</v>
      </c>
      <c r="C98" s="4">
        <v>42.7986949165798</v>
      </c>
      <c r="D98" s="4">
        <v>5.03801052435741</v>
      </c>
      <c r="E98" s="4">
        <v>0.117714115679862</v>
      </c>
    </row>
    <row r="99" ht="15.75" customHeight="1">
      <c r="A99" s="4">
        <v>2.0</v>
      </c>
      <c r="B99" s="4">
        <v>2017.0</v>
      </c>
      <c r="C99" s="4">
        <v>21.9284433842759</v>
      </c>
      <c r="D99" s="4">
        <v>3.83900376486642</v>
      </c>
      <c r="E99" s="4">
        <v>0.175069597854777</v>
      </c>
    </row>
    <row r="100" ht="15.75" customHeight="1">
      <c r="A100" s="4">
        <v>2.0</v>
      </c>
      <c r="B100" s="4">
        <v>2018.0</v>
      </c>
      <c r="C100" s="4">
        <v>17.2235775662349</v>
      </c>
      <c r="D100" s="4">
        <v>3.40232909230715</v>
      </c>
      <c r="E100" s="4">
        <v>0.197539046648303</v>
      </c>
    </row>
    <row r="101" ht="15.75" customHeight="1">
      <c r="A101" s="4">
        <v>2.0</v>
      </c>
      <c r="B101" s="4">
        <v>2019.0</v>
      </c>
      <c r="C101" s="4">
        <v>37.9177711957006</v>
      </c>
      <c r="D101" s="4">
        <v>5.01294418250376</v>
      </c>
      <c r="E101" s="4">
        <v>0.132205665692507</v>
      </c>
    </row>
    <row r="102" ht="15.75" customHeight="1">
      <c r="A102" s="4">
        <v>2.0</v>
      </c>
      <c r="B102" s="4">
        <v>2020.0</v>
      </c>
      <c r="C102" s="4">
        <v>23.762363659978</v>
      </c>
      <c r="D102" s="4">
        <v>3.99631262575494</v>
      </c>
      <c r="E102" s="4">
        <v>0.168178245352157</v>
      </c>
    </row>
    <row r="103" ht="15.75" customHeight="1">
      <c r="A103" s="4">
        <v>2.0</v>
      </c>
      <c r="B103" s="4">
        <v>2021.0</v>
      </c>
      <c r="C103" s="4">
        <v>32.7491351751276</v>
      </c>
      <c r="D103" s="4">
        <v>4.6915306074084</v>
      </c>
      <c r="E103" s="4">
        <v>0.143256625932874</v>
      </c>
    </row>
    <row r="104" ht="15.75" customHeight="1">
      <c r="A104" s="4">
        <v>2.0</v>
      </c>
      <c r="B104" s="4">
        <v>2022.0</v>
      </c>
      <c r="C104" s="4">
        <v>14.0428600965313</v>
      </c>
      <c r="D104" s="4">
        <v>3.0682895230353</v>
      </c>
      <c r="E104" s="4">
        <v>0.21849463014968</v>
      </c>
    </row>
    <row r="105" ht="15.75" customHeight="1">
      <c r="A105" s="4">
        <v>2.0</v>
      </c>
      <c r="B105" s="4">
        <v>2023.0</v>
      </c>
      <c r="C105" s="4">
        <v>29.8079196608437</v>
      </c>
      <c r="D105" s="4">
        <v>4.47590097485172</v>
      </c>
      <c r="E105" s="4">
        <v>0.150158113205443</v>
      </c>
    </row>
    <row r="106" ht="15.75" customHeight="1">
      <c r="A106" s="4">
        <v>2.0</v>
      </c>
      <c r="B106" s="4">
        <v>2024.0</v>
      </c>
      <c r="C106" s="4">
        <v>20.9840355024237</v>
      </c>
      <c r="D106" s="4">
        <v>4.47590097485172</v>
      </c>
      <c r="E106" s="4">
        <v>0.213300295566825</v>
      </c>
    </row>
    <row r="107" ht="15.75" customHeight="1">
      <c r="A107" s="4">
        <v>3.0</v>
      </c>
      <c r="B107" s="4">
        <v>1973.0</v>
      </c>
      <c r="C107" s="4">
        <v>57.321471563805</v>
      </c>
      <c r="D107" s="4">
        <v>8.83948857279069</v>
      </c>
      <c r="E107" s="4">
        <v>0.154209030780924</v>
      </c>
    </row>
    <row r="108" ht="15.75" customHeight="1">
      <c r="A108" s="4">
        <v>3.0</v>
      </c>
      <c r="B108" s="4">
        <v>1974.0</v>
      </c>
      <c r="C108" s="4">
        <v>106.517013596168</v>
      </c>
      <c r="D108" s="4">
        <v>12.0657317421091</v>
      </c>
      <c r="E108" s="4">
        <v>0.113275159852427</v>
      </c>
    </row>
    <row r="109" ht="15.75" customHeight="1">
      <c r="A109" s="4">
        <v>3.0</v>
      </c>
      <c r="B109" s="4">
        <v>1975.0</v>
      </c>
      <c r="C109" s="4">
        <v>71.4063001568911</v>
      </c>
      <c r="D109" s="4">
        <v>9.80089213695258</v>
      </c>
      <c r="E109" s="4">
        <v>0.137255285813975</v>
      </c>
    </row>
    <row r="110" ht="15.75" customHeight="1">
      <c r="A110" s="4">
        <v>3.0</v>
      </c>
      <c r="B110" s="4">
        <v>1976.0</v>
      </c>
      <c r="C110" s="4">
        <v>82.1679163023356</v>
      </c>
      <c r="D110" s="4">
        <v>10.5973020126914</v>
      </c>
      <c r="E110" s="4">
        <v>0.128971288181373</v>
      </c>
    </row>
    <row r="111" ht="15.75" customHeight="1">
      <c r="A111" s="4">
        <v>3.0</v>
      </c>
      <c r="B111" s="4">
        <v>1977.0</v>
      </c>
      <c r="C111" s="4">
        <v>70.5999214515104</v>
      </c>
      <c r="D111" s="4">
        <v>9.82304839073896</v>
      </c>
      <c r="E111" s="4">
        <v>0.139136817559856</v>
      </c>
    </row>
    <row r="112" ht="15.75" customHeight="1">
      <c r="A112" s="4">
        <v>3.0</v>
      </c>
      <c r="B112" s="4">
        <v>1978.0</v>
      </c>
      <c r="C112" s="4">
        <v>113.140377991705</v>
      </c>
      <c r="D112" s="4">
        <v>12.1298347068737</v>
      </c>
      <c r="E112" s="4">
        <v>0.107210484198338</v>
      </c>
    </row>
    <row r="113" ht="15.75" customHeight="1">
      <c r="A113" s="4">
        <v>3.0</v>
      </c>
      <c r="B113" s="4">
        <v>1979.0</v>
      </c>
      <c r="C113" s="4">
        <v>47.4622077659884</v>
      </c>
      <c r="D113" s="4">
        <v>11.39505601601</v>
      </c>
      <c r="E113" s="4">
        <v>0.240086935529699</v>
      </c>
    </row>
    <row r="114" ht="15.75" customHeight="1">
      <c r="A114" s="4">
        <v>3.0</v>
      </c>
      <c r="B114" s="4">
        <v>1980.0</v>
      </c>
      <c r="C114" s="4">
        <v>61.5198103770306</v>
      </c>
      <c r="D114" s="4">
        <v>12.9732859435569</v>
      </c>
      <c r="E114" s="4">
        <v>0.210879810325304</v>
      </c>
    </row>
    <row r="115" ht="15.75" customHeight="1">
      <c r="A115" s="4">
        <v>3.0</v>
      </c>
      <c r="B115" s="4">
        <v>1981.0</v>
      </c>
      <c r="C115" s="4">
        <v>49.1420073073224</v>
      </c>
      <c r="D115" s="4">
        <v>11.4860550910903</v>
      </c>
      <c r="E115" s="4">
        <v>0.2337319071901</v>
      </c>
    </row>
    <row r="116" ht="15.75" customHeight="1">
      <c r="A116" s="4">
        <v>3.0</v>
      </c>
      <c r="B116" s="4">
        <v>1982.0</v>
      </c>
      <c r="C116" s="4">
        <v>22.7477892684334</v>
      </c>
      <c r="D116" s="4">
        <v>7.88882086692792</v>
      </c>
      <c r="E116" s="4">
        <v>0.346795056602491</v>
      </c>
    </row>
    <row r="117" ht="15.75" customHeight="1">
      <c r="A117" s="4">
        <v>3.0</v>
      </c>
      <c r="B117" s="4">
        <v>1983.0</v>
      </c>
      <c r="C117" s="4">
        <v>67.3090118236526</v>
      </c>
      <c r="D117" s="4">
        <v>13.5699767540528</v>
      </c>
      <c r="E117" s="4">
        <v>0.201607130849071</v>
      </c>
    </row>
    <row r="118" ht="15.75" customHeight="1">
      <c r="A118" s="4">
        <v>3.0</v>
      </c>
      <c r="B118" s="4">
        <v>1984.0</v>
      </c>
      <c r="C118" s="4">
        <v>77.4194436233283</v>
      </c>
      <c r="D118" s="4">
        <v>10.2742108003171</v>
      </c>
      <c r="E118" s="4">
        <v>0.132708403980588</v>
      </c>
    </row>
    <row r="119" ht="15.75" customHeight="1">
      <c r="A119" s="4">
        <v>3.0</v>
      </c>
      <c r="B119" s="4">
        <v>1985.0</v>
      </c>
      <c r="C119" s="4">
        <v>86.8262770851467</v>
      </c>
      <c r="D119" s="4">
        <v>10.8935583624353</v>
      </c>
      <c r="E119" s="4">
        <v>0.125463842607838</v>
      </c>
    </row>
    <row r="120" ht="15.75" customHeight="1">
      <c r="A120" s="4">
        <v>3.0</v>
      </c>
      <c r="B120" s="4">
        <v>1986.0</v>
      </c>
      <c r="C120" s="4">
        <v>29.6487779550563</v>
      </c>
      <c r="D120" s="4">
        <v>6.02412947145126</v>
      </c>
      <c r="E120" s="4">
        <v>0.20318306139238</v>
      </c>
    </row>
    <row r="121" ht="15.75" customHeight="1">
      <c r="A121" s="4">
        <v>3.0</v>
      </c>
      <c r="B121" s="4">
        <v>1987.0</v>
      </c>
      <c r="C121" s="4">
        <v>41.5154695290195</v>
      </c>
      <c r="D121" s="4">
        <v>7.53267363913855</v>
      </c>
      <c r="E121" s="4">
        <v>0.181442573686254</v>
      </c>
    </row>
    <row r="122" ht="15.75" customHeight="1">
      <c r="A122" s="4">
        <v>3.0</v>
      </c>
      <c r="B122" s="4">
        <v>1988.0</v>
      </c>
      <c r="C122" s="4">
        <v>50.285415052473</v>
      </c>
      <c r="D122" s="4">
        <v>8.29020355331364</v>
      </c>
      <c r="E122" s="4">
        <v>0.164862983524404</v>
      </c>
    </row>
    <row r="123" ht="15.75" customHeight="1">
      <c r="A123" s="4">
        <v>3.0</v>
      </c>
      <c r="B123" s="4">
        <v>1989.0</v>
      </c>
      <c r="C123" s="4">
        <v>66.5837815339676</v>
      </c>
      <c r="D123" s="4">
        <v>9.1279958456195</v>
      </c>
      <c r="E123" s="4">
        <v>0.137090378998118</v>
      </c>
    </row>
    <row r="124" ht="15.75" customHeight="1">
      <c r="A124" s="4">
        <v>3.0</v>
      </c>
      <c r="B124" s="4">
        <v>1990.0</v>
      </c>
      <c r="C124" s="4">
        <v>58.9985075859074</v>
      </c>
      <c r="D124" s="4">
        <v>8.97975913174125</v>
      </c>
      <c r="E124" s="4">
        <v>0.152203157319969</v>
      </c>
    </row>
    <row r="125" ht="15.75" customHeight="1">
      <c r="A125" s="4">
        <v>3.0</v>
      </c>
      <c r="B125" s="4">
        <v>1991.0</v>
      </c>
      <c r="C125" s="4">
        <v>48.014486576949</v>
      </c>
      <c r="D125" s="4">
        <v>8.1008449376071</v>
      </c>
      <c r="E125" s="4">
        <v>0.168716683549756</v>
      </c>
    </row>
    <row r="126" ht="15.75" customHeight="1">
      <c r="A126" s="4">
        <v>3.0</v>
      </c>
      <c r="B126" s="4">
        <v>1992.0</v>
      </c>
      <c r="C126" s="4">
        <v>35.3574865753751</v>
      </c>
      <c r="D126" s="4">
        <v>6.92655895217863</v>
      </c>
      <c r="E126" s="4">
        <v>0.195900773020519</v>
      </c>
    </row>
    <row r="127" ht="15.75" customHeight="1">
      <c r="A127" s="4">
        <v>3.0</v>
      </c>
      <c r="B127" s="4">
        <v>1993.0</v>
      </c>
      <c r="C127" s="4">
        <v>30.4244515244292</v>
      </c>
      <c r="D127" s="4">
        <v>6.44845321732439</v>
      </c>
      <c r="E127" s="4">
        <v>0.211949694874421</v>
      </c>
    </row>
    <row r="128" ht="15.75" customHeight="1">
      <c r="A128" s="4">
        <v>3.0</v>
      </c>
      <c r="B128" s="4">
        <v>1994.0</v>
      </c>
      <c r="C128" s="4">
        <v>75.7875786827514</v>
      </c>
      <c r="D128" s="4">
        <v>10.1590319883025</v>
      </c>
      <c r="E128" s="4">
        <v>0.134046134800379</v>
      </c>
    </row>
    <row r="129" ht="15.75" customHeight="1">
      <c r="A129" s="4">
        <v>3.0</v>
      </c>
      <c r="B129" s="4">
        <v>1995.0</v>
      </c>
      <c r="C129" s="4">
        <v>120.387003432717</v>
      </c>
      <c r="D129" s="4">
        <v>12.8272623371965</v>
      </c>
      <c r="E129" s="4">
        <v>0.106550225285452</v>
      </c>
    </row>
    <row r="130" ht="15.75" customHeight="1">
      <c r="A130" s="4">
        <v>3.0</v>
      </c>
      <c r="B130" s="4">
        <v>1996.0</v>
      </c>
      <c r="C130" s="4">
        <v>61.198221038519</v>
      </c>
      <c r="D130" s="4">
        <v>9.14562886564523</v>
      </c>
      <c r="E130" s="4">
        <v>0.149442724158417</v>
      </c>
    </row>
    <row r="131" ht="15.75" customHeight="1">
      <c r="A131" s="4">
        <v>3.0</v>
      </c>
      <c r="B131" s="4">
        <v>1997.0</v>
      </c>
      <c r="C131" s="4">
        <v>33.7780946448813</v>
      </c>
      <c r="D131" s="4">
        <v>6.48246079255744</v>
      </c>
      <c r="E131" s="4">
        <v>0.191913157349738</v>
      </c>
    </row>
    <row r="132" ht="15.75" customHeight="1">
      <c r="A132" s="4">
        <v>3.0</v>
      </c>
      <c r="B132" s="4">
        <v>1998.0</v>
      </c>
      <c r="C132" s="4">
        <v>20.3108518888488</v>
      </c>
      <c r="D132" s="4">
        <v>5.26875791226553</v>
      </c>
      <c r="E132" s="4">
        <v>0.259406052542691</v>
      </c>
    </row>
    <row r="133" ht="15.75" customHeight="1">
      <c r="A133" s="4">
        <v>3.0</v>
      </c>
      <c r="B133" s="4">
        <v>1999.0</v>
      </c>
      <c r="C133" s="4">
        <v>38.7259621997418</v>
      </c>
      <c r="D133" s="4">
        <v>7.27520580122347</v>
      </c>
      <c r="E133" s="4">
        <v>0.187863784086222</v>
      </c>
    </row>
    <row r="134" ht="15.75" customHeight="1">
      <c r="A134" s="4">
        <v>3.0</v>
      </c>
      <c r="B134" s="4">
        <v>2000.0</v>
      </c>
      <c r="C134" s="4">
        <v>78.6826461927894</v>
      </c>
      <c r="D134" s="4">
        <v>10.2893117448182</v>
      </c>
      <c r="E134" s="4">
        <v>0.130769772531636</v>
      </c>
    </row>
    <row r="135" ht="15.75" customHeight="1">
      <c r="A135" s="4">
        <v>3.0</v>
      </c>
      <c r="B135" s="4">
        <v>2001.0</v>
      </c>
      <c r="C135" s="4">
        <v>53.3551180652988</v>
      </c>
      <c r="D135" s="4">
        <v>8.53949556254564</v>
      </c>
      <c r="E135" s="4">
        <v>0.16005016711039</v>
      </c>
    </row>
    <row r="136" ht="15.75" customHeight="1">
      <c r="A136" s="4">
        <v>3.0</v>
      </c>
      <c r="B136" s="4">
        <v>2002.0</v>
      </c>
      <c r="C136" s="4">
        <v>38.8997946388016</v>
      </c>
      <c r="D136" s="4">
        <v>7.2915159284613</v>
      </c>
      <c r="E136" s="4">
        <v>0.187443558408614</v>
      </c>
    </row>
    <row r="137" ht="15.75" customHeight="1">
      <c r="A137" s="4">
        <v>3.0</v>
      </c>
      <c r="B137" s="4">
        <v>2003.0</v>
      </c>
      <c r="C137" s="4">
        <v>72.6998323180441</v>
      </c>
      <c r="D137" s="4">
        <v>9.95975757096119</v>
      </c>
      <c r="E137" s="4">
        <v>0.136998356851632</v>
      </c>
    </row>
    <row r="138" ht="15.75" customHeight="1">
      <c r="A138" s="4">
        <v>3.0</v>
      </c>
      <c r="B138" s="4">
        <v>2004.0</v>
      </c>
      <c r="C138" s="4">
        <v>39.4447485773769</v>
      </c>
      <c r="D138" s="4">
        <v>7.34241234695406</v>
      </c>
      <c r="E138" s="4">
        <v>0.186144229885274</v>
      </c>
    </row>
    <row r="139" ht="15.75" customHeight="1">
      <c r="A139" s="4">
        <v>3.0</v>
      </c>
      <c r="B139" s="4">
        <v>2005.0</v>
      </c>
      <c r="C139" s="4">
        <v>53.2550279567475</v>
      </c>
      <c r="D139" s="4">
        <v>8.01669461740531</v>
      </c>
      <c r="E139" s="4">
        <v>0.150534042042308</v>
      </c>
    </row>
    <row r="140" ht="15.75" customHeight="1">
      <c r="A140" s="4">
        <v>3.0</v>
      </c>
      <c r="B140" s="4">
        <v>2006.0</v>
      </c>
      <c r="C140" s="4">
        <v>15.6970887359145</v>
      </c>
      <c r="D140" s="4">
        <v>4.63184194442834</v>
      </c>
      <c r="E140" s="4">
        <v>0.295076496180519</v>
      </c>
    </row>
    <row r="141" ht="15.75" customHeight="1">
      <c r="A141" s="4">
        <v>3.0</v>
      </c>
      <c r="B141" s="4">
        <v>2007.0</v>
      </c>
      <c r="C141" s="4">
        <v>15.7457538429002</v>
      </c>
      <c r="D141" s="4">
        <v>4.63901635272079</v>
      </c>
      <c r="E141" s="4">
        <v>0.294620149597509</v>
      </c>
    </row>
    <row r="142" ht="15.75" customHeight="1">
      <c r="A142" s="4">
        <v>3.0</v>
      </c>
      <c r="B142" s="4">
        <v>2008.0</v>
      </c>
      <c r="C142" s="4">
        <v>1.38483101731923</v>
      </c>
      <c r="D142" s="4">
        <v>1.351204829229</v>
      </c>
      <c r="E142" s="4">
        <v>0.975718201232001</v>
      </c>
    </row>
    <row r="143" ht="15.75" customHeight="1">
      <c r="A143" s="4">
        <v>3.0</v>
      </c>
      <c r="B143" s="4">
        <v>2009.0</v>
      </c>
      <c r="C143" s="4">
        <v>6.48733027324584</v>
      </c>
      <c r="D143" s="4">
        <v>2.97767420599668</v>
      </c>
      <c r="E143" s="4">
        <v>0.45899839850559</v>
      </c>
    </row>
    <row r="144" ht="15.75" customHeight="1">
      <c r="A144" s="4">
        <v>3.0</v>
      </c>
      <c r="B144" s="4">
        <v>2010.0</v>
      </c>
      <c r="C144" s="4">
        <v>15.8636263952997</v>
      </c>
      <c r="D144" s="4">
        <v>4.65634779196445</v>
      </c>
      <c r="E144" s="4">
        <v>0.29352354095682</v>
      </c>
    </row>
    <row r="145" ht="15.75" customHeight="1">
      <c r="A145" s="4">
        <v>3.0</v>
      </c>
      <c r="B145" s="4">
        <v>2011.0</v>
      </c>
      <c r="C145" s="4">
        <v>42.6861762504495</v>
      </c>
      <c r="D145" s="4">
        <v>7.55958786190313</v>
      </c>
      <c r="E145" s="4">
        <v>0.177096861933693</v>
      </c>
    </row>
    <row r="146" ht="15.75" customHeight="1">
      <c r="A146" s="4">
        <v>3.0</v>
      </c>
      <c r="B146" s="4">
        <v>2012.0</v>
      </c>
      <c r="C146" s="4">
        <v>44.3068546498391</v>
      </c>
      <c r="D146" s="4">
        <v>7.78179229513637</v>
      </c>
      <c r="E146" s="4">
        <v>0.175634049327955</v>
      </c>
    </row>
    <row r="147" ht="15.75" customHeight="1">
      <c r="A147" s="4">
        <v>3.0</v>
      </c>
      <c r="B147" s="4">
        <v>2013.0</v>
      </c>
      <c r="C147" s="4">
        <v>107.339546010815</v>
      </c>
      <c r="D147" s="4">
        <v>12.0894901592149</v>
      </c>
      <c r="E147" s="4">
        <v>0.112628482311605</v>
      </c>
    </row>
    <row r="148" ht="15.75" customHeight="1">
      <c r="A148" s="4">
        <v>3.0</v>
      </c>
      <c r="B148" s="4">
        <v>2014.0</v>
      </c>
      <c r="C148" s="4">
        <v>35.2232749022319</v>
      </c>
      <c r="D148" s="4">
        <v>6.93839532392781</v>
      </c>
      <c r="E148" s="4">
        <v>0.196983254486884</v>
      </c>
    </row>
    <row r="149" ht="15.75" customHeight="1">
      <c r="A149" s="4">
        <v>3.0</v>
      </c>
      <c r="B149" s="4">
        <v>2015.0</v>
      </c>
      <c r="C149" s="4">
        <v>32.1896342438168</v>
      </c>
      <c r="D149" s="4">
        <v>6.63288084495654</v>
      </c>
      <c r="E149" s="4">
        <v>0.206056421601952</v>
      </c>
    </row>
    <row r="150" ht="15.75" customHeight="1">
      <c r="A150" s="4">
        <v>3.0</v>
      </c>
      <c r="B150" s="4">
        <v>2016.0</v>
      </c>
      <c r="C150" s="4">
        <v>72.1208374173534</v>
      </c>
      <c r="D150" s="4">
        <v>9.5787151403579</v>
      </c>
      <c r="E150" s="4">
        <v>0.132814807528193</v>
      </c>
    </row>
    <row r="151" ht="15.75" customHeight="1">
      <c r="A151" s="4">
        <v>3.0</v>
      </c>
      <c r="B151" s="4">
        <v>2017.0</v>
      </c>
      <c r="C151" s="4">
        <v>35.4267049994548</v>
      </c>
      <c r="D151" s="4">
        <v>6.95840263903507</v>
      </c>
      <c r="E151" s="4">
        <v>0.196416873630843</v>
      </c>
    </row>
    <row r="152" ht="15.75" customHeight="1">
      <c r="A152" s="4">
        <v>3.0</v>
      </c>
      <c r="B152" s="4">
        <v>2018.0</v>
      </c>
      <c r="C152" s="4">
        <v>58.9103556015243</v>
      </c>
      <c r="D152" s="4">
        <v>8.97304811883382</v>
      </c>
      <c r="E152" s="4">
        <v>0.152316991252411</v>
      </c>
    </row>
    <row r="153" ht="15.75" customHeight="1">
      <c r="A153" s="4">
        <v>3.0</v>
      </c>
      <c r="B153" s="4">
        <v>2019.0</v>
      </c>
      <c r="C153" s="4">
        <v>47.96244824103</v>
      </c>
      <c r="D153" s="4">
        <v>8.07098515000193</v>
      </c>
      <c r="E153" s="4">
        <v>0.168277171954235</v>
      </c>
    </row>
    <row r="154" ht="15.75" customHeight="1">
      <c r="A154" s="4">
        <v>3.0</v>
      </c>
      <c r="B154" s="4">
        <v>2020.0</v>
      </c>
      <c r="C154" s="4">
        <v>15.1831448580521</v>
      </c>
      <c r="D154" s="4">
        <v>4.55538452705919</v>
      </c>
      <c r="E154" s="4">
        <v>0.300029049952937</v>
      </c>
    </row>
    <row r="155" ht="15.75" customHeight="1">
      <c r="A155" s="4">
        <v>3.0</v>
      </c>
      <c r="B155" s="4">
        <v>2021.0</v>
      </c>
      <c r="C155" s="4">
        <v>33.2409554699992</v>
      </c>
      <c r="D155" s="4">
        <v>6.74032633947658</v>
      </c>
      <c r="E155" s="4">
        <v>0.202771738783498</v>
      </c>
    </row>
    <row r="156" ht="15.75" customHeight="1">
      <c r="A156" s="4">
        <v>3.0</v>
      </c>
      <c r="B156" s="4">
        <v>2022.0</v>
      </c>
      <c r="C156" s="4">
        <v>22.353641303619</v>
      </c>
      <c r="D156" s="4">
        <v>5.52336869199431</v>
      </c>
      <c r="E156" s="4">
        <v>0.247090333828524</v>
      </c>
    </row>
    <row r="157" ht="15.75" customHeight="1">
      <c r="A157" s="4">
        <v>3.0</v>
      </c>
      <c r="B157" s="4">
        <v>2023.0</v>
      </c>
      <c r="C157" s="4">
        <v>48.5258527356529</v>
      </c>
      <c r="D157" s="4">
        <v>8.14386868878907</v>
      </c>
      <c r="E157" s="4">
        <v>0.167825359672775</v>
      </c>
    </row>
    <row r="158" ht="15.75" customHeight="1">
      <c r="A158" s="4">
        <v>3.0</v>
      </c>
      <c r="B158" s="4">
        <v>2024.0</v>
      </c>
      <c r="C158" s="4">
        <v>33.5095250574403</v>
      </c>
      <c r="D158" s="4">
        <v>8.14386868878907</v>
      </c>
      <c r="E158" s="4">
        <v>0.243031456722507</v>
      </c>
    </row>
    <row r="159" ht="15.75" customHeight="1">
      <c r="A159" s="4">
        <v>4.0</v>
      </c>
      <c r="B159" s="4">
        <v>1973.0</v>
      </c>
      <c r="C159" s="4">
        <v>57.321471563805</v>
      </c>
      <c r="D159" s="4">
        <v>8.83948857279069</v>
      </c>
      <c r="E159" s="4">
        <v>0.154209030780924</v>
      </c>
    </row>
    <row r="160" ht="15.75" customHeight="1">
      <c r="A160" s="4">
        <v>4.0</v>
      </c>
      <c r="B160" s="4">
        <v>1974.0</v>
      </c>
      <c r="C160" s="4">
        <v>106.517013596168</v>
      </c>
      <c r="D160" s="4">
        <v>12.0657317421091</v>
      </c>
      <c r="E160" s="4">
        <v>0.113275159852427</v>
      </c>
    </row>
    <row r="161" ht="15.75" customHeight="1">
      <c r="A161" s="4">
        <v>4.0</v>
      </c>
      <c r="B161" s="4">
        <v>1975.0</v>
      </c>
      <c r="C161" s="4">
        <v>71.4063001568911</v>
      </c>
      <c r="D161" s="4">
        <v>9.80089213695258</v>
      </c>
      <c r="E161" s="4">
        <v>0.137255285813975</v>
      </c>
    </row>
    <row r="162" ht="15.75" customHeight="1">
      <c r="A162" s="4">
        <v>4.0</v>
      </c>
      <c r="B162" s="4">
        <v>1976.0</v>
      </c>
      <c r="C162" s="4">
        <v>82.1679163023356</v>
      </c>
      <c r="D162" s="4">
        <v>10.5973020126914</v>
      </c>
      <c r="E162" s="4">
        <v>0.128971288181373</v>
      </c>
    </row>
    <row r="163" ht="15.75" customHeight="1">
      <c r="A163" s="4">
        <v>4.0</v>
      </c>
      <c r="B163" s="4">
        <v>1977.0</v>
      </c>
      <c r="C163" s="4">
        <v>70.5999214515104</v>
      </c>
      <c r="D163" s="4">
        <v>9.82304839073896</v>
      </c>
      <c r="E163" s="4">
        <v>0.139136817559856</v>
      </c>
    </row>
    <row r="164" ht="15.75" customHeight="1">
      <c r="A164" s="4">
        <v>4.0</v>
      </c>
      <c r="B164" s="4">
        <v>1978.0</v>
      </c>
      <c r="C164" s="4">
        <v>113.140377991705</v>
      </c>
      <c r="D164" s="4">
        <v>12.1298347068737</v>
      </c>
      <c r="E164" s="4">
        <v>0.107210484198338</v>
      </c>
    </row>
    <row r="165" ht="15.75" customHeight="1">
      <c r="A165" s="4">
        <v>4.0</v>
      </c>
      <c r="B165" s="4">
        <v>1979.0</v>
      </c>
      <c r="C165" s="4">
        <v>47.4622077659884</v>
      </c>
      <c r="D165" s="4">
        <v>11.39505601601</v>
      </c>
      <c r="E165" s="4">
        <v>0.240086935529699</v>
      </c>
    </row>
    <row r="166" ht="15.75" customHeight="1">
      <c r="A166" s="4">
        <v>4.0</v>
      </c>
      <c r="B166" s="4">
        <v>1980.0</v>
      </c>
      <c r="C166" s="4">
        <v>61.5198103770306</v>
      </c>
      <c r="D166" s="4">
        <v>12.9732859435569</v>
      </c>
      <c r="E166" s="4">
        <v>0.210879810325304</v>
      </c>
    </row>
    <row r="167" ht="15.75" customHeight="1">
      <c r="A167" s="4">
        <v>4.0</v>
      </c>
      <c r="B167" s="4">
        <v>1981.0</v>
      </c>
      <c r="C167" s="4">
        <v>49.1420073073224</v>
      </c>
      <c r="D167" s="4">
        <v>11.4860550910903</v>
      </c>
      <c r="E167" s="4">
        <v>0.2337319071901</v>
      </c>
    </row>
    <row r="168" ht="15.75" customHeight="1">
      <c r="A168" s="4">
        <v>4.0</v>
      </c>
      <c r="B168" s="4">
        <v>1982.0</v>
      </c>
      <c r="C168" s="4">
        <v>22.7477892684334</v>
      </c>
      <c r="D168" s="4">
        <v>7.88882086692792</v>
      </c>
      <c r="E168" s="4">
        <v>0.346795056602491</v>
      </c>
    </row>
    <row r="169" ht="15.75" customHeight="1">
      <c r="A169" s="4">
        <v>4.0</v>
      </c>
      <c r="B169" s="4">
        <v>1983.0</v>
      </c>
      <c r="C169" s="4">
        <v>67.3090118236526</v>
      </c>
      <c r="D169" s="4">
        <v>13.5699767540528</v>
      </c>
      <c r="E169" s="4">
        <v>0.201607130849071</v>
      </c>
    </row>
    <row r="170" ht="15.75" customHeight="1">
      <c r="A170" s="4">
        <v>4.0</v>
      </c>
      <c r="B170" s="4">
        <v>1984.0</v>
      </c>
      <c r="C170" s="4">
        <v>77.4194436233283</v>
      </c>
      <c r="D170" s="4">
        <v>10.2742108003171</v>
      </c>
      <c r="E170" s="4">
        <v>0.132708403980588</v>
      </c>
    </row>
    <row r="171" ht="15.75" customHeight="1">
      <c r="A171" s="4">
        <v>4.0</v>
      </c>
      <c r="B171" s="4">
        <v>1985.0</v>
      </c>
      <c r="C171" s="4">
        <v>86.8262770851467</v>
      </c>
      <c r="D171" s="4">
        <v>10.8935583624353</v>
      </c>
      <c r="E171" s="4">
        <v>0.125463842607838</v>
      </c>
    </row>
    <row r="172" ht="15.75" customHeight="1">
      <c r="A172" s="4">
        <v>4.0</v>
      </c>
      <c r="B172" s="4">
        <v>1986.0</v>
      </c>
      <c r="C172" s="4">
        <v>29.6487779550563</v>
      </c>
      <c r="D172" s="4">
        <v>6.02412947145126</v>
      </c>
      <c r="E172" s="4">
        <v>0.20318306139238</v>
      </c>
    </row>
    <row r="173" ht="15.75" customHeight="1">
      <c r="A173" s="4">
        <v>4.0</v>
      </c>
      <c r="B173" s="4">
        <v>1987.0</v>
      </c>
      <c r="C173" s="4">
        <v>41.5154695290195</v>
      </c>
      <c r="D173" s="4">
        <v>7.53267363913855</v>
      </c>
      <c r="E173" s="4">
        <v>0.181442573686254</v>
      </c>
    </row>
    <row r="174" ht="15.75" customHeight="1">
      <c r="A174" s="4">
        <v>4.0</v>
      </c>
      <c r="B174" s="4">
        <v>1988.0</v>
      </c>
      <c r="C174" s="4">
        <v>50.285415052473</v>
      </c>
      <c r="D174" s="4">
        <v>8.29020355331364</v>
      </c>
      <c r="E174" s="4">
        <v>0.164862983524404</v>
      </c>
    </row>
    <row r="175" ht="15.75" customHeight="1">
      <c r="A175" s="4">
        <v>4.0</v>
      </c>
      <c r="B175" s="4">
        <v>1989.0</v>
      </c>
      <c r="C175" s="4">
        <v>66.5837815339676</v>
      </c>
      <c r="D175" s="4">
        <v>9.1279958456195</v>
      </c>
      <c r="E175" s="4">
        <v>0.137090378998118</v>
      </c>
    </row>
    <row r="176" ht="15.75" customHeight="1">
      <c r="A176" s="4">
        <v>4.0</v>
      </c>
      <c r="B176" s="4">
        <v>1990.0</v>
      </c>
      <c r="C176" s="4">
        <v>58.9985075859074</v>
      </c>
      <c r="D176" s="4">
        <v>8.97975913174125</v>
      </c>
      <c r="E176" s="4">
        <v>0.152203157319969</v>
      </c>
    </row>
    <row r="177" ht="15.75" customHeight="1">
      <c r="A177" s="4">
        <v>4.0</v>
      </c>
      <c r="B177" s="4">
        <v>1991.0</v>
      </c>
      <c r="C177" s="4">
        <v>48.014486576949</v>
      </c>
      <c r="D177" s="4">
        <v>8.1008449376071</v>
      </c>
      <c r="E177" s="4">
        <v>0.168716683549756</v>
      </c>
    </row>
    <row r="178" ht="15.75" customHeight="1">
      <c r="A178" s="4">
        <v>4.0</v>
      </c>
      <c r="B178" s="4">
        <v>1992.0</v>
      </c>
      <c r="C178" s="4">
        <v>35.3574865753751</v>
      </c>
      <c r="D178" s="4">
        <v>6.92655895217863</v>
      </c>
      <c r="E178" s="4">
        <v>0.195900773020519</v>
      </c>
    </row>
    <row r="179" ht="15.75" customHeight="1">
      <c r="A179" s="4">
        <v>4.0</v>
      </c>
      <c r="B179" s="4">
        <v>1993.0</v>
      </c>
      <c r="C179" s="4">
        <v>30.4244515244292</v>
      </c>
      <c r="D179" s="4">
        <v>6.44845321732439</v>
      </c>
      <c r="E179" s="4">
        <v>0.211949694874421</v>
      </c>
    </row>
    <row r="180" ht="15.75" customHeight="1">
      <c r="A180" s="4">
        <v>4.0</v>
      </c>
      <c r="B180" s="4">
        <v>1994.0</v>
      </c>
      <c r="C180" s="4">
        <v>75.7875786827514</v>
      </c>
      <c r="D180" s="4">
        <v>10.1590319883025</v>
      </c>
      <c r="E180" s="4">
        <v>0.134046134800379</v>
      </c>
    </row>
    <row r="181" ht="15.75" customHeight="1">
      <c r="A181" s="4">
        <v>4.0</v>
      </c>
      <c r="B181" s="4">
        <v>1995.0</v>
      </c>
      <c r="C181" s="4">
        <v>120.387003432717</v>
      </c>
      <c r="D181" s="4">
        <v>12.8272623371965</v>
      </c>
      <c r="E181" s="4">
        <v>0.106550225285452</v>
      </c>
    </row>
    <row r="182" ht="15.75" customHeight="1">
      <c r="A182" s="4">
        <v>4.0</v>
      </c>
      <c r="B182" s="4">
        <v>1996.0</v>
      </c>
      <c r="C182" s="4">
        <v>61.198221038519</v>
      </c>
      <c r="D182" s="4">
        <v>9.14562886564523</v>
      </c>
      <c r="E182" s="4">
        <v>0.149442724158417</v>
      </c>
    </row>
    <row r="183" ht="15.75" customHeight="1">
      <c r="A183" s="4">
        <v>4.0</v>
      </c>
      <c r="B183" s="4">
        <v>1997.0</v>
      </c>
      <c r="C183" s="4">
        <v>33.7780946448813</v>
      </c>
      <c r="D183" s="4">
        <v>6.48246079255744</v>
      </c>
      <c r="E183" s="4">
        <v>0.191913157349738</v>
      </c>
    </row>
    <row r="184" ht="15.75" customHeight="1">
      <c r="A184" s="4">
        <v>4.0</v>
      </c>
      <c r="B184" s="4">
        <v>1998.0</v>
      </c>
      <c r="C184" s="4">
        <v>20.3108518888488</v>
      </c>
      <c r="D184" s="4">
        <v>5.26875791226553</v>
      </c>
      <c r="E184" s="4">
        <v>0.259406052542691</v>
      </c>
    </row>
    <row r="185" ht="15.75" customHeight="1">
      <c r="A185" s="4">
        <v>4.0</v>
      </c>
      <c r="B185" s="4">
        <v>1999.0</v>
      </c>
      <c r="C185" s="4">
        <v>38.7259621997418</v>
      </c>
      <c r="D185" s="4">
        <v>7.27520580122347</v>
      </c>
      <c r="E185" s="4">
        <v>0.187863784086222</v>
      </c>
    </row>
    <row r="186" ht="15.75" customHeight="1">
      <c r="A186" s="4">
        <v>4.0</v>
      </c>
      <c r="B186" s="4">
        <v>2000.0</v>
      </c>
      <c r="C186" s="4">
        <v>78.6826461927894</v>
      </c>
      <c r="D186" s="4">
        <v>10.2893117448182</v>
      </c>
      <c r="E186" s="4">
        <v>0.130769772531636</v>
      </c>
    </row>
    <row r="187" ht="15.75" customHeight="1">
      <c r="A187" s="4">
        <v>4.0</v>
      </c>
      <c r="B187" s="4">
        <v>2001.0</v>
      </c>
      <c r="C187" s="4">
        <v>53.3551180652988</v>
      </c>
      <c r="D187" s="4">
        <v>8.53949556254564</v>
      </c>
      <c r="E187" s="4">
        <v>0.16005016711039</v>
      </c>
    </row>
    <row r="188" ht="15.75" customHeight="1">
      <c r="A188" s="4">
        <v>4.0</v>
      </c>
      <c r="B188" s="4">
        <v>2002.0</v>
      </c>
      <c r="C188" s="4">
        <v>38.8997946388016</v>
      </c>
      <c r="D188" s="4">
        <v>7.2915159284613</v>
      </c>
      <c r="E188" s="4">
        <v>0.187443558408614</v>
      </c>
    </row>
    <row r="189" ht="15.75" customHeight="1">
      <c r="A189" s="4">
        <v>4.0</v>
      </c>
      <c r="B189" s="4">
        <v>2003.0</v>
      </c>
      <c r="C189" s="4">
        <v>72.6998323180441</v>
      </c>
      <c r="D189" s="4">
        <v>9.95975757096119</v>
      </c>
      <c r="E189" s="4">
        <v>0.136998356851632</v>
      </c>
    </row>
    <row r="190" ht="15.75" customHeight="1">
      <c r="A190" s="4">
        <v>4.0</v>
      </c>
      <c r="B190" s="4">
        <v>2004.0</v>
      </c>
      <c r="C190" s="4">
        <v>39.4447485773769</v>
      </c>
      <c r="D190" s="4">
        <v>7.34241234695406</v>
      </c>
      <c r="E190" s="4">
        <v>0.186144229885274</v>
      </c>
    </row>
    <row r="191" ht="15.75" customHeight="1">
      <c r="A191" s="4">
        <v>4.0</v>
      </c>
      <c r="B191" s="4">
        <v>2005.0</v>
      </c>
      <c r="C191" s="4">
        <v>53.2550279567475</v>
      </c>
      <c r="D191" s="4">
        <v>8.01669461740531</v>
      </c>
      <c r="E191" s="4">
        <v>0.150534042042308</v>
      </c>
    </row>
    <row r="192" ht="15.75" customHeight="1">
      <c r="A192" s="4">
        <v>4.0</v>
      </c>
      <c r="B192" s="4">
        <v>2006.0</v>
      </c>
      <c r="C192" s="4">
        <v>15.6970887359145</v>
      </c>
      <c r="D192" s="4">
        <v>4.63184194442834</v>
      </c>
      <c r="E192" s="4">
        <v>0.295076496180519</v>
      </c>
    </row>
    <row r="193" ht="15.75" customHeight="1">
      <c r="A193" s="4">
        <v>4.0</v>
      </c>
      <c r="B193" s="4">
        <v>2007.0</v>
      </c>
      <c r="C193" s="4">
        <v>15.7457538429002</v>
      </c>
      <c r="D193" s="4">
        <v>4.63901635272079</v>
      </c>
      <c r="E193" s="4">
        <v>0.294620149597509</v>
      </c>
    </row>
    <row r="194" ht="15.75" customHeight="1">
      <c r="A194" s="4">
        <v>4.0</v>
      </c>
      <c r="B194" s="4">
        <v>2008.0</v>
      </c>
      <c r="C194" s="4">
        <v>1.38483101731923</v>
      </c>
      <c r="D194" s="4">
        <v>1.351204829229</v>
      </c>
      <c r="E194" s="4">
        <v>0.975718201232001</v>
      </c>
    </row>
    <row r="195" ht="15.75" customHeight="1">
      <c r="A195" s="4">
        <v>4.0</v>
      </c>
      <c r="B195" s="4">
        <v>2009.0</v>
      </c>
      <c r="C195" s="4">
        <v>6.48733027324584</v>
      </c>
      <c r="D195" s="4">
        <v>2.97767420599668</v>
      </c>
      <c r="E195" s="4">
        <v>0.45899839850559</v>
      </c>
    </row>
    <row r="196" ht="15.75" customHeight="1">
      <c r="A196" s="4">
        <v>4.0</v>
      </c>
      <c r="B196" s="4">
        <v>2010.0</v>
      </c>
      <c r="C196" s="4">
        <v>15.8636263952997</v>
      </c>
      <c r="D196" s="4">
        <v>4.65634779196445</v>
      </c>
      <c r="E196" s="4">
        <v>0.29352354095682</v>
      </c>
    </row>
    <row r="197" ht="15.75" customHeight="1">
      <c r="A197" s="4">
        <v>4.0</v>
      </c>
      <c r="B197" s="4">
        <v>2011.0</v>
      </c>
      <c r="C197" s="4">
        <v>42.6861762504495</v>
      </c>
      <c r="D197" s="4">
        <v>7.55958786190313</v>
      </c>
      <c r="E197" s="4">
        <v>0.177096861933693</v>
      </c>
    </row>
    <row r="198" ht="15.75" customHeight="1">
      <c r="A198" s="4">
        <v>4.0</v>
      </c>
      <c r="B198" s="4">
        <v>2012.0</v>
      </c>
      <c r="C198" s="4">
        <v>44.3068546498391</v>
      </c>
      <c r="D198" s="4">
        <v>7.78179229513637</v>
      </c>
      <c r="E198" s="4">
        <v>0.175634049327955</v>
      </c>
    </row>
    <row r="199" ht="15.75" customHeight="1">
      <c r="A199" s="4">
        <v>4.0</v>
      </c>
      <c r="B199" s="4">
        <v>2013.0</v>
      </c>
      <c r="C199" s="4">
        <v>107.339546010815</v>
      </c>
      <c r="D199" s="4">
        <v>12.0894901592149</v>
      </c>
      <c r="E199" s="4">
        <v>0.112628482311605</v>
      </c>
    </row>
    <row r="200" ht="15.75" customHeight="1">
      <c r="A200" s="4">
        <v>4.0</v>
      </c>
      <c r="B200" s="4">
        <v>2014.0</v>
      </c>
      <c r="C200" s="4">
        <v>35.2232749022319</v>
      </c>
      <c r="D200" s="4">
        <v>6.93839532392781</v>
      </c>
      <c r="E200" s="4">
        <v>0.196983254486884</v>
      </c>
    </row>
    <row r="201" ht="15.75" customHeight="1">
      <c r="A201" s="4">
        <v>4.0</v>
      </c>
      <c r="B201" s="4">
        <v>2015.0</v>
      </c>
      <c r="C201" s="4">
        <v>32.1896342438168</v>
      </c>
      <c r="D201" s="4">
        <v>6.63288084495654</v>
      </c>
      <c r="E201" s="4">
        <v>0.206056421601952</v>
      </c>
    </row>
    <row r="202" ht="15.75" customHeight="1">
      <c r="A202" s="4">
        <v>4.0</v>
      </c>
      <c r="B202" s="4">
        <v>2016.0</v>
      </c>
      <c r="C202" s="4">
        <v>72.1208374173534</v>
      </c>
      <c r="D202" s="4">
        <v>9.5787151403579</v>
      </c>
      <c r="E202" s="4">
        <v>0.132814807528193</v>
      </c>
    </row>
    <row r="203" ht="15.75" customHeight="1">
      <c r="A203" s="4">
        <v>4.0</v>
      </c>
      <c r="B203" s="4">
        <v>2017.0</v>
      </c>
      <c r="C203" s="4">
        <v>35.4267049994548</v>
      </c>
      <c r="D203" s="4">
        <v>6.95840263903507</v>
      </c>
      <c r="E203" s="4">
        <v>0.196416873630843</v>
      </c>
    </row>
    <row r="204" ht="15.75" customHeight="1">
      <c r="A204" s="4">
        <v>4.0</v>
      </c>
      <c r="B204" s="4">
        <v>2018.0</v>
      </c>
      <c r="C204" s="4">
        <v>58.9103556015243</v>
      </c>
      <c r="D204" s="4">
        <v>8.97304811883382</v>
      </c>
      <c r="E204" s="4">
        <v>0.152316991252411</v>
      </c>
    </row>
    <row r="205" ht="15.75" customHeight="1">
      <c r="A205" s="4">
        <v>4.0</v>
      </c>
      <c r="B205" s="4">
        <v>2019.0</v>
      </c>
      <c r="C205" s="4">
        <v>47.96244824103</v>
      </c>
      <c r="D205" s="4">
        <v>8.07098515000193</v>
      </c>
      <c r="E205" s="4">
        <v>0.168277171954235</v>
      </c>
    </row>
    <row r="206" ht="15.75" customHeight="1">
      <c r="A206" s="4">
        <v>4.0</v>
      </c>
      <c r="B206" s="4">
        <v>2020.0</v>
      </c>
      <c r="C206" s="4">
        <v>15.1831448580521</v>
      </c>
      <c r="D206" s="4">
        <v>4.55538452705919</v>
      </c>
      <c r="E206" s="4">
        <v>0.300029049952937</v>
      </c>
    </row>
    <row r="207" ht="15.75" customHeight="1">
      <c r="A207" s="4">
        <v>4.0</v>
      </c>
      <c r="B207" s="4">
        <v>2021.0</v>
      </c>
      <c r="C207" s="4">
        <v>33.2409554699992</v>
      </c>
      <c r="D207" s="4">
        <v>6.74032633947658</v>
      </c>
      <c r="E207" s="4">
        <v>0.202771738783498</v>
      </c>
    </row>
    <row r="208" ht="15.75" customHeight="1">
      <c r="A208" s="4">
        <v>4.0</v>
      </c>
      <c r="B208" s="4">
        <v>2022.0</v>
      </c>
      <c r="C208" s="4">
        <v>22.353641303619</v>
      </c>
      <c r="D208" s="4">
        <v>5.52336869199431</v>
      </c>
      <c r="E208" s="4">
        <v>0.247090333828524</v>
      </c>
    </row>
    <row r="209" ht="15.75" customHeight="1">
      <c r="A209" s="4">
        <v>4.0</v>
      </c>
      <c r="B209" s="4">
        <v>2023.0</v>
      </c>
      <c r="C209" s="4">
        <v>48.5258527356529</v>
      </c>
      <c r="D209" s="4">
        <v>8.14386868878907</v>
      </c>
      <c r="E209" s="4">
        <v>0.167825359672775</v>
      </c>
    </row>
    <row r="210" ht="15.75" customHeight="1">
      <c r="A210" s="4">
        <v>4.0</v>
      </c>
      <c r="B210" s="4">
        <v>2024.0</v>
      </c>
      <c r="C210" s="4">
        <v>33.5095250574403</v>
      </c>
      <c r="D210" s="4">
        <v>8.14386868878907</v>
      </c>
      <c r="E210" s="4">
        <v>0.243031456722507</v>
      </c>
    </row>
    <row r="211" ht="15.75" customHeight="1">
      <c r="A211" s="4">
        <v>5.0</v>
      </c>
      <c r="B211" s="4">
        <v>1973.0</v>
      </c>
      <c r="C211" s="4">
        <v>57.321471563805</v>
      </c>
      <c r="D211" s="4">
        <v>8.83948857279069</v>
      </c>
      <c r="E211" s="4">
        <v>0.154209030780924</v>
      </c>
    </row>
    <row r="212" ht="15.75" customHeight="1">
      <c r="A212" s="4">
        <v>5.0</v>
      </c>
      <c r="B212" s="4">
        <v>1974.0</v>
      </c>
      <c r="C212" s="4">
        <v>106.517013596168</v>
      </c>
      <c r="D212" s="4">
        <v>12.0657317421091</v>
      </c>
      <c r="E212" s="4">
        <v>0.113275159852427</v>
      </c>
    </row>
    <row r="213" ht="15.75" customHeight="1">
      <c r="A213" s="4">
        <v>5.0</v>
      </c>
      <c r="B213" s="4">
        <v>1975.0</v>
      </c>
      <c r="C213" s="4">
        <v>71.4063001568911</v>
      </c>
      <c r="D213" s="4">
        <v>9.80089213695258</v>
      </c>
      <c r="E213" s="4">
        <v>0.137255285813975</v>
      </c>
    </row>
    <row r="214" ht="15.75" customHeight="1">
      <c r="A214" s="4">
        <v>5.0</v>
      </c>
      <c r="B214" s="4">
        <v>1976.0</v>
      </c>
      <c r="C214" s="4">
        <v>82.1679163023356</v>
      </c>
      <c r="D214" s="4">
        <v>10.5973020126914</v>
      </c>
      <c r="E214" s="4">
        <v>0.128971288181373</v>
      </c>
    </row>
    <row r="215" ht="15.75" customHeight="1">
      <c r="A215" s="4">
        <v>5.0</v>
      </c>
      <c r="B215" s="4">
        <v>1977.0</v>
      </c>
      <c r="C215" s="4">
        <v>70.5999214515104</v>
      </c>
      <c r="D215" s="4">
        <v>9.82304839073896</v>
      </c>
      <c r="E215" s="4">
        <v>0.139136817559856</v>
      </c>
    </row>
    <row r="216" ht="15.75" customHeight="1">
      <c r="A216" s="4">
        <v>5.0</v>
      </c>
      <c r="B216" s="4">
        <v>1978.0</v>
      </c>
      <c r="C216" s="4">
        <v>113.140377991705</v>
      </c>
      <c r="D216" s="4">
        <v>12.1298347068737</v>
      </c>
      <c r="E216" s="4">
        <v>0.107210484198338</v>
      </c>
    </row>
    <row r="217" ht="15.75" customHeight="1">
      <c r="A217" s="4">
        <v>5.0</v>
      </c>
      <c r="B217" s="4">
        <v>1979.0</v>
      </c>
      <c r="C217" s="4">
        <v>47.4622077659884</v>
      </c>
      <c r="D217" s="4">
        <v>11.39505601601</v>
      </c>
      <c r="E217" s="4">
        <v>0.240086935529699</v>
      </c>
    </row>
    <row r="218" ht="15.75" customHeight="1">
      <c r="A218" s="4">
        <v>5.0</v>
      </c>
      <c r="B218" s="4">
        <v>1980.0</v>
      </c>
      <c r="C218" s="4">
        <v>61.5198103770306</v>
      </c>
      <c r="D218" s="4">
        <v>12.9732859435569</v>
      </c>
      <c r="E218" s="4">
        <v>0.210879810325304</v>
      </c>
    </row>
    <row r="219" ht="15.75" customHeight="1">
      <c r="A219" s="4">
        <v>5.0</v>
      </c>
      <c r="B219" s="4">
        <v>1981.0</v>
      </c>
      <c r="C219" s="4">
        <v>49.1420073073224</v>
      </c>
      <c r="D219" s="4">
        <v>11.4860550910903</v>
      </c>
      <c r="E219" s="4">
        <v>0.2337319071901</v>
      </c>
    </row>
    <row r="220" ht="15.75" customHeight="1">
      <c r="A220" s="4">
        <v>5.0</v>
      </c>
      <c r="B220" s="4">
        <v>1982.0</v>
      </c>
      <c r="C220" s="4">
        <v>22.7477892684334</v>
      </c>
      <c r="D220" s="4">
        <v>7.88882086692792</v>
      </c>
      <c r="E220" s="4">
        <v>0.346795056602491</v>
      </c>
    </row>
    <row r="221" ht="15.75" customHeight="1">
      <c r="A221" s="4">
        <v>5.0</v>
      </c>
      <c r="B221" s="4">
        <v>1983.0</v>
      </c>
      <c r="C221" s="4">
        <v>67.3090118236526</v>
      </c>
      <c r="D221" s="4">
        <v>13.5699767540528</v>
      </c>
      <c r="E221" s="4">
        <v>0.201607130849071</v>
      </c>
    </row>
    <row r="222" ht="15.75" customHeight="1">
      <c r="A222" s="4">
        <v>5.0</v>
      </c>
      <c r="B222" s="4">
        <v>1984.0</v>
      </c>
      <c r="C222" s="4">
        <v>77.4194436233283</v>
      </c>
      <c r="D222" s="4">
        <v>10.2742108003171</v>
      </c>
      <c r="E222" s="4">
        <v>0.132708403980588</v>
      </c>
    </row>
    <row r="223" ht="15.75" customHeight="1">
      <c r="A223" s="4">
        <v>5.0</v>
      </c>
      <c r="B223" s="4">
        <v>1985.0</v>
      </c>
      <c r="C223" s="4">
        <v>86.8262770851467</v>
      </c>
      <c r="D223" s="4">
        <v>10.8935583624353</v>
      </c>
      <c r="E223" s="4">
        <v>0.125463842607838</v>
      </c>
    </row>
    <row r="224" ht="15.75" customHeight="1">
      <c r="A224" s="4">
        <v>5.0</v>
      </c>
      <c r="B224" s="4">
        <v>1986.0</v>
      </c>
      <c r="C224" s="4">
        <v>29.6487779550563</v>
      </c>
      <c r="D224" s="4">
        <v>6.02412947145126</v>
      </c>
      <c r="E224" s="4">
        <v>0.20318306139238</v>
      </c>
    </row>
    <row r="225" ht="15.75" customHeight="1">
      <c r="A225" s="4">
        <v>5.0</v>
      </c>
      <c r="B225" s="4">
        <v>1987.0</v>
      </c>
      <c r="C225" s="4">
        <v>41.5154695290195</v>
      </c>
      <c r="D225" s="4">
        <v>7.53267363913855</v>
      </c>
      <c r="E225" s="4">
        <v>0.181442573686254</v>
      </c>
    </row>
    <row r="226" ht="15.75" customHeight="1">
      <c r="A226" s="4">
        <v>5.0</v>
      </c>
      <c r="B226" s="4">
        <v>1988.0</v>
      </c>
      <c r="C226" s="4">
        <v>50.285415052473</v>
      </c>
      <c r="D226" s="4">
        <v>8.29020355331364</v>
      </c>
      <c r="E226" s="4">
        <v>0.164862983524404</v>
      </c>
    </row>
    <row r="227" ht="15.75" customHeight="1">
      <c r="A227" s="4">
        <v>5.0</v>
      </c>
      <c r="B227" s="4">
        <v>1989.0</v>
      </c>
      <c r="C227" s="4">
        <v>66.5837815339676</v>
      </c>
      <c r="D227" s="4">
        <v>9.1279958456195</v>
      </c>
      <c r="E227" s="4">
        <v>0.137090378998118</v>
      </c>
    </row>
    <row r="228" ht="15.75" customHeight="1">
      <c r="A228" s="4">
        <v>5.0</v>
      </c>
      <c r="B228" s="4">
        <v>1990.0</v>
      </c>
      <c r="C228" s="4">
        <v>58.9985075859074</v>
      </c>
      <c r="D228" s="4">
        <v>8.97975913174125</v>
      </c>
      <c r="E228" s="4">
        <v>0.152203157319969</v>
      </c>
    </row>
    <row r="229" ht="15.75" customHeight="1">
      <c r="A229" s="4">
        <v>5.0</v>
      </c>
      <c r="B229" s="4">
        <v>1991.0</v>
      </c>
      <c r="C229" s="4">
        <v>48.014486576949</v>
      </c>
      <c r="D229" s="4">
        <v>8.1008449376071</v>
      </c>
      <c r="E229" s="4">
        <v>0.168716683549756</v>
      </c>
    </row>
    <row r="230" ht="15.75" customHeight="1">
      <c r="A230" s="4">
        <v>5.0</v>
      </c>
      <c r="B230" s="4">
        <v>1992.0</v>
      </c>
      <c r="C230" s="4">
        <v>35.3574865753751</v>
      </c>
      <c r="D230" s="4">
        <v>6.92655895217863</v>
      </c>
      <c r="E230" s="4">
        <v>0.195900773020519</v>
      </c>
    </row>
    <row r="231" ht="15.75" customHeight="1">
      <c r="A231" s="4">
        <v>5.0</v>
      </c>
      <c r="B231" s="4">
        <v>1993.0</v>
      </c>
      <c r="C231" s="4">
        <v>30.4244515244292</v>
      </c>
      <c r="D231" s="4">
        <v>6.44845321732439</v>
      </c>
      <c r="E231" s="4">
        <v>0.211949694874421</v>
      </c>
    </row>
    <row r="232" ht="15.75" customHeight="1">
      <c r="A232" s="4">
        <v>5.0</v>
      </c>
      <c r="B232" s="4">
        <v>1994.0</v>
      </c>
      <c r="C232" s="4">
        <v>75.7875786827514</v>
      </c>
      <c r="D232" s="4">
        <v>10.1590319883025</v>
      </c>
      <c r="E232" s="4">
        <v>0.134046134800379</v>
      </c>
    </row>
    <row r="233" ht="15.75" customHeight="1">
      <c r="A233" s="4">
        <v>5.0</v>
      </c>
      <c r="B233" s="4">
        <v>1995.0</v>
      </c>
      <c r="C233" s="4">
        <v>120.387003432717</v>
      </c>
      <c r="D233" s="4">
        <v>12.8272623371965</v>
      </c>
      <c r="E233" s="4">
        <v>0.106550225285452</v>
      </c>
    </row>
    <row r="234" ht="15.75" customHeight="1">
      <c r="A234" s="4">
        <v>5.0</v>
      </c>
      <c r="B234" s="4">
        <v>1996.0</v>
      </c>
      <c r="C234" s="4">
        <v>61.198221038519</v>
      </c>
      <c r="D234" s="4">
        <v>9.14562886564523</v>
      </c>
      <c r="E234" s="4">
        <v>0.149442724158417</v>
      </c>
    </row>
    <row r="235" ht="15.75" customHeight="1">
      <c r="A235" s="4">
        <v>5.0</v>
      </c>
      <c r="B235" s="4">
        <v>1997.0</v>
      </c>
      <c r="C235" s="4">
        <v>33.7780946448813</v>
      </c>
      <c r="D235" s="4">
        <v>6.48246079255744</v>
      </c>
      <c r="E235" s="4">
        <v>0.191913157349738</v>
      </c>
    </row>
    <row r="236" ht="15.75" customHeight="1">
      <c r="A236" s="4">
        <v>5.0</v>
      </c>
      <c r="B236" s="4">
        <v>1998.0</v>
      </c>
      <c r="C236" s="4">
        <v>20.3108518888488</v>
      </c>
      <c r="D236" s="4">
        <v>5.26875791226553</v>
      </c>
      <c r="E236" s="4">
        <v>0.259406052542691</v>
      </c>
    </row>
    <row r="237" ht="15.75" customHeight="1">
      <c r="A237" s="4">
        <v>5.0</v>
      </c>
      <c r="B237" s="4">
        <v>1999.0</v>
      </c>
      <c r="C237" s="4">
        <v>38.7259621997418</v>
      </c>
      <c r="D237" s="4">
        <v>7.27520580122347</v>
      </c>
      <c r="E237" s="4">
        <v>0.187863784086222</v>
      </c>
    </row>
    <row r="238" ht="15.75" customHeight="1">
      <c r="A238" s="4">
        <v>5.0</v>
      </c>
      <c r="B238" s="4">
        <v>2000.0</v>
      </c>
      <c r="C238" s="4">
        <v>78.6826461927894</v>
      </c>
      <c r="D238" s="4">
        <v>10.2893117448182</v>
      </c>
      <c r="E238" s="4">
        <v>0.130769772531636</v>
      </c>
    </row>
    <row r="239" ht="15.75" customHeight="1">
      <c r="A239" s="4">
        <v>5.0</v>
      </c>
      <c r="B239" s="4">
        <v>2001.0</v>
      </c>
      <c r="C239" s="4">
        <v>53.3551180652988</v>
      </c>
      <c r="D239" s="4">
        <v>8.53949556254564</v>
      </c>
      <c r="E239" s="4">
        <v>0.16005016711039</v>
      </c>
    </row>
    <row r="240" ht="15.75" customHeight="1">
      <c r="A240" s="4">
        <v>5.0</v>
      </c>
      <c r="B240" s="4">
        <v>2002.0</v>
      </c>
      <c r="C240" s="4">
        <v>38.8997946388016</v>
      </c>
      <c r="D240" s="4">
        <v>7.2915159284613</v>
      </c>
      <c r="E240" s="4">
        <v>0.187443558408614</v>
      </c>
    </row>
    <row r="241" ht="15.75" customHeight="1">
      <c r="A241" s="4">
        <v>5.0</v>
      </c>
      <c r="B241" s="4">
        <v>2003.0</v>
      </c>
      <c r="C241" s="4">
        <v>72.6998323180441</v>
      </c>
      <c r="D241" s="4">
        <v>9.95975757096119</v>
      </c>
      <c r="E241" s="4">
        <v>0.136998356851632</v>
      </c>
    </row>
    <row r="242" ht="15.75" customHeight="1">
      <c r="A242" s="4">
        <v>5.0</v>
      </c>
      <c r="B242" s="4">
        <v>2004.0</v>
      </c>
      <c r="C242" s="4">
        <v>39.4447485773769</v>
      </c>
      <c r="D242" s="4">
        <v>7.34241234695406</v>
      </c>
      <c r="E242" s="4">
        <v>0.186144229885274</v>
      </c>
    </row>
    <row r="243" ht="15.75" customHeight="1">
      <c r="A243" s="4">
        <v>5.0</v>
      </c>
      <c r="B243" s="4">
        <v>2005.0</v>
      </c>
      <c r="C243" s="4">
        <v>53.2550279567475</v>
      </c>
      <c r="D243" s="4">
        <v>8.01669461740531</v>
      </c>
      <c r="E243" s="4">
        <v>0.150534042042308</v>
      </c>
    </row>
    <row r="244" ht="15.75" customHeight="1">
      <c r="A244" s="4">
        <v>5.0</v>
      </c>
      <c r="B244" s="4">
        <v>2006.0</v>
      </c>
      <c r="C244" s="4">
        <v>15.6970887359145</v>
      </c>
      <c r="D244" s="4">
        <v>4.63184194442834</v>
      </c>
      <c r="E244" s="4">
        <v>0.295076496180519</v>
      </c>
    </row>
    <row r="245" ht="15.75" customHeight="1">
      <c r="A245" s="4">
        <v>5.0</v>
      </c>
      <c r="B245" s="4">
        <v>2007.0</v>
      </c>
      <c r="C245" s="4">
        <v>15.7457538429002</v>
      </c>
      <c r="D245" s="4">
        <v>4.63901635272079</v>
      </c>
      <c r="E245" s="4">
        <v>0.294620149597509</v>
      </c>
    </row>
    <row r="246" ht="15.75" customHeight="1">
      <c r="A246" s="4">
        <v>5.0</v>
      </c>
      <c r="B246" s="4">
        <v>2008.0</v>
      </c>
      <c r="C246" s="4">
        <v>1.38483101731923</v>
      </c>
      <c r="D246" s="4">
        <v>1.351204829229</v>
      </c>
      <c r="E246" s="4">
        <v>0.975718201232001</v>
      </c>
    </row>
    <row r="247" ht="15.75" customHeight="1">
      <c r="A247" s="4">
        <v>5.0</v>
      </c>
      <c r="B247" s="4">
        <v>2009.0</v>
      </c>
      <c r="C247" s="4">
        <v>6.48733027324584</v>
      </c>
      <c r="D247" s="4">
        <v>2.97767420599668</v>
      </c>
      <c r="E247" s="4">
        <v>0.45899839850559</v>
      </c>
    </row>
    <row r="248" ht="15.75" customHeight="1">
      <c r="A248" s="4">
        <v>5.0</v>
      </c>
      <c r="B248" s="4">
        <v>2010.0</v>
      </c>
      <c r="C248" s="4">
        <v>15.8636263952997</v>
      </c>
      <c r="D248" s="4">
        <v>4.65634779196445</v>
      </c>
      <c r="E248" s="4">
        <v>0.29352354095682</v>
      </c>
    </row>
    <row r="249" ht="15.75" customHeight="1">
      <c r="A249" s="4">
        <v>5.0</v>
      </c>
      <c r="B249" s="4">
        <v>2011.0</v>
      </c>
      <c r="C249" s="4">
        <v>42.6861762504495</v>
      </c>
      <c r="D249" s="4">
        <v>7.55958786190313</v>
      </c>
      <c r="E249" s="4">
        <v>0.177096861933693</v>
      </c>
    </row>
    <row r="250" ht="15.75" customHeight="1">
      <c r="A250" s="4">
        <v>5.0</v>
      </c>
      <c r="B250" s="4">
        <v>2012.0</v>
      </c>
      <c r="C250" s="4">
        <v>44.3068546498391</v>
      </c>
      <c r="D250" s="4">
        <v>7.78179229513637</v>
      </c>
      <c r="E250" s="4">
        <v>0.175634049327955</v>
      </c>
    </row>
    <row r="251" ht="15.75" customHeight="1">
      <c r="A251" s="4">
        <v>5.0</v>
      </c>
      <c r="B251" s="4">
        <v>2013.0</v>
      </c>
      <c r="C251" s="4">
        <v>107.339546010815</v>
      </c>
      <c r="D251" s="4">
        <v>12.0894901592149</v>
      </c>
      <c r="E251" s="4">
        <v>0.112628482311605</v>
      </c>
    </row>
    <row r="252" ht="15.75" customHeight="1">
      <c r="A252" s="4">
        <v>5.0</v>
      </c>
      <c r="B252" s="4">
        <v>2014.0</v>
      </c>
      <c r="C252" s="4">
        <v>35.2232749022319</v>
      </c>
      <c r="D252" s="4">
        <v>6.93839532392781</v>
      </c>
      <c r="E252" s="4">
        <v>0.196983254486884</v>
      </c>
    </row>
    <row r="253" ht="15.75" customHeight="1">
      <c r="A253" s="4">
        <v>5.0</v>
      </c>
      <c r="B253" s="4">
        <v>2015.0</v>
      </c>
      <c r="C253" s="4">
        <v>32.1896342438168</v>
      </c>
      <c r="D253" s="4">
        <v>6.63288084495654</v>
      </c>
      <c r="E253" s="4">
        <v>0.206056421601952</v>
      </c>
    </row>
    <row r="254" ht="15.75" customHeight="1">
      <c r="A254" s="4">
        <v>5.0</v>
      </c>
      <c r="B254" s="4">
        <v>2016.0</v>
      </c>
      <c r="C254" s="4">
        <v>72.1208374173534</v>
      </c>
      <c r="D254" s="4">
        <v>9.5787151403579</v>
      </c>
      <c r="E254" s="4">
        <v>0.132814807528193</v>
      </c>
    </row>
    <row r="255" ht="15.75" customHeight="1">
      <c r="A255" s="4">
        <v>5.0</v>
      </c>
      <c r="B255" s="4">
        <v>2017.0</v>
      </c>
      <c r="C255" s="4">
        <v>35.4267049994548</v>
      </c>
      <c r="D255" s="4">
        <v>6.95840263903507</v>
      </c>
      <c r="E255" s="4">
        <v>0.196416873630843</v>
      </c>
    </row>
    <row r="256" ht="15.75" customHeight="1">
      <c r="A256" s="4">
        <v>5.0</v>
      </c>
      <c r="B256" s="4">
        <v>2018.0</v>
      </c>
      <c r="C256" s="4">
        <v>58.9103556015243</v>
      </c>
      <c r="D256" s="4">
        <v>8.97304811883382</v>
      </c>
      <c r="E256" s="4">
        <v>0.152316991252411</v>
      </c>
    </row>
    <row r="257" ht="15.75" customHeight="1">
      <c r="A257" s="4">
        <v>5.0</v>
      </c>
      <c r="B257" s="4">
        <v>2019.0</v>
      </c>
      <c r="C257" s="4">
        <v>47.96244824103</v>
      </c>
      <c r="D257" s="4">
        <v>8.07098515000193</v>
      </c>
      <c r="E257" s="4">
        <v>0.168277171954235</v>
      </c>
    </row>
    <row r="258" ht="15.75" customHeight="1">
      <c r="A258" s="4">
        <v>5.0</v>
      </c>
      <c r="B258" s="4">
        <v>2020.0</v>
      </c>
      <c r="C258" s="4">
        <v>15.1831448580521</v>
      </c>
      <c r="D258" s="4">
        <v>4.55538452705919</v>
      </c>
      <c r="E258" s="4">
        <v>0.300029049952937</v>
      </c>
    </row>
    <row r="259" ht="15.75" customHeight="1">
      <c r="A259" s="4">
        <v>5.0</v>
      </c>
      <c r="B259" s="4">
        <v>2021.0</v>
      </c>
      <c r="C259" s="4">
        <v>33.2409554699992</v>
      </c>
      <c r="D259" s="4">
        <v>6.74032633947658</v>
      </c>
      <c r="E259" s="4">
        <v>0.202771738783498</v>
      </c>
    </row>
    <row r="260" ht="15.75" customHeight="1">
      <c r="A260" s="4">
        <v>5.0</v>
      </c>
      <c r="B260" s="4">
        <v>2022.0</v>
      </c>
      <c r="C260" s="4">
        <v>22.353641303619</v>
      </c>
      <c r="D260" s="4">
        <v>5.52336869199431</v>
      </c>
      <c r="E260" s="4">
        <v>0.247090333828524</v>
      </c>
    </row>
    <row r="261" ht="15.75" customHeight="1">
      <c r="A261" s="4">
        <v>5.0</v>
      </c>
      <c r="B261" s="4">
        <v>2023.0</v>
      </c>
      <c r="C261" s="4">
        <v>48.5258527356529</v>
      </c>
      <c r="D261" s="4">
        <v>8.14386868878907</v>
      </c>
      <c r="E261" s="4">
        <v>0.167825359672775</v>
      </c>
    </row>
    <row r="262" ht="15.75" customHeight="1">
      <c r="A262" s="4">
        <v>5.0</v>
      </c>
      <c r="B262" s="4">
        <v>2024.0</v>
      </c>
      <c r="C262" s="4">
        <v>33.5095250574403</v>
      </c>
      <c r="D262" s="4">
        <v>8.14386868878907</v>
      </c>
      <c r="E262" s="4">
        <v>0.243031456722507</v>
      </c>
    </row>
    <row r="263" ht="15.75" customHeight="1">
      <c r="A263" s="4">
        <v>6.0</v>
      </c>
      <c r="B263" s="4">
        <v>1973.0</v>
      </c>
      <c r="C263" s="4">
        <v>57.321471563805</v>
      </c>
      <c r="D263" s="4">
        <v>8.83948857279069</v>
      </c>
      <c r="E263" s="4">
        <v>0.154209030780924</v>
      </c>
    </row>
    <row r="264" ht="15.75" customHeight="1">
      <c r="A264" s="4">
        <v>6.0</v>
      </c>
      <c r="B264" s="4">
        <v>1974.0</v>
      </c>
      <c r="C264" s="4">
        <v>106.517013596168</v>
      </c>
      <c r="D264" s="4">
        <v>12.0657317421091</v>
      </c>
      <c r="E264" s="4">
        <v>0.113275159852427</v>
      </c>
    </row>
    <row r="265" ht="15.75" customHeight="1">
      <c r="A265" s="4">
        <v>6.0</v>
      </c>
      <c r="B265" s="4">
        <v>1975.0</v>
      </c>
      <c r="C265" s="4">
        <v>71.4063001568911</v>
      </c>
      <c r="D265" s="4">
        <v>9.80089213695258</v>
      </c>
      <c r="E265" s="4">
        <v>0.137255285813975</v>
      </c>
    </row>
    <row r="266" ht="15.75" customHeight="1">
      <c r="A266" s="4">
        <v>6.0</v>
      </c>
      <c r="B266" s="4">
        <v>1976.0</v>
      </c>
      <c r="C266" s="4">
        <v>82.1679163023356</v>
      </c>
      <c r="D266" s="4">
        <v>10.5973020126914</v>
      </c>
      <c r="E266" s="4">
        <v>0.128971288181373</v>
      </c>
    </row>
    <row r="267" ht="15.75" customHeight="1">
      <c r="A267" s="4">
        <v>6.0</v>
      </c>
      <c r="B267" s="4">
        <v>1977.0</v>
      </c>
      <c r="C267" s="4">
        <v>70.5999214515104</v>
      </c>
      <c r="D267" s="4">
        <v>9.82304839073896</v>
      </c>
      <c r="E267" s="4">
        <v>0.139136817559856</v>
      </c>
    </row>
    <row r="268" ht="15.75" customHeight="1">
      <c r="A268" s="4">
        <v>6.0</v>
      </c>
      <c r="B268" s="4">
        <v>1978.0</v>
      </c>
      <c r="C268" s="4">
        <v>113.140377991705</v>
      </c>
      <c r="D268" s="4">
        <v>12.1298347068737</v>
      </c>
      <c r="E268" s="4">
        <v>0.107210484198338</v>
      </c>
    </row>
    <row r="269" ht="15.75" customHeight="1">
      <c r="A269" s="4">
        <v>6.0</v>
      </c>
      <c r="B269" s="4">
        <v>1979.0</v>
      </c>
      <c r="C269" s="4">
        <v>47.4622077659884</v>
      </c>
      <c r="D269" s="4">
        <v>11.39505601601</v>
      </c>
      <c r="E269" s="4">
        <v>0.240086935529699</v>
      </c>
    </row>
    <row r="270" ht="15.75" customHeight="1">
      <c r="A270" s="4">
        <v>6.0</v>
      </c>
      <c r="B270" s="4">
        <v>1980.0</v>
      </c>
      <c r="C270" s="4">
        <v>61.5198103770306</v>
      </c>
      <c r="D270" s="4">
        <v>12.9732859435569</v>
      </c>
      <c r="E270" s="4">
        <v>0.210879810325304</v>
      </c>
    </row>
    <row r="271" ht="15.75" customHeight="1">
      <c r="A271" s="4">
        <v>6.0</v>
      </c>
      <c r="B271" s="4">
        <v>1981.0</v>
      </c>
      <c r="C271" s="4">
        <v>49.1420073073224</v>
      </c>
      <c r="D271" s="4">
        <v>11.4860550910903</v>
      </c>
      <c r="E271" s="4">
        <v>0.2337319071901</v>
      </c>
    </row>
    <row r="272" ht="15.75" customHeight="1">
      <c r="A272" s="4">
        <v>6.0</v>
      </c>
      <c r="B272" s="4">
        <v>1982.0</v>
      </c>
      <c r="C272" s="4">
        <v>22.7477892684334</v>
      </c>
      <c r="D272" s="4">
        <v>7.88882086692792</v>
      </c>
      <c r="E272" s="4">
        <v>0.346795056602491</v>
      </c>
    </row>
    <row r="273" ht="15.75" customHeight="1">
      <c r="A273" s="4">
        <v>6.0</v>
      </c>
      <c r="B273" s="4">
        <v>1983.0</v>
      </c>
      <c r="C273" s="4">
        <v>67.3090118236526</v>
      </c>
      <c r="D273" s="4">
        <v>13.5699767540528</v>
      </c>
      <c r="E273" s="4">
        <v>0.201607130849071</v>
      </c>
    </row>
    <row r="274" ht="15.75" customHeight="1">
      <c r="A274" s="4">
        <v>6.0</v>
      </c>
      <c r="B274" s="4">
        <v>1984.0</v>
      </c>
      <c r="C274" s="4">
        <v>77.4194436233283</v>
      </c>
      <c r="D274" s="4">
        <v>10.2742108003171</v>
      </c>
      <c r="E274" s="4">
        <v>0.132708403980588</v>
      </c>
    </row>
    <row r="275" ht="15.75" customHeight="1">
      <c r="A275" s="4">
        <v>6.0</v>
      </c>
      <c r="B275" s="4">
        <v>1985.0</v>
      </c>
      <c r="C275" s="4">
        <v>86.8262770851467</v>
      </c>
      <c r="D275" s="4">
        <v>10.8935583624353</v>
      </c>
      <c r="E275" s="4">
        <v>0.125463842607838</v>
      </c>
    </row>
    <row r="276" ht="15.75" customHeight="1">
      <c r="A276" s="4">
        <v>6.0</v>
      </c>
      <c r="B276" s="4">
        <v>1986.0</v>
      </c>
      <c r="C276" s="4">
        <v>29.6487779550563</v>
      </c>
      <c r="D276" s="4">
        <v>6.02412947145126</v>
      </c>
      <c r="E276" s="4">
        <v>0.20318306139238</v>
      </c>
    </row>
    <row r="277" ht="15.75" customHeight="1">
      <c r="A277" s="4">
        <v>6.0</v>
      </c>
      <c r="B277" s="4">
        <v>1987.0</v>
      </c>
      <c r="C277" s="4">
        <v>41.5154695290195</v>
      </c>
      <c r="D277" s="4">
        <v>7.53267363913855</v>
      </c>
      <c r="E277" s="4">
        <v>0.181442573686254</v>
      </c>
    </row>
    <row r="278" ht="15.75" customHeight="1">
      <c r="A278" s="4">
        <v>6.0</v>
      </c>
      <c r="B278" s="4">
        <v>1988.0</v>
      </c>
      <c r="C278" s="4">
        <v>50.285415052473</v>
      </c>
      <c r="D278" s="4">
        <v>8.29020355331364</v>
      </c>
      <c r="E278" s="4">
        <v>0.164862983524404</v>
      </c>
    </row>
    <row r="279" ht="15.75" customHeight="1">
      <c r="A279" s="4">
        <v>6.0</v>
      </c>
      <c r="B279" s="4">
        <v>1989.0</v>
      </c>
      <c r="C279" s="4">
        <v>66.5837815339676</v>
      </c>
      <c r="D279" s="4">
        <v>9.1279958456195</v>
      </c>
      <c r="E279" s="4">
        <v>0.137090378998118</v>
      </c>
    </row>
    <row r="280" ht="15.75" customHeight="1">
      <c r="A280" s="4">
        <v>6.0</v>
      </c>
      <c r="B280" s="4">
        <v>1990.0</v>
      </c>
      <c r="C280" s="4">
        <v>58.9985075859074</v>
      </c>
      <c r="D280" s="4">
        <v>8.97975913174125</v>
      </c>
      <c r="E280" s="4">
        <v>0.152203157319969</v>
      </c>
    </row>
    <row r="281" ht="15.75" customHeight="1">
      <c r="A281" s="4">
        <v>6.0</v>
      </c>
      <c r="B281" s="4">
        <v>1991.0</v>
      </c>
      <c r="C281" s="4">
        <v>48.014486576949</v>
      </c>
      <c r="D281" s="4">
        <v>8.1008449376071</v>
      </c>
      <c r="E281" s="4">
        <v>0.168716683549756</v>
      </c>
    </row>
    <row r="282" ht="15.75" customHeight="1">
      <c r="A282" s="4">
        <v>6.0</v>
      </c>
      <c r="B282" s="4">
        <v>1992.0</v>
      </c>
      <c r="C282" s="4">
        <v>35.3574865753751</v>
      </c>
      <c r="D282" s="4">
        <v>6.92655895217863</v>
      </c>
      <c r="E282" s="4">
        <v>0.195900773020519</v>
      </c>
    </row>
    <row r="283" ht="15.75" customHeight="1">
      <c r="A283" s="4">
        <v>6.0</v>
      </c>
      <c r="B283" s="4">
        <v>1993.0</v>
      </c>
      <c r="C283" s="4">
        <v>30.4244515244292</v>
      </c>
      <c r="D283" s="4">
        <v>6.44845321732439</v>
      </c>
      <c r="E283" s="4">
        <v>0.211949694874421</v>
      </c>
    </row>
    <row r="284" ht="15.75" customHeight="1">
      <c r="A284" s="4">
        <v>6.0</v>
      </c>
      <c r="B284" s="4">
        <v>1994.0</v>
      </c>
      <c r="C284" s="4">
        <v>75.7875786827514</v>
      </c>
      <c r="D284" s="4">
        <v>10.1590319883025</v>
      </c>
      <c r="E284" s="4">
        <v>0.134046134800379</v>
      </c>
    </row>
    <row r="285" ht="15.75" customHeight="1">
      <c r="A285" s="4">
        <v>6.0</v>
      </c>
      <c r="B285" s="4">
        <v>1995.0</v>
      </c>
      <c r="C285" s="4">
        <v>120.387003432717</v>
      </c>
      <c r="D285" s="4">
        <v>12.8272623371965</v>
      </c>
      <c r="E285" s="4">
        <v>0.106550225285452</v>
      </c>
    </row>
    <row r="286" ht="15.75" customHeight="1">
      <c r="A286" s="4">
        <v>6.0</v>
      </c>
      <c r="B286" s="4">
        <v>1996.0</v>
      </c>
      <c r="C286" s="4">
        <v>61.198221038519</v>
      </c>
      <c r="D286" s="4">
        <v>9.14562886564523</v>
      </c>
      <c r="E286" s="4">
        <v>0.149442724158417</v>
      </c>
    </row>
    <row r="287" ht="15.75" customHeight="1">
      <c r="A287" s="4">
        <v>6.0</v>
      </c>
      <c r="B287" s="4">
        <v>1997.0</v>
      </c>
      <c r="C287" s="4">
        <v>33.7780946448813</v>
      </c>
      <c r="D287" s="4">
        <v>6.48246079255744</v>
      </c>
      <c r="E287" s="4">
        <v>0.191913157349738</v>
      </c>
    </row>
    <row r="288" ht="15.75" customHeight="1">
      <c r="A288" s="4">
        <v>6.0</v>
      </c>
      <c r="B288" s="4">
        <v>1998.0</v>
      </c>
      <c r="C288" s="4">
        <v>20.3108518888488</v>
      </c>
      <c r="D288" s="4">
        <v>5.26875791226553</v>
      </c>
      <c r="E288" s="4">
        <v>0.259406052542691</v>
      </c>
    </row>
    <row r="289" ht="15.75" customHeight="1">
      <c r="A289" s="4">
        <v>6.0</v>
      </c>
      <c r="B289" s="4">
        <v>1999.0</v>
      </c>
      <c r="C289" s="4">
        <v>38.7259621997418</v>
      </c>
      <c r="D289" s="4">
        <v>7.27520580122347</v>
      </c>
      <c r="E289" s="4">
        <v>0.187863784086222</v>
      </c>
    </row>
    <row r="290" ht="15.75" customHeight="1">
      <c r="A290" s="4">
        <v>6.0</v>
      </c>
      <c r="B290" s="4">
        <v>2000.0</v>
      </c>
      <c r="C290" s="4">
        <v>78.6826461927894</v>
      </c>
      <c r="D290" s="4">
        <v>10.2893117448182</v>
      </c>
      <c r="E290" s="4">
        <v>0.130769772531636</v>
      </c>
    </row>
    <row r="291" ht="15.75" customHeight="1">
      <c r="A291" s="4">
        <v>6.0</v>
      </c>
      <c r="B291" s="4">
        <v>2001.0</v>
      </c>
      <c r="C291" s="4">
        <v>53.3551180652988</v>
      </c>
      <c r="D291" s="4">
        <v>8.53949556254564</v>
      </c>
      <c r="E291" s="4">
        <v>0.16005016711039</v>
      </c>
    </row>
    <row r="292" ht="15.75" customHeight="1">
      <c r="A292" s="4">
        <v>6.0</v>
      </c>
      <c r="B292" s="4">
        <v>2002.0</v>
      </c>
      <c r="C292" s="4">
        <v>38.8997946388016</v>
      </c>
      <c r="D292" s="4">
        <v>7.2915159284613</v>
      </c>
      <c r="E292" s="4">
        <v>0.187443558408614</v>
      </c>
    </row>
    <row r="293" ht="15.75" customHeight="1">
      <c r="A293" s="4">
        <v>6.0</v>
      </c>
      <c r="B293" s="4">
        <v>2003.0</v>
      </c>
      <c r="C293" s="4">
        <v>72.6998323180441</v>
      </c>
      <c r="D293" s="4">
        <v>9.95975757096119</v>
      </c>
      <c r="E293" s="4">
        <v>0.136998356851632</v>
      </c>
    </row>
    <row r="294" ht="15.75" customHeight="1">
      <c r="A294" s="4">
        <v>6.0</v>
      </c>
      <c r="B294" s="4">
        <v>2004.0</v>
      </c>
      <c r="C294" s="4">
        <v>39.4447485773769</v>
      </c>
      <c r="D294" s="4">
        <v>7.34241234695406</v>
      </c>
      <c r="E294" s="4">
        <v>0.186144229885274</v>
      </c>
    </row>
    <row r="295" ht="15.75" customHeight="1">
      <c r="A295" s="4">
        <v>6.0</v>
      </c>
      <c r="B295" s="4">
        <v>2005.0</v>
      </c>
      <c r="C295" s="4">
        <v>53.2550279567475</v>
      </c>
      <c r="D295" s="4">
        <v>8.01669461740531</v>
      </c>
      <c r="E295" s="4">
        <v>0.150534042042308</v>
      </c>
    </row>
    <row r="296" ht="15.75" customHeight="1">
      <c r="A296" s="4">
        <v>6.0</v>
      </c>
      <c r="B296" s="4">
        <v>2006.0</v>
      </c>
      <c r="C296" s="4">
        <v>15.6970887359145</v>
      </c>
      <c r="D296" s="4">
        <v>4.63184194442834</v>
      </c>
      <c r="E296" s="4">
        <v>0.295076496180519</v>
      </c>
    </row>
    <row r="297" ht="15.75" customHeight="1">
      <c r="A297" s="4">
        <v>6.0</v>
      </c>
      <c r="B297" s="4">
        <v>2007.0</v>
      </c>
      <c r="C297" s="4">
        <v>15.7457538429002</v>
      </c>
      <c r="D297" s="4">
        <v>4.63901635272079</v>
      </c>
      <c r="E297" s="4">
        <v>0.294620149597509</v>
      </c>
    </row>
    <row r="298" ht="15.75" customHeight="1">
      <c r="A298" s="4">
        <v>6.0</v>
      </c>
      <c r="B298" s="4">
        <v>2008.0</v>
      </c>
      <c r="C298" s="4">
        <v>1.38483101731923</v>
      </c>
      <c r="D298" s="4">
        <v>1.351204829229</v>
      </c>
      <c r="E298" s="4">
        <v>0.975718201232001</v>
      </c>
    </row>
    <row r="299" ht="15.75" customHeight="1">
      <c r="A299" s="4">
        <v>6.0</v>
      </c>
      <c r="B299" s="4">
        <v>2009.0</v>
      </c>
      <c r="C299" s="4">
        <v>6.48733027324584</v>
      </c>
      <c r="D299" s="4">
        <v>2.97767420599668</v>
      </c>
      <c r="E299" s="4">
        <v>0.45899839850559</v>
      </c>
    </row>
    <row r="300" ht="15.75" customHeight="1">
      <c r="A300" s="4">
        <v>6.0</v>
      </c>
      <c r="B300" s="4">
        <v>2010.0</v>
      </c>
      <c r="C300" s="4">
        <v>15.8636263952997</v>
      </c>
      <c r="D300" s="4">
        <v>4.65634779196445</v>
      </c>
      <c r="E300" s="4">
        <v>0.29352354095682</v>
      </c>
    </row>
    <row r="301" ht="15.75" customHeight="1">
      <c r="A301" s="4">
        <v>6.0</v>
      </c>
      <c r="B301" s="4">
        <v>2011.0</v>
      </c>
      <c r="C301" s="4">
        <v>42.6861762504495</v>
      </c>
      <c r="D301" s="4">
        <v>7.55958786190313</v>
      </c>
      <c r="E301" s="4">
        <v>0.177096861933693</v>
      </c>
    </row>
    <row r="302" ht="15.75" customHeight="1">
      <c r="A302" s="4">
        <v>6.0</v>
      </c>
      <c r="B302" s="4">
        <v>2012.0</v>
      </c>
      <c r="C302" s="4">
        <v>44.3068546498391</v>
      </c>
      <c r="D302" s="4">
        <v>7.78179229513637</v>
      </c>
      <c r="E302" s="4">
        <v>0.175634049327955</v>
      </c>
    </row>
    <row r="303" ht="15.75" customHeight="1">
      <c r="A303" s="4">
        <v>6.0</v>
      </c>
      <c r="B303" s="4">
        <v>2013.0</v>
      </c>
      <c r="C303" s="4">
        <v>107.339546010815</v>
      </c>
      <c r="D303" s="4">
        <v>12.0894901592149</v>
      </c>
      <c r="E303" s="4">
        <v>0.112628482311605</v>
      </c>
    </row>
    <row r="304" ht="15.75" customHeight="1">
      <c r="A304" s="4">
        <v>6.0</v>
      </c>
      <c r="B304" s="4">
        <v>2014.0</v>
      </c>
      <c r="C304" s="4">
        <v>35.2232749022319</v>
      </c>
      <c r="D304" s="4">
        <v>6.93839532392781</v>
      </c>
      <c r="E304" s="4">
        <v>0.196983254486884</v>
      </c>
    </row>
    <row r="305" ht="15.75" customHeight="1">
      <c r="A305" s="4">
        <v>6.0</v>
      </c>
      <c r="B305" s="4">
        <v>2015.0</v>
      </c>
      <c r="C305" s="4">
        <v>32.1896342438168</v>
      </c>
      <c r="D305" s="4">
        <v>6.63288084495654</v>
      </c>
      <c r="E305" s="4">
        <v>0.206056421601952</v>
      </c>
    </row>
    <row r="306" ht="15.75" customHeight="1">
      <c r="A306" s="4">
        <v>6.0</v>
      </c>
      <c r="B306" s="4">
        <v>2016.0</v>
      </c>
      <c r="C306" s="4">
        <v>72.1208374173534</v>
      </c>
      <c r="D306" s="4">
        <v>9.5787151403579</v>
      </c>
      <c r="E306" s="4">
        <v>0.132814807528193</v>
      </c>
    </row>
    <row r="307" ht="15.75" customHeight="1">
      <c r="A307" s="4">
        <v>6.0</v>
      </c>
      <c r="B307" s="4">
        <v>2017.0</v>
      </c>
      <c r="C307" s="4">
        <v>35.4267049994548</v>
      </c>
      <c r="D307" s="4">
        <v>6.95840263903507</v>
      </c>
      <c r="E307" s="4">
        <v>0.196416873630843</v>
      </c>
    </row>
    <row r="308" ht="15.75" customHeight="1">
      <c r="A308" s="4">
        <v>6.0</v>
      </c>
      <c r="B308" s="4">
        <v>2018.0</v>
      </c>
      <c r="C308" s="4">
        <v>58.9103556015243</v>
      </c>
      <c r="D308" s="4">
        <v>8.97304811883382</v>
      </c>
      <c r="E308" s="4">
        <v>0.152316991252411</v>
      </c>
    </row>
    <row r="309" ht="15.75" customHeight="1">
      <c r="A309" s="4">
        <v>6.0</v>
      </c>
      <c r="B309" s="4">
        <v>2019.0</v>
      </c>
      <c r="C309" s="4">
        <v>47.96244824103</v>
      </c>
      <c r="D309" s="4">
        <v>8.07098515000193</v>
      </c>
      <c r="E309" s="4">
        <v>0.168277171954235</v>
      </c>
    </row>
    <row r="310" ht="15.75" customHeight="1">
      <c r="A310" s="4">
        <v>6.0</v>
      </c>
      <c r="B310" s="4">
        <v>2020.0</v>
      </c>
      <c r="C310" s="4">
        <v>15.1831448580521</v>
      </c>
      <c r="D310" s="4">
        <v>4.55538452705919</v>
      </c>
      <c r="E310" s="4">
        <v>0.300029049952937</v>
      </c>
    </row>
    <row r="311" ht="15.75" customHeight="1">
      <c r="A311" s="4">
        <v>6.0</v>
      </c>
      <c r="B311" s="4">
        <v>2021.0</v>
      </c>
      <c r="C311" s="4">
        <v>33.2409554699992</v>
      </c>
      <c r="D311" s="4">
        <v>6.74032633947658</v>
      </c>
      <c r="E311" s="4">
        <v>0.202771738783498</v>
      </c>
    </row>
    <row r="312" ht="15.75" customHeight="1">
      <c r="A312" s="4">
        <v>6.0</v>
      </c>
      <c r="B312" s="4">
        <v>2022.0</v>
      </c>
      <c r="C312" s="4">
        <v>22.353641303619</v>
      </c>
      <c r="D312" s="4">
        <v>5.52336869199431</v>
      </c>
      <c r="E312" s="4">
        <v>0.247090333828524</v>
      </c>
    </row>
    <row r="313" ht="15.75" customHeight="1">
      <c r="A313" s="4">
        <v>6.0</v>
      </c>
      <c r="B313" s="4">
        <v>2023.0</v>
      </c>
      <c r="C313" s="4">
        <v>48.5258527356529</v>
      </c>
      <c r="D313" s="4">
        <v>8.14386868878907</v>
      </c>
      <c r="E313" s="4">
        <v>0.167825359672775</v>
      </c>
    </row>
    <row r="314" ht="15.75" customHeight="1">
      <c r="A314" s="4">
        <v>6.0</v>
      </c>
      <c r="B314" s="4">
        <v>2024.0</v>
      </c>
      <c r="C314" s="4">
        <v>33.5095250574403</v>
      </c>
      <c r="D314" s="4">
        <v>8.14386868878907</v>
      </c>
      <c r="E314" s="4">
        <v>0.243031456722507</v>
      </c>
    </row>
    <row r="315" ht="15.75" customHeight="1">
      <c r="A315" s="4">
        <v>7.0</v>
      </c>
      <c r="B315" s="4">
        <v>1973.0</v>
      </c>
      <c r="C315" s="4">
        <v>49.4854852113373</v>
      </c>
      <c r="D315" s="4">
        <v>11.0207528126205</v>
      </c>
      <c r="E315" s="4">
        <v>0.222706774836181</v>
      </c>
    </row>
    <row r="316" ht="15.75" customHeight="1">
      <c r="A316" s="4">
        <v>7.0</v>
      </c>
      <c r="B316" s="4">
        <v>1974.0</v>
      </c>
      <c r="C316" s="4">
        <v>103.71620230437</v>
      </c>
      <c r="D316" s="4">
        <v>15.9574539813861</v>
      </c>
      <c r="E316" s="4">
        <v>0.153856905930248</v>
      </c>
    </row>
    <row r="317" ht="15.75" customHeight="1">
      <c r="A317" s="4">
        <v>7.0</v>
      </c>
      <c r="B317" s="4">
        <v>1975.0</v>
      </c>
      <c r="C317" s="4">
        <v>57.4162729338012</v>
      </c>
      <c r="D317" s="4">
        <v>11.8208059379875</v>
      </c>
      <c r="E317" s="4">
        <v>0.205879018856142</v>
      </c>
    </row>
    <row r="318" ht="15.75" customHeight="1">
      <c r="A318" s="4">
        <v>7.0</v>
      </c>
      <c r="B318" s="4">
        <v>1976.0</v>
      </c>
      <c r="C318" s="4">
        <v>70.4338209064134</v>
      </c>
      <c r="D318" s="4">
        <v>13.1501565167158</v>
      </c>
      <c r="E318" s="4">
        <v>0.186702302210591</v>
      </c>
    </row>
    <row r="319" ht="15.75" customHeight="1">
      <c r="A319" s="4">
        <v>7.0</v>
      </c>
      <c r="B319" s="4">
        <v>1977.0</v>
      </c>
      <c r="C319" s="4">
        <v>51.5960727791864</v>
      </c>
      <c r="D319" s="4">
        <v>11.2550808982288</v>
      </c>
      <c r="E319" s="4">
        <v>0.218138325108517</v>
      </c>
    </row>
    <row r="320" ht="15.75" customHeight="1">
      <c r="A320" s="4">
        <v>7.0</v>
      </c>
      <c r="B320" s="4">
        <v>1978.0</v>
      </c>
      <c r="C320" s="4">
        <v>113.930783021188</v>
      </c>
      <c r="D320" s="4">
        <v>16.537906813618</v>
      </c>
      <c r="E320" s="4">
        <v>0.145157492778246</v>
      </c>
    </row>
    <row r="321" ht="15.75" customHeight="1">
      <c r="A321" s="4">
        <v>7.0</v>
      </c>
      <c r="B321" s="4">
        <v>1979.0</v>
      </c>
      <c r="C321" s="4">
        <v>45.8854599494743</v>
      </c>
      <c r="D321" s="4">
        <v>10.6139696699773</v>
      </c>
      <c r="E321" s="4">
        <v>0.231314444306859</v>
      </c>
    </row>
    <row r="322" ht="15.75" customHeight="1">
      <c r="A322" s="4">
        <v>7.0</v>
      </c>
      <c r="B322" s="4">
        <v>1980.0</v>
      </c>
      <c r="C322" s="4">
        <v>59.6182023645741</v>
      </c>
      <c r="D322" s="4">
        <v>12.098450056385</v>
      </c>
      <c r="E322" s="4">
        <v>0.202932151197736</v>
      </c>
    </row>
    <row r="323" ht="15.75" customHeight="1">
      <c r="A323" s="4">
        <v>7.0</v>
      </c>
      <c r="B323" s="4">
        <v>1981.0</v>
      </c>
      <c r="C323" s="4">
        <v>47.8307588515169</v>
      </c>
      <c r="D323" s="4">
        <v>10.7382100763369</v>
      </c>
      <c r="E323" s="4">
        <v>0.224504279969129</v>
      </c>
    </row>
    <row r="324" ht="15.75" customHeight="1">
      <c r="A324" s="4">
        <v>7.0</v>
      </c>
      <c r="B324" s="4">
        <v>1982.0</v>
      </c>
      <c r="C324" s="4">
        <v>21.7491171262159</v>
      </c>
      <c r="D324" s="4">
        <v>7.30737026500069</v>
      </c>
      <c r="E324" s="4">
        <v>0.335984684922799</v>
      </c>
    </row>
    <row r="325" ht="15.75" customHeight="1">
      <c r="A325" s="4">
        <v>7.0</v>
      </c>
      <c r="B325" s="4">
        <v>1983.0</v>
      </c>
      <c r="C325" s="4">
        <v>65.5728186659244</v>
      </c>
      <c r="D325" s="4">
        <v>12.6882645108711</v>
      </c>
      <c r="E325" s="4">
        <v>0.193498842493173</v>
      </c>
    </row>
    <row r="326" ht="15.75" customHeight="1">
      <c r="A326" s="4">
        <v>7.0</v>
      </c>
      <c r="B326" s="4">
        <v>1984.0</v>
      </c>
      <c r="C326" s="4">
        <v>119.203515429471</v>
      </c>
      <c r="D326" s="4">
        <v>14.1491338630953</v>
      </c>
      <c r="E326" s="4">
        <v>0.118697286838549</v>
      </c>
    </row>
    <row r="327" ht="15.75" customHeight="1">
      <c r="A327" s="4">
        <v>7.0</v>
      </c>
      <c r="B327" s="4">
        <v>1985.0</v>
      </c>
      <c r="C327" s="4">
        <v>69.9760474195271</v>
      </c>
      <c r="D327" s="4">
        <v>9.26311904462545</v>
      </c>
      <c r="E327" s="4">
        <v>0.132375568301112</v>
      </c>
    </row>
    <row r="328" ht="15.75" customHeight="1">
      <c r="A328" s="4">
        <v>7.0</v>
      </c>
      <c r="B328" s="4">
        <v>1986.0</v>
      </c>
      <c r="C328" s="4">
        <v>32.2906619504058</v>
      </c>
      <c r="D328" s="4">
        <v>6.07743024122359</v>
      </c>
      <c r="E328" s="4">
        <v>0.188210147272847</v>
      </c>
    </row>
    <row r="329" ht="15.75" customHeight="1">
      <c r="A329" s="4">
        <v>7.0</v>
      </c>
      <c r="B329" s="4">
        <v>1987.0</v>
      </c>
      <c r="C329" s="4">
        <v>32.6064505190857</v>
      </c>
      <c r="D329" s="4">
        <v>6.32316193154907</v>
      </c>
      <c r="E329" s="4">
        <v>0.193923651022606</v>
      </c>
    </row>
    <row r="330" ht="15.75" customHeight="1">
      <c r="A330" s="4">
        <v>7.0</v>
      </c>
      <c r="B330" s="4">
        <v>1988.0</v>
      </c>
      <c r="C330" s="4">
        <v>55.0784348240191</v>
      </c>
      <c r="D330" s="4">
        <v>8.21813623906846</v>
      </c>
      <c r="E330" s="4">
        <v>0.14920787537493</v>
      </c>
    </row>
    <row r="331" ht="15.75" customHeight="1">
      <c r="A331" s="4">
        <v>7.0</v>
      </c>
      <c r="B331" s="4">
        <v>1989.0</v>
      </c>
      <c r="C331" s="4">
        <v>83.5573538016599</v>
      </c>
      <c r="D331" s="4">
        <v>9.71732297122009</v>
      </c>
      <c r="E331" s="4">
        <v>0.116295245470388</v>
      </c>
    </row>
    <row r="332" ht="15.75" customHeight="1">
      <c r="A332" s="4">
        <v>7.0</v>
      </c>
      <c r="B332" s="4">
        <v>1990.0</v>
      </c>
      <c r="C332" s="4">
        <v>58.5041610239797</v>
      </c>
      <c r="D332" s="4">
        <v>8.46985390586157</v>
      </c>
      <c r="E332" s="4">
        <v>0.144773529909949</v>
      </c>
    </row>
    <row r="333" ht="15.75" customHeight="1">
      <c r="A333" s="4">
        <v>7.0</v>
      </c>
      <c r="B333" s="4">
        <v>1991.0</v>
      </c>
      <c r="C333" s="4">
        <v>57.7606208335799</v>
      </c>
      <c r="D333" s="4">
        <v>11.8636598477157</v>
      </c>
      <c r="E333" s="4">
        <v>0.205393565313249</v>
      </c>
    </row>
    <row r="334" ht="15.75" customHeight="1">
      <c r="A334" s="4">
        <v>7.0</v>
      </c>
      <c r="B334" s="4">
        <v>1992.0</v>
      </c>
      <c r="C334" s="4">
        <v>29.7820205667532</v>
      </c>
      <c r="D334" s="4">
        <v>8.51173484428101</v>
      </c>
      <c r="E334" s="4">
        <v>0.285801120350544</v>
      </c>
    </row>
    <row r="335" ht="15.75" customHeight="1">
      <c r="A335" s="4">
        <v>7.0</v>
      </c>
      <c r="B335" s="4">
        <v>1993.0</v>
      </c>
      <c r="C335" s="4">
        <v>36.3024981579754</v>
      </c>
      <c r="D335" s="4">
        <v>9.44079470157128</v>
      </c>
      <c r="E335" s="4">
        <v>0.260059091814793</v>
      </c>
    </row>
    <row r="336" ht="15.75" customHeight="1">
      <c r="A336" s="4">
        <v>7.0</v>
      </c>
      <c r="B336" s="4">
        <v>1994.0</v>
      </c>
      <c r="C336" s="4">
        <v>61.1828140388367</v>
      </c>
      <c r="D336" s="4">
        <v>11.9910679941197</v>
      </c>
      <c r="E336" s="4">
        <v>0.195987520065818</v>
      </c>
    </row>
    <row r="337" ht="15.75" customHeight="1">
      <c r="A337" s="4">
        <v>7.0</v>
      </c>
      <c r="B337" s="4">
        <v>1995.0</v>
      </c>
      <c r="C337" s="4">
        <v>125.321000998104</v>
      </c>
      <c r="D337" s="4">
        <v>12.3963682509622</v>
      </c>
      <c r="E337" s="4">
        <v>0.098916926550481</v>
      </c>
    </row>
    <row r="338" ht="15.75" customHeight="1">
      <c r="A338" s="4">
        <v>7.0</v>
      </c>
      <c r="B338" s="4">
        <v>1996.0</v>
      </c>
      <c r="C338" s="4">
        <v>54.0451970133606</v>
      </c>
      <c r="D338" s="4">
        <v>8.14068768832088</v>
      </c>
      <c r="E338" s="4">
        <v>0.150627403325191</v>
      </c>
    </row>
    <row r="339" ht="15.75" customHeight="1">
      <c r="A339" s="4">
        <v>7.0</v>
      </c>
      <c r="B339" s="4">
        <v>1997.0</v>
      </c>
      <c r="C339" s="4">
        <v>44.5643431279182</v>
      </c>
      <c r="D339" s="4">
        <v>7.09644716735178</v>
      </c>
      <c r="E339" s="4">
        <v>0.159240474991004</v>
      </c>
    </row>
    <row r="340" ht="15.75" customHeight="1">
      <c r="A340" s="4">
        <v>7.0</v>
      </c>
      <c r="B340" s="4">
        <v>1998.0</v>
      </c>
      <c r="C340" s="4">
        <v>17.0341303718318</v>
      </c>
      <c r="D340" s="4">
        <v>4.57027701977639</v>
      </c>
      <c r="E340" s="4">
        <v>0.268301164779973</v>
      </c>
    </row>
    <row r="341" ht="15.75" customHeight="1">
      <c r="A341" s="4">
        <v>7.0</v>
      </c>
      <c r="B341" s="4">
        <v>1999.0</v>
      </c>
      <c r="C341" s="4">
        <v>32.7419594562105</v>
      </c>
      <c r="D341" s="4">
        <v>6.33628750248609</v>
      </c>
      <c r="E341" s="4">
        <v>0.193521939667671</v>
      </c>
    </row>
    <row r="342" ht="15.75" customHeight="1">
      <c r="A342" s="4">
        <v>7.0</v>
      </c>
      <c r="B342" s="4">
        <v>2000.0</v>
      </c>
      <c r="C342" s="4">
        <v>84.7571413514331</v>
      </c>
      <c r="D342" s="4">
        <v>10.0899231478936</v>
      </c>
      <c r="E342" s="4">
        <v>0.119045109202742</v>
      </c>
    </row>
    <row r="343" ht="15.75" customHeight="1">
      <c r="A343" s="4">
        <v>7.0</v>
      </c>
      <c r="B343" s="4">
        <v>2001.0</v>
      </c>
      <c r="C343" s="4">
        <v>48.439289212058</v>
      </c>
      <c r="D343" s="4">
        <v>7.70693014126819</v>
      </c>
      <c r="E343" s="4">
        <v>0.159104938710572</v>
      </c>
    </row>
    <row r="344" ht="15.75" customHeight="1">
      <c r="A344" s="4">
        <v>7.0</v>
      </c>
      <c r="B344" s="4">
        <v>2002.0</v>
      </c>
      <c r="C344" s="4">
        <v>34.671688346799</v>
      </c>
      <c r="D344" s="4">
        <v>6.52033691055278</v>
      </c>
      <c r="E344" s="4">
        <v>0.188059400088452</v>
      </c>
    </row>
    <row r="345" ht="15.75" customHeight="1">
      <c r="A345" s="4">
        <v>7.0</v>
      </c>
      <c r="B345" s="4">
        <v>2003.0</v>
      </c>
      <c r="C345" s="4">
        <v>52.1158624898124</v>
      </c>
      <c r="D345" s="4">
        <v>7.98243197417057</v>
      </c>
      <c r="E345" s="4">
        <v>0.153167031932571</v>
      </c>
    </row>
    <row r="346" ht="15.75" customHeight="1">
      <c r="A346" s="4">
        <v>7.0</v>
      </c>
      <c r="B346" s="4">
        <v>2004.0</v>
      </c>
      <c r="C346" s="4">
        <v>32.368944651239</v>
      </c>
      <c r="D346" s="4">
        <v>6.30009083970447</v>
      </c>
      <c r="E346" s="4">
        <v>0.194633804332676</v>
      </c>
    </row>
    <row r="347" ht="15.75" customHeight="1">
      <c r="A347" s="4">
        <v>7.0</v>
      </c>
      <c r="B347" s="4">
        <v>2005.0</v>
      </c>
      <c r="C347" s="4">
        <v>46.2116392369903</v>
      </c>
      <c r="D347" s="4">
        <v>7.1374242882418</v>
      </c>
      <c r="E347" s="4">
        <v>0.154450792183295</v>
      </c>
    </row>
    <row r="348" ht="15.75" customHeight="1">
      <c r="A348" s="4">
        <v>7.0</v>
      </c>
      <c r="B348" s="4">
        <v>2006.0</v>
      </c>
      <c r="C348" s="4">
        <v>18.9101696297345</v>
      </c>
      <c r="D348" s="4">
        <v>4.81537655341475</v>
      </c>
      <c r="E348" s="4">
        <v>0.254644810051995</v>
      </c>
    </row>
    <row r="349" ht="15.75" customHeight="1">
      <c r="A349" s="4">
        <v>7.0</v>
      </c>
      <c r="B349" s="4">
        <v>2007.0</v>
      </c>
      <c r="C349" s="4">
        <v>14.1589185220526</v>
      </c>
      <c r="D349" s="4">
        <v>4.16675133079633</v>
      </c>
      <c r="E349" s="4">
        <v>0.294284575782153</v>
      </c>
    </row>
    <row r="350" ht="15.75" customHeight="1">
      <c r="A350" s="4">
        <v>7.0</v>
      </c>
      <c r="B350" s="4">
        <v>2008.0</v>
      </c>
      <c r="C350" s="4">
        <v>1.75953529950662</v>
      </c>
      <c r="D350" s="4">
        <v>1.46014206987736</v>
      </c>
      <c r="E350" s="4">
        <v>0.829845283744403</v>
      </c>
    </row>
    <row r="351" ht="15.75" customHeight="1">
      <c r="A351" s="4">
        <v>7.0</v>
      </c>
      <c r="B351" s="4">
        <v>2009.0</v>
      </c>
      <c r="C351" s="4">
        <v>7.80281701361029</v>
      </c>
      <c r="D351" s="4">
        <v>3.0932017885541</v>
      </c>
      <c r="E351" s="4">
        <v>0.396421162146786</v>
      </c>
    </row>
    <row r="352" ht="15.75" customHeight="1">
      <c r="A352" s="4">
        <v>7.0</v>
      </c>
      <c r="B352" s="4">
        <v>2010.0</v>
      </c>
      <c r="C352" s="4">
        <v>14.4598132142282</v>
      </c>
      <c r="D352" s="4">
        <v>4.21079290966646</v>
      </c>
      <c r="E352" s="4">
        <v>0.291206590796285</v>
      </c>
    </row>
    <row r="353" ht="15.75" customHeight="1">
      <c r="A353" s="4">
        <v>7.0</v>
      </c>
      <c r="B353" s="4">
        <v>2011.0</v>
      </c>
      <c r="C353" s="4">
        <v>24.4134383831711</v>
      </c>
      <c r="D353" s="4">
        <v>5.38040331280761</v>
      </c>
      <c r="E353" s="4">
        <v>0.220386953626183</v>
      </c>
    </row>
    <row r="354" ht="15.75" customHeight="1">
      <c r="A354" s="4">
        <v>7.0</v>
      </c>
      <c r="B354" s="4">
        <v>2012.0</v>
      </c>
      <c r="C354" s="4">
        <v>32.8240965688763</v>
      </c>
      <c r="D354" s="4">
        <v>6.34423019099161</v>
      </c>
      <c r="E354" s="4">
        <v>0.193279658974901</v>
      </c>
    </row>
    <row r="355" ht="15.75" customHeight="1">
      <c r="A355" s="4">
        <v>7.0</v>
      </c>
      <c r="B355" s="4">
        <v>2013.0</v>
      </c>
      <c r="C355" s="4">
        <v>122.371594172734</v>
      </c>
      <c r="D355" s="4">
        <v>12.2137799278562</v>
      </c>
      <c r="E355" s="4">
        <v>0.0998089467610909</v>
      </c>
    </row>
    <row r="356" ht="15.75" customHeight="1">
      <c r="A356" s="4">
        <v>7.0</v>
      </c>
      <c r="B356" s="4">
        <v>2014.0</v>
      </c>
      <c r="C356" s="4">
        <v>36.8035083254018</v>
      </c>
      <c r="D356" s="4">
        <v>6.71780126112814</v>
      </c>
      <c r="E356" s="4">
        <v>0.182531545681244</v>
      </c>
    </row>
    <row r="357" ht="15.75" customHeight="1">
      <c r="A357" s="4">
        <v>7.0</v>
      </c>
      <c r="B357" s="4">
        <v>2015.0</v>
      </c>
      <c r="C357" s="4">
        <v>35.4356777704457</v>
      </c>
      <c r="D357" s="4">
        <v>6.59178317249424</v>
      </c>
      <c r="E357" s="4">
        <v>0.186021083474011</v>
      </c>
    </row>
    <row r="358" ht="15.75" customHeight="1">
      <c r="A358" s="4">
        <v>7.0</v>
      </c>
      <c r="B358" s="4">
        <v>2016.0</v>
      </c>
      <c r="C358" s="4">
        <v>86.4713025912895</v>
      </c>
      <c r="D358" s="4">
        <v>9.90950973381381</v>
      </c>
      <c r="E358" s="4">
        <v>0.114598825701187</v>
      </c>
    </row>
    <row r="359" ht="15.75" customHeight="1">
      <c r="A359" s="4">
        <v>7.0</v>
      </c>
      <c r="B359" s="4">
        <v>2017.0</v>
      </c>
      <c r="C359" s="4">
        <v>44.2916185015242</v>
      </c>
      <c r="D359" s="4">
        <v>7.36958982669145</v>
      </c>
      <c r="E359" s="4">
        <v>0.166387909857885</v>
      </c>
    </row>
    <row r="360" ht="15.75" customHeight="1">
      <c r="A360" s="4">
        <v>7.0</v>
      </c>
      <c r="B360" s="4">
        <v>2018.0</v>
      </c>
      <c r="C360" s="4">
        <v>55.4663280791055</v>
      </c>
      <c r="D360" s="4">
        <v>8.24702383187274</v>
      </c>
      <c r="E360" s="4">
        <v>0.148685231517596</v>
      </c>
    </row>
    <row r="361" ht="15.75" customHeight="1">
      <c r="A361" s="4">
        <v>7.0</v>
      </c>
      <c r="B361" s="4">
        <v>2019.0</v>
      </c>
      <c r="C361" s="4">
        <v>42.9415287517316</v>
      </c>
      <c r="D361" s="4">
        <v>7.16663014859138</v>
      </c>
      <c r="E361" s="4">
        <v>0.166892757591971</v>
      </c>
    </row>
    <row r="362" ht="15.75" customHeight="1">
      <c r="A362" s="4">
        <v>7.0</v>
      </c>
      <c r="B362" s="4">
        <v>2020.0</v>
      </c>
      <c r="C362" s="4">
        <v>23.2968814729202</v>
      </c>
      <c r="D362" s="4">
        <v>5.34479972702469</v>
      </c>
      <c r="E362" s="4">
        <v>0.229421252507009</v>
      </c>
    </row>
    <row r="363" ht="15.75" customHeight="1">
      <c r="A363" s="4">
        <v>7.0</v>
      </c>
      <c r="B363" s="4">
        <v>2021.0</v>
      </c>
      <c r="C363" s="4">
        <v>31.2991981062044</v>
      </c>
      <c r="D363" s="4">
        <v>6.19511178144417</v>
      </c>
      <c r="E363" s="4">
        <v>0.197931964915616</v>
      </c>
    </row>
    <row r="364" ht="15.75" customHeight="1">
      <c r="A364" s="4">
        <v>7.0</v>
      </c>
      <c r="B364" s="4">
        <v>2022.0</v>
      </c>
      <c r="C364" s="4">
        <v>23.0260867025252</v>
      </c>
      <c r="D364" s="4">
        <v>5.30191752965973</v>
      </c>
      <c r="E364" s="4">
        <v>0.230256994953392</v>
      </c>
    </row>
    <row r="365" ht="15.75" customHeight="1">
      <c r="A365" s="4">
        <v>7.0</v>
      </c>
      <c r="B365" s="4">
        <v>2023.0</v>
      </c>
      <c r="C365" s="4">
        <v>48.8486071477064</v>
      </c>
      <c r="D365" s="4">
        <v>7.73942389415415</v>
      </c>
      <c r="E365" s="4">
        <v>0.158436941113838</v>
      </c>
    </row>
    <row r="366" ht="15.75" customHeight="1">
      <c r="A366" s="4">
        <v>7.0</v>
      </c>
      <c r="B366" s="4">
        <v>2024.0</v>
      </c>
      <c r="C366" s="4">
        <v>32.3298033008224</v>
      </c>
      <c r="D366" s="4">
        <v>7.73942389415415</v>
      </c>
      <c r="E366" s="4">
        <v>0.239389761271986</v>
      </c>
    </row>
    <row r="367" ht="15.75" customHeight="1">
      <c r="A367" s="4">
        <v>8.0</v>
      </c>
      <c r="B367" s="4">
        <v>1973.0</v>
      </c>
      <c r="C367" s="4">
        <v>49.4854852113373</v>
      </c>
      <c r="D367" s="4">
        <v>11.0207528126205</v>
      </c>
      <c r="E367" s="4">
        <v>0.222706774836181</v>
      </c>
    </row>
    <row r="368" ht="15.75" customHeight="1">
      <c r="A368" s="4">
        <v>8.0</v>
      </c>
      <c r="B368" s="4">
        <v>1974.0</v>
      </c>
      <c r="C368" s="4">
        <v>103.71620230437</v>
      </c>
      <c r="D368" s="4">
        <v>15.9574539813861</v>
      </c>
      <c r="E368" s="4">
        <v>0.153856905930248</v>
      </c>
    </row>
    <row r="369" ht="15.75" customHeight="1">
      <c r="A369" s="4">
        <v>8.0</v>
      </c>
      <c r="B369" s="4">
        <v>1975.0</v>
      </c>
      <c r="C369" s="4">
        <v>57.4162729338012</v>
      </c>
      <c r="D369" s="4">
        <v>11.8208059379875</v>
      </c>
      <c r="E369" s="4">
        <v>0.205879018856142</v>
      </c>
    </row>
    <row r="370" ht="15.75" customHeight="1">
      <c r="A370" s="4">
        <v>8.0</v>
      </c>
      <c r="B370" s="4">
        <v>1976.0</v>
      </c>
      <c r="C370" s="4">
        <v>70.4338209064134</v>
      </c>
      <c r="D370" s="4">
        <v>13.1501565167158</v>
      </c>
      <c r="E370" s="4">
        <v>0.186702302210591</v>
      </c>
    </row>
    <row r="371" ht="15.75" customHeight="1">
      <c r="A371" s="4">
        <v>8.0</v>
      </c>
      <c r="B371" s="4">
        <v>1977.0</v>
      </c>
      <c r="C371" s="4">
        <v>51.5960727791864</v>
      </c>
      <c r="D371" s="4">
        <v>11.2550808982288</v>
      </c>
      <c r="E371" s="4">
        <v>0.218138325108517</v>
      </c>
    </row>
    <row r="372" ht="15.75" customHeight="1">
      <c r="A372" s="4">
        <v>8.0</v>
      </c>
      <c r="B372" s="4">
        <v>1978.0</v>
      </c>
      <c r="C372" s="4">
        <v>113.930783021188</v>
      </c>
      <c r="D372" s="4">
        <v>16.537906813618</v>
      </c>
      <c r="E372" s="4">
        <v>0.145157492778246</v>
      </c>
    </row>
    <row r="373" ht="15.75" customHeight="1">
      <c r="A373" s="4">
        <v>8.0</v>
      </c>
      <c r="B373" s="4">
        <v>1979.0</v>
      </c>
      <c r="C373" s="4">
        <v>45.8854599494743</v>
      </c>
      <c r="D373" s="4">
        <v>10.6139696699773</v>
      </c>
      <c r="E373" s="4">
        <v>0.231314444306859</v>
      </c>
    </row>
    <row r="374" ht="15.75" customHeight="1">
      <c r="A374" s="4">
        <v>8.0</v>
      </c>
      <c r="B374" s="4">
        <v>1980.0</v>
      </c>
      <c r="C374" s="4">
        <v>59.6182023645741</v>
      </c>
      <c r="D374" s="4">
        <v>12.098450056385</v>
      </c>
      <c r="E374" s="4">
        <v>0.202932151197736</v>
      </c>
    </row>
    <row r="375" ht="15.75" customHeight="1">
      <c r="A375" s="4">
        <v>8.0</v>
      </c>
      <c r="B375" s="4">
        <v>1981.0</v>
      </c>
      <c r="C375" s="4">
        <v>47.8307588515169</v>
      </c>
      <c r="D375" s="4">
        <v>10.7382100763369</v>
      </c>
      <c r="E375" s="4">
        <v>0.224504279969129</v>
      </c>
    </row>
    <row r="376" ht="15.75" customHeight="1">
      <c r="A376" s="4">
        <v>8.0</v>
      </c>
      <c r="B376" s="4">
        <v>1982.0</v>
      </c>
      <c r="C376" s="4">
        <v>21.7491171262159</v>
      </c>
      <c r="D376" s="4">
        <v>7.30737026500069</v>
      </c>
      <c r="E376" s="4">
        <v>0.335984684922799</v>
      </c>
    </row>
    <row r="377" ht="15.75" customHeight="1">
      <c r="A377" s="4">
        <v>8.0</v>
      </c>
      <c r="B377" s="4">
        <v>1983.0</v>
      </c>
      <c r="C377" s="4">
        <v>65.5728186659244</v>
      </c>
      <c r="D377" s="4">
        <v>12.6882645108711</v>
      </c>
      <c r="E377" s="4">
        <v>0.193498842493173</v>
      </c>
    </row>
    <row r="378" ht="15.75" customHeight="1">
      <c r="A378" s="4">
        <v>8.0</v>
      </c>
      <c r="B378" s="4">
        <v>1984.0</v>
      </c>
      <c r="C378" s="4">
        <v>119.203515429471</v>
      </c>
      <c r="D378" s="4">
        <v>14.1491338630953</v>
      </c>
      <c r="E378" s="4">
        <v>0.118697286838549</v>
      </c>
    </row>
    <row r="379" ht="15.75" customHeight="1">
      <c r="A379" s="4">
        <v>8.0</v>
      </c>
      <c r="B379" s="4">
        <v>1985.0</v>
      </c>
      <c r="C379" s="4">
        <v>69.9760474195271</v>
      </c>
      <c r="D379" s="4">
        <v>9.26311904462545</v>
      </c>
      <c r="E379" s="4">
        <v>0.132375568301112</v>
      </c>
    </row>
    <row r="380" ht="15.75" customHeight="1">
      <c r="A380" s="4">
        <v>8.0</v>
      </c>
      <c r="B380" s="4">
        <v>1986.0</v>
      </c>
      <c r="C380" s="4">
        <v>32.2906619504058</v>
      </c>
      <c r="D380" s="4">
        <v>6.07743024122359</v>
      </c>
      <c r="E380" s="4">
        <v>0.188210147272847</v>
      </c>
    </row>
    <row r="381" ht="15.75" customHeight="1">
      <c r="A381" s="4">
        <v>8.0</v>
      </c>
      <c r="B381" s="4">
        <v>1987.0</v>
      </c>
      <c r="C381" s="4">
        <v>32.6064505190857</v>
      </c>
      <c r="D381" s="4">
        <v>6.32316193154907</v>
      </c>
      <c r="E381" s="4">
        <v>0.193923651022606</v>
      </c>
    </row>
    <row r="382" ht="15.75" customHeight="1">
      <c r="A382" s="4">
        <v>8.0</v>
      </c>
      <c r="B382" s="4">
        <v>1988.0</v>
      </c>
      <c r="C382" s="4">
        <v>55.0784348240191</v>
      </c>
      <c r="D382" s="4">
        <v>8.21813623906846</v>
      </c>
      <c r="E382" s="4">
        <v>0.14920787537493</v>
      </c>
    </row>
    <row r="383" ht="15.75" customHeight="1">
      <c r="A383" s="4">
        <v>8.0</v>
      </c>
      <c r="B383" s="4">
        <v>1989.0</v>
      </c>
      <c r="C383" s="4">
        <v>83.5573538016599</v>
      </c>
      <c r="D383" s="4">
        <v>9.71732297122009</v>
      </c>
      <c r="E383" s="4">
        <v>0.116295245470388</v>
      </c>
    </row>
    <row r="384" ht="15.75" customHeight="1">
      <c r="A384" s="4">
        <v>8.0</v>
      </c>
      <c r="B384" s="4">
        <v>1990.0</v>
      </c>
      <c r="C384" s="4">
        <v>58.5041610239797</v>
      </c>
      <c r="D384" s="4">
        <v>8.46985390586157</v>
      </c>
      <c r="E384" s="4">
        <v>0.144773529909949</v>
      </c>
    </row>
    <row r="385" ht="15.75" customHeight="1">
      <c r="A385" s="4">
        <v>8.0</v>
      </c>
      <c r="B385" s="4">
        <v>1991.0</v>
      </c>
      <c r="C385" s="4">
        <v>57.7606208335799</v>
      </c>
      <c r="D385" s="4">
        <v>11.8636598477157</v>
      </c>
      <c r="E385" s="4">
        <v>0.205393565313249</v>
      </c>
    </row>
    <row r="386" ht="15.75" customHeight="1">
      <c r="A386" s="4">
        <v>8.0</v>
      </c>
      <c r="B386" s="4">
        <v>1992.0</v>
      </c>
      <c r="C386" s="4">
        <v>29.7820205667532</v>
      </c>
      <c r="D386" s="4">
        <v>8.51173484428101</v>
      </c>
      <c r="E386" s="4">
        <v>0.285801120350544</v>
      </c>
    </row>
    <row r="387" ht="15.75" customHeight="1">
      <c r="A387" s="4">
        <v>8.0</v>
      </c>
      <c r="B387" s="4">
        <v>1993.0</v>
      </c>
      <c r="C387" s="4">
        <v>36.3024981579754</v>
      </c>
      <c r="D387" s="4">
        <v>9.44079470157128</v>
      </c>
      <c r="E387" s="4">
        <v>0.260059091814793</v>
      </c>
    </row>
    <row r="388" ht="15.75" customHeight="1">
      <c r="A388" s="4">
        <v>8.0</v>
      </c>
      <c r="B388" s="4">
        <v>1994.0</v>
      </c>
      <c r="C388" s="4">
        <v>61.1828140388367</v>
      </c>
      <c r="D388" s="4">
        <v>11.9910679941197</v>
      </c>
      <c r="E388" s="4">
        <v>0.195987520065818</v>
      </c>
    </row>
    <row r="389" ht="15.75" customHeight="1">
      <c r="A389" s="4">
        <v>8.0</v>
      </c>
      <c r="B389" s="4">
        <v>1995.0</v>
      </c>
      <c r="C389" s="4">
        <v>125.321000998104</v>
      </c>
      <c r="D389" s="4">
        <v>12.3963682509622</v>
      </c>
      <c r="E389" s="4">
        <v>0.098916926550481</v>
      </c>
    </row>
    <row r="390" ht="15.75" customHeight="1">
      <c r="A390" s="4">
        <v>8.0</v>
      </c>
      <c r="B390" s="4">
        <v>1996.0</v>
      </c>
      <c r="C390" s="4">
        <v>54.0451970133606</v>
      </c>
      <c r="D390" s="4">
        <v>8.14068768832088</v>
      </c>
      <c r="E390" s="4">
        <v>0.150627403325191</v>
      </c>
    </row>
    <row r="391" ht="15.75" customHeight="1">
      <c r="A391" s="4">
        <v>8.0</v>
      </c>
      <c r="B391" s="4">
        <v>1997.0</v>
      </c>
      <c r="C391" s="4">
        <v>44.5643431279182</v>
      </c>
      <c r="D391" s="4">
        <v>7.09644716735178</v>
      </c>
      <c r="E391" s="4">
        <v>0.159240474991004</v>
      </c>
    </row>
    <row r="392" ht="15.75" customHeight="1">
      <c r="A392" s="4">
        <v>8.0</v>
      </c>
      <c r="B392" s="4">
        <v>1998.0</v>
      </c>
      <c r="C392" s="4">
        <v>17.0341303718318</v>
      </c>
      <c r="D392" s="4">
        <v>4.57027701977639</v>
      </c>
      <c r="E392" s="4">
        <v>0.268301164779973</v>
      </c>
    </row>
    <row r="393" ht="15.75" customHeight="1">
      <c r="A393" s="4">
        <v>8.0</v>
      </c>
      <c r="B393" s="4">
        <v>1999.0</v>
      </c>
      <c r="C393" s="4">
        <v>32.7419594562105</v>
      </c>
      <c r="D393" s="4">
        <v>6.33628750248609</v>
      </c>
      <c r="E393" s="4">
        <v>0.193521939667671</v>
      </c>
    </row>
    <row r="394" ht="15.75" customHeight="1">
      <c r="A394" s="4">
        <v>8.0</v>
      </c>
      <c r="B394" s="4">
        <v>2000.0</v>
      </c>
      <c r="C394" s="4">
        <v>84.7571413514331</v>
      </c>
      <c r="D394" s="4">
        <v>10.0899231478936</v>
      </c>
      <c r="E394" s="4">
        <v>0.119045109202742</v>
      </c>
    </row>
    <row r="395" ht="15.75" customHeight="1">
      <c r="A395" s="4">
        <v>8.0</v>
      </c>
      <c r="B395" s="4">
        <v>2001.0</v>
      </c>
      <c r="C395" s="4">
        <v>48.439289212058</v>
      </c>
      <c r="D395" s="4">
        <v>7.70693014126819</v>
      </c>
      <c r="E395" s="4">
        <v>0.159104938710572</v>
      </c>
    </row>
    <row r="396" ht="15.75" customHeight="1">
      <c r="A396" s="4">
        <v>8.0</v>
      </c>
      <c r="B396" s="4">
        <v>2002.0</v>
      </c>
      <c r="C396" s="4">
        <v>34.671688346799</v>
      </c>
      <c r="D396" s="4">
        <v>6.52033691055278</v>
      </c>
      <c r="E396" s="4">
        <v>0.188059400088452</v>
      </c>
    </row>
    <row r="397" ht="15.75" customHeight="1">
      <c r="A397" s="4">
        <v>8.0</v>
      </c>
      <c r="B397" s="4">
        <v>2003.0</v>
      </c>
      <c r="C397" s="4">
        <v>52.1158624898124</v>
      </c>
      <c r="D397" s="4">
        <v>7.98243197417057</v>
      </c>
      <c r="E397" s="4">
        <v>0.153167031932571</v>
      </c>
    </row>
    <row r="398" ht="15.75" customHeight="1">
      <c r="A398" s="4">
        <v>8.0</v>
      </c>
      <c r="B398" s="4">
        <v>2004.0</v>
      </c>
      <c r="C398" s="4">
        <v>32.368944651239</v>
      </c>
      <c r="D398" s="4">
        <v>6.30009083970447</v>
      </c>
      <c r="E398" s="4">
        <v>0.194633804332676</v>
      </c>
    </row>
    <row r="399" ht="15.75" customHeight="1">
      <c r="A399" s="4">
        <v>8.0</v>
      </c>
      <c r="B399" s="4">
        <v>2005.0</v>
      </c>
      <c r="C399" s="4">
        <v>46.2116392369903</v>
      </c>
      <c r="D399" s="4">
        <v>7.1374242882418</v>
      </c>
      <c r="E399" s="4">
        <v>0.154450792183295</v>
      </c>
    </row>
    <row r="400" ht="15.75" customHeight="1">
      <c r="A400" s="4">
        <v>8.0</v>
      </c>
      <c r="B400" s="4">
        <v>2006.0</v>
      </c>
      <c r="C400" s="4">
        <v>18.9101696297345</v>
      </c>
      <c r="D400" s="4">
        <v>4.81537655341475</v>
      </c>
      <c r="E400" s="4">
        <v>0.254644810051995</v>
      </c>
    </row>
    <row r="401" ht="15.75" customHeight="1">
      <c r="A401" s="4">
        <v>8.0</v>
      </c>
      <c r="B401" s="4">
        <v>2007.0</v>
      </c>
      <c r="C401" s="4">
        <v>14.1589185220526</v>
      </c>
      <c r="D401" s="4">
        <v>4.16675133079633</v>
      </c>
      <c r="E401" s="4">
        <v>0.294284575782153</v>
      </c>
    </row>
    <row r="402" ht="15.75" customHeight="1">
      <c r="A402" s="4">
        <v>8.0</v>
      </c>
      <c r="B402" s="4">
        <v>2008.0</v>
      </c>
      <c r="C402" s="4">
        <v>1.75953529950662</v>
      </c>
      <c r="D402" s="4">
        <v>1.46014206987736</v>
      </c>
      <c r="E402" s="4">
        <v>0.829845283744403</v>
      </c>
    </row>
    <row r="403" ht="15.75" customHeight="1">
      <c r="A403" s="4">
        <v>8.0</v>
      </c>
      <c r="B403" s="4">
        <v>2009.0</v>
      </c>
      <c r="C403" s="4">
        <v>7.80281701361029</v>
      </c>
      <c r="D403" s="4">
        <v>3.0932017885541</v>
      </c>
      <c r="E403" s="4">
        <v>0.396421162146786</v>
      </c>
    </row>
    <row r="404" ht="15.75" customHeight="1">
      <c r="A404" s="4">
        <v>8.0</v>
      </c>
      <c r="B404" s="4">
        <v>2010.0</v>
      </c>
      <c r="C404" s="4">
        <v>14.4598132142282</v>
      </c>
      <c r="D404" s="4">
        <v>4.21079290966646</v>
      </c>
      <c r="E404" s="4">
        <v>0.291206590796285</v>
      </c>
    </row>
    <row r="405" ht="15.75" customHeight="1">
      <c r="A405" s="4">
        <v>8.0</v>
      </c>
      <c r="B405" s="4">
        <v>2011.0</v>
      </c>
      <c r="C405" s="4">
        <v>24.4134383831711</v>
      </c>
      <c r="D405" s="4">
        <v>5.38040331280761</v>
      </c>
      <c r="E405" s="4">
        <v>0.220386953626183</v>
      </c>
    </row>
    <row r="406" ht="15.75" customHeight="1">
      <c r="A406" s="4">
        <v>8.0</v>
      </c>
      <c r="B406" s="4">
        <v>2012.0</v>
      </c>
      <c r="C406" s="4">
        <v>32.8240965688763</v>
      </c>
      <c r="D406" s="4">
        <v>6.34423019099161</v>
      </c>
      <c r="E406" s="4">
        <v>0.193279658974901</v>
      </c>
    </row>
    <row r="407" ht="15.75" customHeight="1">
      <c r="A407" s="4">
        <v>8.0</v>
      </c>
      <c r="B407" s="4">
        <v>2013.0</v>
      </c>
      <c r="C407" s="4">
        <v>122.371594172734</v>
      </c>
      <c r="D407" s="4">
        <v>12.2137799278562</v>
      </c>
      <c r="E407" s="4">
        <v>0.0998089467610909</v>
      </c>
    </row>
    <row r="408" ht="15.75" customHeight="1">
      <c r="A408" s="4">
        <v>8.0</v>
      </c>
      <c r="B408" s="4">
        <v>2014.0</v>
      </c>
      <c r="C408" s="4">
        <v>36.8035083254018</v>
      </c>
      <c r="D408" s="4">
        <v>6.71780126112814</v>
      </c>
      <c r="E408" s="4">
        <v>0.182531545681244</v>
      </c>
    </row>
    <row r="409" ht="15.75" customHeight="1">
      <c r="A409" s="4">
        <v>8.0</v>
      </c>
      <c r="B409" s="4">
        <v>2015.0</v>
      </c>
      <c r="C409" s="4">
        <v>35.4356777704457</v>
      </c>
      <c r="D409" s="4">
        <v>6.59178317249424</v>
      </c>
      <c r="E409" s="4">
        <v>0.186021083474011</v>
      </c>
    </row>
    <row r="410" ht="15.75" customHeight="1">
      <c r="A410" s="4">
        <v>8.0</v>
      </c>
      <c r="B410" s="4">
        <v>2016.0</v>
      </c>
      <c r="C410" s="4">
        <v>86.4713025912895</v>
      </c>
      <c r="D410" s="4">
        <v>9.90950973381381</v>
      </c>
      <c r="E410" s="4">
        <v>0.114598825701187</v>
      </c>
    </row>
    <row r="411" ht="15.75" customHeight="1">
      <c r="A411" s="4">
        <v>8.0</v>
      </c>
      <c r="B411" s="4">
        <v>2017.0</v>
      </c>
      <c r="C411" s="4">
        <v>44.2916185015242</v>
      </c>
      <c r="D411" s="4">
        <v>7.36958982669145</v>
      </c>
      <c r="E411" s="4">
        <v>0.166387909857885</v>
      </c>
    </row>
    <row r="412" ht="15.75" customHeight="1">
      <c r="A412" s="4">
        <v>8.0</v>
      </c>
      <c r="B412" s="4">
        <v>2018.0</v>
      </c>
      <c r="C412" s="4">
        <v>55.4663280791055</v>
      </c>
      <c r="D412" s="4">
        <v>8.24702383187274</v>
      </c>
      <c r="E412" s="4">
        <v>0.148685231517596</v>
      </c>
    </row>
    <row r="413" ht="15.75" customHeight="1">
      <c r="A413" s="4">
        <v>8.0</v>
      </c>
      <c r="B413" s="4">
        <v>2019.0</v>
      </c>
      <c r="C413" s="4">
        <v>42.9415287517316</v>
      </c>
      <c r="D413" s="4">
        <v>7.16663014859138</v>
      </c>
      <c r="E413" s="4">
        <v>0.166892757591971</v>
      </c>
    </row>
    <row r="414" ht="15.75" customHeight="1">
      <c r="A414" s="4">
        <v>8.0</v>
      </c>
      <c r="B414" s="4">
        <v>2020.0</v>
      </c>
      <c r="C414" s="4">
        <v>23.2968814729202</v>
      </c>
      <c r="D414" s="4">
        <v>5.34479972702469</v>
      </c>
      <c r="E414" s="4">
        <v>0.229421252507009</v>
      </c>
    </row>
    <row r="415" ht="15.75" customHeight="1">
      <c r="A415" s="4">
        <v>8.0</v>
      </c>
      <c r="B415" s="4">
        <v>2021.0</v>
      </c>
      <c r="C415" s="4">
        <v>31.2991981062044</v>
      </c>
      <c r="D415" s="4">
        <v>6.19511178144417</v>
      </c>
      <c r="E415" s="4">
        <v>0.197931964915616</v>
      </c>
    </row>
    <row r="416" ht="15.75" customHeight="1">
      <c r="A416" s="4">
        <v>8.0</v>
      </c>
      <c r="B416" s="4">
        <v>2022.0</v>
      </c>
      <c r="C416" s="4">
        <v>23.0260867025252</v>
      </c>
      <c r="D416" s="4">
        <v>5.30191752965973</v>
      </c>
      <c r="E416" s="4">
        <v>0.230256994953392</v>
      </c>
    </row>
    <row r="417" ht="15.75" customHeight="1">
      <c r="A417" s="4">
        <v>8.0</v>
      </c>
      <c r="B417" s="4">
        <v>2023.0</v>
      </c>
      <c r="C417" s="4">
        <v>48.8486071477064</v>
      </c>
      <c r="D417" s="4">
        <v>7.73942389415415</v>
      </c>
      <c r="E417" s="4">
        <v>0.158436941113838</v>
      </c>
    </row>
    <row r="418" ht="15.75" customHeight="1">
      <c r="A418" s="4">
        <v>8.0</v>
      </c>
      <c r="B418" s="4">
        <v>2024.0</v>
      </c>
      <c r="C418" s="4">
        <v>32.3298033008224</v>
      </c>
      <c r="D418" s="4">
        <v>7.73942389415415</v>
      </c>
      <c r="E418" s="4">
        <v>0.239389761271986</v>
      </c>
    </row>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11.43"/>
  </cols>
  <sheetData>
    <row r="1" ht="26.25" customHeight="1">
      <c r="A1" s="7" t="s">
        <v>148</v>
      </c>
      <c r="B1" s="2"/>
      <c r="C1" s="2"/>
      <c r="D1" s="2"/>
      <c r="E1" s="2"/>
      <c r="F1" s="2"/>
      <c r="G1" s="2"/>
      <c r="H1" s="2"/>
      <c r="I1" s="2"/>
      <c r="J1" s="2"/>
      <c r="K1" s="2"/>
      <c r="L1" s="2"/>
      <c r="M1" s="2"/>
      <c r="N1" s="2"/>
      <c r="O1" s="2"/>
      <c r="P1" s="2"/>
      <c r="Q1" s="2"/>
      <c r="R1" s="2"/>
      <c r="S1" s="2"/>
      <c r="T1" s="2"/>
      <c r="U1" s="3"/>
    </row>
    <row r="2">
      <c r="A2" s="4" t="s">
        <v>77</v>
      </c>
      <c r="B2" s="4" t="s">
        <v>128</v>
      </c>
      <c r="C2" s="4" t="s">
        <v>129</v>
      </c>
      <c r="D2" s="4" t="s">
        <v>130</v>
      </c>
      <c r="E2" s="4" t="s">
        <v>70</v>
      </c>
    </row>
    <row r="3">
      <c r="A3" s="4">
        <v>0.0</v>
      </c>
      <c r="B3" s="4">
        <v>0.5</v>
      </c>
      <c r="C3" s="4">
        <v>0.25</v>
      </c>
      <c r="D3" s="4">
        <v>-2.0</v>
      </c>
      <c r="E3" s="4" t="s">
        <v>149</v>
      </c>
    </row>
    <row r="4">
      <c r="A4" s="4">
        <v>0.0</v>
      </c>
      <c r="B4" s="4">
        <v>0.5</v>
      </c>
      <c r="C4" s="4">
        <v>0.25</v>
      </c>
      <c r="D4" s="4">
        <v>-2.0</v>
      </c>
      <c r="E4" s="4" t="s">
        <v>150</v>
      </c>
    </row>
    <row r="5">
      <c r="A5" s="4">
        <v>0.0</v>
      </c>
      <c r="B5" s="4">
        <v>0.5</v>
      </c>
      <c r="C5" s="4">
        <v>0.2</v>
      </c>
      <c r="D5" s="4">
        <v>-2.0</v>
      </c>
      <c r="E5" s="4" t="s">
        <v>151</v>
      </c>
    </row>
    <row r="6">
      <c r="A6" s="4">
        <v>0.0</v>
      </c>
      <c r="B6" s="4">
        <v>0.5</v>
      </c>
      <c r="C6" s="4">
        <v>0.2</v>
      </c>
      <c r="D6" s="4">
        <v>-2.0</v>
      </c>
      <c r="E6" s="4" t="s">
        <v>152</v>
      </c>
    </row>
    <row r="7">
      <c r="A7" s="4">
        <v>0.0</v>
      </c>
      <c r="B7" s="4">
        <v>0.5</v>
      </c>
      <c r="C7" s="4">
        <v>0.15</v>
      </c>
      <c r="D7" s="4">
        <v>-2.0</v>
      </c>
      <c r="E7" s="4" t="s">
        <v>153</v>
      </c>
    </row>
    <row r="8">
      <c r="A8" s="4">
        <v>0.0</v>
      </c>
      <c r="B8" s="4">
        <v>0.5</v>
      </c>
      <c r="C8" s="4">
        <v>0.15</v>
      </c>
      <c r="D8" s="4">
        <v>-2.0</v>
      </c>
      <c r="E8" s="4" t="s">
        <v>154</v>
      </c>
    </row>
    <row r="9">
      <c r="A9" s="4">
        <v>0.0</v>
      </c>
      <c r="B9" s="4">
        <v>0.5</v>
      </c>
      <c r="C9" s="4">
        <v>0.2</v>
      </c>
      <c r="D9" s="4">
        <v>-2.0</v>
      </c>
      <c r="E9" s="4" t="s">
        <v>155</v>
      </c>
    </row>
    <row r="10">
      <c r="A10" s="4">
        <v>0.0</v>
      </c>
      <c r="B10" s="4">
        <v>0.5</v>
      </c>
      <c r="C10" s="4">
        <v>0.2</v>
      </c>
      <c r="D10" s="4">
        <v>-2.0</v>
      </c>
      <c r="E10" s="4" t="s">
        <v>156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0"/>
    <col customWidth="1" min="2" max="5" width="11.43"/>
    <col customWidth="1" min="6" max="6" width="33.57"/>
    <col customWidth="1" min="7" max="7" width="11.43"/>
    <col customWidth="1" min="8" max="8" width="12.14"/>
    <col customWidth="1" min="9" max="43" width="11.43"/>
  </cols>
  <sheetData>
    <row r="1" ht="30.0" customHeight="1">
      <c r="A1" s="1" t="s">
        <v>157</v>
      </c>
      <c r="B1" s="2"/>
      <c r="C1" s="2"/>
      <c r="D1" s="2"/>
      <c r="E1" s="2"/>
      <c r="F1" s="2"/>
      <c r="G1" s="2"/>
      <c r="H1" s="2"/>
      <c r="I1" s="2"/>
      <c r="J1" s="2"/>
      <c r="K1" s="2"/>
      <c r="L1" s="2"/>
      <c r="M1" s="2"/>
      <c r="N1" s="2"/>
      <c r="O1" s="2"/>
      <c r="P1" s="2"/>
      <c r="Q1" s="2"/>
      <c r="R1" s="2"/>
      <c r="S1" s="2"/>
      <c r="T1" s="2"/>
      <c r="U1" s="3"/>
      <c r="V1" s="8">
        <f>1+(MAX(area!C3:C28)-1)+MAX(area!D3:D33)*(dynamics!B9+3)</f>
        <v>5</v>
      </c>
      <c r="W1" s="9">
        <f>COUNT(A3:A35)</f>
        <v>5</v>
      </c>
      <c r="X1" s="4" t="s">
        <v>158</v>
      </c>
    </row>
    <row r="2">
      <c r="A2" s="4" t="s">
        <v>159</v>
      </c>
      <c r="B2" s="4" t="s">
        <v>77</v>
      </c>
      <c r="C2" s="4" t="s">
        <v>128</v>
      </c>
      <c r="D2" s="4" t="s">
        <v>129</v>
      </c>
      <c r="E2" s="4" t="s">
        <v>130</v>
      </c>
      <c r="F2" s="4" t="s">
        <v>70</v>
      </c>
      <c r="H2" s="4" t="s">
        <v>160</v>
      </c>
      <c r="I2" s="4" t="s">
        <v>161</v>
      </c>
      <c r="J2" s="4" t="s">
        <v>162</v>
      </c>
      <c r="K2" s="4" t="s">
        <v>163</v>
      </c>
      <c r="L2" s="4" t="s">
        <v>164</v>
      </c>
      <c r="M2" s="4" t="s">
        <v>165</v>
      </c>
      <c r="N2" s="4" t="s">
        <v>166</v>
      </c>
      <c r="O2" s="4" t="s">
        <v>167</v>
      </c>
      <c r="P2" s="4" t="s">
        <v>168</v>
      </c>
      <c r="Q2" s="4" t="s">
        <v>169</v>
      </c>
      <c r="R2" s="4" t="s">
        <v>170</v>
      </c>
      <c r="S2" s="4" t="s">
        <v>171</v>
      </c>
      <c r="T2" s="4" t="s">
        <v>172</v>
      </c>
      <c r="U2" s="4" t="s">
        <v>173</v>
      </c>
      <c r="V2" s="4" t="s">
        <v>174</v>
      </c>
      <c r="W2" s="4" t="s">
        <v>175</v>
      </c>
      <c r="X2" s="4" t="s">
        <v>176</v>
      </c>
      <c r="Y2" s="4" t="s">
        <v>177</v>
      </c>
      <c r="Z2" s="4" t="s">
        <v>178</v>
      </c>
      <c r="AA2" s="4" t="s">
        <v>179</v>
      </c>
      <c r="AB2" s="4" t="s">
        <v>180</v>
      </c>
      <c r="AC2" s="4" t="s">
        <v>181</v>
      </c>
      <c r="AD2" s="4" t="s">
        <v>182</v>
      </c>
      <c r="AE2" s="4" t="s">
        <v>183</v>
      </c>
      <c r="AF2" s="4" t="s">
        <v>184</v>
      </c>
      <c r="AG2" s="4" t="s">
        <v>185</v>
      </c>
      <c r="AH2" s="4" t="s">
        <v>186</v>
      </c>
      <c r="AI2" s="4" t="s">
        <v>187</v>
      </c>
      <c r="AJ2" s="4" t="s">
        <v>188</v>
      </c>
      <c r="AK2" s="4" t="s">
        <v>189</v>
      </c>
      <c r="AL2" s="4" t="s">
        <v>190</v>
      </c>
      <c r="AM2" s="4" t="s">
        <v>191</v>
      </c>
      <c r="AN2" s="4" t="s">
        <v>192</v>
      </c>
      <c r="AO2" s="4" t="s">
        <v>193</v>
      </c>
      <c r="AP2" s="4" t="s">
        <v>194</v>
      </c>
      <c r="AQ2" s="4" t="s">
        <v>195</v>
      </c>
    </row>
    <row r="3">
      <c r="A3" s="4">
        <v>1.0</v>
      </c>
      <c r="B3" s="4">
        <v>-1.0</v>
      </c>
      <c r="C3" s="4">
        <v>1.0</v>
      </c>
      <c r="D3" s="4">
        <v>0.0</v>
      </c>
      <c r="E3" s="4">
        <v>-2.0</v>
      </c>
      <c r="F3" s="4" t="s">
        <v>196</v>
      </c>
    </row>
    <row r="4">
      <c r="A4" s="4">
        <v>1.0</v>
      </c>
      <c r="B4" s="4">
        <v>30.0</v>
      </c>
      <c r="C4" s="4">
        <v>70.0</v>
      </c>
      <c r="D4" s="4">
        <v>60.0</v>
      </c>
      <c r="E4" s="4">
        <v>3.0</v>
      </c>
      <c r="F4" s="4" t="s">
        <v>197</v>
      </c>
      <c r="H4" s="4">
        <v>0.00119858233365392</v>
      </c>
      <c r="I4" s="4">
        <v>0.00299554826197463</v>
      </c>
      <c r="J4" s="4">
        <v>0.0084808117793318</v>
      </c>
      <c r="K4" s="4">
        <v>0.0205017563532996</v>
      </c>
      <c r="L4" s="4">
        <v>0.0423203745595787</v>
      </c>
      <c r="M4" s="4">
        <v>0.0745972802777184</v>
      </c>
      <c r="N4" s="4">
        <v>0.112284472094438</v>
      </c>
      <c r="O4" s="4">
        <v>0.144326335800267</v>
      </c>
      <c r="P4" s="4">
        <v>0.158417930877651</v>
      </c>
      <c r="Q4" s="4">
        <v>0.148490041733963</v>
      </c>
      <c r="R4" s="4">
        <v>0.118856683579757</v>
      </c>
      <c r="S4" s="4">
        <v>0.0812418674412146</v>
      </c>
      <c r="T4" s="4">
        <v>0.0474199009079744</v>
      </c>
      <c r="U4" s="4">
        <v>0.023635134136526</v>
      </c>
      <c r="V4" s="4">
        <v>0.0100591733358729</v>
      </c>
      <c r="W4" s="4">
        <v>0.00365562298871958</v>
      </c>
      <c r="X4" s="4">
        <v>0.00113433573847499</v>
      </c>
      <c r="Y4" s="4">
        <v>3.00529723489151E-4</v>
      </c>
      <c r="Z4" s="10">
        <v>6.79800970102562E-5</v>
      </c>
      <c r="AA4" s="10">
        <v>1.31282307123115E-5</v>
      </c>
      <c r="AB4" s="10">
        <v>2.16441742595386E-6</v>
      </c>
      <c r="AC4" s="10">
        <v>3.0462500133499E-7</v>
      </c>
      <c r="AD4" s="10">
        <v>3.6598072794547E-8</v>
      </c>
      <c r="AE4" s="10">
        <v>3.75315778455843E-9</v>
      </c>
      <c r="AF4" s="10">
        <v>3.2851754649954E-10</v>
      </c>
      <c r="AG4" s="10">
        <v>2.45427012046662E-11</v>
      </c>
      <c r="AH4" s="10">
        <v>1.5647483309067E-12</v>
      </c>
      <c r="AI4" s="10">
        <v>8.51541059887495E-14</v>
      </c>
      <c r="AJ4" s="10">
        <v>3.99680288865056E-15</v>
      </c>
      <c r="AK4" s="10">
        <v>1.11022302462516E-16</v>
      </c>
      <c r="AL4" s="4">
        <v>0.0</v>
      </c>
      <c r="AM4" s="4">
        <v>0.0</v>
      </c>
      <c r="AN4" s="4">
        <v>0.0</v>
      </c>
      <c r="AO4" s="4">
        <v>0.0</v>
      </c>
      <c r="AP4" s="4">
        <v>0.0</v>
      </c>
      <c r="AQ4" s="4">
        <v>0.0</v>
      </c>
    </row>
    <row r="5">
      <c r="A5" s="4">
        <v>1.0</v>
      </c>
      <c r="B5" s="4">
        <v>0.5</v>
      </c>
      <c r="C5" s="4">
        <v>10.0</v>
      </c>
      <c r="D5" s="4">
        <v>0.508</v>
      </c>
      <c r="E5" s="4">
        <v>3.0</v>
      </c>
      <c r="F5" s="4" t="s">
        <v>198</v>
      </c>
    </row>
    <row r="6">
      <c r="A6" s="4">
        <v>1.0</v>
      </c>
      <c r="B6" s="4">
        <v>30.0</v>
      </c>
      <c r="C6" s="4">
        <v>70.0</v>
      </c>
      <c r="D6" s="4">
        <v>60.0</v>
      </c>
      <c r="E6" s="4">
        <v>3.0</v>
      </c>
      <c r="F6" s="4" t="s">
        <v>199</v>
      </c>
      <c r="H6" s="4">
        <v>0.00119858233365392</v>
      </c>
      <c r="I6" s="4">
        <v>0.00299554826197463</v>
      </c>
      <c r="J6" s="4">
        <v>0.0084808117793318</v>
      </c>
      <c r="K6" s="4">
        <v>0.0205017563532996</v>
      </c>
      <c r="L6" s="4">
        <v>0.0423203745595787</v>
      </c>
      <c r="M6" s="4">
        <v>0.0745972802777184</v>
      </c>
      <c r="N6" s="4">
        <v>0.112284472094438</v>
      </c>
      <c r="O6" s="4">
        <v>0.144326335800267</v>
      </c>
      <c r="P6" s="4">
        <v>0.158417930877651</v>
      </c>
      <c r="Q6" s="4">
        <v>0.148490041733963</v>
      </c>
      <c r="R6" s="4">
        <v>0.118856683579757</v>
      </c>
      <c r="S6" s="4">
        <v>0.0812418674412146</v>
      </c>
      <c r="T6" s="4">
        <v>0.0474199009079744</v>
      </c>
      <c r="U6" s="4">
        <v>0.023635134136526</v>
      </c>
      <c r="V6" s="4">
        <v>0.0100591733358729</v>
      </c>
      <c r="W6" s="4">
        <v>0.00365562298871958</v>
      </c>
      <c r="X6" s="4">
        <v>0.00113433573847499</v>
      </c>
      <c r="Y6" s="4">
        <v>3.00529723489151E-4</v>
      </c>
      <c r="Z6" s="10">
        <v>6.79800970102562E-5</v>
      </c>
      <c r="AA6" s="10">
        <v>1.31282307123115E-5</v>
      </c>
      <c r="AB6" s="10">
        <v>2.16441742595386E-6</v>
      </c>
      <c r="AC6" s="10">
        <v>3.0462500133499E-7</v>
      </c>
      <c r="AD6" s="10">
        <v>3.6598072794547E-8</v>
      </c>
      <c r="AE6" s="10">
        <v>3.75315778455843E-9</v>
      </c>
      <c r="AF6" s="10">
        <v>3.2851754649954E-10</v>
      </c>
      <c r="AG6" s="10">
        <v>2.45427012046662E-11</v>
      </c>
      <c r="AH6" s="10">
        <v>1.5647483309067E-12</v>
      </c>
      <c r="AI6" s="10">
        <v>8.51541059887495E-14</v>
      </c>
      <c r="AJ6" s="10">
        <v>3.99680288865056E-15</v>
      </c>
      <c r="AK6" s="10">
        <v>1.11022302462516E-16</v>
      </c>
      <c r="AL6" s="4">
        <v>0.0</v>
      </c>
      <c r="AM6" s="4">
        <v>0.0</v>
      </c>
      <c r="AN6" s="4">
        <v>0.0</v>
      </c>
      <c r="AO6" s="4">
        <v>0.0</v>
      </c>
      <c r="AP6" s="4">
        <v>0.0</v>
      </c>
      <c r="AQ6" s="4">
        <v>0.0</v>
      </c>
    </row>
    <row r="7">
      <c r="A7" s="4">
        <v>1.0</v>
      </c>
      <c r="B7" s="4">
        <v>0.5</v>
      </c>
      <c r="C7" s="4">
        <v>10.0</v>
      </c>
      <c r="D7" s="4">
        <v>0.508</v>
      </c>
      <c r="E7" s="4">
        <v>3.0</v>
      </c>
      <c r="F7" s="4" t="s">
        <v>200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33.75" customHeight="1">
      <c r="A1" s="1" t="s">
        <v>201</v>
      </c>
      <c r="B1" s="2"/>
      <c r="C1" s="2"/>
      <c r="D1" s="2"/>
      <c r="E1" s="2"/>
      <c r="F1" s="2"/>
      <c r="G1" s="2"/>
      <c r="H1" s="2"/>
      <c r="I1" s="2"/>
      <c r="J1" s="2"/>
      <c r="K1" s="2"/>
      <c r="L1" s="2"/>
      <c r="M1" s="2"/>
      <c r="N1" s="2"/>
      <c r="O1" s="2"/>
      <c r="P1" s="2"/>
      <c r="Q1" s="2"/>
      <c r="R1" s="2"/>
      <c r="S1" s="3"/>
    </row>
    <row r="2">
      <c r="A2" s="4" t="s">
        <v>202</v>
      </c>
      <c r="B2" s="4" t="s">
        <v>203</v>
      </c>
      <c r="C2" s="4" t="s">
        <v>204</v>
      </c>
      <c r="D2" s="4" t="s">
        <v>205</v>
      </c>
      <c r="E2" s="4" t="s">
        <v>44</v>
      </c>
      <c r="F2" s="4" t="s">
        <v>127</v>
      </c>
      <c r="G2" s="4" t="s">
        <v>77</v>
      </c>
      <c r="H2" s="4" t="s">
        <v>128</v>
      </c>
      <c r="I2" s="4" t="s">
        <v>129</v>
      </c>
      <c r="J2" s="4" t="s">
        <v>130</v>
      </c>
      <c r="K2" s="4" t="s">
        <v>131</v>
      </c>
      <c r="L2" s="4" t="s">
        <v>132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S1"/>
  </mergeCells>
  <printOptions/>
  <pageMargins bottom="0.75" footer="0.0" header="0.0" left="0.7" right="0.7" top="0.75"/>
  <pageSetup paperSize="9" orientation="portrait"/>
  <headerFooter>
    <oddHeader>&amp;CFF0000 OFFICIAL#_x000D_</oddHeader>
  </headerFooter>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c r="A1" s="1" t="s">
        <v>206</v>
      </c>
      <c r="B1" s="2"/>
      <c r="C1" s="2"/>
      <c r="D1" s="2"/>
      <c r="E1" s="2"/>
      <c r="F1" s="2"/>
      <c r="G1" s="2"/>
      <c r="H1" s="2"/>
      <c r="I1" s="2"/>
      <c r="J1" s="2"/>
      <c r="K1" s="2"/>
      <c r="L1" s="2"/>
      <c r="M1" s="2"/>
      <c r="N1" s="2"/>
      <c r="O1" s="2"/>
      <c r="P1" s="2"/>
      <c r="Q1" s="2"/>
      <c r="R1" s="2"/>
      <c r="S1" s="2"/>
      <c r="T1" s="2"/>
      <c r="U1" s="3"/>
    </row>
    <row r="2">
      <c r="A2" s="4" t="s">
        <v>207</v>
      </c>
      <c r="B2" s="4" t="s">
        <v>203</v>
      </c>
      <c r="C2" s="4" t="s">
        <v>208</v>
      </c>
      <c r="D2" s="4" t="s">
        <v>209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15.0" customHeight="1">
      <c r="A1" s="1" t="s">
        <v>210</v>
      </c>
      <c r="B1" s="2"/>
      <c r="C1" s="2"/>
      <c r="D1" s="2"/>
      <c r="E1" s="2"/>
      <c r="F1" s="2"/>
      <c r="G1" s="2"/>
      <c r="H1" s="2"/>
      <c r="I1" s="2"/>
      <c r="J1" s="2"/>
      <c r="K1" s="2"/>
      <c r="L1" s="2"/>
      <c r="M1" s="2"/>
      <c r="N1" s="2"/>
      <c r="O1" s="2"/>
      <c r="P1" s="2"/>
      <c r="Q1" s="2"/>
      <c r="R1" s="2"/>
      <c r="S1" s="2"/>
      <c r="T1" s="2"/>
      <c r="U1" s="3"/>
    </row>
    <row r="2">
      <c r="A2" s="4" t="s">
        <v>211</v>
      </c>
      <c r="B2" s="4" t="s">
        <v>135</v>
      </c>
      <c r="C2" s="4" t="s">
        <v>212</v>
      </c>
      <c r="D2" s="4" t="s">
        <v>213</v>
      </c>
      <c r="E2" s="4" t="s">
        <v>214</v>
      </c>
    </row>
    <row r="3">
      <c r="A3" s="4" t="s">
        <v>215</v>
      </c>
      <c r="B3" s="4">
        <v>1.0</v>
      </c>
      <c r="C3" s="4">
        <v>74.1220185816358</v>
      </c>
      <c r="D3" s="4">
        <v>-3.94196680224758</v>
      </c>
      <c r="E3" s="4">
        <v>1.0</v>
      </c>
    </row>
    <row r="4">
      <c r="A4" s="4" t="s">
        <v>216</v>
      </c>
      <c r="B4" s="4">
        <v>1.0</v>
      </c>
      <c r="C4" s="4">
        <v>90.4</v>
      </c>
      <c r="D4" s="4">
        <v>-3.5321</v>
      </c>
    </row>
    <row r="5">
      <c r="A5" s="4" t="s">
        <v>217</v>
      </c>
      <c r="C5" s="4">
        <v>1.92</v>
      </c>
      <c r="D5" s="4">
        <v>2.69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c r="A1" s="1" t="s">
        <v>218</v>
      </c>
      <c r="B1" s="2"/>
      <c r="C1" s="2"/>
      <c r="D1" s="2"/>
      <c r="E1" s="2"/>
      <c r="F1" s="2"/>
      <c r="G1" s="2"/>
      <c r="H1" s="2"/>
      <c r="I1" s="2"/>
      <c r="J1" s="2"/>
      <c r="K1" s="2"/>
      <c r="L1" s="2"/>
      <c r="M1" s="2"/>
      <c r="N1" s="2"/>
      <c r="O1" s="2"/>
      <c r="P1" s="2"/>
      <c r="Q1" s="2"/>
      <c r="R1" s="2"/>
      <c r="S1" s="2"/>
      <c r="T1" s="2"/>
      <c r="U1" s="3"/>
    </row>
    <row r="2">
      <c r="A2" s="4" t="s">
        <v>50</v>
      </c>
      <c r="B2" s="4" t="s">
        <v>212</v>
      </c>
      <c r="C2" s="4" t="s">
        <v>213</v>
      </c>
    </row>
    <row r="3">
      <c r="A3" s="4" t="s">
        <v>219</v>
      </c>
      <c r="B3" s="10">
        <v>1.61E-6</v>
      </c>
      <c r="C3" s="4">
        <v>2.8682</v>
      </c>
    </row>
    <row r="4">
      <c r="A4" s="4" t="s">
        <v>220</v>
      </c>
      <c r="B4" s="10">
        <v>2.51E-6</v>
      </c>
      <c r="C4" s="4">
        <v>2.778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21.75" customHeight="1">
      <c r="A1" s="1" t="s">
        <v>221</v>
      </c>
      <c r="B1" s="2"/>
      <c r="C1" s="2"/>
      <c r="D1" s="2"/>
      <c r="E1" s="2"/>
      <c r="F1" s="2"/>
      <c r="G1" s="2"/>
      <c r="H1" s="2"/>
      <c r="I1" s="2"/>
      <c r="J1" s="2"/>
      <c r="K1" s="2"/>
      <c r="L1" s="2"/>
      <c r="M1" s="2"/>
      <c r="N1" s="2"/>
      <c r="O1" s="2"/>
      <c r="P1" s="2"/>
      <c r="Q1" s="2"/>
      <c r="R1" s="2"/>
      <c r="S1" s="2"/>
      <c r="T1" s="2"/>
      <c r="U1" s="3"/>
    </row>
    <row r="2">
      <c r="A2" s="4" t="s">
        <v>222</v>
      </c>
      <c r="B2" s="4" t="s">
        <v>223</v>
      </c>
      <c r="C2" s="4" t="s">
        <v>49</v>
      </c>
      <c r="D2" s="4" t="s">
        <v>224</v>
      </c>
    </row>
    <row r="3">
      <c r="A3" s="4">
        <v>1960.0</v>
      </c>
      <c r="B3" s="4">
        <v>1.0</v>
      </c>
      <c r="C3" s="4">
        <v>1.0</v>
      </c>
      <c r="D3" s="4">
        <v>7000000.0</v>
      </c>
    </row>
    <row r="4">
      <c r="A4" s="4">
        <v>1961.0</v>
      </c>
      <c r="B4" s="4">
        <v>1.0</v>
      </c>
      <c r="C4" s="4">
        <v>1.0</v>
      </c>
      <c r="D4" s="4">
        <f t="shared" ref="D4:D6" si="1">D3+RANDBETWEEN(-1000, 200000)</f>
        <v>7044634</v>
      </c>
    </row>
    <row r="5">
      <c r="A5" s="4">
        <v>1962.0</v>
      </c>
      <c r="B5" s="4">
        <v>1.0</v>
      </c>
      <c r="C5" s="4">
        <v>1.0</v>
      </c>
      <c r="D5" s="4">
        <f t="shared" si="1"/>
        <v>7127729</v>
      </c>
    </row>
    <row r="6">
      <c r="A6" s="4">
        <v>1963.0</v>
      </c>
      <c r="B6" s="4">
        <v>1.0</v>
      </c>
      <c r="C6" s="4">
        <v>1.0</v>
      </c>
      <c r="D6" s="4">
        <f t="shared" si="1"/>
        <v>7201226</v>
      </c>
    </row>
    <row r="7">
      <c r="A7" s="4">
        <v>1964.0</v>
      </c>
      <c r="B7" s="4">
        <v>1.0</v>
      </c>
      <c r="C7" s="4">
        <v>1.0</v>
      </c>
      <c r="D7" s="4">
        <f>D6+RANDBETWEEN(-1000, 200000)+50000</f>
        <v>7444067</v>
      </c>
    </row>
    <row r="8">
      <c r="A8" s="4">
        <v>1965.0</v>
      </c>
      <c r="B8" s="4">
        <v>1.0</v>
      </c>
      <c r="C8" s="4">
        <v>1.0</v>
      </c>
      <c r="D8" s="4">
        <f>D7+RANDBETWEEN(-1000, 200000)+500000</f>
        <v>8063062</v>
      </c>
    </row>
    <row r="9">
      <c r="A9" s="4">
        <v>1966.0</v>
      </c>
      <c r="B9" s="4">
        <v>1.0</v>
      </c>
      <c r="C9" s="4">
        <v>1.0</v>
      </c>
      <c r="D9" s="4">
        <f t="shared" ref="D9:D15" si="2">D8+RANDBETWEEN(-1000, 200000)</f>
        <v>8150920</v>
      </c>
    </row>
    <row r="10">
      <c r="A10" s="4">
        <v>1967.0</v>
      </c>
      <c r="B10" s="4">
        <v>1.0</v>
      </c>
      <c r="C10" s="4">
        <v>1.0</v>
      </c>
      <c r="D10" s="4">
        <f t="shared" si="2"/>
        <v>8337218</v>
      </c>
    </row>
    <row r="11">
      <c r="A11" s="4">
        <v>1968.0</v>
      </c>
      <c r="B11" s="4">
        <v>1.0</v>
      </c>
      <c r="C11" s="4">
        <v>1.0</v>
      </c>
      <c r="D11" s="4">
        <f t="shared" si="2"/>
        <v>8428371</v>
      </c>
    </row>
    <row r="12">
      <c r="A12" s="4">
        <v>1969.0</v>
      </c>
      <c r="B12" s="4">
        <v>1.0</v>
      </c>
      <c r="C12" s="4">
        <v>1.0</v>
      </c>
      <c r="D12" s="4">
        <f t="shared" si="2"/>
        <v>8568208</v>
      </c>
    </row>
    <row r="13">
      <c r="A13" s="4">
        <v>1970.0</v>
      </c>
      <c r="B13" s="4">
        <v>1.0</v>
      </c>
      <c r="C13" s="4">
        <v>1.0</v>
      </c>
      <c r="D13" s="4">
        <f t="shared" si="2"/>
        <v>8572763</v>
      </c>
    </row>
    <row r="14">
      <c r="A14" s="4">
        <v>1971.0</v>
      </c>
      <c r="B14" s="4">
        <v>1.0</v>
      </c>
      <c r="C14" s="4">
        <v>1.0</v>
      </c>
      <c r="D14" s="4">
        <f t="shared" si="2"/>
        <v>8753637</v>
      </c>
    </row>
    <row r="15">
      <c r="A15" s="4">
        <v>1972.0</v>
      </c>
      <c r="B15" s="4">
        <v>1.0</v>
      </c>
      <c r="C15" s="4">
        <v>1.0</v>
      </c>
      <c r="D15" s="4">
        <f t="shared" si="2"/>
        <v>8772538</v>
      </c>
    </row>
    <row r="16">
      <c r="A16" s="4">
        <v>1973.0</v>
      </c>
      <c r="B16" s="4">
        <v>1.0</v>
      </c>
      <c r="C16" s="4">
        <v>1.0</v>
      </c>
      <c r="D16" s="4">
        <f>D15+RANDBETWEEN(-1000, 200000)+1000000</f>
        <v>9828283</v>
      </c>
    </row>
    <row r="17">
      <c r="A17" s="4">
        <v>1974.0</v>
      </c>
      <c r="B17" s="4">
        <v>1.0</v>
      </c>
      <c r="C17" s="4">
        <v>1.0</v>
      </c>
      <c r="D17" s="4">
        <f>D16+RANDBETWEEN(-1000, 200000)+250000</f>
        <v>10104419</v>
      </c>
    </row>
    <row r="18">
      <c r="A18" s="4">
        <v>1975.0</v>
      </c>
      <c r="B18" s="4">
        <v>1.0</v>
      </c>
      <c r="C18" s="4">
        <v>1.0</v>
      </c>
      <c r="D18" s="4">
        <f>D17+RANDBETWEEN(-1000, 200000)</f>
        <v>10165862</v>
      </c>
    </row>
    <row r="19">
      <c r="A19" s="4">
        <v>1976.0</v>
      </c>
      <c r="B19" s="4">
        <v>1.0</v>
      </c>
      <c r="C19" s="4">
        <v>1.0</v>
      </c>
      <c r="D19" s="4">
        <f t="shared" ref="D19:D21" si="3">D18+RANDBETWEEN(-100000, 200000)</f>
        <v>10111999</v>
      </c>
    </row>
    <row r="20">
      <c r="A20" s="4">
        <v>1977.0</v>
      </c>
      <c r="B20" s="4">
        <v>1.0</v>
      </c>
      <c r="C20" s="4">
        <v>1.0</v>
      </c>
      <c r="D20" s="4">
        <f t="shared" si="3"/>
        <v>10175894</v>
      </c>
    </row>
    <row r="21" ht="15.75" customHeight="1">
      <c r="A21" s="4">
        <v>1978.0</v>
      </c>
      <c r="B21" s="4">
        <v>1.0</v>
      </c>
      <c r="C21" s="4">
        <v>1.0</v>
      </c>
      <c r="D21" s="4">
        <f t="shared" si="3"/>
        <v>10318205</v>
      </c>
    </row>
    <row r="22" ht="15.75" customHeight="1">
      <c r="A22" s="4">
        <v>1979.0</v>
      </c>
      <c r="B22" s="4">
        <v>1.0</v>
      </c>
      <c r="C22" s="4">
        <v>1.0</v>
      </c>
      <c r="D22" s="4">
        <f>D21+RANDBETWEEN(-100000, 200000)-1000000</f>
        <v>9353568</v>
      </c>
    </row>
    <row r="23" ht="15.75" customHeight="1">
      <c r="A23" s="4">
        <v>1980.0</v>
      </c>
      <c r="B23" s="4">
        <v>1.0</v>
      </c>
      <c r="C23" s="4">
        <v>1.0</v>
      </c>
      <c r="D23" s="4">
        <f t="shared" ref="D23:D28" si="4">D22+RANDBETWEEN(-100000, 200000)</f>
        <v>9372163</v>
      </c>
    </row>
    <row r="24" ht="15.75" customHeight="1">
      <c r="A24" s="4">
        <v>1981.0</v>
      </c>
      <c r="B24" s="4">
        <v>1.0</v>
      </c>
      <c r="C24" s="4">
        <v>1.0</v>
      </c>
      <c r="D24" s="4">
        <f t="shared" si="4"/>
        <v>9309720</v>
      </c>
    </row>
    <row r="25" ht="15.75" customHeight="1">
      <c r="A25" s="4">
        <v>1982.0</v>
      </c>
      <c r="B25" s="4">
        <v>1.0</v>
      </c>
      <c r="C25" s="4">
        <v>1.0</v>
      </c>
      <c r="D25" s="4">
        <f t="shared" si="4"/>
        <v>9306590</v>
      </c>
    </row>
    <row r="26" ht="15.75" customHeight="1">
      <c r="A26" s="4">
        <v>1983.0</v>
      </c>
      <c r="B26" s="4">
        <v>1.0</v>
      </c>
      <c r="C26" s="4">
        <v>1.0</v>
      </c>
      <c r="D26" s="4">
        <f t="shared" si="4"/>
        <v>9220988</v>
      </c>
    </row>
    <row r="27" ht="15.75" customHeight="1">
      <c r="A27" s="4">
        <v>1984.0</v>
      </c>
      <c r="B27" s="4">
        <v>1.0</v>
      </c>
      <c r="C27" s="4">
        <v>1.0</v>
      </c>
      <c r="D27" s="4">
        <f t="shared" si="4"/>
        <v>9180492</v>
      </c>
    </row>
    <row r="28" ht="15.75" customHeight="1">
      <c r="A28" s="4">
        <v>1985.0</v>
      </c>
      <c r="B28" s="4">
        <v>1.0</v>
      </c>
      <c r="C28" s="4">
        <v>1.0</v>
      </c>
      <c r="D28" s="4">
        <f t="shared" si="4"/>
        <v>9143782</v>
      </c>
    </row>
    <row r="29" ht="15.75" customHeight="1">
      <c r="A29" s="4">
        <v>1986.0</v>
      </c>
      <c r="B29" s="4">
        <v>1.0</v>
      </c>
      <c r="C29" s="4">
        <v>1.0</v>
      </c>
      <c r="D29" s="4">
        <f>D28+RANDBETWEEN(-100000, 200000)+3000000</f>
        <v>12075793</v>
      </c>
    </row>
    <row r="30" ht="15.75" customHeight="1">
      <c r="A30" s="4">
        <v>1987.0</v>
      </c>
      <c r="B30" s="4">
        <v>1.0</v>
      </c>
      <c r="C30" s="4">
        <v>1.0</v>
      </c>
      <c r="D30" s="4">
        <f t="shared" ref="D30:D41" si="5">D29+RANDBETWEEN(-100000, 200000)</f>
        <v>12148074</v>
      </c>
    </row>
    <row r="31" ht="15.75" customHeight="1">
      <c r="A31" s="4">
        <v>1988.0</v>
      </c>
      <c r="B31" s="4">
        <v>1.0</v>
      </c>
      <c r="C31" s="4">
        <v>1.0</v>
      </c>
      <c r="D31" s="4">
        <f t="shared" si="5"/>
        <v>12189481</v>
      </c>
    </row>
    <row r="32" ht="15.75" customHeight="1">
      <c r="A32" s="4">
        <v>1989.0</v>
      </c>
      <c r="B32" s="4">
        <v>1.0</v>
      </c>
      <c r="C32" s="4">
        <v>1.0</v>
      </c>
      <c r="D32" s="4">
        <f t="shared" si="5"/>
        <v>12111838</v>
      </c>
    </row>
    <row r="33" ht="15.75" customHeight="1">
      <c r="A33" s="4">
        <v>1990.0</v>
      </c>
      <c r="B33" s="4">
        <v>1.0</v>
      </c>
      <c r="C33" s="4">
        <v>1.0</v>
      </c>
      <c r="D33" s="4">
        <f t="shared" si="5"/>
        <v>12140606</v>
      </c>
    </row>
    <row r="34" ht="15.75" customHeight="1">
      <c r="A34" s="4">
        <v>1991.0</v>
      </c>
      <c r="B34" s="4">
        <v>1.0</v>
      </c>
      <c r="C34" s="4">
        <v>1.0</v>
      </c>
      <c r="D34" s="4">
        <f t="shared" si="5"/>
        <v>12310659</v>
      </c>
    </row>
    <row r="35" ht="15.75" customHeight="1">
      <c r="A35" s="4">
        <v>1992.0</v>
      </c>
      <c r="B35" s="4">
        <v>1.0</v>
      </c>
      <c r="C35" s="4">
        <v>1.0</v>
      </c>
      <c r="D35" s="4">
        <f t="shared" si="5"/>
        <v>12409748</v>
      </c>
    </row>
    <row r="36" ht="15.75" customHeight="1">
      <c r="A36" s="4">
        <v>1993.0</v>
      </c>
      <c r="B36" s="4">
        <v>1.0</v>
      </c>
      <c r="C36" s="4">
        <v>1.0</v>
      </c>
      <c r="D36" s="4">
        <f t="shared" si="5"/>
        <v>12364516</v>
      </c>
    </row>
    <row r="37" ht="15.75" customHeight="1">
      <c r="A37" s="4">
        <v>1994.0</v>
      </c>
      <c r="B37" s="4">
        <v>1.0</v>
      </c>
      <c r="C37" s="4">
        <v>1.0</v>
      </c>
      <c r="D37" s="4">
        <f t="shared" si="5"/>
        <v>12521365</v>
      </c>
    </row>
    <row r="38" ht="15.75" customHeight="1">
      <c r="A38" s="4">
        <v>1995.0</v>
      </c>
      <c r="B38" s="4">
        <v>1.0</v>
      </c>
      <c r="C38" s="4">
        <v>1.0</v>
      </c>
      <c r="D38" s="4">
        <f t="shared" si="5"/>
        <v>12682745</v>
      </c>
    </row>
    <row r="39" ht="15.75" customHeight="1">
      <c r="A39" s="4">
        <v>1996.0</v>
      </c>
      <c r="B39" s="4">
        <v>1.0</v>
      </c>
      <c r="C39" s="4">
        <v>1.0</v>
      </c>
      <c r="D39" s="4">
        <f t="shared" si="5"/>
        <v>12640429</v>
      </c>
    </row>
    <row r="40" ht="15.75" customHeight="1">
      <c r="A40" s="4">
        <v>1997.0</v>
      </c>
      <c r="B40" s="4">
        <v>1.0</v>
      </c>
      <c r="C40" s="4">
        <v>1.0</v>
      </c>
      <c r="D40" s="4">
        <f t="shared" si="5"/>
        <v>12657007</v>
      </c>
    </row>
    <row r="41" ht="15.75" customHeight="1">
      <c r="A41" s="4">
        <v>1998.0</v>
      </c>
      <c r="B41" s="4">
        <v>1.0</v>
      </c>
      <c r="C41" s="4">
        <v>1.0</v>
      </c>
      <c r="D41" s="4">
        <f t="shared" si="5"/>
        <v>12834966</v>
      </c>
    </row>
    <row r="42" ht="15.75" customHeight="1">
      <c r="A42" s="4">
        <v>1999.0</v>
      </c>
      <c r="B42" s="4">
        <v>1.0</v>
      </c>
      <c r="C42" s="4">
        <v>1.0</v>
      </c>
      <c r="D42" s="11">
        <f>D41+RANDBETWEEN(-100000, 5000)</f>
        <v>12810881</v>
      </c>
    </row>
    <row r="43" ht="15.75" customHeight="1">
      <c r="A43" s="4">
        <v>2000.0</v>
      </c>
      <c r="B43" s="4">
        <v>1.0</v>
      </c>
      <c r="C43" s="4">
        <v>1.0</v>
      </c>
      <c r="D43" s="11">
        <f>D42+RANDBETWEEN(-200000, 10000)</f>
        <v>12772004</v>
      </c>
    </row>
    <row r="44" ht="15.75" customHeight="1">
      <c r="A44" s="4">
        <v>2001.0</v>
      </c>
      <c r="B44" s="4">
        <v>1.0</v>
      </c>
      <c r="C44" s="4">
        <v>1.0</v>
      </c>
      <c r="D44" s="11">
        <f t="shared" ref="D44:D47" si="6">D43+RANDBETWEEN(-500000, 1000)</f>
        <v>12383310</v>
      </c>
    </row>
    <row r="45" ht="15.75" customHeight="1">
      <c r="A45" s="4">
        <v>2002.0</v>
      </c>
      <c r="B45" s="4">
        <v>1.0</v>
      </c>
      <c r="C45" s="4">
        <v>1.0</v>
      </c>
      <c r="D45" s="11">
        <f t="shared" si="6"/>
        <v>12159270</v>
      </c>
    </row>
    <row r="46" ht="15.75" customHeight="1">
      <c r="A46" s="4">
        <v>2003.0</v>
      </c>
      <c r="B46" s="4">
        <v>1.0</v>
      </c>
      <c r="C46" s="4">
        <v>1.0</v>
      </c>
      <c r="D46" s="11">
        <f t="shared" si="6"/>
        <v>11808226</v>
      </c>
    </row>
    <row r="47" ht="15.75" customHeight="1">
      <c r="A47" s="4">
        <v>2004.0</v>
      </c>
      <c r="B47" s="4">
        <v>1.0</v>
      </c>
      <c r="C47" s="4">
        <v>1.0</v>
      </c>
      <c r="D47" s="11">
        <f t="shared" si="6"/>
        <v>11437167</v>
      </c>
    </row>
    <row r="48" ht="15.75" customHeight="1">
      <c r="A48" s="4">
        <v>2005.0</v>
      </c>
      <c r="B48" s="4">
        <v>1.0</v>
      </c>
      <c r="C48" s="4">
        <v>1.0</v>
      </c>
      <c r="D48" s="4">
        <f>D47+RANDBETWEEN(-100000, 200000)-1500000</f>
        <v>9876029</v>
      </c>
    </row>
    <row r="49" ht="15.75" customHeight="1">
      <c r="A49" s="4">
        <v>2006.0</v>
      </c>
      <c r="B49" s="4">
        <v>1.0</v>
      </c>
      <c r="C49" s="4">
        <v>1.0</v>
      </c>
      <c r="D49" s="4">
        <f>D48+RANDBETWEEN(-100000, 200000)-3000000</f>
        <v>6829829</v>
      </c>
    </row>
    <row r="50" ht="15.75" customHeight="1">
      <c r="A50" s="4">
        <v>2007.0</v>
      </c>
      <c r="B50" s="4">
        <v>1.0</v>
      </c>
      <c r="C50" s="4">
        <v>1.0</v>
      </c>
      <c r="D50" s="4">
        <f>D49+RANDBETWEEN(-100000, 200000)-1000000</f>
        <v>5991468</v>
      </c>
    </row>
    <row r="51" ht="15.75" customHeight="1">
      <c r="A51" s="4">
        <v>2008.0</v>
      </c>
      <c r="B51" s="4">
        <v>1.0</v>
      </c>
      <c r="C51" s="4">
        <v>1.0</v>
      </c>
      <c r="D51" s="4">
        <f t="shared" ref="D51:D67" si="7">D50+RANDBETWEEN(-100000, 10000)</f>
        <v>5994522</v>
      </c>
    </row>
    <row r="52" ht="15.75" customHeight="1">
      <c r="A52" s="4">
        <v>2009.0</v>
      </c>
      <c r="B52" s="4">
        <v>1.0</v>
      </c>
      <c r="C52" s="4">
        <v>1.0</v>
      </c>
      <c r="D52" s="4">
        <f t="shared" si="7"/>
        <v>5963774</v>
      </c>
    </row>
    <row r="53" ht="15.75" customHeight="1">
      <c r="A53" s="4">
        <v>2010.0</v>
      </c>
      <c r="B53" s="4">
        <v>1.0</v>
      </c>
      <c r="C53" s="4">
        <v>1.0</v>
      </c>
      <c r="D53" s="4">
        <f t="shared" si="7"/>
        <v>5960299</v>
      </c>
    </row>
    <row r="54" ht="15.75" customHeight="1">
      <c r="A54" s="4">
        <v>2011.0</v>
      </c>
      <c r="B54" s="4">
        <v>1.0</v>
      </c>
      <c r="C54" s="4">
        <v>1.0</v>
      </c>
      <c r="D54" s="4">
        <f t="shared" si="7"/>
        <v>5864750</v>
      </c>
    </row>
    <row r="55" ht="15.75" customHeight="1">
      <c r="A55" s="4">
        <v>2012.0</v>
      </c>
      <c r="B55" s="4">
        <v>1.0</v>
      </c>
      <c r="C55" s="4">
        <v>1.0</v>
      </c>
      <c r="D55" s="4">
        <f t="shared" si="7"/>
        <v>5784465</v>
      </c>
    </row>
    <row r="56" ht="15.75" customHeight="1">
      <c r="A56" s="4">
        <v>2013.0</v>
      </c>
      <c r="B56" s="4">
        <v>1.0</v>
      </c>
      <c r="C56" s="4">
        <v>1.0</v>
      </c>
      <c r="D56" s="4">
        <f t="shared" si="7"/>
        <v>5765860</v>
      </c>
    </row>
    <row r="57" ht="15.75" customHeight="1">
      <c r="A57" s="4">
        <v>2014.0</v>
      </c>
      <c r="B57" s="4">
        <v>1.0</v>
      </c>
      <c r="C57" s="4">
        <v>1.0</v>
      </c>
      <c r="D57" s="4">
        <f t="shared" si="7"/>
        <v>5672793</v>
      </c>
    </row>
    <row r="58" ht="15.75" customHeight="1">
      <c r="A58" s="4">
        <v>2015.0</v>
      </c>
      <c r="B58" s="4">
        <v>1.0</v>
      </c>
      <c r="C58" s="4">
        <v>1.0</v>
      </c>
      <c r="D58" s="4">
        <f t="shared" si="7"/>
        <v>5625969</v>
      </c>
    </row>
    <row r="59" ht="15.75" customHeight="1">
      <c r="A59" s="4">
        <v>2016.0</v>
      </c>
      <c r="B59" s="4">
        <v>1.0</v>
      </c>
      <c r="C59" s="4">
        <v>1.0</v>
      </c>
      <c r="D59" s="4">
        <f t="shared" si="7"/>
        <v>5627644</v>
      </c>
    </row>
    <row r="60" ht="15.75" customHeight="1">
      <c r="A60" s="4">
        <v>2017.0</v>
      </c>
      <c r="B60" s="4">
        <v>1.0</v>
      </c>
      <c r="C60" s="4">
        <v>1.0</v>
      </c>
      <c r="D60" s="4">
        <f t="shared" si="7"/>
        <v>5604879</v>
      </c>
    </row>
    <row r="61" ht="15.75" customHeight="1">
      <c r="A61" s="4">
        <v>2018.0</v>
      </c>
      <c r="B61" s="4">
        <v>1.0</v>
      </c>
      <c r="C61" s="4">
        <v>1.0</v>
      </c>
      <c r="D61" s="4">
        <f t="shared" si="7"/>
        <v>5593906</v>
      </c>
    </row>
    <row r="62" ht="15.75" customHeight="1">
      <c r="A62" s="4">
        <v>2019.0</v>
      </c>
      <c r="B62" s="4">
        <v>1.0</v>
      </c>
      <c r="C62" s="4">
        <v>1.0</v>
      </c>
      <c r="D62" s="4">
        <f t="shared" si="7"/>
        <v>5567521</v>
      </c>
    </row>
    <row r="63" ht="15.75" customHeight="1">
      <c r="A63" s="4">
        <v>2020.0</v>
      </c>
      <c r="B63" s="4">
        <v>1.0</v>
      </c>
      <c r="C63" s="4">
        <v>1.0</v>
      </c>
      <c r="D63" s="4">
        <f t="shared" si="7"/>
        <v>5526269</v>
      </c>
    </row>
    <row r="64" ht="15.75" customHeight="1">
      <c r="A64" s="4">
        <v>2021.0</v>
      </c>
      <c r="B64" s="4">
        <v>1.0</v>
      </c>
      <c r="C64" s="4">
        <v>1.0</v>
      </c>
      <c r="D64" s="4">
        <f t="shared" si="7"/>
        <v>5534810</v>
      </c>
    </row>
    <row r="65" ht="15.75" customHeight="1">
      <c r="A65" s="4">
        <v>2022.0</v>
      </c>
      <c r="B65" s="4">
        <v>1.0</v>
      </c>
      <c r="C65" s="4">
        <v>1.0</v>
      </c>
      <c r="D65" s="4">
        <f t="shared" si="7"/>
        <v>5467818</v>
      </c>
    </row>
    <row r="66" ht="15.75" customHeight="1">
      <c r="A66" s="4">
        <v>2023.0</v>
      </c>
      <c r="B66" s="4">
        <v>1.0</v>
      </c>
      <c r="C66" s="4">
        <v>1.0</v>
      </c>
      <c r="D66" s="4">
        <f t="shared" si="7"/>
        <v>5420714</v>
      </c>
    </row>
    <row r="67" ht="15.75" customHeight="1">
      <c r="A67" s="4">
        <v>2024.0</v>
      </c>
      <c r="B67" s="4">
        <v>1.0</v>
      </c>
      <c r="C67" s="4">
        <v>1.0</v>
      </c>
      <c r="D67" s="4">
        <f t="shared" si="7"/>
        <v>5427889</v>
      </c>
    </row>
    <row r="68" ht="15.75" customHeight="1">
      <c r="A68" s="4">
        <v>1980.0</v>
      </c>
      <c r="B68" s="4">
        <v>1.0</v>
      </c>
      <c r="C68" s="4">
        <v>3.0</v>
      </c>
      <c r="D68" s="4">
        <f>200000+RANDBETWEEN(-1000, 30000)</f>
        <v>212007</v>
      </c>
    </row>
    <row r="69" ht="15.75" customHeight="1">
      <c r="A69" s="4">
        <v>1981.0</v>
      </c>
      <c r="B69" s="4">
        <v>1.0</v>
      </c>
      <c r="C69" s="4">
        <v>3.0</v>
      </c>
      <c r="D69" s="11">
        <f t="shared" ref="D69:D80" si="8">D68+RANDBETWEEN(-1000, 30000)</f>
        <v>235728</v>
      </c>
    </row>
    <row r="70" ht="15.75" customHeight="1">
      <c r="A70" s="4">
        <v>1982.0</v>
      </c>
      <c r="B70" s="4">
        <v>1.0</v>
      </c>
      <c r="C70" s="4">
        <v>3.0</v>
      </c>
      <c r="D70" s="11">
        <f t="shared" si="8"/>
        <v>241914</v>
      </c>
    </row>
    <row r="71" ht="15.75" customHeight="1">
      <c r="A71" s="4">
        <v>1983.0</v>
      </c>
      <c r="B71" s="4">
        <v>1.0</v>
      </c>
      <c r="C71" s="4">
        <v>3.0</v>
      </c>
      <c r="D71" s="11">
        <f t="shared" si="8"/>
        <v>257199</v>
      </c>
    </row>
    <row r="72" ht="15.75" customHeight="1">
      <c r="A72" s="4">
        <v>1984.0</v>
      </c>
      <c r="B72" s="4">
        <v>1.0</v>
      </c>
      <c r="C72" s="4">
        <v>3.0</v>
      </c>
      <c r="D72" s="11">
        <f t="shared" si="8"/>
        <v>275169</v>
      </c>
    </row>
    <row r="73" ht="15.75" customHeight="1">
      <c r="A73" s="4">
        <v>1985.0</v>
      </c>
      <c r="B73" s="4">
        <v>1.0</v>
      </c>
      <c r="C73" s="4">
        <v>3.0</v>
      </c>
      <c r="D73" s="11">
        <f t="shared" si="8"/>
        <v>299196</v>
      </c>
    </row>
    <row r="74" ht="15.75" customHeight="1">
      <c r="A74" s="4">
        <v>1986.0</v>
      </c>
      <c r="B74" s="4">
        <v>1.0</v>
      </c>
      <c r="C74" s="4">
        <v>3.0</v>
      </c>
      <c r="D74" s="11">
        <f t="shared" si="8"/>
        <v>320050</v>
      </c>
    </row>
    <row r="75" ht="15.75" customHeight="1">
      <c r="A75" s="4">
        <v>1987.0</v>
      </c>
      <c r="B75" s="4">
        <v>1.0</v>
      </c>
      <c r="C75" s="4">
        <v>3.0</v>
      </c>
      <c r="D75" s="11">
        <f t="shared" si="8"/>
        <v>331754</v>
      </c>
    </row>
    <row r="76" ht="15.75" customHeight="1">
      <c r="A76" s="4">
        <v>1988.0</v>
      </c>
      <c r="B76" s="4">
        <v>1.0</v>
      </c>
      <c r="C76" s="4">
        <v>3.0</v>
      </c>
      <c r="D76" s="11">
        <f t="shared" si="8"/>
        <v>340082</v>
      </c>
    </row>
    <row r="77" ht="15.75" customHeight="1">
      <c r="A77" s="4">
        <v>1989.0</v>
      </c>
      <c r="B77" s="4">
        <v>1.0</v>
      </c>
      <c r="C77" s="4">
        <v>3.0</v>
      </c>
      <c r="D77" s="11">
        <f t="shared" si="8"/>
        <v>359526</v>
      </c>
    </row>
    <row r="78" ht="15.75" customHeight="1">
      <c r="A78" s="4">
        <v>1990.0</v>
      </c>
      <c r="B78" s="4">
        <v>1.0</v>
      </c>
      <c r="C78" s="4">
        <v>3.0</v>
      </c>
      <c r="D78" s="11">
        <f t="shared" si="8"/>
        <v>371455</v>
      </c>
    </row>
    <row r="79" ht="15.75" customHeight="1">
      <c r="A79" s="4">
        <v>1991.0</v>
      </c>
      <c r="B79" s="4">
        <v>1.0</v>
      </c>
      <c r="C79" s="4">
        <v>3.0</v>
      </c>
      <c r="D79" s="11">
        <f t="shared" si="8"/>
        <v>388567</v>
      </c>
    </row>
    <row r="80" ht="15.75" customHeight="1">
      <c r="A80" s="4">
        <v>1992.0</v>
      </c>
      <c r="B80" s="4">
        <v>1.0</v>
      </c>
      <c r="C80" s="4">
        <v>3.0</v>
      </c>
      <c r="D80" s="11">
        <f t="shared" si="8"/>
        <v>413785</v>
      </c>
    </row>
    <row r="81" ht="15.75" customHeight="1">
      <c r="A81" s="4">
        <v>1993.0</v>
      </c>
      <c r="B81" s="4">
        <v>1.0</v>
      </c>
      <c r="C81" s="4">
        <v>3.0</v>
      </c>
      <c r="D81" s="8">
        <f t="shared" ref="D81:D90" si="9">D80+RANDBETWEEN(-1000, 10000)</f>
        <v>422064</v>
      </c>
    </row>
    <row r="82" ht="15.75" customHeight="1">
      <c r="A82" s="4">
        <v>1994.0</v>
      </c>
      <c r="B82" s="4">
        <v>1.0</v>
      </c>
      <c r="C82" s="4">
        <v>3.0</v>
      </c>
      <c r="D82" s="8">
        <f t="shared" si="9"/>
        <v>429637</v>
      </c>
    </row>
    <row r="83" ht="15.75" customHeight="1">
      <c r="A83" s="4">
        <v>1995.0</v>
      </c>
      <c r="B83" s="4">
        <v>1.0</v>
      </c>
      <c r="C83" s="4">
        <v>3.0</v>
      </c>
      <c r="D83" s="8">
        <f t="shared" si="9"/>
        <v>433511</v>
      </c>
    </row>
    <row r="84" ht="15.75" customHeight="1">
      <c r="A84" s="4">
        <v>1996.0</v>
      </c>
      <c r="B84" s="4">
        <v>1.0</v>
      </c>
      <c r="C84" s="4">
        <v>3.0</v>
      </c>
      <c r="D84" s="8">
        <f t="shared" si="9"/>
        <v>436652</v>
      </c>
    </row>
    <row r="85" ht="15.75" customHeight="1">
      <c r="A85" s="4">
        <v>1997.0</v>
      </c>
      <c r="B85" s="4">
        <v>1.0</v>
      </c>
      <c r="C85" s="4">
        <v>3.0</v>
      </c>
      <c r="D85" s="8">
        <f t="shared" si="9"/>
        <v>445759</v>
      </c>
    </row>
    <row r="86" ht="15.75" customHeight="1">
      <c r="A86" s="4">
        <v>1998.0</v>
      </c>
      <c r="B86" s="4">
        <v>1.0</v>
      </c>
      <c r="C86" s="4">
        <v>3.0</v>
      </c>
      <c r="D86" s="8">
        <f t="shared" si="9"/>
        <v>454798</v>
      </c>
    </row>
    <row r="87" ht="15.75" customHeight="1">
      <c r="A87" s="4">
        <v>1999.0</v>
      </c>
      <c r="B87" s="4">
        <v>1.0</v>
      </c>
      <c r="C87" s="4">
        <v>3.0</v>
      </c>
      <c r="D87" s="8">
        <f t="shared" si="9"/>
        <v>456619</v>
      </c>
    </row>
    <row r="88" ht="15.75" customHeight="1">
      <c r="A88" s="4">
        <v>2000.0</v>
      </c>
      <c r="B88" s="4">
        <v>1.0</v>
      </c>
      <c r="C88" s="4">
        <v>3.0</v>
      </c>
      <c r="D88" s="8">
        <f t="shared" si="9"/>
        <v>462749</v>
      </c>
    </row>
    <row r="89" ht="15.75" customHeight="1">
      <c r="A89" s="4">
        <v>2001.0</v>
      </c>
      <c r="B89" s="4">
        <v>1.0</v>
      </c>
      <c r="C89" s="4">
        <v>3.0</v>
      </c>
      <c r="D89" s="8">
        <f t="shared" si="9"/>
        <v>469426</v>
      </c>
    </row>
    <row r="90" ht="15.75" customHeight="1">
      <c r="A90" s="4">
        <v>2002.0</v>
      </c>
      <c r="B90" s="4">
        <v>1.0</v>
      </c>
      <c r="C90" s="4">
        <v>3.0</v>
      </c>
      <c r="D90" s="8">
        <f t="shared" si="9"/>
        <v>472262</v>
      </c>
    </row>
    <row r="91" ht="15.75" customHeight="1">
      <c r="A91" s="4">
        <v>2003.0</v>
      </c>
      <c r="B91" s="4">
        <v>1.0</v>
      </c>
      <c r="C91" s="4">
        <v>3.0</v>
      </c>
      <c r="D91" s="11">
        <f t="shared" ref="D91:D112" si="10">D90+RANDBETWEEN(-5000, 1000)</f>
        <v>468207</v>
      </c>
    </row>
    <row r="92" ht="15.75" customHeight="1">
      <c r="A92" s="4">
        <v>2004.0</v>
      </c>
      <c r="B92" s="4">
        <v>1.0</v>
      </c>
      <c r="C92" s="4">
        <v>3.0</v>
      </c>
      <c r="D92" s="11">
        <f t="shared" si="10"/>
        <v>467923</v>
      </c>
    </row>
    <row r="93" ht="15.75" customHeight="1">
      <c r="A93" s="4">
        <v>2005.0</v>
      </c>
      <c r="B93" s="4">
        <v>1.0</v>
      </c>
      <c r="C93" s="4">
        <v>3.0</v>
      </c>
      <c r="D93" s="11">
        <f t="shared" si="10"/>
        <v>468483</v>
      </c>
    </row>
    <row r="94" ht="15.75" customHeight="1">
      <c r="A94" s="4">
        <v>2006.0</v>
      </c>
      <c r="B94" s="4">
        <v>1.0</v>
      </c>
      <c r="C94" s="4">
        <v>3.0</v>
      </c>
      <c r="D94" s="11">
        <f t="shared" si="10"/>
        <v>467451</v>
      </c>
    </row>
    <row r="95" ht="15.75" customHeight="1">
      <c r="A95" s="4">
        <v>2007.0</v>
      </c>
      <c r="B95" s="4">
        <v>1.0</v>
      </c>
      <c r="C95" s="4">
        <v>3.0</v>
      </c>
      <c r="D95" s="11">
        <f t="shared" si="10"/>
        <v>467559</v>
      </c>
    </row>
    <row r="96" ht="15.75" customHeight="1">
      <c r="A96" s="4">
        <v>2008.0</v>
      </c>
      <c r="B96" s="4">
        <v>1.0</v>
      </c>
      <c r="C96" s="4">
        <v>3.0</v>
      </c>
      <c r="D96" s="11">
        <f t="shared" si="10"/>
        <v>465771</v>
      </c>
    </row>
    <row r="97" ht="15.75" customHeight="1">
      <c r="A97" s="4">
        <v>2009.0</v>
      </c>
      <c r="B97" s="4">
        <v>1.0</v>
      </c>
      <c r="C97" s="4">
        <v>3.0</v>
      </c>
      <c r="D97" s="11">
        <f t="shared" si="10"/>
        <v>461962</v>
      </c>
    </row>
    <row r="98" ht="15.75" customHeight="1">
      <c r="A98" s="4">
        <v>2010.0</v>
      </c>
      <c r="B98" s="4">
        <v>1.0</v>
      </c>
      <c r="C98" s="4">
        <v>3.0</v>
      </c>
      <c r="D98" s="11">
        <f t="shared" si="10"/>
        <v>458055</v>
      </c>
    </row>
    <row r="99" ht="15.75" customHeight="1">
      <c r="A99" s="4">
        <v>2011.0</v>
      </c>
      <c r="B99" s="4">
        <v>1.0</v>
      </c>
      <c r="C99" s="4">
        <v>3.0</v>
      </c>
      <c r="D99" s="11">
        <f t="shared" si="10"/>
        <v>458631</v>
      </c>
    </row>
    <row r="100" ht="15.75" customHeight="1">
      <c r="A100" s="4">
        <v>2012.0</v>
      </c>
      <c r="B100" s="4">
        <v>1.0</v>
      </c>
      <c r="C100" s="4">
        <v>3.0</v>
      </c>
      <c r="D100" s="11">
        <f t="shared" si="10"/>
        <v>457545</v>
      </c>
    </row>
    <row r="101" ht="15.75" customHeight="1">
      <c r="A101" s="4">
        <v>2013.0</v>
      </c>
      <c r="B101" s="4">
        <v>1.0</v>
      </c>
      <c r="C101" s="4">
        <v>3.0</v>
      </c>
      <c r="D101" s="11">
        <f t="shared" si="10"/>
        <v>454544</v>
      </c>
    </row>
    <row r="102" ht="15.75" customHeight="1">
      <c r="A102" s="4">
        <v>2014.0</v>
      </c>
      <c r="B102" s="4">
        <v>1.0</v>
      </c>
      <c r="C102" s="4">
        <v>3.0</v>
      </c>
      <c r="D102" s="11">
        <f t="shared" si="10"/>
        <v>452057</v>
      </c>
    </row>
    <row r="103" ht="15.75" customHeight="1">
      <c r="A103" s="4">
        <v>2015.0</v>
      </c>
      <c r="B103" s="4">
        <v>1.0</v>
      </c>
      <c r="C103" s="4">
        <v>3.0</v>
      </c>
      <c r="D103" s="11">
        <f t="shared" si="10"/>
        <v>451121</v>
      </c>
    </row>
    <row r="104" ht="15.75" customHeight="1">
      <c r="A104" s="4">
        <v>2016.0</v>
      </c>
      <c r="B104" s="4">
        <v>1.0</v>
      </c>
      <c r="C104" s="4">
        <v>3.0</v>
      </c>
      <c r="D104" s="11">
        <f t="shared" si="10"/>
        <v>450116</v>
      </c>
    </row>
    <row r="105" ht="15.75" customHeight="1">
      <c r="A105" s="4">
        <v>2017.0</v>
      </c>
      <c r="B105" s="4">
        <v>1.0</v>
      </c>
      <c r="C105" s="4">
        <v>3.0</v>
      </c>
      <c r="D105" s="11">
        <f t="shared" si="10"/>
        <v>446351</v>
      </c>
    </row>
    <row r="106" ht="15.75" customHeight="1">
      <c r="A106" s="4">
        <v>2018.0</v>
      </c>
      <c r="B106" s="4">
        <v>1.0</v>
      </c>
      <c r="C106" s="4">
        <v>3.0</v>
      </c>
      <c r="D106" s="11">
        <f t="shared" si="10"/>
        <v>446068</v>
      </c>
    </row>
    <row r="107" ht="15.75" customHeight="1">
      <c r="A107" s="4">
        <v>2019.0</v>
      </c>
      <c r="B107" s="4">
        <v>1.0</v>
      </c>
      <c r="C107" s="4">
        <v>3.0</v>
      </c>
      <c r="D107" s="11">
        <f t="shared" si="10"/>
        <v>441331</v>
      </c>
    </row>
    <row r="108" ht="15.75" customHeight="1">
      <c r="A108" s="4">
        <v>2020.0</v>
      </c>
      <c r="B108" s="4">
        <v>1.0</v>
      </c>
      <c r="C108" s="4">
        <v>3.0</v>
      </c>
      <c r="D108" s="11">
        <f t="shared" si="10"/>
        <v>441635</v>
      </c>
    </row>
    <row r="109" ht="15.75" customHeight="1">
      <c r="A109" s="4">
        <v>2021.0</v>
      </c>
      <c r="B109" s="4">
        <v>1.0</v>
      </c>
      <c r="C109" s="4">
        <v>3.0</v>
      </c>
      <c r="D109" s="11">
        <f t="shared" si="10"/>
        <v>437062</v>
      </c>
    </row>
    <row r="110" ht="15.75" customHeight="1">
      <c r="A110" s="4">
        <v>2022.0</v>
      </c>
      <c r="B110" s="4">
        <v>1.0</v>
      </c>
      <c r="C110" s="4">
        <v>3.0</v>
      </c>
      <c r="D110" s="11">
        <f t="shared" si="10"/>
        <v>436768</v>
      </c>
    </row>
    <row r="111" ht="15.75" customHeight="1">
      <c r="A111" s="4">
        <v>2023.0</v>
      </c>
      <c r="B111" s="4">
        <v>1.0</v>
      </c>
      <c r="C111" s="4">
        <v>3.0</v>
      </c>
      <c r="D111" s="11">
        <f t="shared" si="10"/>
        <v>431771</v>
      </c>
    </row>
    <row r="112" ht="15.75" customHeight="1">
      <c r="A112" s="4">
        <v>2024.0</v>
      </c>
      <c r="B112" s="4">
        <v>1.0</v>
      </c>
      <c r="C112" s="4">
        <v>3.0</v>
      </c>
      <c r="D112" s="11">
        <f t="shared" si="10"/>
        <v>427815</v>
      </c>
    </row>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57"/>
    <col customWidth="1" min="2" max="26" width="11.43"/>
  </cols>
  <sheetData>
    <row r="1">
      <c r="A1" s="1" t="s">
        <v>225</v>
      </c>
      <c r="B1" s="2"/>
      <c r="C1" s="2"/>
      <c r="D1" s="2"/>
      <c r="E1" s="2"/>
      <c r="F1" s="2"/>
      <c r="G1" s="2"/>
      <c r="H1" s="2"/>
      <c r="I1" s="2"/>
      <c r="J1" s="2"/>
      <c r="K1" s="2"/>
      <c r="L1" s="2"/>
      <c r="M1" s="2"/>
      <c r="N1" s="2"/>
      <c r="O1" s="2"/>
      <c r="P1" s="2"/>
      <c r="Q1" s="2"/>
      <c r="R1" s="2"/>
      <c r="S1" s="2"/>
      <c r="T1" s="2"/>
      <c r="U1" s="3"/>
    </row>
    <row r="2">
      <c r="A2" s="4" t="s">
        <v>226</v>
      </c>
      <c r="B2" s="4" t="s">
        <v>227</v>
      </c>
      <c r="C2" s="4" t="s">
        <v>207</v>
      </c>
      <c r="D2" s="4" t="s">
        <v>228</v>
      </c>
      <c r="E2" s="4" t="s">
        <v>229</v>
      </c>
      <c r="F2" s="4" t="s">
        <v>230</v>
      </c>
      <c r="G2" s="4" t="s">
        <v>231</v>
      </c>
    </row>
    <row r="3">
      <c r="A3" s="4">
        <v>0.0</v>
      </c>
      <c r="B3" s="4">
        <v>1.0</v>
      </c>
      <c r="C3" s="4">
        <v>0.0</v>
      </c>
      <c r="D3" s="4">
        <v>1960.0</v>
      </c>
      <c r="E3" s="4">
        <v>1.0</v>
      </c>
      <c r="F3" s="4">
        <v>0.42715553489212</v>
      </c>
      <c r="G3" s="4">
        <v>0.137815449793542</v>
      </c>
    </row>
    <row r="4">
      <c r="A4" s="4">
        <v>0.0</v>
      </c>
      <c r="B4" s="4">
        <v>1.0</v>
      </c>
      <c r="C4" s="4">
        <v>0.0</v>
      </c>
      <c r="D4" s="4">
        <v>1961.0</v>
      </c>
      <c r="E4" s="4">
        <v>1.0</v>
      </c>
      <c r="F4" s="4">
        <v>0.608466686562643</v>
      </c>
      <c r="G4" s="4">
        <v>0.135191101365139</v>
      </c>
    </row>
    <row r="5">
      <c r="A5" s="4">
        <v>0.0</v>
      </c>
      <c r="B5" s="4">
        <v>1.0</v>
      </c>
      <c r="C5" s="4">
        <v>0.0</v>
      </c>
      <c r="D5" s="4">
        <v>1962.0</v>
      </c>
      <c r="E5" s="4">
        <v>1.0</v>
      </c>
      <c r="F5" s="4">
        <v>0.271517242492136</v>
      </c>
      <c r="G5" s="4">
        <v>0.288291553937067</v>
      </c>
    </row>
    <row r="6">
      <c r="A6" s="4">
        <v>0.0</v>
      </c>
      <c r="B6" s="4">
        <v>1.0</v>
      </c>
      <c r="C6" s="4">
        <v>0.0</v>
      </c>
      <c r="D6" s="4">
        <v>1963.0</v>
      </c>
      <c r="E6" s="4">
        <v>1.0</v>
      </c>
      <c r="F6" s="4">
        <v>0.308944342084722</v>
      </c>
      <c r="G6" s="4">
        <v>0.199563894417698</v>
      </c>
    </row>
    <row r="7">
      <c r="A7" s="4">
        <v>0.0</v>
      </c>
      <c r="B7" s="4">
        <v>1.0</v>
      </c>
      <c r="C7" s="4">
        <v>0.0</v>
      </c>
      <c r="D7" s="4">
        <v>1964.0</v>
      </c>
      <c r="E7" s="4">
        <v>1.0</v>
      </c>
      <c r="F7" s="4">
        <v>0.422088811111566</v>
      </c>
      <c r="G7" s="4">
        <v>0.121277764357951</v>
      </c>
    </row>
    <row r="8">
      <c r="A8" s="4">
        <v>0.0</v>
      </c>
      <c r="B8" s="4">
        <v>1.0</v>
      </c>
      <c r="C8" s="4">
        <v>0.0</v>
      </c>
      <c r="D8" s="4">
        <v>1965.0</v>
      </c>
      <c r="E8" s="4">
        <v>1.0</v>
      </c>
      <c r="F8" s="4">
        <v>0.252098874556324</v>
      </c>
      <c r="G8" s="4">
        <v>0.156202254295742</v>
      </c>
    </row>
    <row r="9">
      <c r="A9" s="4">
        <v>0.0</v>
      </c>
      <c r="B9" s="4">
        <v>1.0</v>
      </c>
      <c r="C9" s="4">
        <v>0.0</v>
      </c>
      <c r="D9" s="4">
        <v>1966.0</v>
      </c>
      <c r="E9" s="4">
        <v>1.0</v>
      </c>
      <c r="F9" s="4">
        <v>0.258939578611364</v>
      </c>
      <c r="G9" s="4">
        <v>0.139660100356493</v>
      </c>
    </row>
    <row r="10">
      <c r="A10" s="4">
        <v>0.0</v>
      </c>
      <c r="B10" s="4">
        <v>1.0</v>
      </c>
      <c r="C10" s="4">
        <v>0.0</v>
      </c>
      <c r="D10" s="4">
        <v>1967.0</v>
      </c>
      <c r="E10" s="4">
        <v>1.0</v>
      </c>
      <c r="F10" s="4">
        <v>0.190567660370771</v>
      </c>
      <c r="G10" s="4">
        <v>0.199160689305746</v>
      </c>
    </row>
    <row r="11">
      <c r="A11" s="4">
        <v>0.0</v>
      </c>
      <c r="B11" s="4">
        <v>1.0</v>
      </c>
      <c r="C11" s="4">
        <v>0.0</v>
      </c>
      <c r="D11" s="4">
        <v>1968.0</v>
      </c>
      <c r="E11" s="4">
        <v>1.0</v>
      </c>
      <c r="F11" s="4">
        <v>0.0340703741532514</v>
      </c>
      <c r="G11" s="4">
        <v>0.678265370202627</v>
      </c>
    </row>
    <row r="12">
      <c r="A12" s="4">
        <v>0.0</v>
      </c>
      <c r="B12" s="4">
        <v>1.0</v>
      </c>
      <c r="C12" s="4">
        <v>0.0</v>
      </c>
      <c r="D12" s="4">
        <v>1969.0</v>
      </c>
      <c r="E12" s="4">
        <v>1.0</v>
      </c>
      <c r="F12" s="4">
        <v>0.311513938315297</v>
      </c>
      <c r="G12" s="4">
        <v>0.105445402388682</v>
      </c>
    </row>
    <row r="13">
      <c r="A13" s="4">
        <v>0.0</v>
      </c>
      <c r="B13" s="4">
        <v>1.0</v>
      </c>
      <c r="C13" s="4">
        <v>0.0</v>
      </c>
      <c r="D13" s="4">
        <v>1970.0</v>
      </c>
      <c r="E13" s="4">
        <v>1.0</v>
      </c>
      <c r="F13" s="4">
        <v>1.63092384</v>
      </c>
      <c r="G13" s="4">
        <v>0.105282913678278</v>
      </c>
    </row>
    <row r="14">
      <c r="A14" s="4">
        <v>0.0</v>
      </c>
      <c r="B14" s="4">
        <v>1.0</v>
      </c>
      <c r="C14" s="4">
        <v>0.0</v>
      </c>
      <c r="D14" s="4">
        <v>1971.0</v>
      </c>
      <c r="E14" s="4">
        <v>1.0</v>
      </c>
      <c r="F14" s="4">
        <v>1.4897862599999998</v>
      </c>
      <c r="G14" s="4">
        <v>0.138987314969989</v>
      </c>
    </row>
    <row r="15">
      <c r="A15" s="4">
        <v>0.0</v>
      </c>
      <c r="B15" s="4">
        <v>1.0</v>
      </c>
      <c r="C15" s="4">
        <v>0.0</v>
      </c>
      <c r="D15" s="4">
        <v>1972.0</v>
      </c>
      <c r="E15" s="4">
        <v>1.0</v>
      </c>
      <c r="F15" s="4">
        <v>1.0394508599999996</v>
      </c>
      <c r="G15" s="4">
        <v>0.281456563917217</v>
      </c>
    </row>
    <row r="16">
      <c r="A16" s="4">
        <v>0.0</v>
      </c>
      <c r="B16" s="4">
        <v>1.0</v>
      </c>
      <c r="C16" s="4">
        <v>0.0</v>
      </c>
      <c r="D16" s="4">
        <v>1973.0</v>
      </c>
      <c r="E16" s="4">
        <v>1.0</v>
      </c>
      <c r="F16" s="4">
        <v>1.3988766399999997</v>
      </c>
      <c r="G16" s="4">
        <v>0.34327038609195</v>
      </c>
    </row>
    <row r="17">
      <c r="A17" s="4">
        <v>0.0</v>
      </c>
      <c r="B17" s="4">
        <v>1.0</v>
      </c>
      <c r="C17" s="4">
        <v>0.0</v>
      </c>
      <c r="D17" s="4">
        <v>1974.0</v>
      </c>
      <c r="E17" s="4">
        <v>1.0</v>
      </c>
      <c r="F17" s="4">
        <v>1.7895168899999998</v>
      </c>
      <c r="G17" s="4">
        <v>0.0573714976830954</v>
      </c>
    </row>
    <row r="18">
      <c r="A18" s="4">
        <v>0.0</v>
      </c>
      <c r="B18" s="4">
        <v>1.0</v>
      </c>
      <c r="C18" s="4">
        <v>0.0</v>
      </c>
      <c r="D18" s="4">
        <v>1975.0</v>
      </c>
      <c r="E18" s="4">
        <v>1.0</v>
      </c>
      <c r="F18" s="4">
        <v>1.9392752699999998</v>
      </c>
      <c r="G18" s="4">
        <v>0.0630590316282402</v>
      </c>
    </row>
    <row r="19">
      <c r="A19" s="4">
        <v>0.0</v>
      </c>
      <c r="B19" s="4">
        <v>1.0</v>
      </c>
      <c r="C19" s="4">
        <v>0.0</v>
      </c>
      <c r="D19" s="4">
        <v>1976.0</v>
      </c>
      <c r="E19" s="4">
        <v>1.0</v>
      </c>
      <c r="F19" s="4">
        <v>1.70352435</v>
      </c>
      <c r="G19" s="4">
        <v>0.0498105833524463</v>
      </c>
    </row>
    <row r="20">
      <c r="A20" s="4">
        <v>0.0</v>
      </c>
      <c r="B20" s="4">
        <v>1.0</v>
      </c>
      <c r="C20" s="4">
        <v>0.0</v>
      </c>
      <c r="D20" s="4">
        <v>1977.0</v>
      </c>
      <c r="E20" s="4">
        <v>1.0</v>
      </c>
      <c r="F20" s="4">
        <v>1.43163153</v>
      </c>
      <c r="G20" s="4">
        <v>0.0394613384364378</v>
      </c>
    </row>
    <row r="21" ht="15.75" customHeight="1">
      <c r="A21" s="4">
        <v>0.0</v>
      </c>
      <c r="B21" s="4">
        <v>1.0</v>
      </c>
      <c r="C21" s="4">
        <v>0.0</v>
      </c>
      <c r="D21" s="4">
        <v>1978.0</v>
      </c>
      <c r="E21" s="4">
        <v>1.0</v>
      </c>
      <c r="F21" s="4">
        <v>1.1938930200000002</v>
      </c>
      <c r="G21" s="4">
        <v>0.0390345717859919</v>
      </c>
    </row>
    <row r="22" ht="15.75" customHeight="1">
      <c r="A22" s="4">
        <v>0.0</v>
      </c>
      <c r="B22" s="4">
        <v>1.0</v>
      </c>
      <c r="C22" s="4">
        <v>0.0</v>
      </c>
      <c r="D22" s="4">
        <v>1979.0</v>
      </c>
      <c r="E22" s="4">
        <v>1.0</v>
      </c>
      <c r="F22" s="4">
        <v>1.20540728</v>
      </c>
      <c r="G22" s="4">
        <v>0.0369769731684073</v>
      </c>
    </row>
    <row r="23" ht="15.75" customHeight="1">
      <c r="A23" s="4">
        <v>0.0</v>
      </c>
      <c r="B23" s="4">
        <v>1.0</v>
      </c>
      <c r="C23" s="4">
        <v>0.0</v>
      </c>
      <c r="D23" s="4">
        <v>1980.0</v>
      </c>
      <c r="E23" s="4">
        <v>1.0</v>
      </c>
      <c r="F23" s="4">
        <v>1.2575484000000001</v>
      </c>
      <c r="G23" s="4">
        <v>0.0362608536937747</v>
      </c>
    </row>
    <row r="24" ht="15.75" customHeight="1">
      <c r="A24" s="4">
        <v>0.0</v>
      </c>
      <c r="B24" s="4">
        <v>1.0</v>
      </c>
      <c r="C24" s="4">
        <v>0.0</v>
      </c>
      <c r="D24" s="4">
        <v>1981.0</v>
      </c>
      <c r="E24" s="4">
        <v>1.0</v>
      </c>
      <c r="F24" s="4">
        <v>0.9979173400000002</v>
      </c>
      <c r="G24" s="4">
        <v>0.036455751062585</v>
      </c>
    </row>
    <row r="25" ht="15.75" customHeight="1">
      <c r="A25" s="4">
        <v>0.0</v>
      </c>
      <c r="B25" s="4">
        <v>1.0</v>
      </c>
      <c r="C25" s="4">
        <v>0.0</v>
      </c>
      <c r="D25" s="4">
        <v>1982.0</v>
      </c>
      <c r="E25" s="4">
        <v>1.0</v>
      </c>
      <c r="F25" s="4">
        <v>0.6516090900000001</v>
      </c>
      <c r="G25" s="4">
        <v>0.0382120153364211</v>
      </c>
    </row>
    <row r="26" ht="15.75" customHeight="1">
      <c r="A26" s="4">
        <v>0.0</v>
      </c>
      <c r="B26" s="4">
        <v>1.0</v>
      </c>
      <c r="C26" s="4">
        <v>0.0</v>
      </c>
      <c r="D26" s="4">
        <v>1983.0</v>
      </c>
      <c r="E26" s="4">
        <v>1.0</v>
      </c>
      <c r="F26" s="4">
        <v>0.7656192000000002</v>
      </c>
      <c r="G26" s="4">
        <v>0.0366644910797294</v>
      </c>
    </row>
    <row r="27" ht="15.75" customHeight="1">
      <c r="A27" s="4">
        <v>0.0</v>
      </c>
      <c r="B27" s="4">
        <v>1.0</v>
      </c>
      <c r="C27" s="4">
        <v>0.0</v>
      </c>
      <c r="D27" s="4">
        <v>1984.0</v>
      </c>
      <c r="E27" s="4">
        <v>1.0</v>
      </c>
      <c r="F27" s="4">
        <v>0.8920608000000002</v>
      </c>
      <c r="G27" s="4">
        <v>0.0352570136358141</v>
      </c>
    </row>
    <row r="28" ht="15.75" customHeight="1">
      <c r="A28" s="4">
        <v>0.0</v>
      </c>
      <c r="B28" s="4">
        <v>1.0</v>
      </c>
      <c r="C28" s="4">
        <v>0.0</v>
      </c>
      <c r="D28" s="4">
        <v>1985.0</v>
      </c>
      <c r="E28" s="4">
        <v>1.0</v>
      </c>
      <c r="F28" s="4">
        <v>0.6152357800000001</v>
      </c>
      <c r="G28" s="4">
        <v>0.0367544130423651</v>
      </c>
    </row>
    <row r="29" ht="15.75" customHeight="1">
      <c r="A29" s="4">
        <v>0.0</v>
      </c>
      <c r="B29" s="4">
        <v>1.0</v>
      </c>
      <c r="C29" s="4">
        <v>0.0</v>
      </c>
      <c r="D29" s="4">
        <v>1986.0</v>
      </c>
      <c r="E29" s="4">
        <v>1.0</v>
      </c>
      <c r="F29" s="4">
        <v>0.4202616000000001</v>
      </c>
      <c r="G29" s="4">
        <v>0.0358670455746795</v>
      </c>
    </row>
    <row r="30" ht="15.75" customHeight="1">
      <c r="A30" s="4">
        <v>0.0</v>
      </c>
      <c r="B30" s="4">
        <v>1.0</v>
      </c>
      <c r="C30" s="4">
        <v>0.0</v>
      </c>
      <c r="D30" s="4">
        <v>1987.0</v>
      </c>
      <c r="E30" s="4">
        <v>1.0</v>
      </c>
      <c r="F30" s="4">
        <v>0.5028357</v>
      </c>
      <c r="G30" s="4">
        <v>0.0368834621281032</v>
      </c>
    </row>
    <row r="31" ht="15.75" customHeight="1">
      <c r="A31" s="4">
        <v>0.0</v>
      </c>
      <c r="B31" s="4">
        <v>1.0</v>
      </c>
      <c r="C31" s="4">
        <v>0.0</v>
      </c>
      <c r="D31" s="4">
        <v>1988.0</v>
      </c>
      <c r="E31" s="4">
        <v>1.0</v>
      </c>
      <c r="F31" s="4">
        <v>0.27189001000000007</v>
      </c>
      <c r="G31" s="4">
        <v>0.0348140453659039</v>
      </c>
    </row>
    <row r="32" ht="15.75" customHeight="1">
      <c r="A32" s="4">
        <v>0.0</v>
      </c>
      <c r="B32" s="4">
        <v>1.0</v>
      </c>
      <c r="C32" s="4">
        <v>0.0</v>
      </c>
      <c r="D32" s="4">
        <v>1989.0</v>
      </c>
      <c r="E32" s="4">
        <v>1.0</v>
      </c>
      <c r="F32" s="4">
        <v>0.18319680000000005</v>
      </c>
      <c r="G32" s="4">
        <v>0.0641587159695053</v>
      </c>
    </row>
    <row r="33" ht="15.75" customHeight="1">
      <c r="A33" s="4">
        <v>0.0</v>
      </c>
      <c r="B33" s="4">
        <v>1.0</v>
      </c>
      <c r="C33" s="4">
        <v>0.0</v>
      </c>
      <c r="D33" s="4">
        <v>1990.0</v>
      </c>
      <c r="E33" s="4">
        <v>1.0</v>
      </c>
      <c r="F33" s="4">
        <v>0.42192593000000006</v>
      </c>
      <c r="G33" s="4">
        <v>0.0607158901528758</v>
      </c>
    </row>
    <row r="34" ht="15.75" customHeight="1">
      <c r="A34" s="4">
        <v>0.0</v>
      </c>
      <c r="B34" s="4">
        <v>1.0</v>
      </c>
      <c r="C34" s="4">
        <v>0.0</v>
      </c>
      <c r="D34" s="4">
        <v>1991.0</v>
      </c>
      <c r="E34" s="4">
        <v>1.0</v>
      </c>
      <c r="F34" s="4">
        <v>0.49748436000000007</v>
      </c>
      <c r="G34" s="4">
        <v>0.0791808280543074</v>
      </c>
    </row>
    <row r="35" ht="15.75" customHeight="1">
      <c r="A35" s="4">
        <v>0.0</v>
      </c>
      <c r="B35" s="4">
        <v>1.0</v>
      </c>
      <c r="C35" s="4">
        <v>0.0</v>
      </c>
      <c r="D35" s="4">
        <v>1992.0</v>
      </c>
      <c r="E35" s="4">
        <v>1.0</v>
      </c>
      <c r="F35" s="4">
        <v>0.61414336</v>
      </c>
      <c r="G35" s="4">
        <v>0.0691964083357813</v>
      </c>
    </row>
    <row r="36" ht="15.75" customHeight="1">
      <c r="A36" s="4">
        <v>0.0</v>
      </c>
      <c r="B36" s="4">
        <v>1.0</v>
      </c>
      <c r="C36" s="4">
        <v>0.0</v>
      </c>
      <c r="D36" s="4">
        <v>1993.0</v>
      </c>
      <c r="E36" s="4">
        <v>1.0</v>
      </c>
      <c r="F36" s="4">
        <v>0.56436158</v>
      </c>
      <c r="G36" s="4">
        <v>0.0668716953656033</v>
      </c>
    </row>
    <row r="37" ht="15.75" customHeight="1">
      <c r="A37" s="4">
        <v>0.0</v>
      </c>
      <c r="B37" s="4">
        <v>1.0</v>
      </c>
      <c r="C37" s="4">
        <v>0.0</v>
      </c>
      <c r="D37" s="4">
        <v>1994.0</v>
      </c>
      <c r="E37" s="4">
        <v>1.0</v>
      </c>
      <c r="F37" s="4">
        <v>0.29769142000000004</v>
      </c>
      <c r="G37" s="4">
        <v>0.0604841868734813</v>
      </c>
    </row>
    <row r="38" ht="15.75" customHeight="1">
      <c r="A38" s="4">
        <v>0.0</v>
      </c>
      <c r="B38" s="4">
        <v>1.0</v>
      </c>
      <c r="C38" s="4">
        <v>0.0</v>
      </c>
      <c r="D38" s="4">
        <v>1995.0</v>
      </c>
      <c r="E38" s="4">
        <v>1.0</v>
      </c>
      <c r="F38" s="4">
        <v>0.3185529</v>
      </c>
      <c r="G38" s="4">
        <v>0.0640660716643489</v>
      </c>
    </row>
    <row r="39" ht="15.75" customHeight="1">
      <c r="A39" s="4">
        <v>0.0</v>
      </c>
      <c r="B39" s="4">
        <v>1.0</v>
      </c>
      <c r="C39" s="4">
        <v>0.0</v>
      </c>
      <c r="D39" s="4">
        <v>1996.0</v>
      </c>
      <c r="E39" s="4">
        <v>1.0</v>
      </c>
      <c r="F39" s="4">
        <v>0.17624439</v>
      </c>
      <c r="G39" s="4">
        <v>0.0550721017754189</v>
      </c>
    </row>
    <row r="40" ht="15.75" customHeight="1">
      <c r="A40" s="4">
        <v>0.0</v>
      </c>
      <c r="B40" s="4">
        <v>1.0</v>
      </c>
      <c r="C40" s="4">
        <v>0.0</v>
      </c>
      <c r="D40" s="4">
        <v>1997.0</v>
      </c>
      <c r="E40" s="4">
        <v>1.0</v>
      </c>
      <c r="F40" s="4">
        <v>0.26826762</v>
      </c>
      <c r="G40" s="4">
        <v>0.0754413059397758</v>
      </c>
    </row>
    <row r="41" ht="15.75" customHeight="1">
      <c r="A41" s="4">
        <v>0.0</v>
      </c>
      <c r="B41" s="4">
        <v>1.0</v>
      </c>
      <c r="C41" s="4">
        <v>0.0</v>
      </c>
      <c r="D41" s="4">
        <v>1998.0</v>
      </c>
      <c r="E41" s="4">
        <v>1.0</v>
      </c>
      <c r="F41" s="4">
        <v>0.26521261799999996</v>
      </c>
      <c r="G41" s="4">
        <v>0.0847274457734592</v>
      </c>
    </row>
    <row r="42" ht="15.75" customHeight="1">
      <c r="A42" s="4">
        <v>0.0</v>
      </c>
      <c r="B42" s="4">
        <v>1.0</v>
      </c>
      <c r="C42" s="4">
        <v>0.0</v>
      </c>
      <c r="D42" s="4">
        <v>1999.0</v>
      </c>
      <c r="E42" s="4">
        <v>1.0</v>
      </c>
      <c r="F42" s="4">
        <v>0.362586234</v>
      </c>
      <c r="G42" s="4">
        <v>0.051622558464541</v>
      </c>
    </row>
    <row r="43" ht="15.75" customHeight="1">
      <c r="A43" s="4">
        <v>0.0</v>
      </c>
      <c r="B43" s="4">
        <v>1.0</v>
      </c>
      <c r="C43" s="4">
        <v>0.0</v>
      </c>
      <c r="D43" s="4">
        <v>2000.0</v>
      </c>
      <c r="E43" s="4">
        <v>1.0</v>
      </c>
      <c r="F43" s="4">
        <v>0.367588172</v>
      </c>
      <c r="G43" s="4">
        <v>0.0609174503936438</v>
      </c>
    </row>
    <row r="44" ht="15.75" customHeight="1">
      <c r="A44" s="4">
        <v>0.0</v>
      </c>
      <c r="B44" s="4">
        <v>1.0</v>
      </c>
      <c r="C44" s="4">
        <v>0.0</v>
      </c>
      <c r="D44" s="4">
        <v>2001.0</v>
      </c>
      <c r="E44" s="4">
        <v>1.0</v>
      </c>
      <c r="F44" s="4">
        <v>0.342050247</v>
      </c>
      <c r="G44" s="4">
        <v>0.049260698216011</v>
      </c>
    </row>
    <row r="45" ht="15.75" customHeight="1">
      <c r="A45" s="4">
        <v>0.0</v>
      </c>
      <c r="B45" s="4">
        <v>1.0</v>
      </c>
      <c r="C45" s="4">
        <v>0.0</v>
      </c>
      <c r="D45" s="4">
        <v>2002.0</v>
      </c>
      <c r="E45" s="4">
        <v>1.0</v>
      </c>
      <c r="F45" s="4">
        <v>0.324425718</v>
      </c>
      <c r="G45" s="4">
        <v>0.04692457101352</v>
      </c>
    </row>
    <row r="46" ht="15.75" customHeight="1">
      <c r="A46" s="4">
        <v>0.0</v>
      </c>
      <c r="B46" s="4">
        <v>1.0</v>
      </c>
      <c r="C46" s="4">
        <v>0.0</v>
      </c>
      <c r="D46" s="4">
        <v>2003.0</v>
      </c>
      <c r="E46" s="4">
        <v>1.0</v>
      </c>
      <c r="F46" s="4">
        <v>0.31905019</v>
      </c>
      <c r="G46" s="4">
        <v>0.0483717631128143</v>
      </c>
    </row>
    <row r="47" ht="15.75" customHeight="1">
      <c r="A47" s="4">
        <v>0.0</v>
      </c>
      <c r="B47" s="4">
        <v>1.0</v>
      </c>
      <c r="C47" s="4">
        <v>0.0</v>
      </c>
      <c r="D47" s="4">
        <v>2004.0</v>
      </c>
      <c r="E47" s="4">
        <v>1.0</v>
      </c>
      <c r="F47" s="4">
        <v>0.338501889</v>
      </c>
      <c r="G47" s="4">
        <v>0.0570521169204081</v>
      </c>
    </row>
    <row r="48" ht="15.75" customHeight="1">
      <c r="A48" s="4">
        <v>0.0</v>
      </c>
      <c r="B48" s="4">
        <v>1.0</v>
      </c>
      <c r="C48" s="4">
        <v>0.0</v>
      </c>
      <c r="D48" s="4">
        <v>2005.0</v>
      </c>
      <c r="E48" s="4">
        <v>1.0</v>
      </c>
      <c r="F48" s="4">
        <v>0.27548533</v>
      </c>
      <c r="G48" s="4">
        <v>0.0478655433057407</v>
      </c>
    </row>
    <row r="49" ht="15.75" customHeight="1">
      <c r="A49" s="4">
        <v>0.0</v>
      </c>
      <c r="B49" s="4">
        <v>1.0</v>
      </c>
      <c r="C49" s="4">
        <v>0.0</v>
      </c>
      <c r="D49" s="4">
        <v>2006.0</v>
      </c>
      <c r="E49" s="4">
        <v>1.0</v>
      </c>
      <c r="F49" s="4">
        <v>0.32198900999999996</v>
      </c>
      <c r="G49" s="4">
        <v>0.042053375280585</v>
      </c>
    </row>
    <row r="50" ht="15.75" customHeight="1">
      <c r="A50" s="4">
        <v>0.0</v>
      </c>
      <c r="B50" s="4">
        <v>1.0</v>
      </c>
      <c r="C50" s="4">
        <v>0.0</v>
      </c>
      <c r="D50" s="4">
        <v>2007.0</v>
      </c>
      <c r="E50" s="4">
        <v>1.0</v>
      </c>
      <c r="F50" s="4">
        <v>0.303945824</v>
      </c>
      <c r="G50" s="4">
        <v>0.0429682318787008</v>
      </c>
    </row>
    <row r="51" ht="15.75" customHeight="1">
      <c r="A51" s="4">
        <v>0.0</v>
      </c>
      <c r="B51" s="4">
        <v>1.0</v>
      </c>
      <c r="C51" s="4">
        <v>0.0</v>
      </c>
      <c r="D51" s="4">
        <v>2008.0</v>
      </c>
      <c r="E51" s="4">
        <v>1.0</v>
      </c>
      <c r="F51" s="4">
        <v>0.3666211119999999</v>
      </c>
      <c r="G51" s="4">
        <v>0.0536263739247654</v>
      </c>
    </row>
    <row r="52" ht="15.75" customHeight="1">
      <c r="A52" s="4">
        <v>0.0</v>
      </c>
      <c r="B52" s="4">
        <v>1.0</v>
      </c>
      <c r="C52" s="4">
        <v>0.0</v>
      </c>
      <c r="D52" s="4">
        <v>2009.0</v>
      </c>
      <c r="E52" s="4">
        <v>1.0</v>
      </c>
      <c r="F52" s="4">
        <v>0.40565912699999995</v>
      </c>
      <c r="G52" s="4">
        <v>0.0663330487851062</v>
      </c>
    </row>
    <row r="53" ht="15.75" customHeight="1">
      <c r="A53" s="4">
        <v>0.0</v>
      </c>
      <c r="B53" s="4">
        <v>1.0</v>
      </c>
      <c r="C53" s="4">
        <v>0.0</v>
      </c>
      <c r="D53" s="4">
        <v>2010.0</v>
      </c>
      <c r="E53" s="4">
        <v>1.0</v>
      </c>
      <c r="F53" s="4">
        <v>0.46945982499999994</v>
      </c>
      <c r="G53" s="4">
        <v>0.0650993375497029</v>
      </c>
    </row>
    <row r="54" ht="15.75" customHeight="1">
      <c r="A54" s="4">
        <v>0.0</v>
      </c>
      <c r="B54" s="4">
        <v>1.0</v>
      </c>
      <c r="C54" s="4">
        <v>0.0</v>
      </c>
      <c r="D54" s="4">
        <v>2011.0</v>
      </c>
      <c r="E54" s="4">
        <v>1.0</v>
      </c>
      <c r="F54" s="4">
        <v>0.541814257</v>
      </c>
      <c r="G54" s="4">
        <v>0.0502528798174968</v>
      </c>
    </row>
    <row r="55" ht="15.75" customHeight="1">
      <c r="A55" s="4">
        <v>0.0</v>
      </c>
      <c r="B55" s="4">
        <v>1.0</v>
      </c>
      <c r="C55" s="4">
        <v>0.0</v>
      </c>
      <c r="D55" s="4">
        <v>2012.0</v>
      </c>
      <c r="E55" s="4">
        <v>1.0</v>
      </c>
      <c r="F55" s="4">
        <v>0.5731829489999999</v>
      </c>
      <c r="G55" s="4">
        <v>0.0434837041416491</v>
      </c>
    </row>
    <row r="56" ht="15.75" customHeight="1">
      <c r="A56" s="4">
        <v>0.0</v>
      </c>
      <c r="B56" s="4">
        <v>1.0</v>
      </c>
      <c r="C56" s="4">
        <v>0.0</v>
      </c>
      <c r="D56" s="4">
        <v>2013.0</v>
      </c>
      <c r="E56" s="4">
        <v>1.0</v>
      </c>
      <c r="F56" s="4">
        <v>0.5691688559999999</v>
      </c>
      <c r="G56" s="4">
        <v>0.0530151480309031</v>
      </c>
    </row>
    <row r="57" ht="15.75" customHeight="1">
      <c r="A57" s="4">
        <v>0.0</v>
      </c>
      <c r="B57" s="4">
        <v>1.0</v>
      </c>
      <c r="C57" s="4">
        <v>0.0</v>
      </c>
      <c r="D57" s="4">
        <v>2014.0</v>
      </c>
      <c r="E57" s="4">
        <v>1.0</v>
      </c>
      <c r="F57" s="4">
        <v>0.5641232849999999</v>
      </c>
      <c r="G57" s="4">
        <v>0.0492532947936361</v>
      </c>
    </row>
    <row r="58" ht="15.75" customHeight="1">
      <c r="A58" s="4">
        <v>0.0</v>
      </c>
      <c r="B58" s="4">
        <v>1.0</v>
      </c>
      <c r="C58" s="4">
        <v>0.0</v>
      </c>
      <c r="D58" s="4">
        <v>2015.0</v>
      </c>
      <c r="E58" s="4">
        <v>1.0</v>
      </c>
      <c r="F58" s="4">
        <v>0.7543307209999998</v>
      </c>
      <c r="G58" s="4">
        <v>0.0572898683694229</v>
      </c>
    </row>
    <row r="59" ht="15.75" customHeight="1">
      <c r="A59" s="4">
        <v>0.0</v>
      </c>
      <c r="B59" s="4">
        <v>1.0</v>
      </c>
      <c r="C59" s="4">
        <v>0.0</v>
      </c>
      <c r="D59" s="4">
        <v>2016.0</v>
      </c>
      <c r="E59" s="4">
        <v>1.0</v>
      </c>
      <c r="F59" s="4">
        <v>0.8475046319999999</v>
      </c>
      <c r="G59" s="4">
        <v>0.0486175669212778</v>
      </c>
    </row>
    <row r="60" ht="15.75" customHeight="1">
      <c r="A60" s="4">
        <v>0.0</v>
      </c>
      <c r="B60" s="4">
        <v>1.0</v>
      </c>
      <c r="C60" s="4">
        <v>0.0</v>
      </c>
      <c r="D60" s="4">
        <v>2017.0</v>
      </c>
      <c r="E60" s="4">
        <v>1.0</v>
      </c>
      <c r="F60" s="4">
        <v>0.8881063999999997</v>
      </c>
      <c r="G60" s="4">
        <v>0.0491641111423904</v>
      </c>
    </row>
    <row r="61" ht="15.75" customHeight="1">
      <c r="A61" s="4">
        <v>0.0</v>
      </c>
      <c r="B61" s="4">
        <v>1.0</v>
      </c>
      <c r="C61" s="4">
        <v>0.0</v>
      </c>
      <c r="D61" s="4">
        <v>2018.0</v>
      </c>
      <c r="E61" s="4">
        <v>1.0</v>
      </c>
      <c r="F61" s="4">
        <v>0.9606314999999997</v>
      </c>
      <c r="G61" s="4">
        <v>0.049327279438456</v>
      </c>
    </row>
    <row r="62" ht="15.75" customHeight="1">
      <c r="A62" s="4">
        <v>0.0</v>
      </c>
      <c r="B62" s="4">
        <v>1.0</v>
      </c>
      <c r="C62" s="4">
        <v>0.0</v>
      </c>
      <c r="D62" s="4">
        <v>2019.0</v>
      </c>
      <c r="E62" s="4">
        <v>1.0</v>
      </c>
      <c r="F62" s="4">
        <v>1.0720371999999998</v>
      </c>
      <c r="G62" s="4">
        <v>0.0481802610156121</v>
      </c>
    </row>
    <row r="63" ht="15.75" customHeight="1">
      <c r="A63" s="4">
        <v>0.0</v>
      </c>
      <c r="B63" s="4">
        <v>1.0</v>
      </c>
      <c r="C63" s="4">
        <v>0.0</v>
      </c>
      <c r="D63" s="4">
        <v>2020.0</v>
      </c>
      <c r="E63" s="4">
        <v>1.0</v>
      </c>
      <c r="F63" s="4">
        <v>1.1498861999999999</v>
      </c>
      <c r="G63" s="4">
        <v>0.0438936005944597</v>
      </c>
    </row>
    <row r="64" ht="15.75" customHeight="1">
      <c r="A64" s="4">
        <v>0.0</v>
      </c>
      <c r="B64" s="4">
        <v>1.0</v>
      </c>
      <c r="C64" s="4">
        <v>0.0</v>
      </c>
      <c r="D64" s="4">
        <v>2021.0</v>
      </c>
      <c r="E64" s="4">
        <v>1.0</v>
      </c>
      <c r="F64" s="4">
        <v>1.2459490999999998</v>
      </c>
      <c r="G64" s="4">
        <v>0.0455857161286435</v>
      </c>
    </row>
    <row r="65" ht="15.75" customHeight="1">
      <c r="A65" s="4">
        <v>0.0</v>
      </c>
      <c r="B65" s="4">
        <v>1.0</v>
      </c>
      <c r="C65" s="4">
        <v>0.0</v>
      </c>
      <c r="D65" s="4">
        <v>2022.0</v>
      </c>
      <c r="E65" s="4">
        <v>1.0</v>
      </c>
      <c r="F65" s="4">
        <v>1.2434739199999998</v>
      </c>
      <c r="G65" s="4">
        <v>0.0491204553166914</v>
      </c>
    </row>
    <row r="66" ht="15.75" customHeight="1">
      <c r="A66" s="4">
        <v>0.0</v>
      </c>
      <c r="B66" s="4">
        <v>1.0</v>
      </c>
      <c r="C66" s="4">
        <v>0.0</v>
      </c>
      <c r="D66" s="4">
        <v>2023.0</v>
      </c>
      <c r="E66" s="4">
        <v>1.0</v>
      </c>
      <c r="F66" s="4">
        <v>1.5280919999999996</v>
      </c>
      <c r="G66" s="4">
        <v>0.0413175111407288</v>
      </c>
    </row>
    <row r="67" ht="15.75" customHeight="1">
      <c r="A67" s="4">
        <v>0.0</v>
      </c>
      <c r="B67" s="4">
        <v>1.0</v>
      </c>
      <c r="C67" s="4">
        <v>0.0</v>
      </c>
      <c r="D67" s="4">
        <v>2024.0</v>
      </c>
      <c r="E67" s="4">
        <v>1.0</v>
      </c>
      <c r="F67" s="4">
        <v>1.5148764599999998</v>
      </c>
      <c r="G67" s="4">
        <v>0.0692245204711877</v>
      </c>
    </row>
    <row r="68" ht="15.75" customHeight="1">
      <c r="A68" s="4">
        <v>1.0</v>
      </c>
      <c r="B68" s="4">
        <v>4.0</v>
      </c>
      <c r="C68" s="4">
        <v>1.0</v>
      </c>
      <c r="D68" s="4">
        <v>1990.0</v>
      </c>
      <c r="E68" s="4">
        <v>1.0</v>
      </c>
      <c r="F68" s="4">
        <v>2.5863526599999993</v>
      </c>
      <c r="G68" s="4">
        <v>0.0509716385249375</v>
      </c>
    </row>
    <row r="69" ht="15.75" customHeight="1">
      <c r="A69" s="4">
        <v>1.0</v>
      </c>
      <c r="B69" s="4">
        <v>4.0</v>
      </c>
      <c r="C69" s="4">
        <v>1.0</v>
      </c>
      <c r="D69" s="4">
        <v>1991.0</v>
      </c>
      <c r="E69" s="4">
        <v>1.0</v>
      </c>
      <c r="F69" s="4">
        <v>2.330099099999999</v>
      </c>
      <c r="G69" s="4">
        <v>0.0468291423218569</v>
      </c>
    </row>
    <row r="70" ht="15.75" customHeight="1">
      <c r="A70" s="4">
        <v>1.0</v>
      </c>
      <c r="B70" s="4">
        <v>4.0</v>
      </c>
      <c r="C70" s="4">
        <v>1.0</v>
      </c>
      <c r="D70" s="4">
        <v>1992.0</v>
      </c>
      <c r="E70" s="4">
        <v>1.0</v>
      </c>
      <c r="F70" s="4">
        <v>2.6755684999999994</v>
      </c>
      <c r="G70" s="4">
        <v>0.0440837656757032</v>
      </c>
    </row>
    <row r="71" ht="15.75" customHeight="1">
      <c r="A71" s="4">
        <v>1.0</v>
      </c>
      <c r="B71" s="4">
        <v>4.0</v>
      </c>
      <c r="C71" s="4">
        <v>1.0</v>
      </c>
      <c r="D71" s="4">
        <v>1993.0</v>
      </c>
      <c r="E71" s="4">
        <v>1.0</v>
      </c>
      <c r="F71" s="4">
        <v>2.6851065199999993</v>
      </c>
      <c r="G71" s="4">
        <v>0.0636820039579947</v>
      </c>
    </row>
    <row r="72" ht="15.75" customHeight="1">
      <c r="A72" s="4">
        <v>1.0</v>
      </c>
      <c r="B72" s="4">
        <v>4.0</v>
      </c>
      <c r="C72" s="4">
        <v>1.0</v>
      </c>
      <c r="D72" s="4">
        <v>1994.0</v>
      </c>
      <c r="E72" s="4">
        <v>1.0</v>
      </c>
      <c r="F72" s="4">
        <v>2.707984169999999</v>
      </c>
      <c r="G72" s="4">
        <v>0.0531361912984748</v>
      </c>
    </row>
    <row r="73" ht="15.75" customHeight="1">
      <c r="A73" s="4">
        <v>1.0</v>
      </c>
      <c r="B73" s="4">
        <v>4.0</v>
      </c>
      <c r="C73" s="4">
        <v>1.0</v>
      </c>
      <c r="D73" s="4">
        <v>1995.0</v>
      </c>
      <c r="E73" s="4">
        <v>1.0</v>
      </c>
      <c r="F73" s="4">
        <v>2.4858087499999995</v>
      </c>
      <c r="G73" s="4">
        <v>0.0522677056527611</v>
      </c>
    </row>
    <row r="74" ht="15.75" customHeight="1">
      <c r="A74" s="4">
        <v>1.0</v>
      </c>
      <c r="B74" s="4">
        <v>4.0</v>
      </c>
      <c r="C74" s="4">
        <v>1.0</v>
      </c>
      <c r="D74" s="4">
        <v>1996.0</v>
      </c>
      <c r="E74" s="4">
        <v>1.0</v>
      </c>
      <c r="F74" s="4">
        <v>2.0940124199999994</v>
      </c>
      <c r="G74" s="4">
        <v>0.0566943343697824</v>
      </c>
    </row>
    <row r="75" ht="15.75" customHeight="1">
      <c r="A75" s="4">
        <v>1.0</v>
      </c>
      <c r="B75" s="4">
        <v>4.0</v>
      </c>
      <c r="C75" s="4">
        <v>1.0</v>
      </c>
      <c r="D75" s="4">
        <v>1997.0</v>
      </c>
      <c r="E75" s="4">
        <v>1.0</v>
      </c>
      <c r="F75" s="4">
        <v>2.1012087499999996</v>
      </c>
      <c r="G75" s="4">
        <v>0.0546047298498849</v>
      </c>
    </row>
    <row r="76" ht="15.75" customHeight="1">
      <c r="A76" s="4">
        <v>1.0</v>
      </c>
      <c r="B76" s="4">
        <v>4.0</v>
      </c>
      <c r="C76" s="4">
        <v>1.0</v>
      </c>
      <c r="D76" s="4">
        <v>1998.0</v>
      </c>
      <c r="E76" s="4">
        <v>1.0</v>
      </c>
      <c r="F76" s="4">
        <v>1.6579371599999997</v>
      </c>
      <c r="G76" s="4">
        <v>0.0407336031218839</v>
      </c>
    </row>
    <row r="77" ht="15.75" customHeight="1">
      <c r="A77" s="4">
        <v>1.0</v>
      </c>
      <c r="B77" s="4">
        <v>4.0</v>
      </c>
      <c r="C77" s="4">
        <v>1.0</v>
      </c>
      <c r="D77" s="4">
        <v>1999.0</v>
      </c>
      <c r="E77" s="4">
        <v>1.0</v>
      </c>
      <c r="F77" s="4">
        <v>1.4042379999999999</v>
      </c>
      <c r="G77" s="4">
        <v>0.0490918551079328</v>
      </c>
    </row>
    <row r="78" ht="15.75" customHeight="1">
      <c r="A78" s="4">
        <v>1.0</v>
      </c>
      <c r="B78" s="4">
        <v>4.0</v>
      </c>
      <c r="C78" s="4">
        <v>1.0</v>
      </c>
      <c r="D78" s="4">
        <v>2000.0</v>
      </c>
      <c r="E78" s="4">
        <v>1.0</v>
      </c>
      <c r="F78" s="4">
        <v>1.3406130399999998</v>
      </c>
      <c r="G78" s="4">
        <v>0.0553882067622394</v>
      </c>
    </row>
    <row r="79" ht="15.75" customHeight="1">
      <c r="A79" s="4">
        <v>1.0</v>
      </c>
      <c r="B79" s="4">
        <v>4.0</v>
      </c>
      <c r="C79" s="4">
        <v>1.0</v>
      </c>
      <c r="D79" s="4">
        <v>2001.0</v>
      </c>
      <c r="E79" s="4">
        <v>1.0</v>
      </c>
      <c r="F79" s="4">
        <v>1.1445126999999997</v>
      </c>
      <c r="G79" s="4">
        <v>0.0433113397015242</v>
      </c>
    </row>
    <row r="80" ht="15.75" customHeight="1">
      <c r="A80" s="4">
        <v>1.0</v>
      </c>
      <c r="B80" s="4">
        <v>4.0</v>
      </c>
      <c r="C80" s="4">
        <v>1.0</v>
      </c>
      <c r="D80" s="4">
        <v>2002.0</v>
      </c>
      <c r="E80" s="4">
        <v>1.0</v>
      </c>
      <c r="F80" s="4">
        <v>0.9239771199999998</v>
      </c>
      <c r="G80" s="4">
        <v>0.0469152588751877</v>
      </c>
    </row>
    <row r="81" ht="15.75" customHeight="1">
      <c r="A81" s="4">
        <v>1.0</v>
      </c>
      <c r="B81" s="4">
        <v>4.0</v>
      </c>
      <c r="C81" s="4">
        <v>1.0</v>
      </c>
      <c r="D81" s="4">
        <v>2003.0</v>
      </c>
      <c r="E81" s="4">
        <v>1.0</v>
      </c>
      <c r="F81" s="4">
        <v>0.8867248389999998</v>
      </c>
      <c r="G81" s="4">
        <v>0.0450530020606487</v>
      </c>
    </row>
    <row r="82" ht="15.75" customHeight="1">
      <c r="A82" s="4">
        <v>1.0</v>
      </c>
      <c r="B82" s="4">
        <v>4.0</v>
      </c>
      <c r="C82" s="4">
        <v>1.0</v>
      </c>
      <c r="D82" s="4">
        <v>2004.0</v>
      </c>
      <c r="E82" s="4">
        <v>1.0</v>
      </c>
      <c r="F82" s="4">
        <v>0.7580239519999997</v>
      </c>
      <c r="G82" s="4">
        <v>0.047432817149282</v>
      </c>
    </row>
    <row r="83" ht="15.75" customHeight="1">
      <c r="A83" s="4">
        <v>1.0</v>
      </c>
      <c r="B83" s="4">
        <v>4.0</v>
      </c>
      <c r="C83" s="4">
        <v>1.0</v>
      </c>
      <c r="D83" s="4">
        <v>2005.0</v>
      </c>
      <c r="E83" s="4">
        <v>1.0</v>
      </c>
      <c r="F83" s="4">
        <v>0.7381346719999998</v>
      </c>
      <c r="G83" s="4">
        <v>0.0446395684691018</v>
      </c>
    </row>
    <row r="84" ht="15.75" customHeight="1">
      <c r="A84" s="4">
        <v>1.0</v>
      </c>
      <c r="B84" s="4">
        <v>4.0</v>
      </c>
      <c r="C84" s="4">
        <v>1.0</v>
      </c>
      <c r="D84" s="4">
        <v>2006.0</v>
      </c>
      <c r="E84" s="4">
        <v>1.0</v>
      </c>
      <c r="F84" s="4">
        <v>0.7516166589999999</v>
      </c>
      <c r="G84" s="4">
        <v>0.0472456799273033</v>
      </c>
    </row>
    <row r="85" ht="15.75" customHeight="1">
      <c r="A85" s="4">
        <v>1.0</v>
      </c>
      <c r="B85" s="4">
        <v>4.0</v>
      </c>
      <c r="C85" s="4">
        <v>1.0</v>
      </c>
      <c r="D85" s="4">
        <v>2007.0</v>
      </c>
      <c r="E85" s="4">
        <v>1.0</v>
      </c>
      <c r="F85" s="4">
        <v>0.8478842299999998</v>
      </c>
      <c r="G85" s="4">
        <v>0.0422559896598414</v>
      </c>
    </row>
    <row r="86" ht="15.75" customHeight="1">
      <c r="A86" s="4">
        <v>1.0</v>
      </c>
      <c r="B86" s="4">
        <v>4.0</v>
      </c>
      <c r="C86" s="4">
        <v>1.0</v>
      </c>
      <c r="D86" s="4">
        <v>2008.0</v>
      </c>
      <c r="E86" s="4">
        <v>1.0</v>
      </c>
      <c r="F86" s="4">
        <v>0.7757302399999999</v>
      </c>
      <c r="G86" s="4">
        <v>0.0422226845904332</v>
      </c>
    </row>
    <row r="87" ht="15.75" customHeight="1">
      <c r="A87" s="4">
        <v>1.0</v>
      </c>
      <c r="B87" s="4">
        <v>4.0</v>
      </c>
      <c r="C87" s="4">
        <v>1.0</v>
      </c>
      <c r="D87" s="4">
        <v>2009.0</v>
      </c>
      <c r="E87" s="4">
        <v>1.0</v>
      </c>
      <c r="F87" s="4">
        <v>0.98482014</v>
      </c>
      <c r="G87" s="4">
        <v>0.0424230929812287</v>
      </c>
    </row>
    <row r="88" ht="15.75" customHeight="1">
      <c r="A88" s="4">
        <v>1.0</v>
      </c>
      <c r="B88" s="4">
        <v>4.0</v>
      </c>
      <c r="C88" s="4">
        <v>1.0</v>
      </c>
      <c r="D88" s="4">
        <v>2010.0</v>
      </c>
      <c r="E88" s="4">
        <v>1.0</v>
      </c>
      <c r="F88" s="4">
        <v>1.0471994799999997</v>
      </c>
      <c r="G88" s="4">
        <v>0.046342646171542</v>
      </c>
    </row>
    <row r="89" ht="15.75" customHeight="1">
      <c r="A89" s="4">
        <v>1.0</v>
      </c>
      <c r="B89" s="4">
        <v>4.0</v>
      </c>
      <c r="C89" s="4">
        <v>1.0</v>
      </c>
      <c r="D89" s="4">
        <v>2011.0</v>
      </c>
      <c r="E89" s="4">
        <v>1.0</v>
      </c>
      <c r="F89" s="4">
        <v>1.3315243199999998</v>
      </c>
      <c r="G89" s="4">
        <v>0.0400826392954616</v>
      </c>
    </row>
    <row r="90" ht="15.75" customHeight="1">
      <c r="A90" s="4">
        <v>1.0</v>
      </c>
      <c r="B90" s="4">
        <v>4.0</v>
      </c>
      <c r="C90" s="4">
        <v>1.0</v>
      </c>
      <c r="D90" s="4">
        <v>2012.0</v>
      </c>
      <c r="E90" s="4">
        <v>1.0</v>
      </c>
      <c r="F90" s="4">
        <v>1.3205639999999996</v>
      </c>
      <c r="G90" s="4">
        <v>0.0418647352619831</v>
      </c>
    </row>
    <row r="91" ht="15.75" customHeight="1">
      <c r="A91" s="4">
        <v>1.0</v>
      </c>
      <c r="B91" s="4">
        <v>4.0</v>
      </c>
      <c r="C91" s="4">
        <v>1.0</v>
      </c>
      <c r="D91" s="4">
        <v>2013.0</v>
      </c>
      <c r="E91" s="4">
        <v>1.0</v>
      </c>
      <c r="F91" s="4">
        <v>1.2856758299999997</v>
      </c>
      <c r="G91" s="4">
        <v>0.169714126691766</v>
      </c>
    </row>
    <row r="92" ht="15.75" customHeight="1">
      <c r="A92" s="4">
        <v>1.0</v>
      </c>
      <c r="B92" s="4">
        <v>4.0</v>
      </c>
      <c r="C92" s="4">
        <v>1.0</v>
      </c>
      <c r="D92" s="4">
        <v>2014.0</v>
      </c>
      <c r="E92" s="4">
        <v>1.0</v>
      </c>
      <c r="F92" s="4">
        <v>1.4468479999999997</v>
      </c>
      <c r="G92" s="4">
        <v>0.0953697204576466</v>
      </c>
    </row>
    <row r="93" ht="15.75" customHeight="1">
      <c r="A93" s="4">
        <v>1.0</v>
      </c>
      <c r="B93" s="4">
        <v>4.0</v>
      </c>
      <c r="C93" s="4">
        <v>1.0</v>
      </c>
      <c r="D93" s="4">
        <v>2015.0</v>
      </c>
      <c r="E93" s="4">
        <v>1.0</v>
      </c>
      <c r="F93" s="4">
        <v>1.7736409899999996</v>
      </c>
      <c r="G93" s="4">
        <v>0.0770951797390253</v>
      </c>
    </row>
    <row r="94" ht="15.75" customHeight="1">
      <c r="A94" s="4">
        <v>1.0</v>
      </c>
      <c r="B94" s="4">
        <v>4.0</v>
      </c>
      <c r="C94" s="4">
        <v>1.0</v>
      </c>
      <c r="D94" s="4">
        <v>2016.0</v>
      </c>
      <c r="E94" s="4">
        <v>1.0</v>
      </c>
      <c r="F94" s="4">
        <v>1.7601738999999996</v>
      </c>
      <c r="G94" s="4">
        <v>0.0804185069299166</v>
      </c>
    </row>
    <row r="95" ht="15.75" customHeight="1">
      <c r="A95" s="4">
        <v>1.0</v>
      </c>
      <c r="B95" s="4">
        <v>4.0</v>
      </c>
      <c r="C95" s="4">
        <v>1.0</v>
      </c>
      <c r="D95" s="4">
        <v>2017.0</v>
      </c>
      <c r="E95" s="4">
        <v>1.0</v>
      </c>
      <c r="F95" s="4">
        <v>1.7677804499999994</v>
      </c>
      <c r="G95" s="4">
        <v>0.0706988530267026</v>
      </c>
    </row>
    <row r="96" ht="15.75" customHeight="1">
      <c r="A96" s="4">
        <v>1.0</v>
      </c>
      <c r="B96" s="4">
        <v>4.0</v>
      </c>
      <c r="C96" s="4">
        <v>1.0</v>
      </c>
      <c r="D96" s="4">
        <v>2018.0</v>
      </c>
      <c r="E96" s="4">
        <v>1.0</v>
      </c>
      <c r="F96" s="4">
        <v>2.0124595399999996</v>
      </c>
      <c r="G96" s="4">
        <v>0.075854203075401</v>
      </c>
    </row>
    <row r="97" ht="15.75" customHeight="1">
      <c r="A97" s="4">
        <v>1.0</v>
      </c>
      <c r="B97" s="4">
        <v>4.0</v>
      </c>
      <c r="C97" s="4">
        <v>1.0</v>
      </c>
      <c r="D97" s="4">
        <v>2019.0</v>
      </c>
      <c r="E97" s="4">
        <v>1.0</v>
      </c>
      <c r="F97" s="4">
        <v>2.12176062</v>
      </c>
      <c r="G97" s="4">
        <v>0.0522232481970178</v>
      </c>
    </row>
    <row r="98" ht="15.75" customHeight="1">
      <c r="A98" s="4">
        <v>1.0</v>
      </c>
      <c r="B98" s="4">
        <v>4.0</v>
      </c>
      <c r="C98" s="4">
        <v>1.0</v>
      </c>
      <c r="D98" s="4">
        <v>2020.0</v>
      </c>
      <c r="E98" s="4">
        <v>1.0</v>
      </c>
      <c r="F98" s="4">
        <v>1.9058072</v>
      </c>
      <c r="G98" s="4">
        <v>0.0545058242829377</v>
      </c>
    </row>
    <row r="99" ht="15.75" customHeight="1">
      <c r="A99" s="4">
        <v>1.0</v>
      </c>
      <c r="B99" s="4">
        <v>4.0</v>
      </c>
      <c r="C99" s="4">
        <v>1.0</v>
      </c>
      <c r="D99" s="4">
        <v>2021.0</v>
      </c>
      <c r="E99" s="4">
        <v>1.0</v>
      </c>
      <c r="F99" s="4">
        <v>1.93109962</v>
      </c>
      <c r="G99" s="4">
        <v>0.0552840150613128</v>
      </c>
    </row>
    <row r="100" ht="15.75" customHeight="1">
      <c r="A100" s="4">
        <v>1.0</v>
      </c>
      <c r="B100" s="4">
        <v>4.0</v>
      </c>
      <c r="C100" s="4">
        <v>1.0</v>
      </c>
      <c r="D100" s="4">
        <v>2022.0</v>
      </c>
      <c r="E100" s="4">
        <v>1.0</v>
      </c>
      <c r="F100" s="4">
        <v>2.27715466</v>
      </c>
      <c r="G100" s="4">
        <v>0.0605934627000266</v>
      </c>
    </row>
    <row r="101" ht="15.75" customHeight="1">
      <c r="A101" s="4">
        <v>1.0</v>
      </c>
      <c r="B101" s="4">
        <v>4.0</v>
      </c>
      <c r="C101" s="4">
        <v>1.0</v>
      </c>
      <c r="D101" s="4">
        <v>2023.0</v>
      </c>
      <c r="E101" s="4">
        <v>1.0</v>
      </c>
      <c r="F101" s="4">
        <v>2.62216305</v>
      </c>
      <c r="G101" s="4">
        <v>0.0814602547590405</v>
      </c>
    </row>
    <row r="102" ht="15.75" customHeight="1">
      <c r="A102" s="4">
        <v>1.0</v>
      </c>
      <c r="B102" s="4">
        <v>4.0</v>
      </c>
      <c r="C102" s="4">
        <v>1.0</v>
      </c>
      <c r="D102" s="4">
        <v>2024.0</v>
      </c>
      <c r="E102" s="4">
        <v>1.0</v>
      </c>
      <c r="F102" s="4">
        <v>3.008589</v>
      </c>
      <c r="G102" s="4">
        <v>0.0467399040350661</v>
      </c>
    </row>
    <row r="103" ht="15.75" customHeight="1">
      <c r="A103" s="4">
        <v>2.0</v>
      </c>
      <c r="B103" s="4">
        <v>4.0</v>
      </c>
      <c r="C103" s="4">
        <v>2.0</v>
      </c>
      <c r="D103" s="4">
        <v>1990.0</v>
      </c>
      <c r="E103" s="4">
        <v>1.0</v>
      </c>
      <c r="F103" s="4">
        <v>3.7906586399999997</v>
      </c>
      <c r="G103" s="4">
        <v>0.046918473162275</v>
      </c>
    </row>
    <row r="104" ht="15.75" customHeight="1">
      <c r="A104" s="4">
        <v>2.0</v>
      </c>
      <c r="B104" s="4">
        <v>4.0</v>
      </c>
      <c r="C104" s="4">
        <v>2.0</v>
      </c>
      <c r="D104" s="4">
        <v>1991.0</v>
      </c>
      <c r="E104" s="4">
        <v>1.0</v>
      </c>
      <c r="F104" s="4">
        <v>3.9221775</v>
      </c>
      <c r="G104" s="4">
        <v>0.0564068660903298</v>
      </c>
    </row>
    <row r="105" ht="15.75" customHeight="1">
      <c r="A105" s="4">
        <v>2.0</v>
      </c>
      <c r="B105" s="4">
        <v>4.0</v>
      </c>
      <c r="C105" s="4">
        <v>2.0</v>
      </c>
      <c r="D105" s="4">
        <v>1992.0</v>
      </c>
      <c r="E105" s="4">
        <v>1.0</v>
      </c>
      <c r="F105" s="4">
        <v>3.7947658000000004</v>
      </c>
      <c r="G105" s="4">
        <v>0.0424867801737535</v>
      </c>
    </row>
    <row r="106" ht="15.75" customHeight="1">
      <c r="A106" s="4">
        <v>2.0</v>
      </c>
      <c r="B106" s="4">
        <v>4.0</v>
      </c>
      <c r="C106" s="4">
        <v>2.0</v>
      </c>
      <c r="D106" s="4">
        <v>1993.0</v>
      </c>
      <c r="E106" s="4">
        <v>1.0</v>
      </c>
      <c r="F106" s="4">
        <v>3.40204995</v>
      </c>
      <c r="G106" s="4">
        <v>0.052002786071756</v>
      </c>
    </row>
    <row r="107" ht="15.75" customHeight="1">
      <c r="A107" s="4">
        <v>2.0</v>
      </c>
      <c r="B107" s="4">
        <v>4.0</v>
      </c>
      <c r="C107" s="4">
        <v>2.0</v>
      </c>
      <c r="D107" s="4">
        <v>1994.0</v>
      </c>
      <c r="E107" s="4">
        <v>1.0</v>
      </c>
      <c r="F107" s="4">
        <v>2.9149517400000007</v>
      </c>
      <c r="G107" s="4">
        <v>0.041096620155228</v>
      </c>
    </row>
    <row r="108" ht="15.75" customHeight="1">
      <c r="A108" s="4">
        <v>2.0</v>
      </c>
      <c r="B108" s="4">
        <v>4.0</v>
      </c>
      <c r="C108" s="4">
        <v>2.0</v>
      </c>
      <c r="D108" s="4">
        <v>1995.0</v>
      </c>
      <c r="E108" s="4">
        <v>1.0</v>
      </c>
      <c r="F108" s="4">
        <v>2.3460600100000004</v>
      </c>
      <c r="G108" s="4">
        <v>0.0517666179520541</v>
      </c>
    </row>
    <row r="109" ht="15.75" customHeight="1">
      <c r="A109" s="4">
        <v>2.0</v>
      </c>
      <c r="B109" s="4">
        <v>4.0</v>
      </c>
      <c r="C109" s="4">
        <v>2.0</v>
      </c>
      <c r="D109" s="4">
        <v>1996.0</v>
      </c>
      <c r="E109" s="4">
        <v>1.0</v>
      </c>
      <c r="F109" s="4">
        <v>2.4243360400000005</v>
      </c>
      <c r="G109" s="4">
        <v>0.0604305321140506</v>
      </c>
    </row>
    <row r="110" ht="15.75" customHeight="1">
      <c r="A110" s="4">
        <v>2.0</v>
      </c>
      <c r="B110" s="4">
        <v>4.0</v>
      </c>
      <c r="C110" s="4">
        <v>2.0</v>
      </c>
      <c r="D110" s="4">
        <v>1997.0</v>
      </c>
      <c r="E110" s="4">
        <v>1.0</v>
      </c>
      <c r="F110" s="4">
        <v>1.8894960000000003</v>
      </c>
      <c r="G110" s="4">
        <v>0.042209277886193</v>
      </c>
    </row>
    <row r="111" ht="15.75" customHeight="1">
      <c r="A111" s="4">
        <v>2.0</v>
      </c>
      <c r="B111" s="4">
        <v>4.0</v>
      </c>
      <c r="C111" s="4">
        <v>2.0</v>
      </c>
      <c r="D111" s="4">
        <v>1998.0</v>
      </c>
      <c r="E111" s="4">
        <v>1.0</v>
      </c>
      <c r="F111" s="4">
        <v>1.7933954500000002</v>
      </c>
      <c r="G111" s="4">
        <v>0.0475711950850313</v>
      </c>
    </row>
    <row r="112" ht="15.75" customHeight="1">
      <c r="A112" s="4">
        <v>2.0</v>
      </c>
      <c r="B112" s="4">
        <v>4.0</v>
      </c>
      <c r="C112" s="4">
        <v>2.0</v>
      </c>
      <c r="D112" s="4">
        <v>1999.0</v>
      </c>
      <c r="E112" s="4">
        <v>1.0</v>
      </c>
      <c r="F112" s="4">
        <v>1.7833081800000004</v>
      </c>
      <c r="G112" s="4">
        <v>0.050189103152308</v>
      </c>
    </row>
    <row r="113" ht="15.75" customHeight="1">
      <c r="A113" s="4">
        <v>2.0</v>
      </c>
      <c r="B113" s="4">
        <v>4.0</v>
      </c>
      <c r="C113" s="4">
        <v>2.0</v>
      </c>
      <c r="D113" s="4">
        <v>2000.0</v>
      </c>
      <c r="E113" s="4">
        <v>1.0</v>
      </c>
      <c r="F113" s="4">
        <v>1.7872095000000003</v>
      </c>
      <c r="G113" s="4">
        <v>0.052407393249629</v>
      </c>
    </row>
    <row r="114" ht="15.75" customHeight="1">
      <c r="A114" s="4">
        <v>2.0</v>
      </c>
      <c r="B114" s="4">
        <v>4.0</v>
      </c>
      <c r="C114" s="4">
        <v>2.0</v>
      </c>
      <c r="D114" s="4">
        <v>2001.0</v>
      </c>
      <c r="E114" s="4">
        <v>1.0</v>
      </c>
      <c r="F114" s="4">
        <v>1.6214037300000004</v>
      </c>
      <c r="G114" s="4">
        <v>0.0608411842605853</v>
      </c>
    </row>
    <row r="115" ht="15.75" customHeight="1">
      <c r="A115" s="4">
        <v>2.0</v>
      </c>
      <c r="B115" s="4">
        <v>4.0</v>
      </c>
      <c r="C115" s="4">
        <v>2.0</v>
      </c>
      <c r="D115" s="4">
        <v>2002.0</v>
      </c>
      <c r="E115" s="4">
        <v>1.0</v>
      </c>
      <c r="F115" s="4">
        <v>1.4882458830000003</v>
      </c>
      <c r="G115" s="4">
        <v>0.0549035162975524</v>
      </c>
    </row>
    <row r="116" ht="15.75" customHeight="1">
      <c r="A116" s="4">
        <v>2.0</v>
      </c>
      <c r="B116" s="4">
        <v>4.0</v>
      </c>
      <c r="C116" s="4">
        <v>2.0</v>
      </c>
      <c r="D116" s="4">
        <v>2003.0</v>
      </c>
      <c r="E116" s="4">
        <v>1.0</v>
      </c>
      <c r="F116" s="4">
        <v>1.2844075920000002</v>
      </c>
      <c r="G116" s="4">
        <v>0.0495946879368423</v>
      </c>
    </row>
    <row r="117" ht="15.75" customHeight="1">
      <c r="A117" s="4">
        <v>2.0</v>
      </c>
      <c r="B117" s="4">
        <v>4.0</v>
      </c>
      <c r="C117" s="4">
        <v>2.0</v>
      </c>
      <c r="D117" s="4">
        <v>2004.0</v>
      </c>
      <c r="E117" s="4">
        <v>1.0</v>
      </c>
      <c r="F117" s="4">
        <v>1.1338968610000002</v>
      </c>
      <c r="G117" s="4">
        <v>0.0880682156786852</v>
      </c>
    </row>
    <row r="118" ht="15.75" customHeight="1">
      <c r="A118" s="4">
        <v>2.0</v>
      </c>
      <c r="B118" s="4">
        <v>4.0</v>
      </c>
      <c r="C118" s="4">
        <v>2.0</v>
      </c>
      <c r="D118" s="4">
        <v>2005.0</v>
      </c>
      <c r="E118" s="4">
        <v>1.0</v>
      </c>
      <c r="F118" s="4">
        <v>1.1676218400000002</v>
      </c>
      <c r="G118" s="4">
        <v>0.0502500079944561</v>
      </c>
    </row>
    <row r="119" ht="15.75" customHeight="1">
      <c r="A119" s="4">
        <v>2.0</v>
      </c>
      <c r="B119" s="4">
        <v>4.0</v>
      </c>
      <c r="C119" s="4">
        <v>2.0</v>
      </c>
      <c r="D119" s="4">
        <v>2006.0</v>
      </c>
      <c r="E119" s="4">
        <v>1.0</v>
      </c>
      <c r="F119" s="4">
        <v>1.1161994220000002</v>
      </c>
      <c r="G119" s="4">
        <v>0.0337116936915441</v>
      </c>
    </row>
    <row r="120" ht="15.75" customHeight="1">
      <c r="A120" s="4">
        <v>2.0</v>
      </c>
      <c r="B120" s="4">
        <v>4.0</v>
      </c>
      <c r="C120" s="4">
        <v>2.0</v>
      </c>
      <c r="D120" s="4">
        <v>2007.0</v>
      </c>
      <c r="E120" s="4">
        <v>1.0</v>
      </c>
      <c r="F120" s="4">
        <v>1.118457072</v>
      </c>
      <c r="G120" s="4">
        <v>0.0665130195556936</v>
      </c>
    </row>
    <row r="121" ht="15.75" customHeight="1">
      <c r="A121" s="4">
        <v>2.0</v>
      </c>
      <c r="B121" s="4">
        <v>4.0</v>
      </c>
      <c r="C121" s="4">
        <v>2.0</v>
      </c>
      <c r="D121" s="4">
        <v>2008.0</v>
      </c>
      <c r="E121" s="4">
        <v>1.0</v>
      </c>
      <c r="F121" s="4">
        <v>1.2847554360000002</v>
      </c>
      <c r="G121" s="4">
        <v>0.0699833632861637</v>
      </c>
    </row>
    <row r="122" ht="15.75" customHeight="1">
      <c r="A122" s="4">
        <v>2.0</v>
      </c>
      <c r="B122" s="4">
        <v>4.0</v>
      </c>
      <c r="C122" s="4">
        <v>2.0</v>
      </c>
      <c r="D122" s="4">
        <v>2009.0</v>
      </c>
      <c r="E122" s="4">
        <v>1.0</v>
      </c>
      <c r="F122" s="4">
        <v>1.4837388320000002</v>
      </c>
      <c r="G122" s="4">
        <v>0.0790644987200307</v>
      </c>
    </row>
    <row r="123" ht="15.75" customHeight="1">
      <c r="A123" s="4">
        <v>2.0</v>
      </c>
      <c r="B123" s="4">
        <v>4.0</v>
      </c>
      <c r="C123" s="4">
        <v>2.0</v>
      </c>
      <c r="D123" s="4">
        <v>2010.0</v>
      </c>
      <c r="E123" s="4">
        <v>1.0</v>
      </c>
      <c r="F123" s="4">
        <v>1.6550883440000004</v>
      </c>
      <c r="G123" s="4">
        <v>0.0620882147164298</v>
      </c>
    </row>
    <row r="124" ht="15.75" customHeight="1">
      <c r="A124" s="4">
        <v>2.0</v>
      </c>
      <c r="B124" s="4">
        <v>4.0</v>
      </c>
      <c r="C124" s="4">
        <v>2.0</v>
      </c>
      <c r="D124" s="4">
        <v>2011.0</v>
      </c>
      <c r="E124" s="4">
        <v>1.0</v>
      </c>
      <c r="F124" s="4">
        <v>1.8617709670000004</v>
      </c>
      <c r="G124" s="4">
        <v>0.0438422407209289</v>
      </c>
    </row>
    <row r="125" ht="15.75" customHeight="1">
      <c r="A125" s="4">
        <v>2.0</v>
      </c>
      <c r="B125" s="4">
        <v>4.0</v>
      </c>
      <c r="C125" s="4">
        <v>2.0</v>
      </c>
      <c r="D125" s="4">
        <v>2012.0</v>
      </c>
      <c r="E125" s="4">
        <v>1.0</v>
      </c>
      <c r="F125" s="4">
        <v>1.9069293000000003</v>
      </c>
      <c r="G125" s="4">
        <v>0.0563134377052579</v>
      </c>
    </row>
    <row r="126" ht="15.75" customHeight="1">
      <c r="A126" s="4">
        <v>2.0</v>
      </c>
      <c r="B126" s="4">
        <v>4.0</v>
      </c>
      <c r="C126" s="4">
        <v>2.0</v>
      </c>
      <c r="D126" s="4">
        <v>2013.0</v>
      </c>
      <c r="E126" s="4">
        <v>1.0</v>
      </c>
      <c r="F126" s="4">
        <v>1.9969332000000004</v>
      </c>
      <c r="G126" s="4">
        <v>0.0333396896877381</v>
      </c>
    </row>
    <row r="127" ht="15.75" customHeight="1">
      <c r="A127" s="4">
        <v>2.0</v>
      </c>
      <c r="B127" s="4">
        <v>4.0</v>
      </c>
      <c r="C127" s="4">
        <v>2.0</v>
      </c>
      <c r="D127" s="4">
        <v>2014.0</v>
      </c>
      <c r="E127" s="4">
        <v>1.0</v>
      </c>
      <c r="F127" s="4">
        <v>2.2313577</v>
      </c>
      <c r="G127" s="4">
        <v>0.043303235598535</v>
      </c>
    </row>
    <row r="128" ht="15.75" customHeight="1">
      <c r="A128" s="4">
        <v>2.0</v>
      </c>
      <c r="B128" s="4">
        <v>4.0</v>
      </c>
      <c r="C128" s="4">
        <v>2.0</v>
      </c>
      <c r="D128" s="4">
        <v>2015.0</v>
      </c>
      <c r="E128" s="4">
        <v>1.0</v>
      </c>
      <c r="F128" s="4">
        <v>2.4453840000000002</v>
      </c>
      <c r="G128" s="4">
        <v>0.0399607547695685</v>
      </c>
    </row>
    <row r="129" ht="15.75" customHeight="1">
      <c r="A129" s="4">
        <v>2.0</v>
      </c>
      <c r="B129" s="4">
        <v>4.0</v>
      </c>
      <c r="C129" s="4">
        <v>2.0</v>
      </c>
      <c r="D129" s="4">
        <v>2016.0</v>
      </c>
      <c r="E129" s="4">
        <v>1.0</v>
      </c>
      <c r="F129" s="4">
        <v>2.827226740000001</v>
      </c>
      <c r="G129" s="4">
        <v>0.0358026228513388</v>
      </c>
    </row>
    <row r="130" ht="15.75" customHeight="1">
      <c r="A130" s="4">
        <v>2.0</v>
      </c>
      <c r="B130" s="4">
        <v>4.0</v>
      </c>
      <c r="C130" s="4">
        <v>2.0</v>
      </c>
      <c r="D130" s="4">
        <v>2017.0</v>
      </c>
      <c r="E130" s="4">
        <v>1.0</v>
      </c>
      <c r="F130" s="4">
        <v>3.0989074800000007</v>
      </c>
      <c r="G130" s="4">
        <v>0.036764674782381</v>
      </c>
    </row>
    <row r="131" ht="15.75" customHeight="1">
      <c r="A131" s="4">
        <v>2.0</v>
      </c>
      <c r="B131" s="4">
        <v>4.0</v>
      </c>
      <c r="C131" s="4">
        <v>2.0</v>
      </c>
      <c r="D131" s="4">
        <v>2018.0</v>
      </c>
      <c r="E131" s="4">
        <v>1.0</v>
      </c>
      <c r="F131" s="4">
        <v>3.3626257100000005</v>
      </c>
      <c r="G131" s="4">
        <v>0.0544692265902818</v>
      </c>
    </row>
    <row r="132" ht="15.75" customHeight="1">
      <c r="A132" s="4">
        <v>2.0</v>
      </c>
      <c r="B132" s="4">
        <v>4.0</v>
      </c>
      <c r="C132" s="4">
        <v>2.0</v>
      </c>
      <c r="D132" s="4">
        <v>2019.0</v>
      </c>
      <c r="E132" s="4">
        <v>1.0</v>
      </c>
      <c r="F132" s="4">
        <v>3.557301270000001</v>
      </c>
      <c r="G132" s="4">
        <v>0.0338700247250591</v>
      </c>
    </row>
    <row r="133" ht="15.75" customHeight="1">
      <c r="A133" s="4">
        <v>2.0</v>
      </c>
      <c r="B133" s="4">
        <v>4.0</v>
      </c>
      <c r="C133" s="4">
        <v>2.0</v>
      </c>
      <c r="D133" s="4">
        <v>2020.0</v>
      </c>
      <c r="E133" s="4">
        <v>1.0</v>
      </c>
      <c r="F133" s="4">
        <v>3.5575076800000005</v>
      </c>
      <c r="G133" s="4">
        <v>0.0625678922387576</v>
      </c>
    </row>
    <row r="134" ht="15.75" customHeight="1">
      <c r="A134" s="4">
        <v>2.0</v>
      </c>
      <c r="B134" s="4">
        <v>4.0</v>
      </c>
      <c r="C134" s="4">
        <v>2.0</v>
      </c>
      <c r="D134" s="4">
        <v>2021.0</v>
      </c>
      <c r="E134" s="4">
        <v>1.0</v>
      </c>
      <c r="F134" s="4">
        <v>3.772852860000001</v>
      </c>
      <c r="G134" s="4">
        <v>0.0599547434482108</v>
      </c>
    </row>
    <row r="135" ht="15.75" customHeight="1">
      <c r="A135" s="4">
        <v>2.0</v>
      </c>
      <c r="B135" s="4">
        <v>4.0</v>
      </c>
      <c r="C135" s="4">
        <v>2.0</v>
      </c>
      <c r="D135" s="4">
        <v>2022.0</v>
      </c>
      <c r="E135" s="4">
        <v>1.0</v>
      </c>
      <c r="F135" s="4">
        <v>4.2755107200000015</v>
      </c>
      <c r="G135" s="4">
        <v>0.0479301780461776</v>
      </c>
    </row>
    <row r="136" ht="15.75" customHeight="1">
      <c r="A136" s="4">
        <v>2.0</v>
      </c>
      <c r="B136" s="4">
        <v>4.0</v>
      </c>
      <c r="C136" s="4">
        <v>2.0</v>
      </c>
      <c r="D136" s="4">
        <v>2023.0</v>
      </c>
      <c r="E136" s="4">
        <v>1.0</v>
      </c>
      <c r="F136" s="4">
        <v>4.599672150000001</v>
      </c>
      <c r="G136" s="4">
        <v>0.0869794911179952</v>
      </c>
    </row>
    <row r="137" ht="15.75" customHeight="1">
      <c r="A137" s="4">
        <v>2.0</v>
      </c>
      <c r="B137" s="4">
        <v>4.0</v>
      </c>
      <c r="C137" s="4">
        <v>2.0</v>
      </c>
      <c r="D137" s="4">
        <v>2024.0</v>
      </c>
      <c r="E137" s="4">
        <v>1.0</v>
      </c>
      <c r="F137" s="4">
        <v>4.958255280000001</v>
      </c>
      <c r="G137" s="4">
        <v>0.0421482639314121</v>
      </c>
    </row>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66" width="11.43"/>
  </cols>
  <sheetData>
    <row r="1" ht="22.5" customHeight="1">
      <c r="A1" s="1" t="s">
        <v>232</v>
      </c>
      <c r="B1" s="2"/>
      <c r="C1" s="2"/>
      <c r="D1" s="2"/>
      <c r="E1" s="2"/>
      <c r="F1" s="2"/>
      <c r="G1" s="2"/>
      <c r="H1" s="2"/>
      <c r="I1" s="2"/>
      <c r="J1" s="2"/>
      <c r="K1" s="2"/>
      <c r="L1" s="2"/>
      <c r="M1" s="2"/>
      <c r="N1" s="2"/>
      <c r="O1" s="2"/>
      <c r="P1" s="2"/>
      <c r="Q1" s="2"/>
      <c r="R1" s="2"/>
      <c r="S1" s="2"/>
      <c r="T1" s="2"/>
      <c r="U1" s="3"/>
    </row>
    <row r="2">
      <c r="A2" s="12" t="s">
        <v>227</v>
      </c>
      <c r="B2" s="5" t="s">
        <v>207</v>
      </c>
      <c r="C2" s="5" t="s">
        <v>202</v>
      </c>
      <c r="D2" s="5" t="s">
        <v>209</v>
      </c>
      <c r="E2" s="5" t="s">
        <v>233</v>
      </c>
      <c r="F2" s="5" t="s">
        <v>234</v>
      </c>
      <c r="G2" s="5" t="s">
        <v>235</v>
      </c>
      <c r="H2" s="5" t="s">
        <v>236</v>
      </c>
      <c r="I2" s="5" t="s">
        <v>237</v>
      </c>
      <c r="J2" s="5" t="s">
        <v>238</v>
      </c>
      <c r="K2" s="5" t="s">
        <v>239</v>
      </c>
      <c r="L2" s="5" t="s">
        <v>240</v>
      </c>
      <c r="M2" s="5" t="s">
        <v>241</v>
      </c>
      <c r="N2" s="5" t="s">
        <v>242</v>
      </c>
      <c r="O2" s="5" t="s">
        <v>243</v>
      </c>
      <c r="P2" s="5" t="s">
        <v>244</v>
      </c>
      <c r="Q2" s="5" t="s">
        <v>245</v>
      </c>
      <c r="R2" s="5" t="s">
        <v>246</v>
      </c>
      <c r="S2" s="5" t="s">
        <v>247</v>
      </c>
      <c r="T2" s="5" t="s">
        <v>248</v>
      </c>
      <c r="U2" s="5" t="s">
        <v>249</v>
      </c>
      <c r="V2" s="5" t="s">
        <v>250</v>
      </c>
      <c r="W2" s="5" t="s">
        <v>251</v>
      </c>
      <c r="X2" s="5" t="s">
        <v>252</v>
      </c>
      <c r="Y2" s="5" t="s">
        <v>253</v>
      </c>
      <c r="Z2" s="5" t="s">
        <v>254</v>
      </c>
      <c r="AA2" s="5" t="s">
        <v>255</v>
      </c>
      <c r="AB2" s="5" t="s">
        <v>256</v>
      </c>
      <c r="AC2" s="5" t="s">
        <v>257</v>
      </c>
      <c r="AD2" s="5" t="s">
        <v>258</v>
      </c>
      <c r="AE2" s="5" t="s">
        <v>259</v>
      </c>
      <c r="AF2" s="5" t="s">
        <v>260</v>
      </c>
      <c r="AG2" s="5" t="s">
        <v>261</v>
      </c>
      <c r="AH2" s="5" t="s">
        <v>262</v>
      </c>
      <c r="AI2" s="5" t="s">
        <v>263</v>
      </c>
      <c r="AJ2" s="5" t="s">
        <v>264</v>
      </c>
      <c r="AK2" s="5" t="s">
        <v>265</v>
      </c>
      <c r="AL2" s="5" t="s">
        <v>266</v>
      </c>
      <c r="AM2" s="5" t="s">
        <v>267</v>
      </c>
      <c r="AN2" s="5" t="s">
        <v>268</v>
      </c>
      <c r="AO2" s="5" t="s">
        <v>269</v>
      </c>
      <c r="AP2" s="5" t="s">
        <v>270</v>
      </c>
      <c r="AQ2" s="5" t="s">
        <v>271</v>
      </c>
      <c r="AR2" s="5" t="s">
        <v>272</v>
      </c>
      <c r="AS2" s="5" t="s">
        <v>273</v>
      </c>
      <c r="AT2" s="5" t="s">
        <v>274</v>
      </c>
      <c r="AU2" s="5"/>
      <c r="AV2" s="5"/>
      <c r="AW2" s="5"/>
      <c r="AX2" s="5"/>
      <c r="AY2" s="5"/>
      <c r="AZ2" s="5"/>
      <c r="BA2" s="5"/>
      <c r="BB2" s="5"/>
      <c r="BC2" s="5"/>
      <c r="BD2" s="5"/>
      <c r="BE2" s="5"/>
      <c r="BF2" s="5"/>
      <c r="BG2" s="5"/>
      <c r="BH2" s="5"/>
      <c r="BI2" s="5"/>
      <c r="BJ2" s="5"/>
      <c r="BK2" s="5"/>
      <c r="BL2" s="5"/>
      <c r="BM2" s="5"/>
      <c r="BN2" s="5"/>
    </row>
    <row r="3">
      <c r="A3" s="4">
        <v>2.0</v>
      </c>
      <c r="B3" s="4">
        <v>1.0</v>
      </c>
      <c r="C3" s="4">
        <v>1980.0</v>
      </c>
      <c r="D3" s="4">
        <v>1.0</v>
      </c>
      <c r="E3" s="4">
        <v>4.0</v>
      </c>
      <c r="F3" s="4">
        <v>0.0</v>
      </c>
      <c r="G3" s="4">
        <v>0.0</v>
      </c>
      <c r="H3" s="4">
        <v>0.0</v>
      </c>
      <c r="I3" s="4">
        <v>0.0</v>
      </c>
      <c r="J3" s="10">
        <v>1.0024171261206E-5</v>
      </c>
      <c r="K3" s="4">
        <v>4.81160220537889E-4</v>
      </c>
      <c r="L3" s="4">
        <v>0.00581799839184746</v>
      </c>
      <c r="M3" s="4">
        <v>0.0238988486129761</v>
      </c>
      <c r="N3" s="4">
        <v>0.0344823839346357</v>
      </c>
      <c r="O3" s="4">
        <v>0.034498912339158</v>
      </c>
      <c r="P3" s="4">
        <v>0.0386048434959045</v>
      </c>
      <c r="Q3" s="4">
        <v>0.0373771503377763</v>
      </c>
      <c r="R3" s="4">
        <v>0.0364084787042221</v>
      </c>
      <c r="S3" s="4">
        <v>0.0348688119107356</v>
      </c>
      <c r="T3" s="4">
        <v>0.0381200102965839</v>
      </c>
      <c r="U3" s="4">
        <v>0.0392962817517538</v>
      </c>
      <c r="V3" s="4">
        <v>0.0406495448720166</v>
      </c>
      <c r="W3" s="4">
        <v>0.0407088481752795</v>
      </c>
      <c r="X3" s="4">
        <v>0.0408067942761523</v>
      </c>
      <c r="Y3" s="4">
        <v>0.0429799733892687</v>
      </c>
      <c r="Z3" s="4">
        <v>0.0446680132214993</v>
      </c>
      <c r="AA3" s="4">
        <v>0.0486490630996329</v>
      </c>
      <c r="AB3" s="4">
        <v>0.0527168871015086</v>
      </c>
      <c r="AC3" s="4">
        <v>0.0542813465017785</v>
      </c>
      <c r="AD3" s="4">
        <v>0.0490582941523423</v>
      </c>
      <c r="AE3" s="4">
        <v>0.0443366799271403</v>
      </c>
      <c r="AF3" s="4">
        <v>0.0379588583524915</v>
      </c>
      <c r="AG3" s="4">
        <v>0.0320196516608139</v>
      </c>
      <c r="AH3" s="4">
        <v>0.0276330437087536</v>
      </c>
      <c r="AI3" s="4">
        <v>0.0240006207334143</v>
      </c>
      <c r="AJ3" s="4">
        <v>0.01948086730048</v>
      </c>
      <c r="AK3" s="4">
        <v>0.014800880168149</v>
      </c>
      <c r="AL3" s="4">
        <v>0.0122698151848901</v>
      </c>
      <c r="AM3" s="4">
        <v>0.00918994595517803</v>
      </c>
      <c r="AN3" s="4">
        <v>0.0071107338825865</v>
      </c>
      <c r="AO3" s="4">
        <v>0.00596193324789577</v>
      </c>
      <c r="AP3" s="4">
        <v>0.00485185193120633</v>
      </c>
      <c r="AQ3" s="4">
        <v>0.00426639441731712</v>
      </c>
      <c r="AR3" s="4">
        <v>0.00317674404510663</v>
      </c>
      <c r="AS3" s="4">
        <v>0.00280202368887666</v>
      </c>
      <c r="AT3" s="4">
        <v>0.0117562868388294</v>
      </c>
    </row>
    <row r="4">
      <c r="A4" s="4">
        <v>2.0</v>
      </c>
      <c r="B4" s="4">
        <v>1.0</v>
      </c>
      <c r="C4" s="4">
        <v>1981.0</v>
      </c>
      <c r="D4" s="4">
        <v>1.0</v>
      </c>
      <c r="E4" s="4">
        <v>4.0</v>
      </c>
      <c r="F4" s="4">
        <v>0.0</v>
      </c>
      <c r="G4" s="4">
        <v>0.0</v>
      </c>
      <c r="H4" s="4">
        <v>0.0</v>
      </c>
      <c r="I4" s="4">
        <v>0.0</v>
      </c>
      <c r="J4" s="10">
        <v>1.87614103994498E-5</v>
      </c>
      <c r="K4" s="4">
        <v>5.18618987470505E-4</v>
      </c>
      <c r="L4" s="4">
        <v>0.00650283885452358</v>
      </c>
      <c r="M4" s="4">
        <v>0.0284067110458399</v>
      </c>
      <c r="N4" s="4">
        <v>0.0363395118429914</v>
      </c>
      <c r="O4" s="4">
        <v>0.03448883271716</v>
      </c>
      <c r="P4" s="4">
        <v>0.032825767695323</v>
      </c>
      <c r="Q4" s="4">
        <v>0.0350154178590461</v>
      </c>
      <c r="R4" s="4">
        <v>0.0390596930007878</v>
      </c>
      <c r="S4" s="4">
        <v>0.0386936221478747</v>
      </c>
      <c r="T4" s="4">
        <v>0.0377795245411904</v>
      </c>
      <c r="U4" s="4">
        <v>0.0381977104229909</v>
      </c>
      <c r="V4" s="4">
        <v>0.0370908616594646</v>
      </c>
      <c r="W4" s="4">
        <v>0.0360338199735464</v>
      </c>
      <c r="X4" s="4">
        <v>0.0341624437362425</v>
      </c>
      <c r="Y4" s="4">
        <v>0.0365284660477287</v>
      </c>
      <c r="Z4" s="4">
        <v>0.0374069765346871</v>
      </c>
      <c r="AA4" s="4">
        <v>0.0391552124037342</v>
      </c>
      <c r="AB4" s="4">
        <v>0.0386954089488652</v>
      </c>
      <c r="AC4" s="4">
        <v>0.0440625124238506</v>
      </c>
      <c r="AD4" s="4">
        <v>0.0467998915411799</v>
      </c>
      <c r="AE4" s="4">
        <v>0.0452316758719179</v>
      </c>
      <c r="AF4" s="4">
        <v>0.0424039144044897</v>
      </c>
      <c r="AG4" s="4">
        <v>0.036612817944485</v>
      </c>
      <c r="AH4" s="4">
        <v>0.0333155000667817</v>
      </c>
      <c r="AI4" s="4">
        <v>0.0301339520032496</v>
      </c>
      <c r="AJ4" s="4">
        <v>0.0238642162279351</v>
      </c>
      <c r="AK4" s="4">
        <v>0.0190775997247135</v>
      </c>
      <c r="AL4" s="4">
        <v>0.015359936914013</v>
      </c>
      <c r="AM4" s="4">
        <v>0.0133835116684805</v>
      </c>
      <c r="AN4" s="4">
        <v>0.01148942816859</v>
      </c>
      <c r="AO4" s="4">
        <v>0.00886268181258453</v>
      </c>
      <c r="AP4" s="4">
        <v>0.00709136643074441</v>
      </c>
      <c r="AQ4" s="4">
        <v>0.0060237528389662</v>
      </c>
      <c r="AR4" s="4">
        <v>0.00488667735868526</v>
      </c>
      <c r="AS4" s="4">
        <v>0.00419302632419449</v>
      </c>
      <c r="AT4" s="4">
        <v>0.0202873384452717</v>
      </c>
    </row>
    <row r="5">
      <c r="A5" s="4">
        <v>2.0</v>
      </c>
      <c r="B5" s="4">
        <v>1.0</v>
      </c>
      <c r="C5" s="4">
        <v>1984.0</v>
      </c>
      <c r="D5" s="4">
        <v>1.0</v>
      </c>
      <c r="E5" s="4">
        <v>6.0</v>
      </c>
      <c r="F5" s="4">
        <v>0.0</v>
      </c>
      <c r="G5" s="4">
        <v>0.0</v>
      </c>
      <c r="H5" s="4">
        <v>0.0</v>
      </c>
      <c r="I5" s="4">
        <v>0.0</v>
      </c>
      <c r="J5" s="10">
        <v>1.76448053905518E-5</v>
      </c>
      <c r="K5" s="4">
        <v>5.21053229063163E-4</v>
      </c>
      <c r="L5" s="4">
        <v>0.00749308982651542</v>
      </c>
      <c r="M5" s="4">
        <v>0.0377055672975004</v>
      </c>
      <c r="N5" s="4">
        <v>0.0476770082233297</v>
      </c>
      <c r="O5" s="4">
        <v>0.0424597794101703</v>
      </c>
      <c r="P5" s="4">
        <v>0.0376136229802544</v>
      </c>
      <c r="Q5" s="4">
        <v>0.0392448108328051</v>
      </c>
      <c r="R5" s="4">
        <v>0.0412716249845342</v>
      </c>
      <c r="S5" s="4">
        <v>0.0409769779933137</v>
      </c>
      <c r="T5" s="4">
        <v>0.0385005401861506</v>
      </c>
      <c r="U5" s="4">
        <v>0.0406918974628471</v>
      </c>
      <c r="V5" s="4">
        <v>0.0412059352873574</v>
      </c>
      <c r="W5" s="4">
        <v>0.0384189063877172</v>
      </c>
      <c r="X5" s="4">
        <v>0.0371723965514822</v>
      </c>
      <c r="Y5" s="4">
        <v>0.0391072663859655</v>
      </c>
      <c r="Z5" s="4">
        <v>0.0430071935533109</v>
      </c>
      <c r="AA5" s="4">
        <v>0.0454564200943296</v>
      </c>
      <c r="AB5" s="4">
        <v>0.0456339310883189</v>
      </c>
      <c r="AC5" s="4">
        <v>0.0457489412053826</v>
      </c>
      <c r="AD5" s="4">
        <v>0.0431594065733065</v>
      </c>
      <c r="AE5" s="4">
        <v>0.0377334163276951</v>
      </c>
      <c r="AF5" s="4">
        <v>0.0314098794753498</v>
      </c>
      <c r="AG5" s="4">
        <v>0.0304111409726412</v>
      </c>
      <c r="AH5" s="4">
        <v>0.0279952907502529</v>
      </c>
      <c r="AI5" s="4">
        <v>0.0205561982799929</v>
      </c>
      <c r="AJ5" s="4">
        <v>0.0184855909968125</v>
      </c>
      <c r="AK5" s="4">
        <v>0.0135359042027375</v>
      </c>
      <c r="AL5" s="4">
        <v>0.0121357995243981</v>
      </c>
      <c r="AM5" s="4">
        <v>0.00930582784537368</v>
      </c>
      <c r="AN5" s="4">
        <v>0.00826414656328086</v>
      </c>
      <c r="AO5" s="4">
        <v>0.00671820650544842</v>
      </c>
      <c r="AP5" s="4">
        <v>0.00533553404448277</v>
      </c>
      <c r="AQ5" s="4">
        <v>0.00443883778981593</v>
      </c>
      <c r="AR5" s="4">
        <v>0.0038878096503905</v>
      </c>
      <c r="AS5" s="4">
        <v>0.00306084226521886</v>
      </c>
      <c r="AT5" s="4">
        <v>0.0136415604470641</v>
      </c>
    </row>
    <row r="6">
      <c r="A6" s="4">
        <v>2.0</v>
      </c>
      <c r="B6" s="4">
        <v>1.0</v>
      </c>
      <c r="C6" s="4">
        <v>1988.0</v>
      </c>
      <c r="D6" s="4">
        <v>1.0</v>
      </c>
      <c r="E6" s="4">
        <v>14.0</v>
      </c>
      <c r="F6" s="4">
        <v>0.0</v>
      </c>
      <c r="G6" s="4">
        <v>0.0</v>
      </c>
      <c r="H6" s="4">
        <v>0.0</v>
      </c>
      <c r="I6" s="4">
        <v>0.0</v>
      </c>
      <c r="J6" s="10">
        <v>2.44212093061517E-5</v>
      </c>
      <c r="K6" s="4">
        <v>7.67018771234E-4</v>
      </c>
      <c r="L6" s="4">
        <v>0.00912180367339974</v>
      </c>
      <c r="M6" s="4">
        <v>0.0380204489068135</v>
      </c>
      <c r="N6" s="4">
        <v>0.0561565707994958</v>
      </c>
      <c r="O6" s="4">
        <v>0.0515038484291218</v>
      </c>
      <c r="P6" s="4">
        <v>0.0580583724742123</v>
      </c>
      <c r="Q6" s="4">
        <v>0.0564984677297819</v>
      </c>
      <c r="R6" s="4">
        <v>0.0485847105877832</v>
      </c>
      <c r="S6" s="4">
        <v>0.050351070950361</v>
      </c>
      <c r="T6" s="4">
        <v>0.0490112784213873</v>
      </c>
      <c r="U6" s="4">
        <v>0.048582139934172</v>
      </c>
      <c r="V6" s="4">
        <v>0.0479581137700595</v>
      </c>
      <c r="W6" s="4">
        <v>0.0425145940825482</v>
      </c>
      <c r="X6" s="4">
        <v>0.0373347270560328</v>
      </c>
      <c r="Y6" s="4">
        <v>0.0295033914954424</v>
      </c>
      <c r="Z6" s="4">
        <v>0.0294905382273865</v>
      </c>
      <c r="AA6" s="4">
        <v>0.0324567511629797</v>
      </c>
      <c r="AB6" s="4">
        <v>0.0269460731498765</v>
      </c>
      <c r="AC6" s="4">
        <v>0.0304897191528797</v>
      </c>
      <c r="AD6" s="4">
        <v>0.0294661170180804</v>
      </c>
      <c r="AE6" s="4">
        <v>0.0250465207970697</v>
      </c>
      <c r="AF6" s="4">
        <v>0.0288822573166425</v>
      </c>
      <c r="AG6" s="4">
        <v>0.0284852519995668</v>
      </c>
      <c r="AH6" s="4">
        <v>0.0227984842140982</v>
      </c>
      <c r="AI6" s="4">
        <v>0.02110795813305</v>
      </c>
      <c r="AJ6" s="4">
        <v>0.0167518249230652</v>
      </c>
      <c r="AK6" s="4">
        <v>0.0137745260437737</v>
      </c>
      <c r="AL6" s="4">
        <v>0.011329513127846</v>
      </c>
      <c r="AM6" s="4">
        <v>0.00930110676277912</v>
      </c>
      <c r="AN6" s="4">
        <v>0.00825420807962856</v>
      </c>
      <c r="AO6" s="4">
        <v>0.00767500768786095</v>
      </c>
      <c r="AP6" s="4">
        <v>0.00644382527395938</v>
      </c>
      <c r="AQ6" s="4">
        <v>0.00499317330800383</v>
      </c>
      <c r="AR6" s="4">
        <v>0.00389743220624097</v>
      </c>
      <c r="AS6" s="4">
        <v>0.00329043662230254</v>
      </c>
      <c r="AT6" s="4">
        <v>0.0151282965017582</v>
      </c>
    </row>
    <row r="7">
      <c r="A7" s="4">
        <v>2.0</v>
      </c>
      <c r="B7" s="4">
        <v>1.0</v>
      </c>
      <c r="C7" s="4">
        <v>1990.0</v>
      </c>
      <c r="D7" s="4">
        <v>1.0</v>
      </c>
      <c r="E7" s="4">
        <v>6.0</v>
      </c>
      <c r="F7" s="4">
        <v>0.0</v>
      </c>
      <c r="G7" s="4">
        <v>0.0</v>
      </c>
      <c r="H7" s="4">
        <v>0.0</v>
      </c>
      <c r="I7" s="4">
        <v>0.0</v>
      </c>
      <c r="J7" s="10">
        <v>8.14756651521399E-6</v>
      </c>
      <c r="K7" s="4">
        <v>4.7352551831642E-4</v>
      </c>
      <c r="L7" s="4">
        <v>0.00626616912193814</v>
      </c>
      <c r="M7" s="4">
        <v>0.0307612064253643</v>
      </c>
      <c r="N7" s="4">
        <v>0.0414415613720281</v>
      </c>
      <c r="O7" s="4">
        <v>0.0420779001263011</v>
      </c>
      <c r="P7" s="4">
        <v>0.0444250897544213</v>
      </c>
      <c r="Q7" s="4">
        <v>0.0445614579227903</v>
      </c>
      <c r="R7" s="4">
        <v>0.0488372732111051</v>
      </c>
      <c r="S7" s="4">
        <v>0.0494554525586535</v>
      </c>
      <c r="T7" s="4">
        <v>0.0493983505458731</v>
      </c>
      <c r="U7" s="4">
        <v>0.0470231968123406</v>
      </c>
      <c r="V7" s="4">
        <v>0.0435527477599025</v>
      </c>
      <c r="W7" s="4">
        <v>0.0429837990473147</v>
      </c>
      <c r="X7" s="4">
        <v>0.042804069253763</v>
      </c>
      <c r="Y7" s="4">
        <v>0.0415995413058146</v>
      </c>
      <c r="Z7" s="4">
        <v>0.0412189532835107</v>
      </c>
      <c r="AA7" s="4">
        <v>0.0393465320228364</v>
      </c>
      <c r="AB7" s="4">
        <v>0.03856622991107</v>
      </c>
      <c r="AC7" s="4">
        <v>0.0370899322868175</v>
      </c>
      <c r="AD7" s="4">
        <v>0.0344387279522017</v>
      </c>
      <c r="AE7" s="4">
        <v>0.0349386294909318</v>
      </c>
      <c r="AF7" s="4">
        <v>0.0343281834268554</v>
      </c>
      <c r="AG7" s="4">
        <v>0.031377797687914</v>
      </c>
      <c r="AH7" s="4">
        <v>0.0266334282778005</v>
      </c>
      <c r="AI7" s="4">
        <v>0.0232890593648268</v>
      </c>
      <c r="AJ7" s="4">
        <v>0.0180765501159578</v>
      </c>
      <c r="AK7" s="4">
        <v>0.0133510305843076</v>
      </c>
      <c r="AL7" s="4">
        <v>0.00986311259688354</v>
      </c>
      <c r="AM7" s="4">
        <v>0.00809094783265064</v>
      </c>
      <c r="AN7" s="4">
        <v>0.00616950307853729</v>
      </c>
      <c r="AO7" s="4">
        <v>0.00499590826447719</v>
      </c>
      <c r="AP7" s="4">
        <v>0.00403836205741797</v>
      </c>
      <c r="AQ7" s="4">
        <v>0.00323831245392827</v>
      </c>
      <c r="AR7" s="4">
        <v>0.00273426808476673</v>
      </c>
      <c r="AS7" s="4">
        <v>0.00218465258085907</v>
      </c>
      <c r="AT7" s="4">
        <v>0.010360390343007</v>
      </c>
    </row>
    <row r="8">
      <c r="A8" s="4">
        <v>2.0</v>
      </c>
      <c r="B8" s="4">
        <v>1.0</v>
      </c>
      <c r="C8" s="4">
        <v>1992.0</v>
      </c>
      <c r="D8" s="4">
        <v>1.0</v>
      </c>
      <c r="E8" s="4">
        <v>2.0</v>
      </c>
      <c r="F8" s="4">
        <v>0.0</v>
      </c>
      <c r="G8" s="4">
        <v>0.0</v>
      </c>
      <c r="H8" s="4">
        <v>0.0</v>
      </c>
      <c r="I8" s="4">
        <v>0.0</v>
      </c>
      <c r="J8" s="10">
        <v>1.88654733912304E-5</v>
      </c>
      <c r="K8" s="4">
        <v>6.16396655357033E-4</v>
      </c>
      <c r="L8" s="4">
        <v>0.00725891115772274</v>
      </c>
      <c r="M8" s="4">
        <v>0.0298750648033681</v>
      </c>
      <c r="N8" s="4">
        <v>0.0401274222637429</v>
      </c>
      <c r="O8" s="4">
        <v>0.0373155327941232</v>
      </c>
      <c r="P8" s="4">
        <v>0.0382840226904948</v>
      </c>
      <c r="Q8" s="4">
        <v>0.0405970044430058</v>
      </c>
      <c r="R8" s="4">
        <v>0.044234305070208</v>
      </c>
      <c r="S8" s="4">
        <v>0.0445884529667405</v>
      </c>
      <c r="T8" s="4">
        <v>0.0430804292100662</v>
      </c>
      <c r="U8" s="4">
        <v>0.0452233415217582</v>
      </c>
      <c r="V8" s="4">
        <v>0.0482440587067382</v>
      </c>
      <c r="W8" s="4">
        <v>0.0476709966041214</v>
      </c>
      <c r="X8" s="4">
        <v>0.0484664284698299</v>
      </c>
      <c r="Y8" s="4">
        <v>0.0487412853420595</v>
      </c>
      <c r="Z8" s="4">
        <v>0.0434321488773502</v>
      </c>
      <c r="AA8" s="4">
        <v>0.0457534426453653</v>
      </c>
      <c r="AB8" s="4">
        <v>0.0458232075395398</v>
      </c>
      <c r="AC8" s="4">
        <v>0.0395319457372949</v>
      </c>
      <c r="AD8" s="4">
        <v>0.0384713699163503</v>
      </c>
      <c r="AE8" s="4">
        <v>0.0353844367876358</v>
      </c>
      <c r="AF8" s="4">
        <v>0.0316018159792614</v>
      </c>
      <c r="AG8" s="4">
        <v>0.0291305323584429</v>
      </c>
      <c r="AH8" s="4">
        <v>0.0241493936291296</v>
      </c>
      <c r="AI8" s="4">
        <v>0.0206887933764631</v>
      </c>
      <c r="AJ8" s="4">
        <v>0.0168158611187357</v>
      </c>
      <c r="AK8" s="4">
        <v>0.0127384906369815</v>
      </c>
      <c r="AL8" s="4">
        <v>0.0105417837080947</v>
      </c>
      <c r="AM8" s="4">
        <v>0.00769076239020318</v>
      </c>
      <c r="AN8" s="4">
        <v>0.00624923475756139</v>
      </c>
      <c r="AO8" s="4">
        <v>0.00497899068036275</v>
      </c>
      <c r="AP8" s="4">
        <v>0.00412472095209748</v>
      </c>
      <c r="AQ8" s="4">
        <v>0.00349057954454078</v>
      </c>
      <c r="AR8" s="4">
        <v>0.00274576691931769</v>
      </c>
      <c r="AS8" s="4">
        <v>0.00227142167499067</v>
      </c>
      <c r="AT8" s="4">
        <v>0.0100427825975534</v>
      </c>
    </row>
    <row r="9">
      <c r="A9" s="4">
        <v>2.0</v>
      </c>
      <c r="B9" s="4">
        <v>1.0</v>
      </c>
      <c r="C9" s="4">
        <v>1993.0</v>
      </c>
      <c r="D9" s="4">
        <v>1.0</v>
      </c>
      <c r="E9" s="4">
        <v>2.0</v>
      </c>
      <c r="F9" s="4">
        <v>0.0</v>
      </c>
      <c r="G9" s="4">
        <v>0.0</v>
      </c>
      <c r="H9" s="4">
        <v>0.0</v>
      </c>
      <c r="I9" s="4">
        <v>0.0</v>
      </c>
      <c r="J9" s="10">
        <v>2.33747920982684E-5</v>
      </c>
      <c r="K9" s="4">
        <v>8.62529828426104E-4</v>
      </c>
      <c r="L9" s="4">
        <v>0.00988753705756754</v>
      </c>
      <c r="M9" s="4">
        <v>0.0386302527662362</v>
      </c>
      <c r="N9" s="4">
        <v>0.0475735456180008</v>
      </c>
      <c r="O9" s="4">
        <v>0.0460754162344359</v>
      </c>
      <c r="P9" s="4">
        <v>0.0429254682092601</v>
      </c>
      <c r="Q9" s="4">
        <v>0.0434481869975576</v>
      </c>
      <c r="R9" s="4">
        <v>0.0478961177489569</v>
      </c>
      <c r="S9" s="4">
        <v>0.0466388461189713</v>
      </c>
      <c r="T9" s="4">
        <v>0.0520958861242462</v>
      </c>
      <c r="U9" s="4">
        <v>0.0562485153354707</v>
      </c>
      <c r="V9" s="4">
        <v>0.0534172436425679</v>
      </c>
      <c r="W9" s="4">
        <v>0.0546268891336533</v>
      </c>
      <c r="X9" s="4">
        <v>0.0522920395879375</v>
      </c>
      <c r="Y9" s="4">
        <v>0.0461940433043346</v>
      </c>
      <c r="Z9" s="4">
        <v>0.0487568944679756</v>
      </c>
      <c r="AA9" s="4">
        <v>0.0483634188009881</v>
      </c>
      <c r="AB9" s="4">
        <v>0.0452892440601975</v>
      </c>
      <c r="AC9" s="4">
        <v>0.0382367770992487</v>
      </c>
      <c r="AD9" s="4">
        <v>0.0348591196410489</v>
      </c>
      <c r="AE9" s="4">
        <v>0.0304135263688595</v>
      </c>
      <c r="AF9" s="4">
        <v>0.0254840749002359</v>
      </c>
      <c r="AG9" s="4">
        <v>0.0202054624746444</v>
      </c>
      <c r="AH9" s="4">
        <v>0.0161325023464882</v>
      </c>
      <c r="AI9" s="4">
        <v>0.0132768819118165</v>
      </c>
      <c r="AJ9" s="4">
        <v>0.00926518321795114</v>
      </c>
      <c r="AK9" s="4">
        <v>0.00727443009091528</v>
      </c>
      <c r="AL9" s="4">
        <v>0.00594382005072135</v>
      </c>
      <c r="AM9" s="4">
        <v>0.00416558274184558</v>
      </c>
      <c r="AN9" s="4">
        <v>0.00280156622794454</v>
      </c>
      <c r="AO9" s="4">
        <v>0.00213217061923038</v>
      </c>
      <c r="AP9" s="4">
        <v>0.00186530840944182</v>
      </c>
      <c r="AQ9" s="4">
        <v>0.00130898835750303</v>
      </c>
      <c r="AR9" s="4">
        <v>0.00104826203064026</v>
      </c>
      <c r="AS9" s="4">
        <v>7.140998986021E-4</v>
      </c>
      <c r="AT9" s="4">
        <v>0.00362679378398049</v>
      </c>
    </row>
    <row r="10">
      <c r="A10" s="4">
        <v>2.0</v>
      </c>
      <c r="B10" s="4">
        <v>1.0</v>
      </c>
      <c r="C10" s="4">
        <v>1994.0</v>
      </c>
      <c r="D10" s="4">
        <v>1.0</v>
      </c>
      <c r="E10" s="4">
        <v>6.0</v>
      </c>
      <c r="F10" s="4">
        <v>0.0</v>
      </c>
      <c r="G10" s="4">
        <v>0.0</v>
      </c>
      <c r="H10" s="4">
        <v>0.0</v>
      </c>
      <c r="I10" s="4">
        <v>0.0</v>
      </c>
      <c r="J10" s="10">
        <v>2.22525502617985E-5</v>
      </c>
      <c r="K10" s="4">
        <v>7.37736408059543E-4</v>
      </c>
      <c r="L10" s="4">
        <v>0.00863159873171498</v>
      </c>
      <c r="M10" s="4">
        <v>0.0392316139222989</v>
      </c>
      <c r="N10" s="4">
        <v>0.0526535798376447</v>
      </c>
      <c r="O10" s="4">
        <v>0.0473574728753366</v>
      </c>
      <c r="P10" s="4">
        <v>0.0496180377333369</v>
      </c>
      <c r="Q10" s="4">
        <v>0.0480250493831906</v>
      </c>
      <c r="R10" s="4">
        <v>0.0528516459255121</v>
      </c>
      <c r="S10" s="4">
        <v>0.0520419105635063</v>
      </c>
      <c r="T10" s="4">
        <v>0.0531724688505675</v>
      </c>
      <c r="U10" s="4">
        <v>0.0485841217203465</v>
      </c>
      <c r="V10" s="4">
        <v>0.0471071776612349</v>
      </c>
      <c r="W10" s="4">
        <v>0.0453389274896052</v>
      </c>
      <c r="X10" s="4">
        <v>0.0446917644782724</v>
      </c>
      <c r="Y10" s="4">
        <v>0.044573513322749</v>
      </c>
      <c r="Z10" s="4">
        <v>0.0389997092456036</v>
      </c>
      <c r="AA10" s="4">
        <v>0.0404523777953387</v>
      </c>
      <c r="AB10" s="4">
        <v>0.0385380148040148</v>
      </c>
      <c r="AC10" s="4">
        <v>0.036866498859143</v>
      </c>
      <c r="AD10" s="4">
        <v>0.0325159413775873</v>
      </c>
      <c r="AE10" s="4">
        <v>0.0272465006945187</v>
      </c>
      <c r="AF10" s="4">
        <v>0.0254892848453328</v>
      </c>
      <c r="AG10" s="4">
        <v>0.0212874148587083</v>
      </c>
      <c r="AH10" s="4">
        <v>0.01897535649597</v>
      </c>
      <c r="AI10" s="4">
        <v>0.0174452637837538</v>
      </c>
      <c r="AJ10" s="4">
        <v>0.0137149271762305</v>
      </c>
      <c r="AK10" s="4">
        <v>0.0100844511868241</v>
      </c>
      <c r="AL10" s="4">
        <v>0.00762214213347521</v>
      </c>
      <c r="AM10" s="4">
        <v>0.00649277923134542</v>
      </c>
      <c r="AN10" s="4">
        <v>0.00528415311299385</v>
      </c>
      <c r="AO10" s="4">
        <v>0.00441097039693584</v>
      </c>
      <c r="AP10" s="4">
        <v>0.00347581156981811</v>
      </c>
      <c r="AQ10" s="4">
        <v>0.00297761191147752</v>
      </c>
      <c r="AR10" s="4">
        <v>0.00239444797031914</v>
      </c>
      <c r="AS10" s="4">
        <v>0.0019611669090233</v>
      </c>
      <c r="AT10" s="4">
        <v>0.00912630418794835</v>
      </c>
    </row>
    <row r="11">
      <c r="A11" s="4">
        <v>2.0</v>
      </c>
      <c r="B11" s="4">
        <v>1.0</v>
      </c>
      <c r="C11" s="4">
        <v>1995.0</v>
      </c>
      <c r="D11" s="4">
        <v>1.0</v>
      </c>
      <c r="E11" s="4">
        <v>4.0</v>
      </c>
      <c r="F11" s="4">
        <v>0.0</v>
      </c>
      <c r="G11" s="4">
        <v>0.0</v>
      </c>
      <c r="H11" s="4">
        <v>0.0</v>
      </c>
      <c r="I11" s="4">
        <v>0.0</v>
      </c>
      <c r="J11" s="10">
        <v>2.32658355389107E-5</v>
      </c>
      <c r="K11" s="4">
        <v>7.42465874478572E-4</v>
      </c>
      <c r="L11" s="4">
        <v>0.00970940461196209</v>
      </c>
      <c r="M11" s="4">
        <v>0.0453953186893947</v>
      </c>
      <c r="N11" s="4">
        <v>0.0603740268783667</v>
      </c>
      <c r="O11" s="4">
        <v>0.0520873077009814</v>
      </c>
      <c r="P11" s="4">
        <v>0.0555882036907575</v>
      </c>
      <c r="Q11" s="4">
        <v>0.0526134421222034</v>
      </c>
      <c r="R11" s="4">
        <v>0.0489219295500296</v>
      </c>
      <c r="S11" s="4">
        <v>0.052835998206898</v>
      </c>
      <c r="T11" s="4">
        <v>0.048206811236623</v>
      </c>
      <c r="U11" s="4">
        <v>0.0457852255209481</v>
      </c>
      <c r="V11" s="4">
        <v>0.0428916902905035</v>
      </c>
      <c r="W11" s="4">
        <v>0.0399682564205288</v>
      </c>
      <c r="X11" s="4">
        <v>0.0423376980925178</v>
      </c>
      <c r="Y11" s="4">
        <v>0.038097397522413</v>
      </c>
      <c r="Z11" s="4">
        <v>0.0403233665419121</v>
      </c>
      <c r="AA11" s="4">
        <v>0.0422652474643045</v>
      </c>
      <c r="AB11" s="4">
        <v>0.0423886176185438</v>
      </c>
      <c r="AC11" s="4">
        <v>0.0398151917130359</v>
      </c>
      <c r="AD11" s="4">
        <v>0.032068076651132</v>
      </c>
      <c r="AE11" s="4">
        <v>0.0290720901098056</v>
      </c>
      <c r="AF11" s="4">
        <v>0.0261436561260527</v>
      </c>
      <c r="AG11" s="4">
        <v>0.02363829299381</v>
      </c>
      <c r="AH11" s="4">
        <v>0.0200291292342673</v>
      </c>
      <c r="AI11" s="4">
        <v>0.0163544537799176</v>
      </c>
      <c r="AJ11" s="4">
        <v>0.0122551768269829</v>
      </c>
      <c r="AK11" s="4">
        <v>0.00960695330108022</v>
      </c>
      <c r="AL11" s="4">
        <v>0.0068156652952409</v>
      </c>
      <c r="AM11" s="4">
        <v>0.00535114217394947</v>
      </c>
      <c r="AN11" s="4">
        <v>0.00404090827781081</v>
      </c>
      <c r="AO11" s="4">
        <v>0.00292251548172984</v>
      </c>
      <c r="AP11" s="4">
        <v>0.00230025642420231</v>
      </c>
      <c r="AQ11" s="4">
        <v>0.00169534470019063</v>
      </c>
      <c r="AR11" s="4">
        <v>0.00136431675945279</v>
      </c>
      <c r="AS11" s="4">
        <v>9.61246363054996E-4</v>
      </c>
      <c r="AT11" s="4">
        <v>0.00500990991937878</v>
      </c>
    </row>
    <row r="12">
      <c r="A12" s="4">
        <v>2.0</v>
      </c>
      <c r="B12" s="4">
        <v>1.0</v>
      </c>
      <c r="C12" s="4">
        <v>1996.0</v>
      </c>
      <c r="D12" s="4">
        <v>1.0</v>
      </c>
      <c r="E12" s="4">
        <v>14.0</v>
      </c>
      <c r="F12" s="4">
        <v>0.0</v>
      </c>
      <c r="G12" s="4">
        <v>0.0</v>
      </c>
      <c r="H12" s="4">
        <v>0.0</v>
      </c>
      <c r="I12" s="4">
        <v>0.0</v>
      </c>
      <c r="J12" s="10">
        <v>2.49218895514322E-5</v>
      </c>
      <c r="K12" s="4">
        <v>8.17175641607488E-4</v>
      </c>
      <c r="L12" s="4">
        <v>0.010270441851985</v>
      </c>
      <c r="M12" s="4">
        <v>0.0427171680338728</v>
      </c>
      <c r="N12" s="4">
        <v>0.0611651376868814</v>
      </c>
      <c r="O12" s="4">
        <v>0.0569727511929715</v>
      </c>
      <c r="P12" s="4">
        <v>0.0584410439910701</v>
      </c>
      <c r="Q12" s="4">
        <v>0.0613157183669079</v>
      </c>
      <c r="R12" s="4">
        <v>0.0623466975872987</v>
      </c>
      <c r="S12" s="4">
        <v>0.0593718109818962</v>
      </c>
      <c r="T12" s="4">
        <v>0.0570627323310361</v>
      </c>
      <c r="U12" s="4">
        <v>0.0567003155898224</v>
      </c>
      <c r="V12" s="4">
        <v>0.0586666526754304</v>
      </c>
      <c r="W12" s="4">
        <v>0.0513065628516938</v>
      </c>
      <c r="X12" s="4">
        <v>0.0468332148450514</v>
      </c>
      <c r="Y12" s="4">
        <v>0.0470349509825783</v>
      </c>
      <c r="Z12" s="4">
        <v>0.041288487923377</v>
      </c>
      <c r="AA12" s="4">
        <v>0.0373188244213531</v>
      </c>
      <c r="AB12" s="4">
        <v>0.0349244866746592</v>
      </c>
      <c r="AC12" s="4">
        <v>0.034659789974055</v>
      </c>
      <c r="AD12" s="4">
        <v>0.0274424107599602</v>
      </c>
      <c r="AE12" s="4">
        <v>0.0249832761004326</v>
      </c>
      <c r="AF12" s="4">
        <v>0.0177868837406969</v>
      </c>
      <c r="AG12" s="4">
        <v>0.0139883942695394</v>
      </c>
      <c r="AH12" s="4">
        <v>0.0101618348806766</v>
      </c>
      <c r="AI12" s="4">
        <v>0.00668405077769412</v>
      </c>
      <c r="AJ12" s="4">
        <v>0.00435896965038524</v>
      </c>
      <c r="AK12" s="4">
        <v>0.00301030192213352</v>
      </c>
      <c r="AL12" s="4">
        <v>0.00246070867360457</v>
      </c>
      <c r="AM12" s="4">
        <v>0.00131338357936048</v>
      </c>
      <c r="AN12" s="4">
        <v>0.00141530099084186</v>
      </c>
      <c r="AO12" s="4">
        <v>0.00133778079755293</v>
      </c>
      <c r="AP12" s="4">
        <v>0.00114273421985304</v>
      </c>
      <c r="AQ12" s="4">
        <v>9.5437720198011E-4</v>
      </c>
      <c r="AR12" s="4">
        <v>9.12928164620886E-4</v>
      </c>
      <c r="AS12" s="4">
        <v>5.77400830554761E-4</v>
      </c>
      <c r="AT12" s="4">
        <v>0.00223037794701344</v>
      </c>
    </row>
    <row r="13">
      <c r="A13" s="4">
        <v>2.0</v>
      </c>
      <c r="B13" s="4">
        <v>1.0</v>
      </c>
      <c r="C13" s="4">
        <v>1997.0</v>
      </c>
      <c r="D13" s="4">
        <v>1.0</v>
      </c>
      <c r="E13" s="4">
        <v>5.0</v>
      </c>
      <c r="F13" s="4">
        <v>0.0</v>
      </c>
      <c r="G13" s="4">
        <v>0.0</v>
      </c>
      <c r="H13" s="4">
        <v>0.0</v>
      </c>
      <c r="I13" s="4">
        <v>0.0</v>
      </c>
      <c r="J13" s="10">
        <v>2.53283183263047E-5</v>
      </c>
      <c r="K13" s="4">
        <v>0.00105304402253606</v>
      </c>
      <c r="L13" s="4">
        <v>0.0120187987290301</v>
      </c>
      <c r="M13" s="4">
        <v>0.0539866709085204</v>
      </c>
      <c r="N13" s="4">
        <v>0.0755591066369532</v>
      </c>
      <c r="O13" s="4">
        <v>0.0646252042095665</v>
      </c>
      <c r="P13" s="4">
        <v>0.0642744453769871</v>
      </c>
      <c r="Q13" s="4">
        <v>0.069425688057199</v>
      </c>
      <c r="R13" s="4">
        <v>0.0646266113383624</v>
      </c>
      <c r="S13" s="4">
        <v>0.0673306012008949</v>
      </c>
      <c r="T13" s="4">
        <v>0.0704420188102419</v>
      </c>
      <c r="U13" s="4">
        <v>0.0628403252923598</v>
      </c>
      <c r="V13" s="4">
        <v>0.0556762488300044</v>
      </c>
      <c r="W13" s="4">
        <v>0.046958702176969</v>
      </c>
      <c r="X13" s="4">
        <v>0.0414079628395194</v>
      </c>
      <c r="Y13" s="4">
        <v>0.0379552525367654</v>
      </c>
      <c r="Z13" s="4">
        <v>0.0367401328611009</v>
      </c>
      <c r="AA13" s="4">
        <v>0.0308161206303374</v>
      </c>
      <c r="AB13" s="4">
        <v>0.0260954593616726</v>
      </c>
      <c r="AC13" s="4">
        <v>0.0251524272268165</v>
      </c>
      <c r="AD13" s="4">
        <v>0.0183745436585374</v>
      </c>
      <c r="AE13" s="4">
        <v>0.013619727536372</v>
      </c>
      <c r="AF13" s="4">
        <v>0.0135576859485526</v>
      </c>
      <c r="AG13" s="4">
        <v>0.0105630600292657</v>
      </c>
      <c r="AH13" s="4">
        <v>0.0086116282309436</v>
      </c>
      <c r="AI13" s="4">
        <v>0.00752788321649687</v>
      </c>
      <c r="AJ13" s="4">
        <v>0.00586197064294401</v>
      </c>
      <c r="AK13" s="4">
        <v>0.00415307668071621</v>
      </c>
      <c r="AL13" s="4">
        <v>0.00312638434290347</v>
      </c>
      <c r="AM13" s="4">
        <v>0.00209201675711307</v>
      </c>
      <c r="AN13" s="4">
        <v>0.00126053155953236</v>
      </c>
      <c r="AO13" s="4">
        <v>0.00126641591631524</v>
      </c>
      <c r="AP13" s="4">
        <v>7.64326777776114E-4</v>
      </c>
      <c r="AQ13" s="4">
        <v>5.67840429547811E-4</v>
      </c>
      <c r="AR13" s="4">
        <v>4.39024184322615E-4</v>
      </c>
      <c r="AS13" s="4">
        <v>2.2923407293302E-4</v>
      </c>
      <c r="AT13" s="4">
        <v>9.74500651564592E-4</v>
      </c>
    </row>
    <row r="14">
      <c r="A14" s="4">
        <v>2.0</v>
      </c>
      <c r="B14" s="4">
        <v>1.0</v>
      </c>
      <c r="C14" s="4">
        <v>1998.0</v>
      </c>
      <c r="D14" s="4">
        <v>1.0</v>
      </c>
      <c r="E14" s="4">
        <v>9.0</v>
      </c>
      <c r="F14" s="4">
        <v>0.0</v>
      </c>
      <c r="G14" s="4">
        <v>0.0</v>
      </c>
      <c r="H14" s="4">
        <v>0.0</v>
      </c>
      <c r="I14" s="4">
        <v>0.0</v>
      </c>
      <c r="J14" s="10">
        <v>3.87312246664273E-5</v>
      </c>
      <c r="K14" s="4">
        <v>0.00112022619035205</v>
      </c>
      <c r="L14" s="4">
        <v>0.0128036490772286</v>
      </c>
      <c r="M14" s="4">
        <v>0.0504585925966754</v>
      </c>
      <c r="N14" s="4">
        <v>0.0674139310256475</v>
      </c>
      <c r="O14" s="4">
        <v>0.0665771131234796</v>
      </c>
      <c r="P14" s="4">
        <v>0.061272797422288</v>
      </c>
      <c r="Q14" s="4">
        <v>0.0644596820365076</v>
      </c>
      <c r="R14" s="4">
        <v>0.0595331199143543</v>
      </c>
      <c r="S14" s="4">
        <v>0.0644891028706293</v>
      </c>
      <c r="T14" s="4">
        <v>0.0582768378835074</v>
      </c>
      <c r="U14" s="4">
        <v>0.0599040458736597</v>
      </c>
      <c r="V14" s="4">
        <v>0.0509900296889734</v>
      </c>
      <c r="W14" s="4">
        <v>0.0415705213669739</v>
      </c>
      <c r="X14" s="4">
        <v>0.0345192039839534</v>
      </c>
      <c r="Y14" s="4">
        <v>0.0353170423843736</v>
      </c>
      <c r="Z14" s="4">
        <v>0.0361719845134688</v>
      </c>
      <c r="AA14" s="4">
        <v>0.0304866876311834</v>
      </c>
      <c r="AB14" s="4">
        <v>0.0298340913232622</v>
      </c>
      <c r="AC14" s="4">
        <v>0.0237679373984237</v>
      </c>
      <c r="AD14" s="4">
        <v>0.02283851214497</v>
      </c>
      <c r="AE14" s="4">
        <v>0.0227661393758016</v>
      </c>
      <c r="AF14" s="4">
        <v>0.0197473383455511</v>
      </c>
      <c r="AG14" s="4">
        <v>0.0175159480783106</v>
      </c>
      <c r="AH14" s="4">
        <v>0.0129902293037467</v>
      </c>
      <c r="AI14" s="4">
        <v>0.00910742403093731</v>
      </c>
      <c r="AJ14" s="4">
        <v>0.00823957149362002</v>
      </c>
      <c r="AK14" s="4">
        <v>0.0069423237443759</v>
      </c>
      <c r="AL14" s="4">
        <v>0.0061001678849623</v>
      </c>
      <c r="AM14" s="4">
        <v>0.00475947164650905</v>
      </c>
      <c r="AN14" s="4">
        <v>0.00386753623231584</v>
      </c>
      <c r="AO14" s="4">
        <v>0.0028620140534759</v>
      </c>
      <c r="AP14" s="4">
        <v>0.00245049479139511</v>
      </c>
      <c r="AQ14" s="4">
        <v>0.00207696192273717</v>
      </c>
      <c r="AR14" s="4">
        <v>0.0018197468666191</v>
      </c>
      <c r="AS14" s="4">
        <v>0.00135037904461986</v>
      </c>
      <c r="AT14" s="4">
        <v>0.00556041351044427</v>
      </c>
    </row>
    <row r="15">
      <c r="A15" s="4">
        <v>2.0</v>
      </c>
      <c r="B15" s="4">
        <v>1.0</v>
      </c>
      <c r="C15" s="4">
        <v>1999.0</v>
      </c>
      <c r="D15" s="4">
        <v>1.0</v>
      </c>
      <c r="E15" s="4">
        <v>6.0</v>
      </c>
      <c r="F15" s="4">
        <v>0.0</v>
      </c>
      <c r="G15" s="4">
        <v>0.0</v>
      </c>
      <c r="H15" s="4">
        <v>0.0</v>
      </c>
      <c r="I15" s="4">
        <v>0.0</v>
      </c>
      <c r="J15" s="10">
        <v>3.11662812003693E-5</v>
      </c>
      <c r="K15" s="4">
        <v>0.00107370199817181</v>
      </c>
      <c r="L15" s="4">
        <v>0.013025852784418</v>
      </c>
      <c r="M15" s="4">
        <v>0.0528922486035086</v>
      </c>
      <c r="N15" s="4">
        <v>0.0662258684147802</v>
      </c>
      <c r="O15" s="4">
        <v>0.0607880606698885</v>
      </c>
      <c r="P15" s="4">
        <v>0.0547269273009894</v>
      </c>
      <c r="Q15" s="4">
        <v>0.0590946927246684</v>
      </c>
      <c r="R15" s="4">
        <v>0.0583812918258282</v>
      </c>
      <c r="S15" s="4">
        <v>0.0613904907190002</v>
      </c>
      <c r="T15" s="4">
        <v>0.0619748584915071</v>
      </c>
      <c r="U15" s="4">
        <v>0.057826909793567</v>
      </c>
      <c r="V15" s="4">
        <v>0.0551081239752166</v>
      </c>
      <c r="W15" s="4">
        <v>0.0537278354911457</v>
      </c>
      <c r="X15" s="4">
        <v>0.0481774041391891</v>
      </c>
      <c r="Y15" s="4">
        <v>0.0397065505738432</v>
      </c>
      <c r="Z15" s="4">
        <v>0.0391731821705733</v>
      </c>
      <c r="AA15" s="4">
        <v>0.0342042852928326</v>
      </c>
      <c r="AB15" s="4">
        <v>0.0307430572681597</v>
      </c>
      <c r="AC15" s="4">
        <v>0.0260520597311223</v>
      </c>
      <c r="AD15" s="4">
        <v>0.0261435516551007</v>
      </c>
      <c r="AE15" s="4">
        <v>0.0238688853438556</v>
      </c>
      <c r="AF15" s="4">
        <v>0.017289258387714</v>
      </c>
      <c r="AG15" s="4">
        <v>0.0149818910920275</v>
      </c>
      <c r="AH15" s="4">
        <v>0.0114844204600497</v>
      </c>
      <c r="AI15" s="4">
        <v>0.00841135430123603</v>
      </c>
      <c r="AJ15" s="4">
        <v>0.00627292241614706</v>
      </c>
      <c r="AK15" s="4">
        <v>0.00425254462651403</v>
      </c>
      <c r="AL15" s="4">
        <v>0.00293246373112566</v>
      </c>
      <c r="AM15" s="4">
        <v>0.00214268183252539</v>
      </c>
      <c r="AN15" s="4">
        <v>0.0018907543928224</v>
      </c>
      <c r="AO15" s="4">
        <v>0.00149409263209043</v>
      </c>
      <c r="AP15" s="4">
        <v>9.9318910507086E-4</v>
      </c>
      <c r="AQ15" s="4">
        <v>7.42796368608802E-4</v>
      </c>
      <c r="AR15" s="4">
        <v>4.75167734210176E-4</v>
      </c>
      <c r="AS15" s="4">
        <v>3.88397974050057E-4</v>
      </c>
      <c r="AT15" s="4">
        <v>0.00191105969724083</v>
      </c>
    </row>
    <row r="16">
      <c r="A16" s="4">
        <v>2.0</v>
      </c>
      <c r="B16" s="4">
        <v>1.0</v>
      </c>
      <c r="C16" s="4">
        <v>2000.0</v>
      </c>
      <c r="D16" s="4">
        <v>1.0</v>
      </c>
      <c r="E16" s="4">
        <v>4.0</v>
      </c>
      <c r="F16" s="4">
        <v>0.0</v>
      </c>
      <c r="G16" s="4">
        <v>0.0</v>
      </c>
      <c r="H16" s="4">
        <v>0.0</v>
      </c>
      <c r="I16" s="4">
        <v>0.0</v>
      </c>
      <c r="J16" s="10">
        <v>2.81473817472584E-5</v>
      </c>
      <c r="K16" s="4">
        <v>0.00100867877603874</v>
      </c>
      <c r="L16" s="4">
        <v>0.0138192076961882</v>
      </c>
      <c r="M16" s="4">
        <v>0.0532345390223605</v>
      </c>
      <c r="N16" s="4">
        <v>0.0706345049627433</v>
      </c>
      <c r="O16" s="4">
        <v>0.0699687358419634</v>
      </c>
      <c r="P16" s="4">
        <v>0.0632299441872122</v>
      </c>
      <c r="Q16" s="4">
        <v>0.0690953958466546</v>
      </c>
      <c r="R16" s="4">
        <v>0.0602893782191961</v>
      </c>
      <c r="S16" s="4">
        <v>0.0496288465678509</v>
      </c>
      <c r="T16" s="4">
        <v>0.0496361725987167</v>
      </c>
      <c r="U16" s="4">
        <v>0.0506462651701856</v>
      </c>
      <c r="V16" s="4">
        <v>0.0487754282354226</v>
      </c>
      <c r="W16" s="4">
        <v>0.0451406887111648</v>
      </c>
      <c r="X16" s="4">
        <v>0.0424835244634807</v>
      </c>
      <c r="Y16" s="4">
        <v>0.0392145723750799</v>
      </c>
      <c r="Z16" s="4">
        <v>0.0336897168874651</v>
      </c>
      <c r="AA16" s="4">
        <v>0.0326478781822447</v>
      </c>
      <c r="AB16" s="4">
        <v>0.0331912897348812</v>
      </c>
      <c r="AC16" s="4">
        <v>0.0308973423859083</v>
      </c>
      <c r="AD16" s="4">
        <v>0.0274147786606859</v>
      </c>
      <c r="AE16" s="4">
        <v>0.0213418846535719</v>
      </c>
      <c r="AF16" s="4">
        <v>0.0173048560659857</v>
      </c>
      <c r="AG16" s="4">
        <v>0.0143374279847953</v>
      </c>
      <c r="AH16" s="4">
        <v>0.0120234304460846</v>
      </c>
      <c r="AI16" s="4">
        <v>0.0103590076441348</v>
      </c>
      <c r="AJ16" s="4">
        <v>0.00753887134140268</v>
      </c>
      <c r="AK16" s="4">
        <v>0.00631465302568288</v>
      </c>
      <c r="AL16" s="4">
        <v>0.00536419691599806</v>
      </c>
      <c r="AM16" s="4">
        <v>0.00419897242777594</v>
      </c>
      <c r="AN16" s="4">
        <v>0.00321805545291258</v>
      </c>
      <c r="AO16" s="4">
        <v>0.00278196382611601</v>
      </c>
      <c r="AP16" s="4">
        <v>0.00200784656463776</v>
      </c>
      <c r="AQ16" s="4">
        <v>0.00162509358361797</v>
      </c>
      <c r="AR16" s="4">
        <v>0.00119529977282878</v>
      </c>
      <c r="AS16" s="4">
        <v>9.9634019773857E-4</v>
      </c>
      <c r="AT16" s="4">
        <v>0.0047170641895257</v>
      </c>
    </row>
    <row r="17">
      <c r="A17" s="4">
        <v>2.0</v>
      </c>
      <c r="B17" s="4">
        <v>1.0</v>
      </c>
      <c r="C17" s="4">
        <v>2001.0</v>
      </c>
      <c r="D17" s="4">
        <v>1.0</v>
      </c>
      <c r="E17" s="4">
        <v>6.0</v>
      </c>
      <c r="F17" s="4">
        <v>0.0</v>
      </c>
      <c r="G17" s="4">
        <v>0.0</v>
      </c>
      <c r="H17" s="4">
        <v>0.0</v>
      </c>
      <c r="I17" s="4">
        <v>0.0</v>
      </c>
      <c r="J17" s="10">
        <v>2.36743950734931E-5</v>
      </c>
      <c r="K17" s="4">
        <v>9.16179841868514E-4</v>
      </c>
      <c r="L17" s="4">
        <v>0.011438004891361</v>
      </c>
      <c r="M17" s="4">
        <v>0.050621053485559</v>
      </c>
      <c r="N17" s="4">
        <v>0.0743380817176601</v>
      </c>
      <c r="O17" s="4">
        <v>0.0764740703300836</v>
      </c>
      <c r="P17" s="4">
        <v>0.0799328417078939</v>
      </c>
      <c r="Q17" s="4">
        <v>0.0807692407631123</v>
      </c>
      <c r="R17" s="4">
        <v>0.0750989344308757</v>
      </c>
      <c r="S17" s="4">
        <v>0.0678259870370176</v>
      </c>
      <c r="T17" s="4">
        <v>0.0554086705835921</v>
      </c>
      <c r="U17" s="4">
        <v>0.0477275804681621</v>
      </c>
      <c r="V17" s="4">
        <v>0.0427594220483491</v>
      </c>
      <c r="W17" s="4">
        <v>0.0373681078759419</v>
      </c>
      <c r="X17" s="4">
        <v>0.0355459493543097</v>
      </c>
      <c r="Y17" s="4">
        <v>0.0358285985345164</v>
      </c>
      <c r="Z17" s="4">
        <v>0.0324316115536052</v>
      </c>
      <c r="AA17" s="4">
        <v>0.0308315689011991</v>
      </c>
      <c r="AB17" s="4">
        <v>0.026278193582064</v>
      </c>
      <c r="AC17" s="4">
        <v>0.0255337012231675</v>
      </c>
      <c r="AD17" s="4">
        <v>0.0223844292541228</v>
      </c>
      <c r="AE17" s="4">
        <v>0.0189141093909107</v>
      </c>
      <c r="AF17" s="4">
        <v>0.0154531245533984</v>
      </c>
      <c r="AG17" s="4">
        <v>0.0115227900216852</v>
      </c>
      <c r="AH17" s="4">
        <v>0.0089177404271958</v>
      </c>
      <c r="AI17" s="4">
        <v>0.00737515148966319</v>
      </c>
      <c r="AJ17" s="4">
        <v>0.00574084833056539</v>
      </c>
      <c r="AK17" s="4">
        <v>0.00460784567527988</v>
      </c>
      <c r="AL17" s="4">
        <v>0.00352748486595047</v>
      </c>
      <c r="AM17" s="4">
        <v>0.00275912563722377</v>
      </c>
      <c r="AN17" s="4">
        <v>0.00236282011318863</v>
      </c>
      <c r="AO17" s="4">
        <v>0.00182658544103618</v>
      </c>
      <c r="AP17" s="4">
        <v>0.00142893259370417</v>
      </c>
      <c r="AQ17" s="4">
        <v>0.00108902217338068</v>
      </c>
      <c r="AR17" s="4">
        <v>9.34368706376198E-4</v>
      </c>
      <c r="AS17" s="4">
        <v>7.665307185381E-4</v>
      </c>
      <c r="AT17" s="4">
        <v>0.0032376178823677</v>
      </c>
    </row>
    <row r="18">
      <c r="A18" s="4">
        <v>2.0</v>
      </c>
      <c r="B18" s="4">
        <v>1.0</v>
      </c>
      <c r="C18" s="4">
        <v>2002.0</v>
      </c>
      <c r="D18" s="4">
        <v>1.0</v>
      </c>
      <c r="E18" s="4">
        <v>9.0</v>
      </c>
      <c r="F18" s="4">
        <v>0.0</v>
      </c>
      <c r="G18" s="4">
        <v>0.0</v>
      </c>
      <c r="H18" s="4">
        <v>0.0</v>
      </c>
      <c r="I18" s="4">
        <v>0.0</v>
      </c>
      <c r="J18" s="10">
        <v>2.56655283298843E-5</v>
      </c>
      <c r="K18" s="4">
        <v>0.00104954568277158</v>
      </c>
      <c r="L18" s="4">
        <v>0.0137260740587541</v>
      </c>
      <c r="M18" s="4">
        <v>0.0616977705460237</v>
      </c>
      <c r="N18" s="4">
        <v>0.0784963156677253</v>
      </c>
      <c r="O18" s="4">
        <v>0.0746289607662115</v>
      </c>
      <c r="P18" s="4">
        <v>0.0814685333562579</v>
      </c>
      <c r="Q18" s="4">
        <v>0.0820477104729061</v>
      </c>
      <c r="R18" s="4">
        <v>0.0833686130522916</v>
      </c>
      <c r="S18" s="4">
        <v>0.0744300321566644</v>
      </c>
      <c r="T18" s="4">
        <v>0.0615441096158934</v>
      </c>
      <c r="U18" s="4">
        <v>0.054041884647155</v>
      </c>
      <c r="V18" s="4">
        <v>0.0478820747880206</v>
      </c>
      <c r="W18" s="4">
        <v>0.0417981817343668</v>
      </c>
      <c r="X18" s="4">
        <v>0.0356267434805197</v>
      </c>
      <c r="Y18" s="4">
        <v>0.0300858133999806</v>
      </c>
      <c r="Z18" s="4">
        <v>0.0268241317430673</v>
      </c>
      <c r="AA18" s="4">
        <v>0.0259181967349959</v>
      </c>
      <c r="AB18" s="4">
        <v>0.0224795142985648</v>
      </c>
      <c r="AC18" s="4">
        <v>0.0196260723560249</v>
      </c>
      <c r="AD18" s="4">
        <v>0.0169751306014081</v>
      </c>
      <c r="AE18" s="4">
        <v>0.0147469640545554</v>
      </c>
      <c r="AF18" s="4">
        <v>0.0120772507484741</v>
      </c>
      <c r="AG18" s="4">
        <v>0.00967482440085734</v>
      </c>
      <c r="AH18" s="4">
        <v>0.00690726645926594</v>
      </c>
      <c r="AI18" s="4">
        <v>0.00515951873396683</v>
      </c>
      <c r="AJ18" s="4">
        <v>0.00372872782454746</v>
      </c>
      <c r="AK18" s="4">
        <v>0.00261290029191424</v>
      </c>
      <c r="AL18" s="4">
        <v>0.00211130117999135</v>
      </c>
      <c r="AM18" s="4">
        <v>0.00177914439102305</v>
      </c>
      <c r="AN18" s="4">
        <v>0.00149790335890334</v>
      </c>
      <c r="AO18" s="4">
        <v>0.00116283947125689</v>
      </c>
      <c r="AP18" s="4">
        <v>9.35587414588403E-4</v>
      </c>
      <c r="AQ18" s="4">
        <v>6.91889485397851E-4</v>
      </c>
      <c r="AR18" s="4">
        <v>6.00025167168556E-4</v>
      </c>
      <c r="AS18" s="4">
        <v>4.85900779060916E-4</v>
      </c>
      <c r="AT18" s="4">
        <v>0.00208688155109496</v>
      </c>
    </row>
    <row r="19">
      <c r="A19" s="4">
        <v>2.0</v>
      </c>
      <c r="B19" s="4">
        <v>1.0</v>
      </c>
      <c r="C19" s="4">
        <v>2003.0</v>
      </c>
      <c r="D19" s="4">
        <v>1.0</v>
      </c>
      <c r="E19" s="4">
        <v>10.0</v>
      </c>
      <c r="F19" s="4">
        <v>0.0</v>
      </c>
      <c r="G19" s="4">
        <v>0.0</v>
      </c>
      <c r="H19" s="4">
        <v>0.0</v>
      </c>
      <c r="I19" s="4">
        <v>0.0</v>
      </c>
      <c r="J19" s="10">
        <v>2.53636016644297E-5</v>
      </c>
      <c r="K19" s="4">
        <v>9.8113834731184E-4</v>
      </c>
      <c r="L19" s="4">
        <v>0.0128794169698442</v>
      </c>
      <c r="M19" s="4">
        <v>0.0574399657639493</v>
      </c>
      <c r="N19" s="4">
        <v>0.081293024040364</v>
      </c>
      <c r="O19" s="4">
        <v>0.0780778266651462</v>
      </c>
      <c r="P19" s="4">
        <v>0.0828427469756655</v>
      </c>
      <c r="Q19" s="4">
        <v>0.0850253914397638</v>
      </c>
      <c r="R19" s="4">
        <v>0.0869994907346213</v>
      </c>
      <c r="S19" s="4">
        <v>0.0838383198930302</v>
      </c>
      <c r="T19" s="4">
        <v>0.0706625130847659</v>
      </c>
      <c r="U19" s="4">
        <v>0.0572105935722035</v>
      </c>
      <c r="V19" s="4">
        <v>0.0464817213321019</v>
      </c>
      <c r="W19" s="4">
        <v>0.0386418939200697</v>
      </c>
      <c r="X19" s="4">
        <v>0.0294734674387374</v>
      </c>
      <c r="Y19" s="4">
        <v>0.0263325737312683</v>
      </c>
      <c r="Z19" s="4">
        <v>0.0227554810640093</v>
      </c>
      <c r="AA19" s="4">
        <v>0.0213188976635036</v>
      </c>
      <c r="AB19" s="4">
        <v>0.0198061547219568</v>
      </c>
      <c r="AC19" s="4">
        <v>0.0180836293623075</v>
      </c>
      <c r="AD19" s="4">
        <v>0.0162516762144474</v>
      </c>
      <c r="AE19" s="4">
        <v>0.01359825855848</v>
      </c>
      <c r="AF19" s="4">
        <v>0.0114936295087153</v>
      </c>
      <c r="AG19" s="4">
        <v>0.00877209442930762</v>
      </c>
      <c r="AH19" s="4">
        <v>0.00692811247307008</v>
      </c>
      <c r="AI19" s="4">
        <v>0.00511189988017245</v>
      </c>
      <c r="AJ19" s="4">
        <v>0.00376611679890451</v>
      </c>
      <c r="AK19" s="4">
        <v>0.0029353729243346</v>
      </c>
      <c r="AL19" s="4">
        <v>0.00217226532086984</v>
      </c>
      <c r="AM19" s="4">
        <v>0.0017601927138827</v>
      </c>
      <c r="AN19" s="4">
        <v>0.00137966995286838</v>
      </c>
      <c r="AO19" s="4">
        <v>0.00108218033768233</v>
      </c>
      <c r="AP19" s="4">
        <v>8.9356862232408E-4</v>
      </c>
      <c r="AQ19" s="4">
        <v>6.66052303870795E-4</v>
      </c>
      <c r="AR19" s="4">
        <v>5.52362880692024E-4</v>
      </c>
      <c r="AS19" s="4">
        <v>4.53657915949148E-4</v>
      </c>
      <c r="AT19" s="4">
        <v>0.00201327884214402</v>
      </c>
    </row>
    <row r="20">
      <c r="A20" s="4">
        <v>2.0</v>
      </c>
      <c r="B20" s="4">
        <v>1.0</v>
      </c>
      <c r="C20" s="4">
        <v>2004.0</v>
      </c>
      <c r="D20" s="4">
        <v>1.0</v>
      </c>
      <c r="E20" s="4">
        <v>21.0</v>
      </c>
      <c r="F20" s="4">
        <v>0.0</v>
      </c>
      <c r="G20" s="4">
        <v>0.0</v>
      </c>
      <c r="H20" s="4">
        <v>0.0</v>
      </c>
      <c r="I20" s="4">
        <v>0.0</v>
      </c>
      <c r="J20" s="10">
        <v>4.40886429211905E-5</v>
      </c>
      <c r="K20" s="4">
        <v>0.00134488885549514</v>
      </c>
      <c r="L20" s="4">
        <v>0.0164009751666828</v>
      </c>
      <c r="M20" s="4">
        <v>0.0613977700334903</v>
      </c>
      <c r="N20" s="4">
        <v>0.0838317017201017</v>
      </c>
      <c r="O20" s="4">
        <v>0.0801399632871277</v>
      </c>
      <c r="P20" s="4">
        <v>0.0822622942292264</v>
      </c>
      <c r="Q20" s="4">
        <v>0.0858379943179742</v>
      </c>
      <c r="R20" s="4">
        <v>0.086016720043564</v>
      </c>
      <c r="S20" s="4">
        <v>0.0778058586618882</v>
      </c>
      <c r="T20" s="4">
        <v>0.0718415174080857</v>
      </c>
      <c r="U20" s="4">
        <v>0.061993818846361</v>
      </c>
      <c r="V20" s="4">
        <v>0.0542870499651774</v>
      </c>
      <c r="W20" s="4">
        <v>0.0455506075007452</v>
      </c>
      <c r="X20" s="4">
        <v>0.0373219624647819</v>
      </c>
      <c r="Y20" s="4">
        <v>0.028448067172419</v>
      </c>
      <c r="Z20" s="4">
        <v>0.0229136457610178</v>
      </c>
      <c r="AA20" s="4">
        <v>0.0195399383455526</v>
      </c>
      <c r="AB20" s="4">
        <v>0.015948381165065</v>
      </c>
      <c r="AC20" s="4">
        <v>0.0141913561214561</v>
      </c>
      <c r="AD20" s="4">
        <v>0.0115362565363266</v>
      </c>
      <c r="AE20" s="4">
        <v>0.00928069638419036</v>
      </c>
      <c r="AF20" s="4">
        <v>0.00752367134058151</v>
      </c>
      <c r="AG20" s="4">
        <v>0.00579635981934475</v>
      </c>
      <c r="AH20" s="4">
        <v>0.00416871086067774</v>
      </c>
      <c r="AI20" s="4">
        <v>0.00326804286957342</v>
      </c>
      <c r="AJ20" s="4">
        <v>0.00244636394292959</v>
      </c>
      <c r="AK20" s="4">
        <v>0.00189625623696838</v>
      </c>
      <c r="AL20" s="4">
        <v>0.00141965430206233</v>
      </c>
      <c r="AM20" s="4">
        <v>0.00114526733611751</v>
      </c>
      <c r="AN20" s="4">
        <v>8.81698759864278E-4</v>
      </c>
      <c r="AO20" s="4">
        <v>6.80002480819773E-4</v>
      </c>
      <c r="AP20" s="4">
        <v>5.63519545236392E-4</v>
      </c>
      <c r="AQ20" s="4">
        <v>4.40145443616591E-4</v>
      </c>
      <c r="AR20" s="4">
        <v>3.48559624035765E-4</v>
      </c>
      <c r="AS20" s="4">
        <v>2.70978432206376E-4</v>
      </c>
      <c r="AT20" s="4">
        <v>0.00121521637631517</v>
      </c>
    </row>
    <row r="21" ht="15.75" customHeight="1">
      <c r="A21" s="4">
        <v>2.0</v>
      </c>
      <c r="B21" s="4">
        <v>1.0</v>
      </c>
      <c r="C21" s="4">
        <v>2005.0</v>
      </c>
      <c r="D21" s="4">
        <v>1.0</v>
      </c>
      <c r="E21" s="4">
        <v>14.0</v>
      </c>
      <c r="F21" s="4">
        <v>0.0</v>
      </c>
      <c r="G21" s="4">
        <v>0.0</v>
      </c>
      <c r="H21" s="4">
        <v>0.0</v>
      </c>
      <c r="I21" s="4">
        <v>0.0</v>
      </c>
      <c r="J21" s="10">
        <v>4.01485883814232E-5</v>
      </c>
      <c r="K21" s="4">
        <v>0.00150769530695816</v>
      </c>
      <c r="L21" s="4">
        <v>0.0193452498718816</v>
      </c>
      <c r="M21" s="4">
        <v>0.0866972091905523</v>
      </c>
      <c r="N21" s="4">
        <v>0.105695791443525</v>
      </c>
      <c r="O21" s="4">
        <v>0.0971252259564484</v>
      </c>
      <c r="P21" s="4">
        <v>0.0905443318589665</v>
      </c>
      <c r="Q21" s="4">
        <v>0.0838391315551498</v>
      </c>
      <c r="R21" s="4">
        <v>0.084866201933888</v>
      </c>
      <c r="S21" s="4">
        <v>0.0767590824117334</v>
      </c>
      <c r="T21" s="4">
        <v>0.0697160935037461</v>
      </c>
      <c r="U21" s="4">
        <v>0.0596805870958963</v>
      </c>
      <c r="V21" s="4">
        <v>0.0451069390465289</v>
      </c>
      <c r="W21" s="4">
        <v>0.0370934352232445</v>
      </c>
      <c r="X21" s="4">
        <v>0.0292038515621758</v>
      </c>
      <c r="Y21" s="4">
        <v>0.0230591873192228</v>
      </c>
      <c r="Z21" s="4">
        <v>0.0182351800075472</v>
      </c>
      <c r="AA21" s="4">
        <v>0.0136002378031773</v>
      </c>
      <c r="AB21" s="4">
        <v>0.0110068899224148</v>
      </c>
      <c r="AC21" s="4">
        <v>0.00974481518620356</v>
      </c>
      <c r="AD21" s="4">
        <v>0.00860434434749376</v>
      </c>
      <c r="AE21" s="4">
        <v>0.00636856983200325</v>
      </c>
      <c r="AF21" s="4">
        <v>0.00527490684272852</v>
      </c>
      <c r="AG21" s="4">
        <v>0.00427765837218707</v>
      </c>
      <c r="AH21" s="4">
        <v>0.00323582180589509</v>
      </c>
      <c r="AI21" s="4">
        <v>0.00235245635047401</v>
      </c>
      <c r="AJ21" s="4">
        <v>0.00154272881076214</v>
      </c>
      <c r="AK21" s="4">
        <v>0.00118920890874014</v>
      </c>
      <c r="AL21" s="4">
        <v>8.72845753176902E-4</v>
      </c>
      <c r="AM21" s="4">
        <v>6.88509686329502E-4</v>
      </c>
      <c r="AN21" s="4">
        <v>5.38531546077744E-4</v>
      </c>
      <c r="AO21" s="4">
        <v>4.09978854433379E-4</v>
      </c>
      <c r="AP21" s="4">
        <v>3.32383986503898E-4</v>
      </c>
      <c r="AQ21" s="4">
        <v>2.71775059812711E-4</v>
      </c>
      <c r="AR21" s="4">
        <v>2.08463824288159E-4</v>
      </c>
      <c r="AS21" s="4">
        <v>1.75650074168726E-4</v>
      </c>
      <c r="AT21" s="4">
        <v>7.8888115728306E-4</v>
      </c>
    </row>
    <row r="22" ht="15.75" customHeight="1">
      <c r="A22" s="4">
        <v>2.0</v>
      </c>
      <c r="B22" s="4">
        <v>1.0</v>
      </c>
      <c r="C22" s="4">
        <v>2006.0</v>
      </c>
      <c r="D22" s="4">
        <v>1.0</v>
      </c>
      <c r="E22" s="4">
        <v>8.0</v>
      </c>
      <c r="F22" s="4">
        <v>0.0</v>
      </c>
      <c r="G22" s="4">
        <v>0.0</v>
      </c>
      <c r="H22" s="4">
        <v>0.0</v>
      </c>
      <c r="I22" s="4">
        <v>0.0</v>
      </c>
      <c r="J22" s="10">
        <v>4.3555823616632E-5</v>
      </c>
      <c r="K22" s="4">
        <v>0.00143512747645309</v>
      </c>
      <c r="L22" s="4">
        <v>0.0164333907802657</v>
      </c>
      <c r="M22" s="4">
        <v>0.0716824027459363</v>
      </c>
      <c r="N22" s="4">
        <v>0.100058431244733</v>
      </c>
      <c r="O22" s="4">
        <v>0.104535084031365</v>
      </c>
      <c r="P22" s="4">
        <v>0.104233367673532</v>
      </c>
      <c r="Q22" s="4">
        <v>0.100000479852294</v>
      </c>
      <c r="R22" s="4">
        <v>0.0941337318814233</v>
      </c>
      <c r="S22" s="4">
        <v>0.0919958053527154</v>
      </c>
      <c r="T22" s="4">
        <v>0.0799725524487785</v>
      </c>
      <c r="U22" s="4">
        <v>0.0581161663345227</v>
      </c>
      <c r="V22" s="4">
        <v>0.0443113325978059</v>
      </c>
      <c r="W22" s="4">
        <v>0.0322047330415585</v>
      </c>
      <c r="X22" s="4">
        <v>0.0230003539833462</v>
      </c>
      <c r="Y22" s="4">
        <v>0.0177406560762035</v>
      </c>
      <c r="Z22" s="4">
        <v>0.0129338649112439</v>
      </c>
      <c r="AA22" s="4">
        <v>0.0103707892499798</v>
      </c>
      <c r="AB22" s="4">
        <v>0.00787917466881886</v>
      </c>
      <c r="AC22" s="4">
        <v>0.00635531142967562</v>
      </c>
      <c r="AD22" s="4">
        <v>0.00511596368920779</v>
      </c>
      <c r="AE22" s="4">
        <v>0.00408546243181022</v>
      </c>
      <c r="AF22" s="4">
        <v>0.00337720044574587</v>
      </c>
      <c r="AG22" s="4">
        <v>0.0026203626428345</v>
      </c>
      <c r="AH22" s="4">
        <v>0.00186655160054733</v>
      </c>
      <c r="AI22" s="4">
        <v>0.0013952628243294</v>
      </c>
      <c r="AJ22" s="4">
        <v>9.76683977030578E-4</v>
      </c>
      <c r="AK22" s="4">
        <v>7.22879025176373E-4</v>
      </c>
      <c r="AL22" s="4">
        <v>5.55152192537411E-4</v>
      </c>
      <c r="AM22" s="4">
        <v>3.98646521236971E-4</v>
      </c>
      <c r="AN22" s="4">
        <v>3.12125461442576E-4</v>
      </c>
      <c r="AO22" s="4">
        <v>2.35496741249247E-4</v>
      </c>
      <c r="AP22" s="4">
        <v>1.769547613713E-4</v>
      </c>
      <c r="AQ22" s="4">
        <v>1.4572745054107E-4</v>
      </c>
      <c r="AR22" s="4">
        <v>1.12063966525504E-4</v>
      </c>
      <c r="AS22" s="10">
        <v>9.5675165096873E-5</v>
      </c>
      <c r="AT22" s="4">
        <v>3.7147949904897E-4</v>
      </c>
    </row>
    <row r="23" ht="15.75" customHeight="1">
      <c r="A23" s="4">
        <v>2.0</v>
      </c>
      <c r="B23" s="4">
        <v>1.0</v>
      </c>
      <c r="C23" s="4">
        <v>2007.0</v>
      </c>
      <c r="D23" s="4">
        <v>1.0</v>
      </c>
      <c r="E23" s="4">
        <v>18.0</v>
      </c>
      <c r="F23" s="4">
        <v>0.0</v>
      </c>
      <c r="G23" s="4">
        <v>0.0</v>
      </c>
      <c r="H23" s="4">
        <v>0.0</v>
      </c>
      <c r="I23" s="4">
        <v>0.0</v>
      </c>
      <c r="J23" s="10">
        <v>6.20422788383986E-5</v>
      </c>
      <c r="K23" s="4">
        <v>0.00201637406224795</v>
      </c>
      <c r="L23" s="4">
        <v>0.0234188355259188</v>
      </c>
      <c r="M23" s="4">
        <v>0.0944045513535841</v>
      </c>
      <c r="N23" s="4">
        <v>0.129265512906919</v>
      </c>
      <c r="O23" s="4">
        <v>0.0965271621946649</v>
      </c>
      <c r="P23" s="4">
        <v>0.100030851160573</v>
      </c>
      <c r="Q23" s="4">
        <v>0.097122088156129</v>
      </c>
      <c r="R23" s="4">
        <v>0.10560998183776</v>
      </c>
      <c r="S23" s="4">
        <v>0.0809551876268998</v>
      </c>
      <c r="T23" s="4">
        <v>0.0718914906039943</v>
      </c>
      <c r="U23" s="4">
        <v>0.0474068877128241</v>
      </c>
      <c r="V23" s="4">
        <v>0.0440693530690106</v>
      </c>
      <c r="W23" s="4">
        <v>0.0312157651980211</v>
      </c>
      <c r="X23" s="4">
        <v>0.0228500438120476</v>
      </c>
      <c r="Y23" s="4">
        <v>0.0134585000896638</v>
      </c>
      <c r="Z23" s="4">
        <v>0.010809592246245</v>
      </c>
      <c r="AA23" s="4">
        <v>0.00956131009495868</v>
      </c>
      <c r="AB23" s="4">
        <v>0.00534689707865856</v>
      </c>
      <c r="AC23" s="4">
        <v>0.00397750499950281</v>
      </c>
      <c r="AD23" s="4">
        <v>0.00301882430731495</v>
      </c>
      <c r="AE23" s="4">
        <v>0.00195135715360223</v>
      </c>
      <c r="AF23" s="4">
        <v>0.00160630009595306</v>
      </c>
      <c r="AG23" s="4">
        <v>8.94938624888133E-4</v>
      </c>
      <c r="AH23" s="4">
        <v>6.11923846077356E-4</v>
      </c>
      <c r="AI23" s="4">
        <v>6.10011584058364E-4</v>
      </c>
      <c r="AJ23" s="4">
        <v>3.24022175440266E-4</v>
      </c>
      <c r="AK23" s="4">
        <v>2.2437207689503E-4</v>
      </c>
      <c r="AL23" s="4">
        <v>1.90376307668511E-4</v>
      </c>
      <c r="AM23" s="4">
        <v>1.22384769215471E-4</v>
      </c>
      <c r="AN23" s="10">
        <v>6.5016908645719E-5</v>
      </c>
      <c r="AO23" s="10">
        <v>7.73403749903324E-5</v>
      </c>
      <c r="AP23" s="10">
        <v>5.84302283580808E-5</v>
      </c>
      <c r="AQ23" s="10">
        <v>4.58942884558017E-5</v>
      </c>
      <c r="AR23" s="10">
        <v>4.46194471098072E-5</v>
      </c>
      <c r="AS23" s="10">
        <v>3.69703990338402E-5</v>
      </c>
      <c r="AT23" s="4">
        <v>1.17285403831493E-4</v>
      </c>
    </row>
    <row r="24" ht="15.75" customHeight="1">
      <c r="A24" s="4">
        <v>2.0</v>
      </c>
      <c r="B24" s="4">
        <v>1.0</v>
      </c>
      <c r="C24" s="4">
        <v>2008.0</v>
      </c>
      <c r="D24" s="4">
        <v>1.0</v>
      </c>
      <c r="E24" s="4">
        <v>16.0</v>
      </c>
      <c r="F24" s="4">
        <v>0.0</v>
      </c>
      <c r="G24" s="4">
        <v>0.0</v>
      </c>
      <c r="H24" s="4">
        <v>0.0</v>
      </c>
      <c r="I24" s="4">
        <v>0.0</v>
      </c>
      <c r="J24" s="10">
        <v>3.43081443941709E-5</v>
      </c>
      <c r="K24" s="4">
        <v>0.00111269657494608</v>
      </c>
      <c r="L24" s="4">
        <v>0.0139394222485303</v>
      </c>
      <c r="M24" s="4">
        <v>0.0643792329556617</v>
      </c>
      <c r="N24" s="4">
        <v>0.0876943988129382</v>
      </c>
      <c r="O24" s="4">
        <v>0.0848387094156964</v>
      </c>
      <c r="P24" s="4">
        <v>0.0958414240476216</v>
      </c>
      <c r="Q24" s="4">
        <v>0.0914206573741821</v>
      </c>
      <c r="R24" s="4">
        <v>0.0859279930002113</v>
      </c>
      <c r="S24" s="4">
        <v>0.0935926179072982</v>
      </c>
      <c r="T24" s="4">
        <v>0.091341261837324</v>
      </c>
      <c r="U24" s="4">
        <v>0.08072439792394</v>
      </c>
      <c r="V24" s="4">
        <v>0.0580206356534177</v>
      </c>
      <c r="W24" s="4">
        <v>0.0404780469022469</v>
      </c>
      <c r="X24" s="4">
        <v>0.0299555303859469</v>
      </c>
      <c r="Y24" s="4">
        <v>0.0223540741906668</v>
      </c>
      <c r="Z24" s="4">
        <v>0.0165005947710911</v>
      </c>
      <c r="AA24" s="4">
        <v>0.0120352043287606</v>
      </c>
      <c r="AB24" s="4">
        <v>0.00878056684704328</v>
      </c>
      <c r="AC24" s="4">
        <v>0.00643486337998507</v>
      </c>
      <c r="AD24" s="4">
        <v>0.00416704867317308</v>
      </c>
      <c r="AE24" s="4">
        <v>0.00284131706648211</v>
      </c>
      <c r="AF24" s="4">
        <v>0.00194235095864026</v>
      </c>
      <c r="AG24" s="4">
        <v>0.0014228607452123</v>
      </c>
      <c r="AH24" s="4">
        <v>0.00112660528213291</v>
      </c>
      <c r="AI24" s="4">
        <v>7.7598995513167E-4</v>
      </c>
      <c r="AJ24" s="4">
        <v>6.02478832976015E-4</v>
      </c>
      <c r="AK24" s="4">
        <v>4.37660652812126E-4</v>
      </c>
      <c r="AL24" s="4">
        <v>2.93241909855582E-4</v>
      </c>
      <c r="AM24" s="4">
        <v>2.12803219958439E-4</v>
      </c>
      <c r="AN24" s="4">
        <v>1.62731874085865E-4</v>
      </c>
      <c r="AO24" s="4">
        <v>1.1590589322355E-4</v>
      </c>
      <c r="AP24" s="10">
        <v>9.82881974535707E-5</v>
      </c>
      <c r="AQ24" s="10">
        <v>7.51070188088606E-5</v>
      </c>
      <c r="AR24" s="10">
        <v>6.72254180696592E-5</v>
      </c>
      <c r="AS24" s="10">
        <v>5.14622165912564E-5</v>
      </c>
      <c r="AT24" s="4">
        <v>2.00285383490295E-4</v>
      </c>
    </row>
    <row r="25" ht="15.75" customHeight="1">
      <c r="A25" s="4">
        <v>2.0</v>
      </c>
      <c r="B25" s="4">
        <v>1.0</v>
      </c>
      <c r="C25" s="4">
        <v>2009.0</v>
      </c>
      <c r="D25" s="4">
        <v>1.0</v>
      </c>
      <c r="E25" s="4">
        <v>24.0</v>
      </c>
      <c r="F25" s="4">
        <v>0.0</v>
      </c>
      <c r="G25" s="4">
        <v>0.0</v>
      </c>
      <c r="H25" s="4">
        <v>0.0</v>
      </c>
      <c r="I25" s="4">
        <v>0.0</v>
      </c>
      <c r="J25" s="10">
        <v>2.37502713772996E-5</v>
      </c>
      <c r="K25" s="4">
        <v>0.00109494840862525</v>
      </c>
      <c r="L25" s="4">
        <v>0.0138467127036243</v>
      </c>
      <c r="M25" s="4">
        <v>0.0727311462175308</v>
      </c>
      <c r="N25" s="4">
        <v>0.100123430363342</v>
      </c>
      <c r="O25" s="4">
        <v>0.0943698763737477</v>
      </c>
      <c r="P25" s="4">
        <v>0.0944627460246461</v>
      </c>
      <c r="Q25" s="4">
        <v>0.0924839627307494</v>
      </c>
      <c r="R25" s="4">
        <v>0.0932550345754218</v>
      </c>
      <c r="S25" s="4">
        <v>0.0847310215793545</v>
      </c>
      <c r="T25" s="4">
        <v>0.0774624235690386</v>
      </c>
      <c r="U25" s="4">
        <v>0.0721269352538168</v>
      </c>
      <c r="V25" s="4">
        <v>0.0564720555220447</v>
      </c>
      <c r="W25" s="4">
        <v>0.040441738808116</v>
      </c>
      <c r="X25" s="4">
        <v>0.0306557135286925</v>
      </c>
      <c r="Y25" s="4">
        <v>0.0233519975957418</v>
      </c>
      <c r="Z25" s="4">
        <v>0.0177030868958487</v>
      </c>
      <c r="AA25" s="4">
        <v>0.0115623222852958</v>
      </c>
      <c r="AB25" s="4">
        <v>0.00793959392516777</v>
      </c>
      <c r="AC25" s="4">
        <v>0.0049834971137838</v>
      </c>
      <c r="AD25" s="4">
        <v>0.00335579154934895</v>
      </c>
      <c r="AE25" s="4">
        <v>0.00234539004695145</v>
      </c>
      <c r="AF25" s="4">
        <v>0.00144693961006317</v>
      </c>
      <c r="AG25" s="4">
        <v>9.23621664672761E-4</v>
      </c>
      <c r="AH25" s="4">
        <v>5.90914871618111E-4</v>
      </c>
      <c r="AI25" s="4">
        <v>4.05987544911104E-4</v>
      </c>
      <c r="AJ25" s="4">
        <v>2.87743672455745E-4</v>
      </c>
      <c r="AK25" s="4">
        <v>2.11925498443596E-4</v>
      </c>
      <c r="AL25" s="4">
        <v>1.44937553533264E-4</v>
      </c>
      <c r="AM25" s="4">
        <v>1.06876221197848E-4</v>
      </c>
      <c r="AN25" s="10">
        <v>7.51076958085542E-5</v>
      </c>
      <c r="AO25" s="10">
        <v>5.61277780839601E-5</v>
      </c>
      <c r="AP25" s="10">
        <v>5.17634119761657E-5</v>
      </c>
      <c r="AQ25" s="10">
        <v>3.24790035928883E-5</v>
      </c>
      <c r="AR25" s="10">
        <v>3.1261040958155E-5</v>
      </c>
      <c r="AS25" s="10">
        <v>2.46637433533495E-5</v>
      </c>
      <c r="AT25" s="10">
        <v>8.64753470660651E-5</v>
      </c>
    </row>
    <row r="26" ht="15.75" customHeight="1">
      <c r="A26" s="4">
        <v>2.0</v>
      </c>
      <c r="B26" s="4">
        <v>1.0</v>
      </c>
      <c r="C26" s="4">
        <v>2010.0</v>
      </c>
      <c r="D26" s="4">
        <v>1.0</v>
      </c>
      <c r="E26" s="4">
        <v>28.0</v>
      </c>
      <c r="F26" s="4">
        <v>0.0</v>
      </c>
      <c r="G26" s="4">
        <v>0.0</v>
      </c>
      <c r="H26" s="4">
        <v>0.0</v>
      </c>
      <c r="I26" s="4">
        <v>0.0</v>
      </c>
      <c r="J26" s="10">
        <v>5.84956982074842E-5</v>
      </c>
      <c r="K26" s="4">
        <v>0.00183695361951567</v>
      </c>
      <c r="L26" s="4">
        <v>0.018813914805733</v>
      </c>
      <c r="M26" s="4">
        <v>0.0811321181952756</v>
      </c>
      <c r="N26" s="4">
        <v>0.10246983933496</v>
      </c>
      <c r="O26" s="4">
        <v>0.104499026801408</v>
      </c>
      <c r="P26" s="4">
        <v>0.0876258483055588</v>
      </c>
      <c r="Q26" s="4">
        <v>0.0875484830272844</v>
      </c>
      <c r="R26" s="4">
        <v>0.0749782763959479</v>
      </c>
      <c r="S26" s="4">
        <v>0.0535377160448983</v>
      </c>
      <c r="T26" s="4">
        <v>0.0587296810003142</v>
      </c>
      <c r="U26" s="4">
        <v>0.0627592798236071</v>
      </c>
      <c r="V26" s="4">
        <v>0.065393001461449</v>
      </c>
      <c r="W26" s="4">
        <v>0.0603272268227307</v>
      </c>
      <c r="X26" s="4">
        <v>0.0399610531867418</v>
      </c>
      <c r="Y26" s="4">
        <v>0.0332743816202742</v>
      </c>
      <c r="Z26" s="4">
        <v>0.0238782742259462</v>
      </c>
      <c r="AA26" s="4">
        <v>0.0162023649244698</v>
      </c>
      <c r="AB26" s="4">
        <v>0.00952276945052726</v>
      </c>
      <c r="AC26" s="4">
        <v>0.00668454873871009</v>
      </c>
      <c r="AD26" s="4">
        <v>0.00359819304901279</v>
      </c>
      <c r="AE26" s="4">
        <v>0.00237756708843323</v>
      </c>
      <c r="AF26" s="4">
        <v>0.00150579248934105</v>
      </c>
      <c r="AG26" s="4">
        <v>0.00105858344175479</v>
      </c>
      <c r="AH26" s="4">
        <v>7.35913622610285E-4</v>
      </c>
      <c r="AI26" s="4">
        <v>4.16074240475815E-4</v>
      </c>
      <c r="AJ26" s="4">
        <v>2.73608910970491E-4</v>
      </c>
      <c r="AK26" s="4">
        <v>2.170001707697E-4</v>
      </c>
      <c r="AL26" s="4">
        <v>1.81619708144205E-4</v>
      </c>
      <c r="AM26" s="4">
        <v>1.06141387876483E-4</v>
      </c>
      <c r="AN26" s="10">
        <v>5.94391772108308E-5</v>
      </c>
      <c r="AO26" s="10">
        <v>4.5286992160633E-5</v>
      </c>
      <c r="AP26" s="10">
        <v>3.58522021271678E-5</v>
      </c>
      <c r="AQ26" s="10">
        <v>2.40587145853363E-5</v>
      </c>
      <c r="AR26" s="10">
        <v>2.90119793529055E-5</v>
      </c>
      <c r="AS26" s="10">
        <v>1.55674035552176E-5</v>
      </c>
      <c r="AT26" s="10">
        <v>8.70359380587165E-5</v>
      </c>
    </row>
    <row r="27" ht="15.75" customHeight="1">
      <c r="A27" s="4">
        <v>2.0</v>
      </c>
      <c r="B27" s="4">
        <v>1.0</v>
      </c>
      <c r="C27" s="4">
        <v>2011.0</v>
      </c>
      <c r="D27" s="4">
        <v>1.0</v>
      </c>
      <c r="E27" s="4">
        <v>3.0</v>
      </c>
      <c r="F27" s="4">
        <v>0.0</v>
      </c>
      <c r="G27" s="4">
        <v>0.0</v>
      </c>
      <c r="H27" s="4">
        <v>0.0</v>
      </c>
      <c r="I27" s="4">
        <v>0.0</v>
      </c>
      <c r="J27" s="10">
        <v>3.32687784611879E-5</v>
      </c>
      <c r="K27" s="4">
        <v>0.00131892834940759</v>
      </c>
      <c r="L27" s="4">
        <v>0.0161740336542564</v>
      </c>
      <c r="M27" s="4">
        <v>0.0755963795137278</v>
      </c>
      <c r="N27" s="4">
        <v>0.0952249588058287</v>
      </c>
      <c r="O27" s="4">
        <v>0.0820974470932482</v>
      </c>
      <c r="P27" s="4">
        <v>0.079908398130313</v>
      </c>
      <c r="Q27" s="4">
        <v>0.0852403843377923</v>
      </c>
      <c r="R27" s="4">
        <v>0.0855497014929067</v>
      </c>
      <c r="S27" s="4">
        <v>0.0901979822256739</v>
      </c>
      <c r="T27" s="4">
        <v>0.076273486222464</v>
      </c>
      <c r="U27" s="4">
        <v>0.0644937724604351</v>
      </c>
      <c r="V27" s="4">
        <v>0.0529473983952718</v>
      </c>
      <c r="W27" s="4">
        <v>0.0486200743076039</v>
      </c>
      <c r="X27" s="4">
        <v>0.0435854908166715</v>
      </c>
      <c r="Y27" s="4">
        <v>0.0345783585587965</v>
      </c>
      <c r="Z27" s="4">
        <v>0.0229686546701712</v>
      </c>
      <c r="AA27" s="4">
        <v>0.0167754378533261</v>
      </c>
      <c r="AB27" s="4">
        <v>0.0109495523424657</v>
      </c>
      <c r="AC27" s="4">
        <v>0.00669719756824476</v>
      </c>
      <c r="AD27" s="4">
        <v>0.00429497180448113</v>
      </c>
      <c r="AE27" s="4">
        <v>0.00232991428661245</v>
      </c>
      <c r="AF27" s="4">
        <v>0.00137914208893652</v>
      </c>
      <c r="AG27" s="4">
        <v>9.31892395023028E-4</v>
      </c>
      <c r="AH27" s="4">
        <v>5.63461294709045E-4</v>
      </c>
      <c r="AI27" s="4">
        <v>4.05824107510028E-4</v>
      </c>
      <c r="AJ27" s="4">
        <v>2.50753107079367E-4</v>
      </c>
      <c r="AK27" s="4">
        <v>1.52504813662305E-4</v>
      </c>
      <c r="AL27" s="4">
        <v>1.09887783402106E-4</v>
      </c>
      <c r="AM27" s="10">
        <v>7.55192106116222E-5</v>
      </c>
      <c r="AN27" s="10">
        <v>5.60895107940689E-5</v>
      </c>
      <c r="AO27" s="10">
        <v>4.03257920741672E-5</v>
      </c>
      <c r="AP27" s="10">
        <v>2.94194983086538E-5</v>
      </c>
      <c r="AQ27" s="10">
        <v>2.96944468909777E-5</v>
      </c>
      <c r="AR27" s="10">
        <v>2.05294941468488E-5</v>
      </c>
      <c r="AS27" s="10">
        <v>2.2179185640792E-5</v>
      </c>
      <c r="AT27" s="10">
        <v>7.69856030506828E-5</v>
      </c>
    </row>
    <row r="28" ht="15.75" customHeight="1">
      <c r="A28" s="4">
        <v>2.0</v>
      </c>
      <c r="B28" s="4">
        <v>1.0</v>
      </c>
      <c r="C28" s="4">
        <v>2012.0</v>
      </c>
      <c r="D28" s="4">
        <v>1.0</v>
      </c>
      <c r="E28" s="4">
        <v>9.0</v>
      </c>
      <c r="F28" s="4">
        <v>0.0</v>
      </c>
      <c r="G28" s="4">
        <v>0.0</v>
      </c>
      <c r="H28" s="4">
        <v>0.0</v>
      </c>
      <c r="I28" s="4">
        <v>0.0</v>
      </c>
      <c r="J28" s="10">
        <v>3.27762491532802E-5</v>
      </c>
      <c r="K28" s="4">
        <v>0.00126850387348032</v>
      </c>
      <c r="L28" s="4">
        <v>0.0142762625999466</v>
      </c>
      <c r="M28" s="4">
        <v>0.067285857636782</v>
      </c>
      <c r="N28" s="4">
        <v>0.0828934452544193</v>
      </c>
      <c r="O28" s="4">
        <v>0.0860543573081791</v>
      </c>
      <c r="P28" s="4">
        <v>0.0856069404968207</v>
      </c>
      <c r="Q28" s="4">
        <v>0.0867940290078209</v>
      </c>
      <c r="R28" s="4">
        <v>0.0853260312332442</v>
      </c>
      <c r="S28" s="4">
        <v>0.0851237009259711</v>
      </c>
      <c r="T28" s="4">
        <v>0.0814020208658645</v>
      </c>
      <c r="U28" s="4">
        <v>0.0707338770268749</v>
      </c>
      <c r="V28" s="4">
        <v>0.0592115547203682</v>
      </c>
      <c r="W28" s="4">
        <v>0.0480848585494745</v>
      </c>
      <c r="X28" s="4">
        <v>0.0441957254728604</v>
      </c>
      <c r="Y28" s="4">
        <v>0.0330787991454644</v>
      </c>
      <c r="Z28" s="4">
        <v>0.0271698297147794</v>
      </c>
      <c r="AA28" s="4">
        <v>0.0183105776519767</v>
      </c>
      <c r="AB28" s="4">
        <v>0.0107224557646699</v>
      </c>
      <c r="AC28" s="4">
        <v>0.00576483797607502</v>
      </c>
      <c r="AD28" s="4">
        <v>0.00291204367477221</v>
      </c>
      <c r="AE28" s="4">
        <v>0.00140391600539884</v>
      </c>
      <c r="AF28" s="4">
        <v>8.11212166543686E-4</v>
      </c>
      <c r="AG28" s="4">
        <v>5.34084777869477E-4</v>
      </c>
      <c r="AH28" s="4">
        <v>3.09903637827489E-4</v>
      </c>
      <c r="AI28" s="4">
        <v>2.18508327688535E-4</v>
      </c>
      <c r="AJ28" s="4">
        <v>1.4780827743162E-4</v>
      </c>
      <c r="AK28" s="10">
        <v>9.26559351063883E-5</v>
      </c>
      <c r="AL28" s="10">
        <v>6.40817691778876E-5</v>
      </c>
      <c r="AM28" s="10">
        <v>3.82389573454936E-5</v>
      </c>
      <c r="AN28" s="10">
        <v>3.25661449920413E-5</v>
      </c>
      <c r="AO28" s="10">
        <v>2.39518743812432E-5</v>
      </c>
      <c r="AP28" s="10">
        <v>1.95396869952248E-5</v>
      </c>
      <c r="AQ28" s="10">
        <v>1.30264579968165E-5</v>
      </c>
      <c r="AR28" s="10">
        <v>1.26062496743386E-5</v>
      </c>
      <c r="AS28" s="10">
        <v>5.77786443407184E-6</v>
      </c>
      <c r="AT28" s="10">
        <v>2.36367181393848E-5</v>
      </c>
    </row>
    <row r="29" ht="15.75" customHeight="1">
      <c r="A29" s="4">
        <v>2.0</v>
      </c>
      <c r="B29" s="4">
        <v>1.0</v>
      </c>
      <c r="C29" s="4">
        <v>2013.0</v>
      </c>
      <c r="D29" s="4">
        <v>1.0</v>
      </c>
      <c r="E29" s="4">
        <v>8.0</v>
      </c>
      <c r="F29" s="4">
        <v>0.0</v>
      </c>
      <c r="G29" s="4">
        <v>0.0</v>
      </c>
      <c r="H29" s="4">
        <v>0.0</v>
      </c>
      <c r="I29" s="4">
        <v>0.0</v>
      </c>
      <c r="J29" s="10">
        <v>3.66652181642207E-5</v>
      </c>
      <c r="K29" s="4">
        <v>0.0012932822407016</v>
      </c>
      <c r="L29" s="4">
        <v>0.0154649445947814</v>
      </c>
      <c r="M29" s="4">
        <v>0.0745001432042191</v>
      </c>
      <c r="N29" s="4">
        <v>0.101851531791337</v>
      </c>
      <c r="O29" s="4">
        <v>0.0896846050526399</v>
      </c>
      <c r="P29" s="4">
        <v>0.085087255812116</v>
      </c>
      <c r="Q29" s="4">
        <v>0.0814041914393505</v>
      </c>
      <c r="R29" s="4">
        <v>0.0834750972801074</v>
      </c>
      <c r="S29" s="4">
        <v>0.0831078278389002</v>
      </c>
      <c r="T29" s="4">
        <v>0.0690157919687123</v>
      </c>
      <c r="U29" s="4">
        <v>0.0566192446718154</v>
      </c>
      <c r="V29" s="4">
        <v>0.0511584727516937</v>
      </c>
      <c r="W29" s="4">
        <v>0.0473877575206905</v>
      </c>
      <c r="X29" s="4">
        <v>0.040402724830624</v>
      </c>
      <c r="Y29" s="4">
        <v>0.0353250241965749</v>
      </c>
      <c r="Z29" s="4">
        <v>0.0286040551484386</v>
      </c>
      <c r="AA29" s="4">
        <v>0.0210120094020977</v>
      </c>
      <c r="AB29" s="4">
        <v>0.0132294773539811</v>
      </c>
      <c r="AC29" s="4">
        <v>0.00877249293855057</v>
      </c>
      <c r="AD29" s="4">
        <v>0.00530806190372726</v>
      </c>
      <c r="AE29" s="4">
        <v>0.00313987595551781</v>
      </c>
      <c r="AF29" s="4">
        <v>0.00173141307997709</v>
      </c>
      <c r="AG29" s="4">
        <v>8.58237699251387E-4</v>
      </c>
      <c r="AH29" s="4">
        <v>4.99980247693918E-4</v>
      </c>
      <c r="AI29" s="4">
        <v>3.03691706006676E-4</v>
      </c>
      <c r="AJ29" s="4">
        <v>1.94683666818101E-4</v>
      </c>
      <c r="AK29" s="4">
        <v>1.41228988484406E-4</v>
      </c>
      <c r="AL29" s="4">
        <v>1.07773520058467E-4</v>
      </c>
      <c r="AM29" s="10">
        <v>6.9626878938116E-5</v>
      </c>
      <c r="AN29" s="10">
        <v>4.83931499002509E-5</v>
      </c>
      <c r="AO29" s="10">
        <v>3.55541509471231E-5</v>
      </c>
      <c r="AP29" s="10">
        <v>2.61718055582989E-5</v>
      </c>
      <c r="AQ29" s="10">
        <v>2.86408438185158E-5</v>
      </c>
      <c r="AR29" s="10">
        <v>1.33328066051712E-5</v>
      </c>
      <c r="AS29" s="10">
        <v>1.23451913010844E-5</v>
      </c>
      <c r="AT29" s="10">
        <v>4.83931499002509E-5</v>
      </c>
    </row>
    <row r="30" ht="15.75" customHeight="1">
      <c r="A30" s="4">
        <v>2.0</v>
      </c>
      <c r="B30" s="4">
        <v>1.0</v>
      </c>
      <c r="C30" s="4">
        <v>2014.0</v>
      </c>
      <c r="D30" s="4">
        <v>1.0</v>
      </c>
      <c r="E30" s="4">
        <v>16.0</v>
      </c>
      <c r="F30" s="4">
        <v>0.0</v>
      </c>
      <c r="G30" s="4">
        <v>0.0</v>
      </c>
      <c r="H30" s="4">
        <v>0.0</v>
      </c>
      <c r="I30" s="4">
        <v>0.0</v>
      </c>
      <c r="J30" s="10">
        <v>3.04143036442419E-5</v>
      </c>
      <c r="K30" s="4">
        <v>0.0012176986014602</v>
      </c>
      <c r="L30" s="4">
        <v>0.0154099138464159</v>
      </c>
      <c r="M30" s="4">
        <v>0.0690279656142642</v>
      </c>
      <c r="N30" s="4">
        <v>0.0984950326683415</v>
      </c>
      <c r="O30" s="4">
        <v>0.0907616890617323</v>
      </c>
      <c r="P30" s="4">
        <v>0.0942829895503212</v>
      </c>
      <c r="Q30" s="4">
        <v>0.0907197849100446</v>
      </c>
      <c r="R30" s="4">
        <v>0.0845067059033713</v>
      </c>
      <c r="S30" s="4">
        <v>0.0811093155407404</v>
      </c>
      <c r="T30" s="4">
        <v>0.0717554527777384</v>
      </c>
      <c r="U30" s="4">
        <v>0.0589343593992927</v>
      </c>
      <c r="V30" s="4">
        <v>0.0502523148101212</v>
      </c>
      <c r="W30" s="4">
        <v>0.0428700874422494</v>
      </c>
      <c r="X30" s="4">
        <v>0.0378777484674007</v>
      </c>
      <c r="Y30" s="4">
        <v>0.0306035482002505</v>
      </c>
      <c r="Z30" s="4">
        <v>0.0268763316114332</v>
      </c>
      <c r="AA30" s="4">
        <v>0.019267010776351</v>
      </c>
      <c r="AB30" s="4">
        <v>0.0133359962745857</v>
      </c>
      <c r="AC30" s="4">
        <v>0.00963885605270551</v>
      </c>
      <c r="AD30" s="4">
        <v>0.00641020875251566</v>
      </c>
      <c r="AE30" s="4">
        <v>0.00301101606077994</v>
      </c>
      <c r="AF30" s="4">
        <v>0.0014634912331333</v>
      </c>
      <c r="AG30" s="4">
        <v>7.92799514993238E-4</v>
      </c>
      <c r="AH30" s="4">
        <v>4.71646997623854E-4</v>
      </c>
      <c r="AI30" s="4">
        <v>3.00763669370836E-4</v>
      </c>
      <c r="AJ30" s="4">
        <v>1.885686825943E-4</v>
      </c>
      <c r="AK30" s="4">
        <v>1.20305467748334E-4</v>
      </c>
      <c r="AL30" s="10">
        <v>7.11919996413365E-5</v>
      </c>
      <c r="AM30" s="10">
        <v>4.61846833116265E-5</v>
      </c>
      <c r="AN30" s="10">
        <v>4.01018225827782E-5</v>
      </c>
      <c r="AO30" s="10">
        <v>2.66969998655012E-5</v>
      </c>
      <c r="AP30" s="10">
        <v>1.75727087722286E-5</v>
      </c>
      <c r="AQ30" s="10">
        <v>1.80232910484396E-5</v>
      </c>
      <c r="AR30" s="10">
        <v>8.89899995516707E-6</v>
      </c>
      <c r="AS30" s="10">
        <v>8.67370881706157E-6</v>
      </c>
      <c r="AT30" s="10">
        <v>3.06395947823474E-5</v>
      </c>
    </row>
    <row r="31" ht="15.75" customHeight="1">
      <c r="A31" s="4">
        <v>2.0</v>
      </c>
      <c r="B31" s="4">
        <v>1.0</v>
      </c>
      <c r="C31" s="4">
        <v>2015.0</v>
      </c>
      <c r="D31" s="4">
        <v>1.0</v>
      </c>
      <c r="E31" s="4">
        <v>15.0</v>
      </c>
      <c r="F31" s="4">
        <v>0.0</v>
      </c>
      <c r="G31" s="4">
        <v>0.0</v>
      </c>
      <c r="H31" s="4">
        <v>0.0</v>
      </c>
      <c r="I31" s="4">
        <v>0.0</v>
      </c>
      <c r="J31" s="10">
        <v>4.09447314366824E-5</v>
      </c>
      <c r="K31" s="4">
        <v>0.00131561887063656</v>
      </c>
      <c r="L31" s="4">
        <v>0.0179414545412316</v>
      </c>
      <c r="M31" s="4">
        <v>0.086087854224305</v>
      </c>
      <c r="N31" s="4">
        <v>0.105433401778079</v>
      </c>
      <c r="O31" s="4">
        <v>0.0906193106128385</v>
      </c>
      <c r="P31" s="4">
        <v>0.0823635597636842</v>
      </c>
      <c r="Q31" s="4">
        <v>0.0752233732640242</v>
      </c>
      <c r="R31" s="4">
        <v>0.0688446151033621</v>
      </c>
      <c r="S31" s="4">
        <v>0.0678985763085882</v>
      </c>
      <c r="T31" s="4">
        <v>0.0716921894812027</v>
      </c>
      <c r="U31" s="4">
        <v>0.0633780145708172</v>
      </c>
      <c r="V31" s="4">
        <v>0.0575136994247265</v>
      </c>
      <c r="W31" s="4">
        <v>0.0467162624691373</v>
      </c>
      <c r="X31" s="4">
        <v>0.0360450119080927</v>
      </c>
      <c r="Y31" s="4">
        <v>0.0359202621707915</v>
      </c>
      <c r="Z31" s="4">
        <v>0.0306410256870723</v>
      </c>
      <c r="AA31" s="4">
        <v>0.0231732813359188</v>
      </c>
      <c r="AB31" s="4">
        <v>0.0153364357946504</v>
      </c>
      <c r="AC31" s="4">
        <v>0.0121584302508296</v>
      </c>
      <c r="AD31" s="4">
        <v>0.00612590648582504</v>
      </c>
      <c r="AE31" s="4">
        <v>0.00283380641259144</v>
      </c>
      <c r="AF31" s="4">
        <v>0.00148837690415449</v>
      </c>
      <c r="AG31" s="4">
        <v>6.62658153514728E-4</v>
      </c>
      <c r="AH31" s="4">
        <v>2.51415017593664E-4</v>
      </c>
      <c r="AI31" s="4">
        <v>1.26425837418528E-4</v>
      </c>
      <c r="AJ31" s="10">
        <v>7.32695194130106E-5</v>
      </c>
      <c r="AK31" s="10">
        <v>3.4240330967518E-5</v>
      </c>
      <c r="AL31" s="10">
        <v>1.8437101290202E-5</v>
      </c>
      <c r="AM31" s="10">
        <v>1.07749293254427E-5</v>
      </c>
      <c r="AN31" s="10">
        <v>6.82412190611373E-6</v>
      </c>
      <c r="AO31" s="10">
        <v>5.74662897356946E-6</v>
      </c>
      <c r="AP31" s="10">
        <v>7.18328621696182E-6</v>
      </c>
      <c r="AQ31" s="10">
        <v>2.51415017593664E-6</v>
      </c>
      <c r="AR31" s="10">
        <v>2.03526442813918E-6</v>
      </c>
      <c r="AS31" s="10">
        <v>2.03526442813918E-6</v>
      </c>
      <c r="AT31" s="10">
        <v>5.02830035187327E-6</v>
      </c>
    </row>
    <row r="32" ht="15.75" customHeight="1">
      <c r="A32" s="4">
        <v>2.0</v>
      </c>
      <c r="B32" s="4">
        <v>1.0</v>
      </c>
      <c r="C32" s="4">
        <v>2016.0</v>
      </c>
      <c r="D32" s="4">
        <v>1.0</v>
      </c>
      <c r="E32" s="4">
        <v>15.0</v>
      </c>
      <c r="F32" s="4">
        <v>0.0</v>
      </c>
      <c r="G32" s="4">
        <v>0.0</v>
      </c>
      <c r="H32" s="4">
        <v>0.0</v>
      </c>
      <c r="I32" s="4">
        <v>0.0</v>
      </c>
      <c r="J32" s="10">
        <v>2.70308146460033E-5</v>
      </c>
      <c r="K32" s="4">
        <v>8.03764491453033E-4</v>
      </c>
      <c r="L32" s="4">
        <v>0.0100351899373287</v>
      </c>
      <c r="M32" s="4">
        <v>0.0477909629872525</v>
      </c>
      <c r="N32" s="4">
        <v>0.0644234415729746</v>
      </c>
      <c r="O32" s="4">
        <v>0.0581735310723236</v>
      </c>
      <c r="P32" s="4">
        <v>0.0615946989998116</v>
      </c>
      <c r="Q32" s="4">
        <v>0.0656804549028668</v>
      </c>
      <c r="R32" s="4">
        <v>0.0625119768230072</v>
      </c>
      <c r="S32" s="4">
        <v>0.0654829529684742</v>
      </c>
      <c r="T32" s="4">
        <v>0.064673396159597</v>
      </c>
      <c r="U32" s="4">
        <v>0.066880510444755</v>
      </c>
      <c r="V32" s="4">
        <v>0.0672142122874682</v>
      </c>
      <c r="W32" s="4">
        <v>0.0649907668851282</v>
      </c>
      <c r="X32" s="4">
        <v>0.0610609208594061</v>
      </c>
      <c r="Y32" s="4">
        <v>0.0560348787611649</v>
      </c>
      <c r="Z32" s="4">
        <v>0.0517376228232753</v>
      </c>
      <c r="AA32" s="4">
        <v>0.0449712306856382</v>
      </c>
      <c r="AB32" s="4">
        <v>0.0328855603801627</v>
      </c>
      <c r="AC32" s="4">
        <v>0.0224247960098656</v>
      </c>
      <c r="AD32" s="4">
        <v>0.0143533625770278</v>
      </c>
      <c r="AE32" s="4">
        <v>0.00824697283033063</v>
      </c>
      <c r="AF32" s="4">
        <v>0.00415453967246697</v>
      </c>
      <c r="AG32" s="4">
        <v>0.00193149651439254</v>
      </c>
      <c r="AH32" s="4">
        <v>8.51551110202217E-4</v>
      </c>
      <c r="AI32" s="4">
        <v>4.08277929549008E-4</v>
      </c>
      <c r="AJ32" s="4">
        <v>2.09971506625204E-4</v>
      </c>
      <c r="AK32" s="4">
        <v>1.37165294557844E-4</v>
      </c>
      <c r="AL32" s="10">
        <v>9.12289994302612E-5</v>
      </c>
      <c r="AM32" s="10">
        <v>5.18090614048397E-5</v>
      </c>
      <c r="AN32" s="10">
        <v>4.00635288503264E-5</v>
      </c>
      <c r="AO32" s="10">
        <v>2.62263261148723E-5</v>
      </c>
      <c r="AP32" s="10">
        <v>2.5260939877515E-5</v>
      </c>
      <c r="AQ32" s="10">
        <v>1.31131630574361E-5</v>
      </c>
      <c r="AR32" s="10">
        <v>1.31936119105492E-5</v>
      </c>
      <c r="AS32" s="10">
        <v>1.23891233794182E-5</v>
      </c>
      <c r="AT32" s="10">
        <v>3.54779442228794E-5</v>
      </c>
    </row>
    <row r="33" ht="15.75" customHeight="1">
      <c r="A33" s="4">
        <v>2.0</v>
      </c>
      <c r="B33" s="4">
        <v>1.0</v>
      </c>
      <c r="C33" s="4">
        <v>2017.0</v>
      </c>
      <c r="D33" s="4">
        <v>1.0</v>
      </c>
      <c r="E33" s="4">
        <v>8.0</v>
      </c>
      <c r="F33" s="4">
        <v>0.0</v>
      </c>
      <c r="G33" s="4">
        <v>0.0</v>
      </c>
      <c r="H33" s="4">
        <v>0.0</v>
      </c>
      <c r="I33" s="4">
        <v>0.0</v>
      </c>
      <c r="J33" s="10">
        <v>2.92311823219831E-5</v>
      </c>
      <c r="K33" s="4">
        <v>9.06166651981477E-4</v>
      </c>
      <c r="L33" s="4">
        <v>0.0118371672812871</v>
      </c>
      <c r="M33" s="4">
        <v>0.0519243235312827</v>
      </c>
      <c r="N33" s="4">
        <v>0.0740359730065343</v>
      </c>
      <c r="O33" s="4">
        <v>0.064506259579302</v>
      </c>
      <c r="P33" s="4">
        <v>0.063341884150143</v>
      </c>
      <c r="Q33" s="4">
        <v>0.0693831343594592</v>
      </c>
      <c r="R33" s="4">
        <v>0.0737937021835275</v>
      </c>
      <c r="S33" s="4">
        <v>0.0758824789545927</v>
      </c>
      <c r="T33" s="4">
        <v>0.0753589623988166</v>
      </c>
      <c r="U33" s="4">
        <v>0.0712132847650279</v>
      </c>
      <c r="V33" s="4">
        <v>0.0657332036582407</v>
      </c>
      <c r="W33" s="4">
        <v>0.0584590239374152</v>
      </c>
      <c r="X33" s="4">
        <v>0.0549090360405166</v>
      </c>
      <c r="Y33" s="4">
        <v>0.0474172232074987</v>
      </c>
      <c r="Z33" s="4">
        <v>0.041884108384213</v>
      </c>
      <c r="AA33" s="4">
        <v>0.0338168588477708</v>
      </c>
      <c r="AB33" s="4">
        <v>0.0254593854297032</v>
      </c>
      <c r="AC33" s="4">
        <v>0.0176370514422874</v>
      </c>
      <c r="AD33" s="4">
        <v>0.0106495461023768</v>
      </c>
      <c r="AE33" s="4">
        <v>0.0058930063561118</v>
      </c>
      <c r="AF33" s="4">
        <v>0.00295708208213433</v>
      </c>
      <c r="AG33" s="4">
        <v>0.00149079029842114</v>
      </c>
      <c r="AH33" s="4">
        <v>7.06559435554221E-4</v>
      </c>
      <c r="AI33" s="4">
        <v>3.38176940244086E-4</v>
      </c>
      <c r="AJ33" s="4">
        <v>1.739255348158E-4</v>
      </c>
      <c r="AK33" s="10">
        <v>8.57448014778172E-5</v>
      </c>
      <c r="AL33" s="10">
        <v>5.89495510159993E-5</v>
      </c>
      <c r="AM33" s="10">
        <v>3.1736712235296E-5</v>
      </c>
      <c r="AN33" s="10">
        <v>2.42201224953575E-5</v>
      </c>
      <c r="AO33" s="10">
        <v>1.55899639050577E-5</v>
      </c>
      <c r="AP33" s="10">
        <v>8.07337416511915E-6</v>
      </c>
      <c r="AQ33" s="10">
        <v>7.79498195252883E-6</v>
      </c>
      <c r="AR33" s="10">
        <v>7.16859947420062E-6</v>
      </c>
      <c r="AS33" s="10">
        <v>7.44699168679094E-6</v>
      </c>
      <c r="AT33" s="10">
        <v>1.57291600113528E-5</v>
      </c>
    </row>
    <row r="34" ht="15.75" customHeight="1">
      <c r="A34" s="4">
        <v>2.0</v>
      </c>
      <c r="B34" s="4">
        <v>1.0</v>
      </c>
      <c r="C34" s="4">
        <v>2018.0</v>
      </c>
      <c r="D34" s="4">
        <v>1.0</v>
      </c>
      <c r="E34" s="4">
        <v>7.0</v>
      </c>
      <c r="F34" s="4">
        <v>0.0</v>
      </c>
      <c r="G34" s="4">
        <v>0.0</v>
      </c>
      <c r="H34" s="4">
        <v>0.0</v>
      </c>
      <c r="I34" s="4">
        <v>0.0</v>
      </c>
      <c r="J34" s="10">
        <v>2.06659828235545E-5</v>
      </c>
      <c r="K34" s="4">
        <v>7.5075640726194E-4</v>
      </c>
      <c r="L34" s="4">
        <v>0.0100873675950931</v>
      </c>
      <c r="M34" s="4">
        <v>0.0440947492258329</v>
      </c>
      <c r="N34" s="4">
        <v>0.0638859797451841</v>
      </c>
      <c r="O34" s="4">
        <v>0.0612077975336441</v>
      </c>
      <c r="P34" s="4">
        <v>0.0576929659237318</v>
      </c>
      <c r="Q34" s="4">
        <v>0.0617094857937513</v>
      </c>
      <c r="R34" s="4">
        <v>0.0612789444849273</v>
      </c>
      <c r="S34" s="4">
        <v>0.0585359658064092</v>
      </c>
      <c r="T34" s="4">
        <v>0.0613747399261406</v>
      </c>
      <c r="U34" s="4">
        <v>0.0660365335827603</v>
      </c>
      <c r="V34" s="4">
        <v>0.0678578309544132</v>
      </c>
      <c r="W34" s="4">
        <v>0.0593606676834617</v>
      </c>
      <c r="X34" s="4">
        <v>0.0514379541538087</v>
      </c>
      <c r="Y34" s="4">
        <v>0.0525019293632401</v>
      </c>
      <c r="Z34" s="4">
        <v>0.0524715762009681</v>
      </c>
      <c r="AA34" s="4">
        <v>0.0494252811703835</v>
      </c>
      <c r="AB34" s="4">
        <v>0.0411672835964838</v>
      </c>
      <c r="AC34" s="4">
        <v>0.0331870928021028</v>
      </c>
      <c r="AD34" s="4">
        <v>0.0220990395699753</v>
      </c>
      <c r="AE34" s="4">
        <v>0.0125616884969049</v>
      </c>
      <c r="AF34" s="4">
        <v>0.00622347461905167</v>
      </c>
      <c r="AG34" s="4">
        <v>0.00266160637115029</v>
      </c>
      <c r="AH34" s="4">
        <v>0.00118786347104556</v>
      </c>
      <c r="AI34" s="4">
        <v>5.28919997890347E-4</v>
      </c>
      <c r="AJ34" s="4">
        <v>2.55741537441487E-4</v>
      </c>
      <c r="AK34" s="4">
        <v>1.33037264426632E-4</v>
      </c>
      <c r="AL34" s="10">
        <v>7.91119654964195E-5</v>
      </c>
      <c r="AM34" s="10">
        <v>4.69290026618216E-5</v>
      </c>
      <c r="AN34" s="10">
        <v>3.84258118125466E-5</v>
      </c>
      <c r="AO34" s="10">
        <v>2.56172078750311E-5</v>
      </c>
      <c r="AP34" s="10">
        <v>1.21627919742795E-5</v>
      </c>
      <c r="AQ34" s="10">
        <v>1.19475213198674E-5</v>
      </c>
      <c r="AR34" s="10">
        <v>1.24856979558975E-5</v>
      </c>
      <c r="AS34" s="10">
        <v>1.20551566470734E-5</v>
      </c>
      <c r="AT34" s="10">
        <v>2.43255839485589E-5</v>
      </c>
    </row>
    <row r="35" ht="15.75" customHeight="1">
      <c r="A35" s="4">
        <v>2.0</v>
      </c>
      <c r="B35" s="4">
        <v>1.0</v>
      </c>
      <c r="C35" s="4">
        <v>2019.0</v>
      </c>
      <c r="D35" s="4">
        <v>1.0</v>
      </c>
      <c r="E35" s="4">
        <v>6.0</v>
      </c>
      <c r="F35" s="4">
        <v>0.0</v>
      </c>
      <c r="G35" s="4">
        <v>0.0</v>
      </c>
      <c r="H35" s="4">
        <v>0.0</v>
      </c>
      <c r="I35" s="4">
        <v>0.0</v>
      </c>
      <c r="J35" s="10">
        <v>2.8197231263648E-5</v>
      </c>
      <c r="K35" s="4">
        <v>7.85016068559186E-4</v>
      </c>
      <c r="L35" s="4">
        <v>0.00956208026039306</v>
      </c>
      <c r="M35" s="4">
        <v>0.0356103992418936</v>
      </c>
      <c r="N35" s="4">
        <v>0.0511837686951506</v>
      </c>
      <c r="O35" s="4">
        <v>0.0556702185736064</v>
      </c>
      <c r="P35" s="4">
        <v>0.0643154381772486</v>
      </c>
      <c r="Q35" s="4">
        <v>0.0691317570351448</v>
      </c>
      <c r="R35" s="4">
        <v>0.0756805961847472</v>
      </c>
      <c r="S35" s="4">
        <v>0.079867691895678</v>
      </c>
      <c r="T35" s="4">
        <v>0.0777986073915373</v>
      </c>
      <c r="U35" s="4">
        <v>0.0709704997733921</v>
      </c>
      <c r="V35" s="4">
        <v>0.0653322123109884</v>
      </c>
      <c r="W35" s="4">
        <v>0.0581959952206337</v>
      </c>
      <c r="X35" s="4">
        <v>0.0521343630258333</v>
      </c>
      <c r="Y35" s="4">
        <v>0.0428207789131062</v>
      </c>
      <c r="Z35" s="4">
        <v>0.0385408512216225</v>
      </c>
      <c r="AA35" s="4">
        <v>0.0376740760578468</v>
      </c>
      <c r="AB35" s="4">
        <v>0.0363946427835689</v>
      </c>
      <c r="AC35" s="4">
        <v>0.0275016995591447</v>
      </c>
      <c r="AD35" s="4">
        <v>0.0207449219232829</v>
      </c>
      <c r="AE35" s="4">
        <v>0.0147089118701331</v>
      </c>
      <c r="AF35" s="4">
        <v>0.00786947385769025</v>
      </c>
      <c r="AG35" s="4">
        <v>0.00423421985085081</v>
      </c>
      <c r="AH35" s="4">
        <v>0.00177294919863211</v>
      </c>
      <c r="AI35" s="4">
        <v>7.13814840756458E-4</v>
      </c>
      <c r="AJ35" s="4">
        <v>3.27293889827366E-4</v>
      </c>
      <c r="AK35" s="4">
        <v>1.62230645626468E-4</v>
      </c>
      <c r="AL35" s="10">
        <v>8.85830826912777E-5</v>
      </c>
      <c r="AM35" s="10">
        <v>4.63516130361337E-5</v>
      </c>
      <c r="AN35" s="10">
        <v>3.59225001030036E-5</v>
      </c>
      <c r="AO35" s="10">
        <v>2.2918297556755E-5</v>
      </c>
      <c r="AP35" s="10">
        <v>1.18454122203453E-5</v>
      </c>
      <c r="AQ35" s="10">
        <v>1.2231675662313E-5</v>
      </c>
      <c r="AR35" s="10">
        <v>1.15879032590334E-5</v>
      </c>
      <c r="AS35" s="10">
        <v>1.2360430142969E-5</v>
      </c>
      <c r="AT35" s="10">
        <v>2.54933871698735E-5</v>
      </c>
    </row>
    <row r="36" ht="15.75" customHeight="1">
      <c r="A36" s="4">
        <v>2.0</v>
      </c>
      <c r="B36" s="4">
        <v>1.0</v>
      </c>
      <c r="C36" s="4">
        <v>2020.0</v>
      </c>
      <c r="D36" s="4">
        <v>1.0</v>
      </c>
      <c r="E36" s="4">
        <v>10.0</v>
      </c>
      <c r="F36" s="4">
        <v>0.0</v>
      </c>
      <c r="G36" s="4">
        <v>0.0</v>
      </c>
      <c r="H36" s="4">
        <v>0.0</v>
      </c>
      <c r="I36" s="4">
        <v>0.0</v>
      </c>
      <c r="J36" s="10">
        <v>4.37062046988713E-5</v>
      </c>
      <c r="K36" s="4">
        <v>0.00144747430615617</v>
      </c>
      <c r="L36" s="4">
        <v>0.0168734147689062</v>
      </c>
      <c r="M36" s="4">
        <v>0.0644389243386069</v>
      </c>
      <c r="N36" s="4">
        <v>0.0785771766199063</v>
      </c>
      <c r="O36" s="4">
        <v>0.0636324743680341</v>
      </c>
      <c r="P36" s="4">
        <v>0.0584582236827162</v>
      </c>
      <c r="Q36" s="4">
        <v>0.0536411419820341</v>
      </c>
      <c r="R36" s="4">
        <v>0.0556328290305698</v>
      </c>
      <c r="S36" s="4">
        <v>0.0564778156547479</v>
      </c>
      <c r="T36" s="4">
        <v>0.049256892695628</v>
      </c>
      <c r="U36" s="4">
        <v>0.0502926827510722</v>
      </c>
      <c r="V36" s="4">
        <v>0.0525489568237526</v>
      </c>
      <c r="W36" s="4">
        <v>0.053267054466547</v>
      </c>
      <c r="X36" s="4">
        <v>0.0518073612214427</v>
      </c>
      <c r="Y36" s="4">
        <v>0.0542195050922428</v>
      </c>
      <c r="Z36" s="4">
        <v>0.0543570464819403</v>
      </c>
      <c r="AA36" s="4">
        <v>0.0538098573313555</v>
      </c>
      <c r="AB36" s="4">
        <v>0.0455507945208398</v>
      </c>
      <c r="AC36" s="4">
        <v>0.0323292759667726</v>
      </c>
      <c r="AD36" s="4">
        <v>0.0227715592603657</v>
      </c>
      <c r="AE36" s="4">
        <v>0.0127589220577382</v>
      </c>
      <c r="AF36" s="4">
        <v>0.00854981089625447</v>
      </c>
      <c r="AG36" s="4">
        <v>0.00518772284877356</v>
      </c>
      <c r="AH36" s="4">
        <v>0.00239679187058327</v>
      </c>
      <c r="AI36" s="4">
        <v>9.17360339485987E-4</v>
      </c>
      <c r="AJ36" s="4">
        <v>3.57168984635938E-4</v>
      </c>
      <c r="AK36" s="4">
        <v>1.78427839254532E-4</v>
      </c>
      <c r="AL36" s="10">
        <v>7.2687021434682E-5</v>
      </c>
      <c r="AM36" s="10">
        <v>5.24787762513329E-5</v>
      </c>
      <c r="AN36" s="10">
        <v>2.81975514186267E-5</v>
      </c>
      <c r="AO36" s="10">
        <v>1.59786124705551E-5</v>
      </c>
      <c r="AP36" s="10">
        <v>9.24253074277207E-6</v>
      </c>
      <c r="AQ36" s="10">
        <v>1.03391021868298E-5</v>
      </c>
      <c r="AR36" s="10">
        <v>1.15923266943243E-5</v>
      </c>
      <c r="AS36" s="4">
        <v>0.0</v>
      </c>
      <c r="AT36" s="10">
        <v>1.91116737392914E-5</v>
      </c>
    </row>
    <row r="37" ht="15.75" customHeight="1">
      <c r="A37" s="4">
        <v>2.0</v>
      </c>
      <c r="B37" s="4">
        <v>1.0</v>
      </c>
      <c r="C37" s="4">
        <v>2021.0</v>
      </c>
      <c r="D37" s="4">
        <v>1.0</v>
      </c>
      <c r="E37" s="4">
        <v>12.0</v>
      </c>
      <c r="F37" s="4">
        <v>0.0</v>
      </c>
      <c r="G37" s="4">
        <v>0.0</v>
      </c>
      <c r="H37" s="4">
        <v>0.0</v>
      </c>
      <c r="I37" s="4">
        <v>0.0</v>
      </c>
      <c r="J37" s="10">
        <v>3.90132021572955E-5</v>
      </c>
      <c r="K37" s="4">
        <v>0.00146441510166676</v>
      </c>
      <c r="L37" s="4">
        <v>0.0161384612924013</v>
      </c>
      <c r="M37" s="4">
        <v>0.0671687760452362</v>
      </c>
      <c r="N37" s="4">
        <v>0.0899799896652383</v>
      </c>
      <c r="O37" s="4">
        <v>0.0691251162361737</v>
      </c>
      <c r="P37" s="4">
        <v>0.0634626713161634</v>
      </c>
      <c r="Q37" s="4">
        <v>0.0673058454183329</v>
      </c>
      <c r="R37" s="4">
        <v>0.0633767226907211</v>
      </c>
      <c r="S37" s="4">
        <v>0.0660808906609419</v>
      </c>
      <c r="T37" s="4">
        <v>0.0645974921237427</v>
      </c>
      <c r="U37" s="4">
        <v>0.0628276978189826</v>
      </c>
      <c r="V37" s="4">
        <v>0.0571102457786893</v>
      </c>
      <c r="W37" s="4">
        <v>0.0516857664442515</v>
      </c>
      <c r="X37" s="4">
        <v>0.0427284249144587</v>
      </c>
      <c r="Y37" s="4">
        <v>0.0431835789396271</v>
      </c>
      <c r="Z37" s="4">
        <v>0.0371597013651482</v>
      </c>
      <c r="AA37" s="4">
        <v>0.0269415308690841</v>
      </c>
      <c r="AB37" s="4">
        <v>0.0272285245401263</v>
      </c>
      <c r="AC37" s="4">
        <v>0.0277152179739353</v>
      </c>
      <c r="AD37" s="4">
        <v>0.0218115189992052</v>
      </c>
      <c r="AE37" s="4">
        <v>0.0138665775391877</v>
      </c>
      <c r="AF37" s="4">
        <v>0.0088707950008692</v>
      </c>
      <c r="AG37" s="4">
        <v>0.00498890664828313</v>
      </c>
      <c r="AH37" s="4">
        <v>0.00283137193587545</v>
      </c>
      <c r="AI37" s="4">
        <v>0.00122420737803927</v>
      </c>
      <c r="AJ37" s="4">
        <v>5.59637658532239E-4</v>
      </c>
      <c r="AK37" s="4">
        <v>2.33481309462435E-4</v>
      </c>
      <c r="AL37" s="4">
        <v>1.07622626640815E-4</v>
      </c>
      <c r="AM37" s="10">
        <v>5.60534513754246E-5</v>
      </c>
      <c r="AN37" s="10">
        <v>3.18383603812412E-5</v>
      </c>
      <c r="AO37" s="10">
        <v>2.36171875128456E-5</v>
      </c>
      <c r="AP37" s="10">
        <v>1.24064972377607E-5</v>
      </c>
      <c r="AQ37" s="10">
        <v>1.37517800707708E-5</v>
      </c>
      <c r="AR37" s="10">
        <v>1.49475870334466E-5</v>
      </c>
      <c r="AS37" s="4">
        <v>0.0</v>
      </c>
      <c r="AT37" s="10">
        <v>3.31836432142514E-5</v>
      </c>
    </row>
    <row r="38" ht="15.75" customHeight="1">
      <c r="A38" s="4">
        <v>2.0</v>
      </c>
      <c r="B38" s="4">
        <v>1.0</v>
      </c>
      <c r="C38" s="4">
        <v>2022.0</v>
      </c>
      <c r="D38" s="4">
        <v>1.0</v>
      </c>
      <c r="E38" s="4">
        <v>17.0</v>
      </c>
      <c r="F38" s="4">
        <v>0.0</v>
      </c>
      <c r="G38" s="4">
        <v>0.0</v>
      </c>
      <c r="H38" s="4">
        <v>0.0</v>
      </c>
      <c r="I38" s="4">
        <v>0.0</v>
      </c>
      <c r="J38" s="10">
        <v>1.69823169052146E-5</v>
      </c>
      <c r="K38" s="4">
        <v>7.58157526685073E-4</v>
      </c>
      <c r="L38" s="4">
        <v>0.0107682041109815</v>
      </c>
      <c r="M38" s="4">
        <v>0.0451420860280432</v>
      </c>
      <c r="N38" s="4">
        <v>0.0649342044575751</v>
      </c>
      <c r="O38" s="4">
        <v>0.0568737793155637</v>
      </c>
      <c r="P38" s="4">
        <v>0.059118018225371</v>
      </c>
      <c r="Q38" s="4">
        <v>0.0563941575169074</v>
      </c>
      <c r="R38" s="4">
        <v>0.0592541340684446</v>
      </c>
      <c r="S38" s="4">
        <v>0.0520114332162025</v>
      </c>
      <c r="T38" s="4">
        <v>0.0517631311584217</v>
      </c>
      <c r="U38" s="4">
        <v>0.0448163343128613</v>
      </c>
      <c r="V38" s="4">
        <v>0.0487122321956167</v>
      </c>
      <c r="W38" s="4">
        <v>0.055969599594277</v>
      </c>
      <c r="X38" s="4">
        <v>0.0605023343609779</v>
      </c>
      <c r="Y38" s="4">
        <v>0.0592318769409855</v>
      </c>
      <c r="Z38" s="4">
        <v>0.0530728280227784</v>
      </c>
      <c r="AA38" s="4">
        <v>0.0524058861225009</v>
      </c>
      <c r="AB38" s="4">
        <v>0.043993849828202</v>
      </c>
      <c r="AC38" s="4">
        <v>0.0395186233619301</v>
      </c>
      <c r="AD38" s="4">
        <v>0.0316336821612726</v>
      </c>
      <c r="AE38" s="4">
        <v>0.0210410906455609</v>
      </c>
      <c r="AF38" s="4">
        <v>0.0146343829391527</v>
      </c>
      <c r="AG38" s="4">
        <v>0.00866548450871765</v>
      </c>
      <c r="AH38" s="4">
        <v>0.0047632825840808</v>
      </c>
      <c r="AI38" s="4">
        <v>0.00223703429051418</v>
      </c>
      <c r="AJ38" s="4">
        <v>9.65418985278261E-4</v>
      </c>
      <c r="AK38" s="4">
        <v>3.99856370768235E-4</v>
      </c>
      <c r="AL38" s="4">
        <v>1.77542404009062E-4</v>
      </c>
      <c r="AM38" s="10">
        <v>9.18588959872972E-5</v>
      </c>
      <c r="AN38" s="10">
        <v>4.67013714893402E-5</v>
      </c>
      <c r="AO38" s="10">
        <v>2.93330928362798E-5</v>
      </c>
      <c r="AP38" s="10">
        <v>1.35086611746025E-5</v>
      </c>
      <c r="AQ38" s="10">
        <v>1.45378925021913E-5</v>
      </c>
      <c r="AR38" s="10">
        <v>1.38946229224483E-5</v>
      </c>
      <c r="AS38" s="4">
        <v>0.0</v>
      </c>
      <c r="AT38" s="10">
        <v>1.45378925021913E-5</v>
      </c>
    </row>
    <row r="39" ht="15.75" customHeight="1">
      <c r="A39" s="4">
        <v>2.0</v>
      </c>
      <c r="B39" s="4">
        <v>1.0</v>
      </c>
      <c r="C39" s="4">
        <v>2023.0</v>
      </c>
      <c r="D39" s="4">
        <v>1.0</v>
      </c>
      <c r="E39" s="4">
        <v>2.0</v>
      </c>
      <c r="F39" s="4">
        <v>0.0</v>
      </c>
      <c r="G39" s="4">
        <v>0.0</v>
      </c>
      <c r="H39" s="4">
        <v>0.0</v>
      </c>
      <c r="I39" s="4">
        <v>0.0</v>
      </c>
      <c r="J39" s="10">
        <v>3.35655497790785E-5</v>
      </c>
      <c r="K39" s="4">
        <v>0.00138056565613079</v>
      </c>
      <c r="L39" s="4">
        <v>0.0158980307785146</v>
      </c>
      <c r="M39" s="4">
        <v>0.065635608378326</v>
      </c>
      <c r="N39" s="4">
        <v>0.0802245827154566</v>
      </c>
      <c r="O39" s="4">
        <v>0.0695529269433039</v>
      </c>
      <c r="P39" s="4">
        <v>0.0727693822351774</v>
      </c>
      <c r="Q39" s="4">
        <v>0.0684189951094629</v>
      </c>
      <c r="R39" s="4">
        <v>0.069614220555944</v>
      </c>
      <c r="S39" s="4">
        <v>0.0663076490597724</v>
      </c>
      <c r="T39" s="4">
        <v>0.0579616845600842</v>
      </c>
      <c r="U39" s="4">
        <v>0.0541222599611698</v>
      </c>
      <c r="V39" s="4">
        <v>0.051844180691381</v>
      </c>
      <c r="W39" s="4">
        <v>0.0480461657652918</v>
      </c>
      <c r="X39" s="4">
        <v>0.0483402291687911</v>
      </c>
      <c r="Y39" s="4">
        <v>0.0394637830454206</v>
      </c>
      <c r="Z39" s="4">
        <v>0.0380989056353822</v>
      </c>
      <c r="AA39" s="4">
        <v>0.0324845201704327</v>
      </c>
      <c r="AB39" s="4">
        <v>0.0263881771918076</v>
      </c>
      <c r="AC39" s="4">
        <v>0.0227169451847209</v>
      </c>
      <c r="AD39" s="4">
        <v>0.0230442092950669</v>
      </c>
      <c r="AE39" s="4">
        <v>0.0201575720140661</v>
      </c>
      <c r="AF39" s="4">
        <v>0.0126481923583283</v>
      </c>
      <c r="AG39" s="4">
        <v>0.00763433836007845</v>
      </c>
      <c r="AH39" s="4">
        <v>0.00376390211191155</v>
      </c>
      <c r="AI39" s="4">
        <v>0.00200134590557755</v>
      </c>
      <c r="AJ39" s="4">
        <v>8.82919896362716E-4</v>
      </c>
      <c r="AK39" s="4">
        <v>3.1723092970553E-4</v>
      </c>
      <c r="AL39" s="4">
        <v>1.17661845692965E-4</v>
      </c>
      <c r="AM39" s="10">
        <v>5.23549607967148E-5</v>
      </c>
      <c r="AN39" s="10">
        <v>2.62686911314527E-5</v>
      </c>
      <c r="AO39" s="10">
        <v>1.67827748895392E-5</v>
      </c>
      <c r="AP39" s="10">
        <v>9.85075917429477E-6</v>
      </c>
      <c r="AQ39" s="10">
        <v>1.02156021066761E-5</v>
      </c>
      <c r="AR39" s="10">
        <v>8.57380891096026E-6</v>
      </c>
      <c r="AS39" s="4">
        <v>0.0</v>
      </c>
      <c r="AT39" s="10">
        <v>6.20232985048189E-6</v>
      </c>
    </row>
    <row r="40" ht="15.75" customHeight="1">
      <c r="A40" s="4">
        <v>2.0</v>
      </c>
      <c r="B40" s="4">
        <v>1.0</v>
      </c>
      <c r="C40" s="4">
        <v>2024.0</v>
      </c>
      <c r="D40" s="4">
        <v>1.0</v>
      </c>
      <c r="E40" s="4">
        <v>9.0</v>
      </c>
      <c r="F40" s="4">
        <v>0.0</v>
      </c>
      <c r="G40" s="4">
        <v>0.0</v>
      </c>
      <c r="H40" s="4">
        <v>0.0</v>
      </c>
      <c r="I40" s="4">
        <v>0.0</v>
      </c>
      <c r="J40" s="10">
        <v>2.66912555739621E-5</v>
      </c>
      <c r="K40" s="4">
        <v>9.01571299387164E-4</v>
      </c>
      <c r="L40" s="4">
        <v>0.0110137676626706</v>
      </c>
      <c r="M40" s="4">
        <v>0.0464211186486448</v>
      </c>
      <c r="N40" s="4">
        <v>0.0559078004947274</v>
      </c>
      <c r="O40" s="4">
        <v>0.0548851299802361</v>
      </c>
      <c r="P40" s="4">
        <v>0.05678482242942</v>
      </c>
      <c r="Q40" s="4">
        <v>0.0641924696553788</v>
      </c>
      <c r="R40" s="4">
        <v>0.0679993511718244</v>
      </c>
      <c r="S40" s="4">
        <v>0.0723666666749047</v>
      </c>
      <c r="T40" s="4">
        <v>0.067630204516803</v>
      </c>
      <c r="U40" s="4">
        <v>0.0633696540360185</v>
      </c>
      <c r="V40" s="4">
        <v>0.0566460938047701</v>
      </c>
      <c r="W40" s="4">
        <v>0.0484003082016215</v>
      </c>
      <c r="X40" s="4">
        <v>0.0463708665933975</v>
      </c>
      <c r="Y40" s="4">
        <v>0.0432884384766971</v>
      </c>
      <c r="Z40" s="4">
        <v>0.0446024061507857</v>
      </c>
      <c r="AA40" s="4">
        <v>0.0420673135341883</v>
      </c>
      <c r="AB40" s="4">
        <v>0.0364574541798053</v>
      </c>
      <c r="AC40" s="4">
        <v>0.0332026038473138</v>
      </c>
      <c r="AD40" s="4">
        <v>0.0297558071398614</v>
      </c>
      <c r="AE40" s="4">
        <v>0.0219661619136049</v>
      </c>
      <c r="AF40" s="4">
        <v>0.0158578186472526</v>
      </c>
      <c r="AG40" s="4">
        <v>0.0101439952048006</v>
      </c>
      <c r="AH40" s="4">
        <v>0.00516632318151199</v>
      </c>
      <c r="AI40" s="4">
        <v>0.00256038340505784</v>
      </c>
      <c r="AJ40" s="4">
        <v>0.00116452959504175</v>
      </c>
      <c r="AK40" s="4">
        <v>4.62648429948676E-4</v>
      </c>
      <c r="AL40" s="4">
        <v>1.97713004251571E-4</v>
      </c>
      <c r="AM40" s="10">
        <v>8.97122756791503E-5</v>
      </c>
      <c r="AN40" s="10">
        <v>4.11902092190773E-5</v>
      </c>
      <c r="AO40" s="10">
        <v>1.94417787514045E-5</v>
      </c>
      <c r="AP40" s="10">
        <v>9.88565021257855E-6</v>
      </c>
      <c r="AQ40" s="10">
        <v>9.47374812038778E-6</v>
      </c>
      <c r="AR40" s="10">
        <v>9.72088937570224E-6</v>
      </c>
      <c r="AS40" s="4">
        <v>0.0</v>
      </c>
      <c r="AT40" s="10">
        <v>1.04623131416456E-5</v>
      </c>
    </row>
    <row r="41" ht="15.75" customHeight="1">
      <c r="A41" s="4">
        <v>2.0</v>
      </c>
      <c r="B41" s="4">
        <v>2.0</v>
      </c>
      <c r="C41" s="4">
        <v>1980.0</v>
      </c>
      <c r="D41" s="4">
        <v>1.0</v>
      </c>
      <c r="E41" s="4">
        <v>6.0</v>
      </c>
      <c r="F41" s="4">
        <v>0.0</v>
      </c>
      <c r="G41" s="4">
        <v>0.0</v>
      </c>
      <c r="H41" s="4">
        <v>0.0</v>
      </c>
      <c r="I41" s="4">
        <v>0.0</v>
      </c>
      <c r="J41" s="10">
        <v>1.05783830741879E-5</v>
      </c>
      <c r="K41" s="4">
        <v>7.21226174312792E-4</v>
      </c>
      <c r="L41" s="4">
        <v>0.00888713913118543</v>
      </c>
      <c r="M41" s="4">
        <v>0.0237855941383782</v>
      </c>
      <c r="N41" s="4">
        <v>0.0325884055931704</v>
      </c>
      <c r="O41" s="4">
        <v>0.0321860278520843</v>
      </c>
      <c r="P41" s="4">
        <v>0.0296963155791141</v>
      </c>
      <c r="Q41" s="4">
        <v>0.029233062237318</v>
      </c>
      <c r="R41" s="4">
        <v>0.0280162487955862</v>
      </c>
      <c r="S41" s="4">
        <v>0.0297591871011588</v>
      </c>
      <c r="T41" s="4">
        <v>0.0278403083299278</v>
      </c>
      <c r="U41" s="4">
        <v>0.0265186092220547</v>
      </c>
      <c r="V41" s="4">
        <v>0.0252374273172771</v>
      </c>
      <c r="W41" s="4">
        <v>0.0230289403603736</v>
      </c>
      <c r="X41" s="4">
        <v>0.023283220738421</v>
      </c>
      <c r="Y41" s="4">
        <v>0.0203871388816953</v>
      </c>
      <c r="Z41" s="4">
        <v>0.0189852037361651</v>
      </c>
      <c r="AA41" s="4">
        <v>0.0170739094660062</v>
      </c>
      <c r="AB41" s="4">
        <v>0.0182814418735314</v>
      </c>
      <c r="AC41" s="4">
        <v>0.0156921331259571</v>
      </c>
      <c r="AD41" s="4">
        <v>0.0170048505878238</v>
      </c>
      <c r="AE41" s="4">
        <v>0.0152220936516229</v>
      </c>
      <c r="AF41" s="4">
        <v>0.0149305893406823</v>
      </c>
      <c r="AG41" s="4">
        <v>0.0127647153042757</v>
      </c>
      <c r="AH41" s="4">
        <v>0.0132734756525041</v>
      </c>
      <c r="AI41" s="4">
        <v>0.0142592611997383</v>
      </c>
      <c r="AJ41" s="4">
        <v>0.0149734018533128</v>
      </c>
      <c r="AK41" s="4">
        <v>0.0144464786209381</v>
      </c>
      <c r="AL41" s="4">
        <v>0.0155013230463548</v>
      </c>
      <c r="AM41" s="4">
        <v>0.015188961357466</v>
      </c>
      <c r="AN41" s="4">
        <v>0.0160162707507209</v>
      </c>
      <c r="AO41" s="4">
        <v>0.0154418445905792</v>
      </c>
      <c r="AP41" s="4">
        <v>0.01419130007829</v>
      </c>
      <c r="AQ41" s="4">
        <v>0.0136125826872785</v>
      </c>
      <c r="AR41" s="4">
        <v>0.013760380662117</v>
      </c>
      <c r="AS41" s="4">
        <v>0.0133774631540447</v>
      </c>
      <c r="AT41" s="4">
        <v>0.334822889425459</v>
      </c>
    </row>
    <row r="42" ht="15.75" customHeight="1">
      <c r="A42" s="4">
        <v>2.0</v>
      </c>
      <c r="B42" s="4">
        <v>2.0</v>
      </c>
      <c r="C42" s="4">
        <v>1981.0</v>
      </c>
      <c r="D42" s="4">
        <v>1.0</v>
      </c>
      <c r="E42" s="4">
        <v>10.0</v>
      </c>
      <c r="F42" s="4">
        <v>0.0</v>
      </c>
      <c r="G42" s="4">
        <v>0.0</v>
      </c>
      <c r="H42" s="4">
        <v>0.0</v>
      </c>
      <c r="I42" s="4">
        <v>0.0</v>
      </c>
      <c r="J42" s="10">
        <v>1.04303665299419E-5</v>
      </c>
      <c r="K42" s="4">
        <v>8.44036238936092E-4</v>
      </c>
      <c r="L42" s="4">
        <v>0.00950027976713383</v>
      </c>
      <c r="M42" s="4">
        <v>0.0249814140475353</v>
      </c>
      <c r="N42" s="4">
        <v>0.0312007945743429</v>
      </c>
      <c r="O42" s="4">
        <v>0.0334622627280322</v>
      </c>
      <c r="P42" s="4">
        <v>0.0293045264908665</v>
      </c>
      <c r="Q42" s="4">
        <v>0.0279665575000717</v>
      </c>
      <c r="R42" s="4">
        <v>0.0275293055558034</v>
      </c>
      <c r="S42" s="4">
        <v>0.0254248418667227</v>
      </c>
      <c r="T42" s="4">
        <v>0.0245569255780996</v>
      </c>
      <c r="U42" s="4">
        <v>0.0228754407001411</v>
      </c>
      <c r="V42" s="4">
        <v>0.0245419662366291</v>
      </c>
      <c r="W42" s="4">
        <v>0.020433362515486</v>
      </c>
      <c r="X42" s="4">
        <v>0.0166910567978747</v>
      </c>
      <c r="Y42" s="4">
        <v>0.0143403815620215</v>
      </c>
      <c r="Z42" s="4">
        <v>0.0123756298877761</v>
      </c>
      <c r="AA42" s="4">
        <v>0.0145454206093338</v>
      </c>
      <c r="AB42" s="4">
        <v>0.0161624019048045</v>
      </c>
      <c r="AC42" s="4">
        <v>0.0178820399655963</v>
      </c>
      <c r="AD42" s="4">
        <v>0.0191594853821844</v>
      </c>
      <c r="AE42" s="4">
        <v>0.0162796062866015</v>
      </c>
      <c r="AF42" s="4">
        <v>0.0141328721647416</v>
      </c>
      <c r="AG42" s="4">
        <v>0.0154207479478597</v>
      </c>
      <c r="AH42" s="4">
        <v>0.0173543457641801</v>
      </c>
      <c r="AI42" s="4">
        <v>0.0182079889196569</v>
      </c>
      <c r="AJ42" s="4">
        <v>0.0173874210054132</v>
      </c>
      <c r="AK42" s="4">
        <v>0.0163814396019333</v>
      </c>
      <c r="AL42" s="4">
        <v>0.0147537534566029</v>
      </c>
      <c r="AM42" s="4">
        <v>0.0158936827249936</v>
      </c>
      <c r="AN42" s="4">
        <v>0.017289155973368</v>
      </c>
      <c r="AO42" s="4">
        <v>0.0156653125946539</v>
      </c>
      <c r="AP42" s="4">
        <v>0.0133748864496775</v>
      </c>
      <c r="AQ42" s="4">
        <v>0.0143711236949519</v>
      </c>
      <c r="AR42" s="4">
        <v>0.0150567830526307</v>
      </c>
      <c r="AS42" s="4">
        <v>0.0136912284871975</v>
      </c>
      <c r="AT42" s="4">
        <v>0.350951091599616</v>
      </c>
    </row>
    <row r="43" ht="15.75" customHeight="1">
      <c r="A43" s="4">
        <v>2.0</v>
      </c>
      <c r="B43" s="4">
        <v>2.0</v>
      </c>
      <c r="C43" s="4">
        <v>1984.0</v>
      </c>
      <c r="D43" s="4">
        <v>1.0</v>
      </c>
      <c r="E43" s="4">
        <v>9.0</v>
      </c>
      <c r="F43" s="4">
        <v>0.0</v>
      </c>
      <c r="G43" s="4">
        <v>0.0</v>
      </c>
      <c r="H43" s="4">
        <v>0.0</v>
      </c>
      <c r="I43" s="4">
        <v>0.0</v>
      </c>
      <c r="J43" s="10">
        <v>8.75081458813827E-6</v>
      </c>
      <c r="K43" s="4">
        <v>8.41271493359657E-4</v>
      </c>
      <c r="L43" s="4">
        <v>0.00928461427801471</v>
      </c>
      <c r="M43" s="4">
        <v>0.0297368590276917</v>
      </c>
      <c r="N43" s="4">
        <v>0.0384704371628533</v>
      </c>
      <c r="O43" s="4">
        <v>0.0390443447529254</v>
      </c>
      <c r="P43" s="4">
        <v>0.0366234849323569</v>
      </c>
      <c r="Q43" s="4">
        <v>0.03503507949651</v>
      </c>
      <c r="R43" s="4">
        <v>0.0315425100650941</v>
      </c>
      <c r="S43" s="4">
        <v>0.0299960024687904</v>
      </c>
      <c r="T43" s="4">
        <v>0.0261838294227578</v>
      </c>
      <c r="U43" s="4">
        <v>0.0233050103054101</v>
      </c>
      <c r="V43" s="4">
        <v>0.0217716289309886</v>
      </c>
      <c r="W43" s="4">
        <v>0.0190978573100129</v>
      </c>
      <c r="X43" s="4">
        <v>0.0198277547995235</v>
      </c>
      <c r="Y43" s="4">
        <v>0.0193661493299992</v>
      </c>
      <c r="Z43" s="4">
        <v>0.0199795681738177</v>
      </c>
      <c r="AA43" s="4">
        <v>0.0179781508070306</v>
      </c>
      <c r="AB43" s="4">
        <v>0.0165589940806043</v>
      </c>
      <c r="AC43" s="4">
        <v>0.0169144627762224</v>
      </c>
      <c r="AD43" s="4">
        <v>0.0161819798187653</v>
      </c>
      <c r="AE43" s="4">
        <v>0.0161014988421744</v>
      </c>
      <c r="AF43" s="4">
        <v>0.0164795738088119</v>
      </c>
      <c r="AG43" s="4">
        <v>0.0161428663293183</v>
      </c>
      <c r="AH43" s="4">
        <v>0.0163544769366315</v>
      </c>
      <c r="AI43" s="4">
        <v>0.015399511147676</v>
      </c>
      <c r="AJ43" s="4">
        <v>0.0156018405880017</v>
      </c>
      <c r="AK43" s="4">
        <v>0.0158799441273747</v>
      </c>
      <c r="AL43" s="4">
        <v>0.0153888378056404</v>
      </c>
      <c r="AM43" s="4">
        <v>0.0155459547039275</v>
      </c>
      <c r="AN43" s="4">
        <v>0.0150006861434166</v>
      </c>
      <c r="AO43" s="4">
        <v>0.0139822106546471</v>
      </c>
      <c r="AP43" s="4">
        <v>0.0140713098577263</v>
      </c>
      <c r="AQ43" s="4">
        <v>0.0135040979666952</v>
      </c>
      <c r="AR43" s="4">
        <v>0.0134871266899182</v>
      </c>
      <c r="AS43" s="4">
        <v>0.0130071577685688</v>
      </c>
      <c r="AT43" s="4">
        <v>0.306304166382155</v>
      </c>
    </row>
    <row r="44" ht="15.75" customHeight="1">
      <c r="A44" s="4">
        <v>2.0</v>
      </c>
      <c r="B44" s="4">
        <v>2.0</v>
      </c>
      <c r="C44" s="4">
        <v>1988.0</v>
      </c>
      <c r="D44" s="4">
        <v>1.0</v>
      </c>
      <c r="E44" s="4">
        <v>6.0</v>
      </c>
      <c r="F44" s="4">
        <v>0.0</v>
      </c>
      <c r="G44" s="4">
        <v>0.0</v>
      </c>
      <c r="H44" s="4">
        <v>0.0</v>
      </c>
      <c r="I44" s="4">
        <v>0.0</v>
      </c>
      <c r="J44" s="10">
        <v>1.01401607254982E-5</v>
      </c>
      <c r="K44" s="4">
        <v>9.13272917290001E-4</v>
      </c>
      <c r="L44" s="4">
        <v>0.0102971356811449</v>
      </c>
      <c r="M44" s="4">
        <v>0.0342747967753762</v>
      </c>
      <c r="N44" s="4">
        <v>0.0420059450313739</v>
      </c>
      <c r="O44" s="4">
        <v>0.0382027263073169</v>
      </c>
      <c r="P44" s="4">
        <v>0.0317676749585965</v>
      </c>
      <c r="Q44" s="4">
        <v>0.0310989511123098</v>
      </c>
      <c r="R44" s="4">
        <v>0.0301755380342943</v>
      </c>
      <c r="S44" s="4">
        <v>0.026578283094324</v>
      </c>
      <c r="T44" s="4">
        <v>0.0274434890159672</v>
      </c>
      <c r="U44" s="4">
        <v>0.0213464869215631</v>
      </c>
      <c r="V44" s="4">
        <v>0.0237726191429378</v>
      </c>
      <c r="W44" s="4">
        <v>0.025831335151012</v>
      </c>
      <c r="X44" s="4">
        <v>0.0272765055899941</v>
      </c>
      <c r="Y44" s="4">
        <v>0.0294359647533281</v>
      </c>
      <c r="Z44" s="4">
        <v>0.024889485417132</v>
      </c>
      <c r="AA44" s="4">
        <v>0.0237000577330709</v>
      </c>
      <c r="AB44" s="4">
        <v>0.0229918267670745</v>
      </c>
      <c r="AC44" s="4">
        <v>0.0211086540609105</v>
      </c>
      <c r="AD44" s="4">
        <v>0.0216654410680197</v>
      </c>
      <c r="AE44" s="4">
        <v>0.0209327156878032</v>
      </c>
      <c r="AF44" s="4">
        <v>0.0187382268783265</v>
      </c>
      <c r="AG44" s="4">
        <v>0.0163751743580883</v>
      </c>
      <c r="AH44" s="4">
        <v>0.0168295062347503</v>
      </c>
      <c r="AI44" s="4">
        <v>0.0170344164956447</v>
      </c>
      <c r="AJ44" s="4">
        <v>0.0168774415399981</v>
      </c>
      <c r="AK44" s="4">
        <v>0.0148849658026372</v>
      </c>
      <c r="AL44" s="4">
        <v>0.0135555512244047</v>
      </c>
      <c r="AM44" s="4">
        <v>0.0135605554595679</v>
      </c>
      <c r="AN44" s="4">
        <v>0.01252586399437</v>
      </c>
      <c r="AO44" s="4">
        <v>0.0117146511363301</v>
      </c>
      <c r="AP44" s="4">
        <v>0.0102922631363807</v>
      </c>
      <c r="AQ44" s="4">
        <v>0.0110309145845537</v>
      </c>
      <c r="AR44" s="4">
        <v>0.0112168614279875</v>
      </c>
      <c r="AS44" s="4">
        <v>0.0105366805169849</v>
      </c>
      <c r="AT44" s="4">
        <v>0.269107881828411</v>
      </c>
    </row>
    <row r="45" ht="15.75" customHeight="1">
      <c r="A45" s="4">
        <v>2.0</v>
      </c>
      <c r="B45" s="4">
        <v>2.0</v>
      </c>
      <c r="C45" s="4">
        <v>1990.0</v>
      </c>
      <c r="D45" s="4">
        <v>1.0</v>
      </c>
      <c r="E45" s="4">
        <v>6.0</v>
      </c>
      <c r="F45" s="4">
        <v>0.0</v>
      </c>
      <c r="G45" s="4">
        <v>0.0</v>
      </c>
      <c r="H45" s="4">
        <v>0.0</v>
      </c>
      <c r="I45" s="4">
        <v>0.0</v>
      </c>
      <c r="J45" s="10">
        <v>1.23703014392109E-5</v>
      </c>
      <c r="K45" s="4">
        <v>0.00102644048846786</v>
      </c>
      <c r="L45" s="4">
        <v>0.0136691830903281</v>
      </c>
      <c r="M45" s="4">
        <v>0.0426510321764794</v>
      </c>
      <c r="N45" s="4">
        <v>0.050836048295424</v>
      </c>
      <c r="O45" s="4">
        <v>0.0513449978403515</v>
      </c>
      <c r="P45" s="4">
        <v>0.0559660417553634</v>
      </c>
      <c r="Q45" s="4">
        <v>0.060064587700062</v>
      </c>
      <c r="R45" s="4">
        <v>0.0622022936011523</v>
      </c>
      <c r="S45" s="4">
        <v>0.0535510349303442</v>
      </c>
      <c r="T45" s="4">
        <v>0.0552409064662364</v>
      </c>
      <c r="U45" s="4">
        <v>0.0498891311733511</v>
      </c>
      <c r="V45" s="4">
        <v>0.0437892471743802</v>
      </c>
      <c r="W45" s="4">
        <v>0.0433146104893971</v>
      </c>
      <c r="X45" s="4">
        <v>0.0424734299915308</v>
      </c>
      <c r="Y45" s="4">
        <v>0.0403952193497433</v>
      </c>
      <c r="Z45" s="4">
        <v>0.0352023435241546</v>
      </c>
      <c r="AA45" s="4">
        <v>0.0305942589725552</v>
      </c>
      <c r="AB45" s="4">
        <v>0.028971245970632</v>
      </c>
      <c r="AC45" s="4">
        <v>0.0237677670295239</v>
      </c>
      <c r="AD45" s="4">
        <v>0.0223990815345712</v>
      </c>
      <c r="AE45" s="4">
        <v>0.0188764909342626</v>
      </c>
      <c r="AF45" s="4">
        <v>0.0157475409976088</v>
      </c>
      <c r="AG45" s="4">
        <v>0.0149009116764895</v>
      </c>
      <c r="AH45" s="4">
        <v>0.0145594029974713</v>
      </c>
      <c r="AI45" s="4">
        <v>0.0121287860301597</v>
      </c>
      <c r="AJ45" s="4">
        <v>0.0111558029157684</v>
      </c>
      <c r="AK45" s="4">
        <v>0.00918200350874764</v>
      </c>
      <c r="AL45" s="4">
        <v>0.00726136694481682</v>
      </c>
      <c r="AM45" s="4">
        <v>0.00766899783033748</v>
      </c>
      <c r="AN45" s="4">
        <v>0.00601903524313606</v>
      </c>
      <c r="AO45" s="4">
        <v>0.0065938124635794</v>
      </c>
      <c r="AP45" s="4">
        <v>0.00487596048395564</v>
      </c>
      <c r="AQ45" s="4">
        <v>0.00345367034943303</v>
      </c>
      <c r="AR45" s="4">
        <v>0.00240911620528633</v>
      </c>
      <c r="AS45" s="4">
        <v>0.00206039151709524</v>
      </c>
      <c r="AT45" s="4">
        <v>0.0557454380463641</v>
      </c>
    </row>
    <row r="46" ht="15.75" customHeight="1">
      <c r="A46" s="4">
        <v>2.0</v>
      </c>
      <c r="B46" s="4">
        <v>2.0</v>
      </c>
      <c r="C46" s="4">
        <v>1992.0</v>
      </c>
      <c r="D46" s="4">
        <v>1.0</v>
      </c>
      <c r="E46" s="4">
        <v>6.0</v>
      </c>
      <c r="F46" s="4">
        <v>0.0</v>
      </c>
      <c r="G46" s="4">
        <v>0.0</v>
      </c>
      <c r="H46" s="4">
        <v>0.0</v>
      </c>
      <c r="I46" s="4">
        <v>0.0</v>
      </c>
      <c r="J46" s="10">
        <v>1.18439679544943E-5</v>
      </c>
      <c r="K46" s="4">
        <v>0.00117371780794948</v>
      </c>
      <c r="L46" s="4">
        <v>0.0139716105913033</v>
      </c>
      <c r="M46" s="4">
        <v>0.0409693530533458</v>
      </c>
      <c r="N46" s="4">
        <v>0.0507888762229625</v>
      </c>
      <c r="O46" s="4">
        <v>0.0510861404022794</v>
      </c>
      <c r="P46" s="4">
        <v>0.0476570204343397</v>
      </c>
      <c r="Q46" s="4">
        <v>0.0441880969675365</v>
      </c>
      <c r="R46" s="4">
        <v>0.0402512396848262</v>
      </c>
      <c r="S46" s="4">
        <v>0.0361547800798439</v>
      </c>
      <c r="T46" s="4">
        <v>0.0380247678727904</v>
      </c>
      <c r="U46" s="4">
        <v>0.0343063444253064</v>
      </c>
      <c r="V46" s="4">
        <v>0.0320122066652027</v>
      </c>
      <c r="W46" s="4">
        <v>0.0314090380348644</v>
      </c>
      <c r="X46" s="4">
        <v>0.0311577905835018</v>
      </c>
      <c r="Y46" s="4">
        <v>0.0314496181873642</v>
      </c>
      <c r="Z46" s="4">
        <v>0.027454706045336</v>
      </c>
      <c r="AA46" s="4">
        <v>0.0251360066139824</v>
      </c>
      <c r="AB46" s="4">
        <v>0.024738554115575</v>
      </c>
      <c r="AC46" s="4">
        <v>0.0248496155855745</v>
      </c>
      <c r="AD46" s="4">
        <v>0.0237504565267156</v>
      </c>
      <c r="AE46" s="4">
        <v>0.0203565772175257</v>
      </c>
      <c r="AF46" s="4">
        <v>0.0182279637636713</v>
      </c>
      <c r="AG46" s="4">
        <v>0.016963086235154</v>
      </c>
      <c r="AH46" s="4">
        <v>0.0146923451658457</v>
      </c>
      <c r="AI46" s="4">
        <v>0.0142519825540294</v>
      </c>
      <c r="AJ46" s="4">
        <v>0.0124594659613098</v>
      </c>
      <c r="AK46" s="4">
        <v>0.0121064768835841</v>
      </c>
      <c r="AL46" s="4">
        <v>0.012344424141424</v>
      </c>
      <c r="AM46" s="4">
        <v>0.0111995395997244</v>
      </c>
      <c r="AN46" s="4">
        <v>0.0102712443408647</v>
      </c>
      <c r="AO46" s="4">
        <v>0.00875492519757583</v>
      </c>
      <c r="AP46" s="4">
        <v>0.00804409295689709</v>
      </c>
      <c r="AQ46" s="4">
        <v>0.00774779959462564</v>
      </c>
      <c r="AR46" s="4">
        <v>0.00803836513632893</v>
      </c>
      <c r="AS46" s="4">
        <v>0.0078395418054207</v>
      </c>
      <c r="AT46" s="4">
        <v>0.166160385577464</v>
      </c>
    </row>
    <row r="47" ht="15.75" customHeight="1">
      <c r="A47" s="4">
        <v>2.0</v>
      </c>
      <c r="B47" s="4">
        <v>2.0</v>
      </c>
      <c r="C47" s="4">
        <v>1993.0</v>
      </c>
      <c r="D47" s="4">
        <v>1.0</v>
      </c>
      <c r="E47" s="4">
        <v>6.0</v>
      </c>
      <c r="F47" s="4">
        <v>0.0</v>
      </c>
      <c r="G47" s="4">
        <v>0.0</v>
      </c>
      <c r="H47" s="4">
        <v>0.0</v>
      </c>
      <c r="I47" s="4">
        <v>0.0</v>
      </c>
      <c r="J47" s="10">
        <v>8.15163741125516E-6</v>
      </c>
      <c r="K47" s="4">
        <v>9.68496040831226E-4</v>
      </c>
      <c r="L47" s="4">
        <v>0.0101940301646451</v>
      </c>
      <c r="M47" s="4">
        <v>0.0298858591426401</v>
      </c>
      <c r="N47" s="4">
        <v>0.0433028021905732</v>
      </c>
      <c r="O47" s="4">
        <v>0.0459140977188947</v>
      </c>
      <c r="P47" s="4">
        <v>0.042555949170954</v>
      </c>
      <c r="Q47" s="4">
        <v>0.0421678497138042</v>
      </c>
      <c r="R47" s="4">
        <v>0.042857233689674</v>
      </c>
      <c r="S47" s="4">
        <v>0.0418037160706434</v>
      </c>
      <c r="T47" s="4">
        <v>0.0386421850170622</v>
      </c>
      <c r="U47" s="4">
        <v>0.0366469087279093</v>
      </c>
      <c r="V47" s="4">
        <v>0.0332334105619462</v>
      </c>
      <c r="W47" s="4">
        <v>0.0335350211461626</v>
      </c>
      <c r="X47" s="4">
        <v>0.0307897126988001</v>
      </c>
      <c r="Y47" s="4">
        <v>0.0290133078741394</v>
      </c>
      <c r="Z47" s="4">
        <v>0.0290568376179155</v>
      </c>
      <c r="AA47" s="4">
        <v>0.0266227586869147</v>
      </c>
      <c r="AB47" s="4">
        <v>0.0255961414713412</v>
      </c>
      <c r="AC47" s="4">
        <v>0.0244679548536235</v>
      </c>
      <c r="AD47" s="4">
        <v>0.0240342877433447</v>
      </c>
      <c r="AE47" s="4">
        <v>0.0222177768626206</v>
      </c>
      <c r="AF47" s="4">
        <v>0.0206885296842691</v>
      </c>
      <c r="AG47" s="4">
        <v>0.0182619502596867</v>
      </c>
      <c r="AH47" s="4">
        <v>0.0167312357866012</v>
      </c>
      <c r="AI47" s="4">
        <v>0.0154551784662433</v>
      </c>
      <c r="AJ47" s="4">
        <v>0.0154277074481674</v>
      </c>
      <c r="AK47" s="4">
        <v>0.0133931402666922</v>
      </c>
      <c r="AL47" s="4">
        <v>0.0122621820922547</v>
      </c>
      <c r="AM47" s="4">
        <v>0.0105838414656514</v>
      </c>
      <c r="AN47" s="4">
        <v>0.0096034440341997</v>
      </c>
      <c r="AO47" s="4">
        <v>0.00815163741125516</v>
      </c>
      <c r="AP47" s="4">
        <v>0.0083077412676807</v>
      </c>
      <c r="AQ47" s="4">
        <v>0.00849759290298883</v>
      </c>
      <c r="AR47" s="4">
        <v>0.00790676222342106</v>
      </c>
      <c r="AS47" s="4">
        <v>0.00744505348044756</v>
      </c>
      <c r="AT47" s="4">
        <v>0.17376951440859</v>
      </c>
    </row>
    <row r="48" ht="15.75" customHeight="1">
      <c r="A48" s="4">
        <v>2.0</v>
      </c>
      <c r="B48" s="4">
        <v>2.0</v>
      </c>
      <c r="C48" s="4">
        <v>1994.0</v>
      </c>
      <c r="D48" s="4">
        <v>1.0</v>
      </c>
      <c r="E48" s="4">
        <v>12.0</v>
      </c>
      <c r="F48" s="4">
        <v>0.0</v>
      </c>
      <c r="G48" s="4">
        <v>0.0</v>
      </c>
      <c r="H48" s="4">
        <v>0.0</v>
      </c>
      <c r="I48" s="4">
        <v>0.0</v>
      </c>
      <c r="J48" s="10">
        <v>1.08821299145787E-5</v>
      </c>
      <c r="K48" s="4">
        <v>0.00111352027032898</v>
      </c>
      <c r="L48" s="4">
        <v>0.0123372984496677</v>
      </c>
      <c r="M48" s="4">
        <v>0.0369160651196777</v>
      </c>
      <c r="N48" s="4">
        <v>0.0506523499453405</v>
      </c>
      <c r="O48" s="4">
        <v>0.0520236670297699</v>
      </c>
      <c r="P48" s="4">
        <v>0.0535083607235419</v>
      </c>
      <c r="Q48" s="4">
        <v>0.0496630040566724</v>
      </c>
      <c r="R48" s="4">
        <v>0.0495805023275526</v>
      </c>
      <c r="S48" s="4">
        <v>0.044392341443782</v>
      </c>
      <c r="T48" s="4">
        <v>0.0449446306263459</v>
      </c>
      <c r="U48" s="4">
        <v>0.0399156525266745</v>
      </c>
      <c r="V48" s="4">
        <v>0.0375397208286582</v>
      </c>
      <c r="W48" s="4">
        <v>0.0329434971976828</v>
      </c>
      <c r="X48" s="4">
        <v>0.0330163821608316</v>
      </c>
      <c r="Y48" s="4">
        <v>0.0297133604801702</v>
      </c>
      <c r="Z48" s="4">
        <v>0.0291215919425673</v>
      </c>
      <c r="AA48" s="4">
        <v>0.0267447323109924</v>
      </c>
      <c r="AB48" s="4">
        <v>0.0230777076025681</v>
      </c>
      <c r="AC48" s="4">
        <v>0.020620370824183</v>
      </c>
      <c r="AD48" s="4">
        <v>0.0185227348361527</v>
      </c>
      <c r="AE48" s="4">
        <v>0.0179631065427161</v>
      </c>
      <c r="AF48" s="4">
        <v>0.0151624343476463</v>
      </c>
      <c r="AG48" s="4">
        <v>0.0154759071752631</v>
      </c>
      <c r="AH48" s="4">
        <v>0.0134441544698939</v>
      </c>
      <c r="AI48" s="4">
        <v>0.0129151479838914</v>
      </c>
      <c r="AJ48" s="4">
        <v>0.0132230532101566</v>
      </c>
      <c r="AK48" s="4">
        <v>0.0124256208529278</v>
      </c>
      <c r="AL48" s="4">
        <v>0.0108348896606859</v>
      </c>
      <c r="AM48" s="4">
        <v>0.0107682471596586</v>
      </c>
      <c r="AN48" s="4">
        <v>0.010028515398256</v>
      </c>
      <c r="AO48" s="4">
        <v>0.00993428796325923</v>
      </c>
      <c r="AP48" s="4">
        <v>0.00911028296321579</v>
      </c>
      <c r="AQ48" s="4">
        <v>0.008210356126559</v>
      </c>
      <c r="AR48" s="4">
        <v>0.00719232865517036</v>
      </c>
      <c r="AS48" s="4">
        <v>0.00692407149913656</v>
      </c>
      <c r="AT48" s="4">
        <v>0.140029223158488</v>
      </c>
    </row>
    <row r="49" ht="15.75" customHeight="1">
      <c r="A49" s="4">
        <v>2.0</v>
      </c>
      <c r="B49" s="4">
        <v>2.0</v>
      </c>
      <c r="C49" s="4">
        <v>1995.0</v>
      </c>
      <c r="D49" s="4">
        <v>1.0</v>
      </c>
      <c r="E49" s="4">
        <v>15.0</v>
      </c>
      <c r="F49" s="4">
        <v>0.0</v>
      </c>
      <c r="G49" s="4">
        <v>0.0</v>
      </c>
      <c r="H49" s="4">
        <v>0.0</v>
      </c>
      <c r="I49" s="4">
        <v>0.0</v>
      </c>
      <c r="J49" s="10">
        <v>7.14643680917464E-6</v>
      </c>
      <c r="K49" s="4">
        <v>8.21313653500723E-4</v>
      </c>
      <c r="L49" s="4">
        <v>0.00966980603366889</v>
      </c>
      <c r="M49" s="4">
        <v>0.0298059825154525</v>
      </c>
      <c r="N49" s="4">
        <v>0.0433028935245609</v>
      </c>
      <c r="O49" s="4">
        <v>0.0430447190916232</v>
      </c>
      <c r="P49" s="4">
        <v>0.0444996584003205</v>
      </c>
      <c r="Q49" s="4">
        <v>0.043172226569429</v>
      </c>
      <c r="R49" s="4">
        <v>0.0387995099500216</v>
      </c>
      <c r="S49" s="4">
        <v>0.0388985821318919</v>
      </c>
      <c r="T49" s="4">
        <v>0.0377644802231012</v>
      </c>
      <c r="U49" s="4">
        <v>0.0361841397548155</v>
      </c>
      <c r="V49" s="4">
        <v>0.0323582383897859</v>
      </c>
      <c r="W49" s="4">
        <v>0.0285436208723497</v>
      </c>
      <c r="X49" s="4">
        <v>0.0279933452380433</v>
      </c>
      <c r="Y49" s="4">
        <v>0.0278124275482952</v>
      </c>
      <c r="Z49" s="4">
        <v>0.027367843953114</v>
      </c>
      <c r="AA49" s="4">
        <v>0.0267418160886303</v>
      </c>
      <c r="AB49" s="4">
        <v>0.0257533510394455</v>
      </c>
      <c r="AC49" s="4">
        <v>0.0257046048178418</v>
      </c>
      <c r="AD49" s="4">
        <v>0.0234156387206885</v>
      </c>
      <c r="AE49" s="4">
        <v>0.0227999919959908</v>
      </c>
      <c r="AF49" s="4">
        <v>0.0220146362034878</v>
      </c>
      <c r="AG49" s="4">
        <v>0.0205737640914569</v>
      </c>
      <c r="AH49" s="4">
        <v>0.0201698775732626</v>
      </c>
      <c r="AI49" s="4">
        <v>0.0176765233833669</v>
      </c>
      <c r="AJ49" s="4">
        <v>0.0162629581825122</v>
      </c>
      <c r="AK49" s="4">
        <v>0.0154552603717742</v>
      </c>
      <c r="AL49" s="4">
        <v>0.0136495438542223</v>
      </c>
      <c r="AM49" s="4">
        <v>0.0120270770215878</v>
      </c>
      <c r="AN49" s="4">
        <v>0.0115949056587593</v>
      </c>
      <c r="AO49" s="4">
        <v>0.0105007485704493</v>
      </c>
      <c r="AP49" s="4">
        <v>0.0101956333315229</v>
      </c>
      <c r="AQ49" s="4">
        <v>0.0101569673471027</v>
      </c>
      <c r="AR49" s="4">
        <v>0.00947196257253069</v>
      </c>
      <c r="AS49" s="4">
        <v>0.00849658678655429</v>
      </c>
      <c r="AT49" s="4">
        <v>0.16729221810203</v>
      </c>
    </row>
    <row r="50" ht="15.75" customHeight="1">
      <c r="A50" s="4">
        <v>2.0</v>
      </c>
      <c r="B50" s="4">
        <v>2.0</v>
      </c>
      <c r="C50" s="4">
        <v>1996.0</v>
      </c>
      <c r="D50" s="4">
        <v>1.0</v>
      </c>
      <c r="E50" s="4">
        <v>6.0</v>
      </c>
      <c r="F50" s="4">
        <v>0.0</v>
      </c>
      <c r="G50" s="4">
        <v>0.0</v>
      </c>
      <c r="H50" s="4">
        <v>0.0</v>
      </c>
      <c r="I50" s="4">
        <v>0.0</v>
      </c>
      <c r="J50" s="10">
        <v>1.49303379532607E-5</v>
      </c>
      <c r="K50" s="4">
        <v>0.00169636475372344</v>
      </c>
      <c r="L50" s="4">
        <v>0.0200381584010165</v>
      </c>
      <c r="M50" s="4">
        <v>0.0550033650198124</v>
      </c>
      <c r="N50" s="4">
        <v>0.0707735977470879</v>
      </c>
      <c r="O50" s="4">
        <v>0.0772314750250241</v>
      </c>
      <c r="P50" s="4">
        <v>0.0737475186221171</v>
      </c>
      <c r="Q50" s="4">
        <v>0.0700687086560912</v>
      </c>
      <c r="R50" s="4">
        <v>0.0637472288723381</v>
      </c>
      <c r="S50" s="4">
        <v>0.0558297212670391</v>
      </c>
      <c r="T50" s="4">
        <v>0.0522941413227343</v>
      </c>
      <c r="U50" s="4">
        <v>0.0442342893937283</v>
      </c>
      <c r="V50" s="4">
        <v>0.0374915969400905</v>
      </c>
      <c r="W50" s="4">
        <v>0.0304711748948645</v>
      </c>
      <c r="X50" s="4">
        <v>0.0305926420510944</v>
      </c>
      <c r="Y50" s="4">
        <v>0.0285549039770498</v>
      </c>
      <c r="Z50" s="4">
        <v>0.0300669170155368</v>
      </c>
      <c r="AA50" s="4">
        <v>0.0293343182295251</v>
      </c>
      <c r="AB50" s="4">
        <v>0.0269543211371451</v>
      </c>
      <c r="AC50" s="4">
        <v>0.0232720949073503</v>
      </c>
      <c r="AD50" s="4">
        <v>0.0207311538329657</v>
      </c>
      <c r="AE50" s="4">
        <v>0.0174459733700974</v>
      </c>
      <c r="AF50" s="4">
        <v>0.0149600721008795</v>
      </c>
      <c r="AG50" s="4">
        <v>0.0122822274191608</v>
      </c>
      <c r="AH50" s="4">
        <v>0.0122874150789581</v>
      </c>
      <c r="AI50" s="4">
        <v>0.0120495418980078</v>
      </c>
      <c r="AJ50" s="4">
        <v>0.0100248362376004</v>
      </c>
      <c r="AK50" s="4">
        <v>0.00771303789231203</v>
      </c>
      <c r="AL50" s="4">
        <v>0.00627188069495915</v>
      </c>
      <c r="AM50" s="4">
        <v>0.00484831092960207</v>
      </c>
      <c r="AN50" s="4">
        <v>0.00425135046804712</v>
      </c>
      <c r="AO50" s="4">
        <v>0.00272238263900303</v>
      </c>
      <c r="AP50" s="4">
        <v>0.00138320724156819</v>
      </c>
      <c r="AQ50" s="4">
        <v>0.00150214383204331</v>
      </c>
      <c r="AR50" s="4">
        <v>0.00129944551508464</v>
      </c>
      <c r="AS50" s="4">
        <v>0.00186502696128019</v>
      </c>
      <c r="AT50" s="4">
        <v>0.0469445253171084</v>
      </c>
    </row>
    <row r="51" ht="15.75" customHeight="1">
      <c r="A51" s="4">
        <v>2.0</v>
      </c>
      <c r="B51" s="4">
        <v>2.0</v>
      </c>
      <c r="C51" s="4">
        <v>1997.0</v>
      </c>
      <c r="D51" s="4">
        <v>1.0</v>
      </c>
      <c r="E51" s="4">
        <v>2.0</v>
      </c>
      <c r="F51" s="4">
        <v>0.0</v>
      </c>
      <c r="G51" s="4">
        <v>0.0</v>
      </c>
      <c r="H51" s="4">
        <v>0.0</v>
      </c>
      <c r="I51" s="4">
        <v>0.0</v>
      </c>
      <c r="J51" s="10">
        <v>1.03541497762279E-5</v>
      </c>
      <c r="K51" s="4">
        <v>0.00131497702158094</v>
      </c>
      <c r="L51" s="4">
        <v>0.0150436889453085</v>
      </c>
      <c r="M51" s="4">
        <v>0.0424829651969192</v>
      </c>
      <c r="N51" s="4">
        <v>0.0571669309387117</v>
      </c>
      <c r="O51" s="4">
        <v>0.0631856980021835</v>
      </c>
      <c r="P51" s="4">
        <v>0.0650163784835869</v>
      </c>
      <c r="Q51" s="4">
        <v>0.0627650745843922</v>
      </c>
      <c r="R51" s="4">
        <v>0.0564544986331409</v>
      </c>
      <c r="S51" s="4">
        <v>0.0486226420093909</v>
      </c>
      <c r="T51" s="4">
        <v>0.0462155805237775</v>
      </c>
      <c r="U51" s="4">
        <v>0.0402726325570542</v>
      </c>
      <c r="V51" s="4">
        <v>0.0392129465616763</v>
      </c>
      <c r="W51" s="4">
        <v>0.0384301505716047</v>
      </c>
      <c r="X51" s="4">
        <v>0.0319720558197781</v>
      </c>
      <c r="Y51" s="4">
        <v>0.0279521963378374</v>
      </c>
      <c r="Z51" s="4">
        <v>0.0288238376130857</v>
      </c>
      <c r="AA51" s="4">
        <v>0.0246927545222584</v>
      </c>
      <c r="AB51" s="4">
        <v>0.0232467362717891</v>
      </c>
      <c r="AC51" s="4">
        <v>0.0232944989626923</v>
      </c>
      <c r="AD51" s="4">
        <v>0.0210251588025971</v>
      </c>
      <c r="AE51" s="4">
        <v>0.0217103140469295</v>
      </c>
      <c r="AF51" s="4">
        <v>0.0185517416904608</v>
      </c>
      <c r="AG51" s="4">
        <v>0.01553901811041</v>
      </c>
      <c r="AH51" s="4">
        <v>0.0143742319280563</v>
      </c>
      <c r="AI51" s="4">
        <v>0.0128079719382501</v>
      </c>
      <c r="AJ51" s="4">
        <v>0.0115304034577962</v>
      </c>
      <c r="AK51" s="4">
        <v>0.0100762577564272</v>
      </c>
      <c r="AL51" s="4">
        <v>0.0104654847200583</v>
      </c>
      <c r="AM51" s="4">
        <v>0.00952648580379265</v>
      </c>
      <c r="AN51" s="4">
        <v>0.00956723439323458</v>
      </c>
      <c r="AO51" s="4">
        <v>0.00796601523106566</v>
      </c>
      <c r="AP51" s="4">
        <v>0.00653246649430533</v>
      </c>
      <c r="AQ51" s="4">
        <v>0.00599204667695253</v>
      </c>
      <c r="AR51" s="4">
        <v>0.00489918286831325</v>
      </c>
      <c r="AS51" s="4">
        <v>0.00480298947684378</v>
      </c>
      <c r="AT51" s="4">
        <v>0.0784563988979622</v>
      </c>
    </row>
    <row r="52" ht="15.75" customHeight="1">
      <c r="A52" s="4">
        <v>2.0</v>
      </c>
      <c r="B52" s="4">
        <v>2.0</v>
      </c>
      <c r="C52" s="4">
        <v>1998.0</v>
      </c>
      <c r="D52" s="4">
        <v>1.0</v>
      </c>
      <c r="E52" s="4">
        <v>2.0</v>
      </c>
      <c r="F52" s="4">
        <v>0.0</v>
      </c>
      <c r="G52" s="4">
        <v>0.0</v>
      </c>
      <c r="H52" s="4">
        <v>0.0</v>
      </c>
      <c r="I52" s="4">
        <v>0.0</v>
      </c>
      <c r="J52" s="10">
        <v>1.58531232520121E-5</v>
      </c>
      <c r="K52" s="4">
        <v>0.00111276730518931</v>
      </c>
      <c r="L52" s="4">
        <v>0.0132506958797047</v>
      </c>
      <c r="M52" s="4">
        <v>0.0369618617298212</v>
      </c>
      <c r="N52" s="4">
        <v>0.0489800534936206</v>
      </c>
      <c r="O52" s="4">
        <v>0.0525299336310519</v>
      </c>
      <c r="P52" s="4">
        <v>0.0534408022655943</v>
      </c>
      <c r="Q52" s="4">
        <v>0.0487580335511537</v>
      </c>
      <c r="R52" s="4">
        <v>0.0455939635574805</v>
      </c>
      <c r="S52" s="4">
        <v>0.0439166573872544</v>
      </c>
      <c r="T52" s="4">
        <v>0.0438315992836522</v>
      </c>
      <c r="U52" s="4">
        <v>0.0427580074849607</v>
      </c>
      <c r="V52" s="4">
        <v>0.0382072465083687</v>
      </c>
      <c r="W52" s="4">
        <v>0.0346234498332107</v>
      </c>
      <c r="X52" s="4">
        <v>0.0324688731927725</v>
      </c>
      <c r="Y52" s="4">
        <v>0.0321103487130732</v>
      </c>
      <c r="Z52" s="4">
        <v>0.0300163645389108</v>
      </c>
      <c r="AA52" s="4">
        <v>0.0260722141775244</v>
      </c>
      <c r="AB52" s="4">
        <v>0.0252264348086418</v>
      </c>
      <c r="AC52" s="4">
        <v>0.023223453659301</v>
      </c>
      <c r="AD52" s="4">
        <v>0.0204043415302364</v>
      </c>
      <c r="AE52" s="4">
        <v>0.0178221878636263</v>
      </c>
      <c r="AF52" s="4">
        <v>0.0168170388758977</v>
      </c>
      <c r="AG52" s="4">
        <v>0.016271249377784</v>
      </c>
      <c r="AH52" s="4">
        <v>0.0147476727729392</v>
      </c>
      <c r="AI52" s="4">
        <v>0.0133760727438853</v>
      </c>
      <c r="AJ52" s="4">
        <v>0.0132841551157991</v>
      </c>
      <c r="AK52" s="4">
        <v>0.012511696441957</v>
      </c>
      <c r="AL52" s="4">
        <v>0.012043419570513</v>
      </c>
      <c r="AM52" s="4">
        <v>0.0110224936764711</v>
      </c>
      <c r="AN52" s="4">
        <v>0.0110324018785037</v>
      </c>
      <c r="AO52" s="4">
        <v>0.0103007192668723</v>
      </c>
      <c r="AP52" s="4">
        <v>0.00942247148209859</v>
      </c>
      <c r="AQ52" s="4">
        <v>0.00902286607243368</v>
      </c>
      <c r="AR52" s="4">
        <v>0.00813432900093389</v>
      </c>
      <c r="AS52" s="4">
        <v>0.00706927349937803</v>
      </c>
      <c r="AT52" s="4">
        <v>0.123618996706133</v>
      </c>
    </row>
    <row r="53" ht="15.75" customHeight="1">
      <c r="A53" s="4">
        <v>2.0</v>
      </c>
      <c r="B53" s="4">
        <v>2.0</v>
      </c>
      <c r="C53" s="4">
        <v>1999.0</v>
      </c>
      <c r="D53" s="4">
        <v>1.0</v>
      </c>
      <c r="E53" s="4">
        <v>7.0</v>
      </c>
      <c r="F53" s="4">
        <v>0.0</v>
      </c>
      <c r="G53" s="4">
        <v>0.0</v>
      </c>
      <c r="H53" s="4">
        <v>0.0</v>
      </c>
      <c r="I53" s="4">
        <v>0.0</v>
      </c>
      <c r="J53" s="10">
        <v>2.15838291871361E-5</v>
      </c>
      <c r="K53" s="4">
        <v>0.00164193129503105</v>
      </c>
      <c r="L53" s="4">
        <v>0.0160950354202339</v>
      </c>
      <c r="M53" s="4">
        <v>0.0368992462952853</v>
      </c>
      <c r="N53" s="4">
        <v>0.0421222729124374</v>
      </c>
      <c r="O53" s="4">
        <v>0.0494451720679766</v>
      </c>
      <c r="P53" s="4">
        <v>0.0550374641965231</v>
      </c>
      <c r="Q53" s="4">
        <v>0.0524357026180015</v>
      </c>
      <c r="R53" s="4">
        <v>0.0447168832222525</v>
      </c>
      <c r="S53" s="4">
        <v>0.0430938052719933</v>
      </c>
      <c r="T53" s="4">
        <v>0.0417061990967818</v>
      </c>
      <c r="U53" s="4">
        <v>0.0362452302663015</v>
      </c>
      <c r="V53" s="4">
        <v>0.0342075087541281</v>
      </c>
      <c r="W53" s="4">
        <v>0.0267155796109788</v>
      </c>
      <c r="X53" s="4">
        <v>0.0212533105498246</v>
      </c>
      <c r="Y53" s="4">
        <v>0.0233167766293418</v>
      </c>
      <c r="Z53" s="4">
        <v>0.022571614430116</v>
      </c>
      <c r="AA53" s="4">
        <v>0.0226376661483514</v>
      </c>
      <c r="AB53" s="4">
        <v>0.0207203459965833</v>
      </c>
      <c r="AC53" s="4">
        <v>0.0212598117031943</v>
      </c>
      <c r="AD53" s="4">
        <v>0.0201587763685155</v>
      </c>
      <c r="AE53" s="4">
        <v>0.0171950305703735</v>
      </c>
      <c r="AF53" s="4">
        <v>0.0166519242178755</v>
      </c>
      <c r="AG53" s="4">
        <v>0.017069948379542</v>
      </c>
      <c r="AH53" s="4">
        <v>0.0163543014166143</v>
      </c>
      <c r="AI53" s="4">
        <v>0.0153780882266323</v>
      </c>
      <c r="AJ53" s="4">
        <v>0.0158222470248447</v>
      </c>
      <c r="AK53" s="4">
        <v>0.0156110895633994</v>
      </c>
      <c r="AL53" s="4">
        <v>0.0136797269203529</v>
      </c>
      <c r="AM53" s="4">
        <v>0.0138739813830372</v>
      </c>
      <c r="AN53" s="4">
        <v>0.0138958252583591</v>
      </c>
      <c r="AO53" s="4">
        <v>0.0134012175099985</v>
      </c>
      <c r="AP53" s="4">
        <v>0.013030261698728</v>
      </c>
      <c r="AQ53" s="4">
        <v>0.0125329234659521</v>
      </c>
      <c r="AR53" s="4">
        <v>0.0108406732438402</v>
      </c>
      <c r="AS53" s="4">
        <v>0.00962404740224963</v>
      </c>
      <c r="AT53" s="4">
        <v>0.152736797035162</v>
      </c>
    </row>
    <row r="54" ht="15.75" customHeight="1">
      <c r="A54" s="4">
        <v>2.0</v>
      </c>
      <c r="B54" s="4">
        <v>2.0</v>
      </c>
      <c r="C54" s="4">
        <v>2000.0</v>
      </c>
      <c r="D54" s="4">
        <v>1.0</v>
      </c>
      <c r="E54" s="4">
        <v>10.0</v>
      </c>
      <c r="F54" s="4">
        <v>0.0</v>
      </c>
      <c r="G54" s="4">
        <v>0.0</v>
      </c>
      <c r="H54" s="4">
        <v>0.0</v>
      </c>
      <c r="I54" s="4">
        <v>0.0</v>
      </c>
      <c r="J54" s="10">
        <v>2.30566288096035E-5</v>
      </c>
      <c r="K54" s="4">
        <v>0.00177293947231447</v>
      </c>
      <c r="L54" s="4">
        <v>0.0221228353428146</v>
      </c>
      <c r="M54" s="4">
        <v>0.0590323478738042</v>
      </c>
      <c r="N54" s="4">
        <v>0.0751194189268408</v>
      </c>
      <c r="O54" s="4">
        <v>0.0706487386006586</v>
      </c>
      <c r="P54" s="4">
        <v>0.0671383668643965</v>
      </c>
      <c r="Q54" s="4">
        <v>0.0575216775541989</v>
      </c>
      <c r="R54" s="4">
        <v>0.0555365018136921</v>
      </c>
      <c r="S54" s="4">
        <v>0.0532504370672199</v>
      </c>
      <c r="T54" s="4">
        <v>0.050357752416767</v>
      </c>
      <c r="U54" s="4">
        <v>0.0418173465394018</v>
      </c>
      <c r="V54" s="4">
        <v>0.0370289458682233</v>
      </c>
      <c r="W54" s="4">
        <v>0.0329608342810568</v>
      </c>
      <c r="X54" s="4">
        <v>0.0266390525108957</v>
      </c>
      <c r="Y54" s="4">
        <v>0.0262419020796503</v>
      </c>
      <c r="Z54" s="4">
        <v>0.0257863030943725</v>
      </c>
      <c r="AA54" s="4">
        <v>0.0233344611867593</v>
      </c>
      <c r="AB54" s="4">
        <v>0.0195962899578582</v>
      </c>
      <c r="AC54" s="4">
        <v>0.0169397051864157</v>
      </c>
      <c r="AD54" s="4">
        <v>0.0171550540994974</v>
      </c>
      <c r="AE54" s="4">
        <v>0.0163439218979756</v>
      </c>
      <c r="AF54" s="4">
        <v>0.0141317536468382</v>
      </c>
      <c r="AG54" s="4">
        <v>0.013713621683376</v>
      </c>
      <c r="AH54" s="4">
        <v>0.0122096377861256</v>
      </c>
      <c r="AI54" s="4">
        <v>0.0115293519530982</v>
      </c>
      <c r="AJ54" s="4">
        <v>0.0117242957496834</v>
      </c>
      <c r="AK54" s="4">
        <v>0.00980483140128391</v>
      </c>
      <c r="AL54" s="4">
        <v>0.0081067106894566</v>
      </c>
      <c r="AM54" s="4">
        <v>0.00689243333319883</v>
      </c>
      <c r="AN54" s="4">
        <v>0.00714352002093542</v>
      </c>
      <c r="AO54" s="4">
        <v>0.00699653401227419</v>
      </c>
      <c r="AP54" s="4">
        <v>0.00676665942304245</v>
      </c>
      <c r="AQ54" s="4">
        <v>0.00597074459653493</v>
      </c>
      <c r="AR54" s="4">
        <v>0.00530959576541955</v>
      </c>
      <c r="AS54" s="4">
        <v>0.00470355227715912</v>
      </c>
      <c r="AT54" s="4">
        <v>0.0786288683979505</v>
      </c>
    </row>
    <row r="55" ht="15.75" customHeight="1">
      <c r="A55" s="4">
        <v>2.0</v>
      </c>
      <c r="B55" s="4">
        <v>2.0</v>
      </c>
      <c r="C55" s="4">
        <v>2001.0</v>
      </c>
      <c r="D55" s="4">
        <v>1.0</v>
      </c>
      <c r="E55" s="4">
        <v>10.0</v>
      </c>
      <c r="F55" s="4">
        <v>0.0</v>
      </c>
      <c r="G55" s="4">
        <v>0.0</v>
      </c>
      <c r="H55" s="4">
        <v>0.0</v>
      </c>
      <c r="I55" s="4">
        <v>0.0</v>
      </c>
      <c r="J55" s="10">
        <v>2.32453920381652E-5</v>
      </c>
      <c r="K55" s="4">
        <v>0.0019979723023954</v>
      </c>
      <c r="L55" s="4">
        <v>0.0221534757466734</v>
      </c>
      <c r="M55" s="4">
        <v>0.0622626797185086</v>
      </c>
      <c r="N55" s="4">
        <v>0.0795948965873193</v>
      </c>
      <c r="O55" s="4">
        <v>0.0756256944689441</v>
      </c>
      <c r="P55" s="4">
        <v>0.0711740990379185</v>
      </c>
      <c r="Q55" s="4">
        <v>0.0605038469580988</v>
      </c>
      <c r="R55" s="4">
        <v>0.0543621263856079</v>
      </c>
      <c r="S55" s="4">
        <v>0.051167016393247</v>
      </c>
      <c r="T55" s="4">
        <v>0.0436349950942966</v>
      </c>
      <c r="U55" s="4">
        <v>0.0420093604873798</v>
      </c>
      <c r="V55" s="4">
        <v>0.0386943207290166</v>
      </c>
      <c r="W55" s="4">
        <v>0.0363467418445959</v>
      </c>
      <c r="X55" s="4">
        <v>0.0316960177454911</v>
      </c>
      <c r="Y55" s="4">
        <v>0.0268436964410996</v>
      </c>
      <c r="Z55" s="4">
        <v>0.0261334777153318</v>
      </c>
      <c r="AA55" s="4">
        <v>0.023155701852956</v>
      </c>
      <c r="AB55" s="4">
        <v>0.0222199205398444</v>
      </c>
      <c r="AC55" s="4">
        <v>0.0205422409401342</v>
      </c>
      <c r="AD55" s="4">
        <v>0.016948565044464</v>
      </c>
      <c r="AE55" s="4">
        <v>0.0139079443390116</v>
      </c>
      <c r="AF55" s="4">
        <v>0.0122499101812451</v>
      </c>
      <c r="AG55" s="4">
        <v>0.010207812776264</v>
      </c>
      <c r="AH55" s="4">
        <v>0.0101905330158109</v>
      </c>
      <c r="AI55" s="4">
        <v>0.0089422760345048</v>
      </c>
      <c r="AJ55" s="4">
        <v>0.00849423653132672</v>
      </c>
      <c r="AK55" s="4">
        <v>0.00799291776675142</v>
      </c>
      <c r="AL55" s="4">
        <v>0.00816468681411308</v>
      </c>
      <c r="AM55" s="4">
        <v>0.00706598204530033</v>
      </c>
      <c r="AN55" s="4">
        <v>0.00709766160613111</v>
      </c>
      <c r="AO55" s="4">
        <v>0.00635771757815517</v>
      </c>
      <c r="AP55" s="4">
        <v>0.00552078060906424</v>
      </c>
      <c r="AQ55" s="4">
        <v>0.00536629132215573</v>
      </c>
      <c r="AR55" s="4">
        <v>0.00470626618627561</v>
      </c>
      <c r="AS55" s="4">
        <v>0.00477867661103167</v>
      </c>
      <c r="AT55" s="4">
        <v>0.0718662151574973</v>
      </c>
    </row>
    <row r="56" ht="15.75" customHeight="1">
      <c r="A56" s="4">
        <v>2.0</v>
      </c>
      <c r="B56" s="4">
        <v>2.0</v>
      </c>
      <c r="C56" s="4">
        <v>2002.0</v>
      </c>
      <c r="D56" s="4">
        <v>1.0</v>
      </c>
      <c r="E56" s="4">
        <v>3.0</v>
      </c>
      <c r="F56" s="4">
        <v>0.0</v>
      </c>
      <c r="G56" s="4">
        <v>0.0</v>
      </c>
      <c r="H56" s="4">
        <v>0.0</v>
      </c>
      <c r="I56" s="4">
        <v>0.0</v>
      </c>
      <c r="J56" s="10">
        <v>1.70632732240036E-5</v>
      </c>
      <c r="K56" s="4">
        <v>0.00153960492360749</v>
      </c>
      <c r="L56" s="4">
        <v>0.0175666397841117</v>
      </c>
      <c r="M56" s="4">
        <v>0.0506811208390201</v>
      </c>
      <c r="N56" s="4">
        <v>0.069604409339393</v>
      </c>
      <c r="O56" s="4">
        <v>0.0691318514670505</v>
      </c>
      <c r="P56" s="4">
        <v>0.0706206220558448</v>
      </c>
      <c r="Q56" s="4">
        <v>0.0738786407870529</v>
      </c>
      <c r="R56" s="4">
        <v>0.0739887225983384</v>
      </c>
      <c r="S56" s="4">
        <v>0.0665320721994488</v>
      </c>
      <c r="T56" s="4">
        <v>0.0565795626066899</v>
      </c>
      <c r="U56" s="4">
        <v>0.0498607802797855</v>
      </c>
      <c r="V56" s="4">
        <v>0.0458113337578613</v>
      </c>
      <c r="W56" s="4">
        <v>0.0391109181486633</v>
      </c>
      <c r="X56" s="4">
        <v>0.0364755903951783</v>
      </c>
      <c r="Y56" s="4">
        <v>0.0323059899909683</v>
      </c>
      <c r="Z56" s="4">
        <v>0.0277154955138996</v>
      </c>
      <c r="AA56" s="4">
        <v>0.0221545273722156</v>
      </c>
      <c r="AB56" s="4">
        <v>0.017508340267263</v>
      </c>
      <c r="AC56" s="4">
        <v>0.0140307503882487</v>
      </c>
      <c r="AD56" s="4">
        <v>0.0126551424795164</v>
      </c>
      <c r="AE56" s="4">
        <v>0.0111849755983343</v>
      </c>
      <c r="AF56" s="4">
        <v>0.00887598294525842</v>
      </c>
      <c r="AG56" s="4">
        <v>0.00813823336822615</v>
      </c>
      <c r="AH56" s="4">
        <v>0.00748935500590224</v>
      </c>
      <c r="AI56" s="4">
        <v>0.00671202811458652</v>
      </c>
      <c r="AJ56" s="4">
        <v>0.00603376300393238</v>
      </c>
      <c r="AK56" s="4">
        <v>0.00625890341452687</v>
      </c>
      <c r="AL56" s="4">
        <v>0.00498958547858571</v>
      </c>
      <c r="AM56" s="4">
        <v>0.00507762722862345</v>
      </c>
      <c r="AN56" s="4">
        <v>0.00533061395315989</v>
      </c>
      <c r="AO56" s="4">
        <v>0.00522420548541576</v>
      </c>
      <c r="AP56" s="4">
        <v>0.00501411393384522</v>
      </c>
      <c r="AQ56" s="4">
        <v>0.00481184304916901</v>
      </c>
      <c r="AR56" s="4">
        <v>0.0042871473975309</v>
      </c>
      <c r="AS56" s="4">
        <v>0.00382146223245913</v>
      </c>
      <c r="AT56" s="4">
        <v>0.0589809813230625</v>
      </c>
    </row>
    <row r="57" ht="15.75" customHeight="1">
      <c r="A57" s="4">
        <v>2.0</v>
      </c>
      <c r="B57" s="4">
        <v>2.0</v>
      </c>
      <c r="C57" s="4">
        <v>2003.0</v>
      </c>
      <c r="D57" s="4">
        <v>1.0</v>
      </c>
      <c r="E57" s="4">
        <v>6.0</v>
      </c>
      <c r="F57" s="4">
        <v>0.0</v>
      </c>
      <c r="G57" s="4">
        <v>0.0</v>
      </c>
      <c r="H57" s="4">
        <v>0.0</v>
      </c>
      <c r="I57" s="4">
        <v>0.0</v>
      </c>
      <c r="J57" s="10">
        <v>1.81450413802149E-5</v>
      </c>
      <c r="K57" s="4">
        <v>0.0018301850379797</v>
      </c>
      <c r="L57" s="4">
        <v>0.0209605469677116</v>
      </c>
      <c r="M57" s="4">
        <v>0.0577402098261223</v>
      </c>
      <c r="N57" s="4">
        <v>0.0762373994168273</v>
      </c>
      <c r="O57" s="4">
        <v>0.0874160889841789</v>
      </c>
      <c r="P57" s="4">
        <v>0.0903945639248127</v>
      </c>
      <c r="Q57" s="4">
        <v>0.0843312079366859</v>
      </c>
      <c r="R57" s="4">
        <v>0.0838937108278518</v>
      </c>
      <c r="S57" s="4">
        <v>0.0790025021116012</v>
      </c>
      <c r="T57" s="4">
        <v>0.0647549484159995</v>
      </c>
      <c r="U57" s="4">
        <v>0.0505621658638232</v>
      </c>
      <c r="V57" s="4">
        <v>0.0436477850336786</v>
      </c>
      <c r="W57" s="4">
        <v>0.0345012280944828</v>
      </c>
      <c r="X57" s="4">
        <v>0.0260323100463382</v>
      </c>
      <c r="Y57" s="4">
        <v>0.0230351300321828</v>
      </c>
      <c r="Z57" s="4">
        <v>0.0199595455182364</v>
      </c>
      <c r="AA57" s="4">
        <v>0.0153789306275866</v>
      </c>
      <c r="AB57" s="4">
        <v>0.0144327003215369</v>
      </c>
      <c r="AC57" s="4">
        <v>0.0115644397063236</v>
      </c>
      <c r="AD57" s="4">
        <v>0.00981624337383971</v>
      </c>
      <c r="AE57" s="4">
        <v>0.00739914465170985</v>
      </c>
      <c r="AF57" s="4">
        <v>0.00557523197371344</v>
      </c>
      <c r="AG57" s="4">
        <v>0.0058534559415434</v>
      </c>
      <c r="AH57" s="4">
        <v>0.00489871314694493</v>
      </c>
      <c r="AI57" s="4">
        <v>0.00456695010640051</v>
      </c>
      <c r="AJ57" s="4">
        <v>0.00427416530289506</v>
      </c>
      <c r="AK57" s="4">
        <v>0.00381303483769541</v>
      </c>
      <c r="AL57" s="4">
        <v>0.00364580924028392</v>
      </c>
      <c r="AM57" s="4">
        <v>0.00311825896311841</v>
      </c>
      <c r="AN57" s="4">
        <v>0.00310481819172566</v>
      </c>
      <c r="AO57" s="4">
        <v>0.0031675417915585</v>
      </c>
      <c r="AP57" s="4">
        <v>0.00295831378354467</v>
      </c>
      <c r="AQ57" s="4">
        <v>0.00288976584944163</v>
      </c>
      <c r="AR57" s="4">
        <v>0.00285840404952521</v>
      </c>
      <c r="AS57" s="4">
        <v>0.00255285051319665</v>
      </c>
      <c r="AT57" s="4">
        <v>0.0438135545475226</v>
      </c>
    </row>
    <row r="58" ht="15.75" customHeight="1">
      <c r="A58" s="4">
        <v>2.0</v>
      </c>
      <c r="B58" s="4">
        <v>2.0</v>
      </c>
      <c r="C58" s="4">
        <v>2004.0</v>
      </c>
      <c r="D58" s="4">
        <v>1.0</v>
      </c>
      <c r="E58" s="4">
        <v>2.0</v>
      </c>
      <c r="F58" s="4">
        <v>0.0</v>
      </c>
      <c r="G58" s="4">
        <v>0.0</v>
      </c>
      <c r="H58" s="4">
        <v>0.0</v>
      </c>
      <c r="I58" s="4">
        <v>0.0</v>
      </c>
      <c r="J58" s="10">
        <v>3.39841038602333E-5</v>
      </c>
      <c r="K58" s="4">
        <v>0.0027426876032806</v>
      </c>
      <c r="L58" s="4">
        <v>0.0275993027544567</v>
      </c>
      <c r="M58" s="4">
        <v>0.0738609911809747</v>
      </c>
      <c r="N58" s="4">
        <v>0.0999455452353485</v>
      </c>
      <c r="O58" s="4">
        <v>0.0974327265115709</v>
      </c>
      <c r="P58" s="4">
        <v>0.0921901521886365</v>
      </c>
      <c r="Q58" s="4">
        <v>0.0863067920489628</v>
      </c>
      <c r="R58" s="4">
        <v>0.074006551413438</v>
      </c>
      <c r="S58" s="4">
        <v>0.0601705099780938</v>
      </c>
      <c r="T58" s="4">
        <v>0.0541472034992199</v>
      </c>
      <c r="U58" s="4">
        <v>0.0409784133774265</v>
      </c>
      <c r="V58" s="4">
        <v>0.0330405687996654</v>
      </c>
      <c r="W58" s="4">
        <v>0.0293297853527911</v>
      </c>
      <c r="X58" s="4">
        <v>0.0249497456304863</v>
      </c>
      <c r="Y58" s="4">
        <v>0.0230201703175018</v>
      </c>
      <c r="Z58" s="4">
        <v>0.0199047603007924</v>
      </c>
      <c r="AA58" s="4">
        <v>0.016995961605782</v>
      </c>
      <c r="AB58" s="4">
        <v>0.0155585041861599</v>
      </c>
      <c r="AC58" s="4">
        <v>0.0122017970072335</v>
      </c>
      <c r="AD58" s="4">
        <v>0.0104402374997644</v>
      </c>
      <c r="AE58" s="4">
        <v>0.00968637183301234</v>
      </c>
      <c r="AF58" s="4">
        <v>0.00800039938840643</v>
      </c>
      <c r="AG58" s="4">
        <v>0.00677807437847184</v>
      </c>
      <c r="AH58" s="4">
        <v>0.00590962514029721</v>
      </c>
      <c r="AI58" s="4">
        <v>0.00583443906980997</v>
      </c>
      <c r="AJ58" s="4">
        <v>0.00509881855616279</v>
      </c>
      <c r="AK58" s="4">
        <v>0.00462484556781122</v>
      </c>
      <c r="AL58" s="4">
        <v>0.00446304514412268</v>
      </c>
      <c r="AM58" s="4">
        <v>0.00426655887991602</v>
      </c>
      <c r="AN58" s="4">
        <v>0.00395418581906502</v>
      </c>
      <c r="AO58" s="4">
        <v>0.00382095610216163</v>
      </c>
      <c r="AP58" s="4">
        <v>0.003435702676985</v>
      </c>
      <c r="AQ58" s="4">
        <v>0.00296413564288902</v>
      </c>
      <c r="AR58" s="4">
        <v>0.00265527126532743</v>
      </c>
      <c r="AS58" s="4">
        <v>0.00222310173216677</v>
      </c>
      <c r="AT58" s="4">
        <v>0.031428078207949</v>
      </c>
    </row>
    <row r="59" ht="15.75" customHeight="1">
      <c r="A59" s="4">
        <v>2.0</v>
      </c>
      <c r="B59" s="4">
        <v>2.0</v>
      </c>
      <c r="C59" s="4">
        <v>2005.0</v>
      </c>
      <c r="D59" s="4">
        <v>1.0</v>
      </c>
      <c r="E59" s="4">
        <v>6.0</v>
      </c>
      <c r="F59" s="4">
        <v>0.0</v>
      </c>
      <c r="G59" s="4">
        <v>0.0</v>
      </c>
      <c r="H59" s="4">
        <v>0.0</v>
      </c>
      <c r="I59" s="4">
        <v>0.0</v>
      </c>
      <c r="J59" s="10">
        <v>3.04211436662795E-5</v>
      </c>
      <c r="K59" s="4">
        <v>0.0022141820644947</v>
      </c>
      <c r="L59" s="4">
        <v>0.0273432397188677</v>
      </c>
      <c r="M59" s="4">
        <v>0.0806845421988556</v>
      </c>
      <c r="N59" s="4">
        <v>0.097176892303783</v>
      </c>
      <c r="O59" s="4">
        <v>0.101839422547044</v>
      </c>
      <c r="P59" s="4">
        <v>0.0905541155930176</v>
      </c>
      <c r="Q59" s="4">
        <v>0.0872603663881641</v>
      </c>
      <c r="R59" s="4">
        <v>0.0796751055941756</v>
      </c>
      <c r="S59" s="4">
        <v>0.068900055806182</v>
      </c>
      <c r="T59" s="4">
        <v>0.0630005694804009</v>
      </c>
      <c r="U59" s="4">
        <v>0.0497908908529415</v>
      </c>
      <c r="V59" s="4">
        <v>0.0393215011274996</v>
      </c>
      <c r="W59" s="4">
        <v>0.0312085144435244</v>
      </c>
      <c r="X59" s="4">
        <v>0.0256424677120462</v>
      </c>
      <c r="Y59" s="4">
        <v>0.0200290423926732</v>
      </c>
      <c r="Z59" s="4">
        <v>0.0159362481901763</v>
      </c>
      <c r="AA59" s="4">
        <v>0.0133014533381837</v>
      </c>
      <c r="AB59" s="4">
        <v>0.0115321698481474</v>
      </c>
      <c r="AC59" s="4">
        <v>0.0104672593932524</v>
      </c>
      <c r="AD59" s="4">
        <v>0.0079929211617741</v>
      </c>
      <c r="AE59" s="4">
        <v>0.00746749603055203</v>
      </c>
      <c r="AF59" s="4">
        <v>0.00649248559405463</v>
      </c>
      <c r="AG59" s="4">
        <v>0.006094369114478</v>
      </c>
      <c r="AH59" s="4">
        <v>0.00496282186869501</v>
      </c>
      <c r="AI59" s="4">
        <v>0.00463219431288223</v>
      </c>
      <c r="AJ59" s="4">
        <v>0.0041272203706795</v>
      </c>
      <c r="AK59" s="4">
        <v>0.0036190935368363</v>
      </c>
      <c r="AL59" s="4">
        <v>0.00329673166991883</v>
      </c>
      <c r="AM59" s="4">
        <v>0.00301936241884393</v>
      </c>
      <c r="AN59" s="4">
        <v>0.0028546451339506</v>
      </c>
      <c r="AO59" s="4">
        <v>0.00244579178013881</v>
      </c>
      <c r="AP59" s="4">
        <v>0.00206130942657508</v>
      </c>
      <c r="AQ59" s="4">
        <v>0.00187026123581934</v>
      </c>
      <c r="AR59" s="4">
        <v>0.0015934884777575</v>
      </c>
      <c r="AS59" s="4">
        <v>0.0013825003777079</v>
      </c>
      <c r="AT59" s="4">
        <v>0.0201788473522399</v>
      </c>
    </row>
    <row r="60" ht="15.75" customHeight="1">
      <c r="A60" s="4">
        <v>2.0</v>
      </c>
      <c r="B60" s="4">
        <v>2.0</v>
      </c>
      <c r="C60" s="4">
        <v>2006.0</v>
      </c>
      <c r="D60" s="4">
        <v>1.0</v>
      </c>
      <c r="E60" s="4">
        <v>10.0</v>
      </c>
      <c r="F60" s="4">
        <v>0.0</v>
      </c>
      <c r="G60" s="4">
        <v>0.0</v>
      </c>
      <c r="H60" s="4">
        <v>0.0</v>
      </c>
      <c r="I60" s="4">
        <v>0.0</v>
      </c>
      <c r="J60" s="10">
        <v>3.16936762889303E-5</v>
      </c>
      <c r="K60" s="4">
        <v>0.00256329101592521</v>
      </c>
      <c r="L60" s="4">
        <v>0.0269427422563733</v>
      </c>
      <c r="M60" s="4">
        <v>0.0747196603407763</v>
      </c>
      <c r="N60" s="4">
        <v>0.102604640006166</v>
      </c>
      <c r="O60" s="4">
        <v>0.108212775409171</v>
      </c>
      <c r="P60" s="4">
        <v>0.0985112198644879</v>
      </c>
      <c r="Q60" s="4">
        <v>0.0910496105617877</v>
      </c>
      <c r="R60" s="4">
        <v>0.0841058378279613</v>
      </c>
      <c r="S60" s="4">
        <v>0.0752619166274465</v>
      </c>
      <c r="T60" s="4">
        <v>0.0605868785582322</v>
      </c>
      <c r="U60" s="4">
        <v>0.04866667907858</v>
      </c>
      <c r="V60" s="4">
        <v>0.0422530393672695</v>
      </c>
      <c r="W60" s="4">
        <v>0.034544028881079</v>
      </c>
      <c r="X60" s="4">
        <v>0.0267473845140022</v>
      </c>
      <c r="Y60" s="4">
        <v>0.0210170639272708</v>
      </c>
      <c r="Z60" s="4">
        <v>0.0162560849044146</v>
      </c>
      <c r="AA60" s="4">
        <v>0.0138939534787057</v>
      </c>
      <c r="AB60" s="4">
        <v>0.0108814955258661</v>
      </c>
      <c r="AC60" s="4">
        <v>0.00831699218352543</v>
      </c>
      <c r="AD60" s="4">
        <v>0.00654656264328724</v>
      </c>
      <c r="AE60" s="4">
        <v>0.00588818280496829</v>
      </c>
      <c r="AF60" s="4">
        <v>0.00525344333175009</v>
      </c>
      <c r="AG60" s="4">
        <v>0.0045711633440985</v>
      </c>
      <c r="AH60" s="4">
        <v>0.0037362168228475</v>
      </c>
      <c r="AI60" s="4">
        <v>0.00300934054205712</v>
      </c>
      <c r="AJ60" s="4">
        <v>0.00259368577105475</v>
      </c>
      <c r="AK60" s="4">
        <v>0.00203411053559282</v>
      </c>
      <c r="AL60" s="4">
        <v>0.00157359968721978</v>
      </c>
      <c r="AM60" s="4">
        <v>0.00134438339996077</v>
      </c>
      <c r="AN60" s="4">
        <v>0.00105160657063598</v>
      </c>
      <c r="AO60" s="4">
        <v>0.00104450580163136</v>
      </c>
      <c r="AP60" s="4">
        <v>9.8614094420311E-4</v>
      </c>
      <c r="AQ60" s="4">
        <v>8.22996446584681E-4</v>
      </c>
      <c r="AR60" s="4">
        <v>8.24381962488023E-4</v>
      </c>
      <c r="AS60" s="4">
        <v>8.13644214237128E-4</v>
      </c>
      <c r="AT60" s="4">
        <v>0.0107390471720538</v>
      </c>
    </row>
    <row r="61" ht="15.75" customHeight="1">
      <c r="A61" s="4">
        <v>2.0</v>
      </c>
      <c r="B61" s="4">
        <v>2.0</v>
      </c>
      <c r="C61" s="4">
        <v>2007.0</v>
      </c>
      <c r="D61" s="4">
        <v>1.0</v>
      </c>
      <c r="E61" s="4">
        <v>8.0</v>
      </c>
      <c r="F61" s="4">
        <v>0.0</v>
      </c>
      <c r="G61" s="4">
        <v>0.0</v>
      </c>
      <c r="H61" s="4">
        <v>0.0</v>
      </c>
      <c r="I61" s="4">
        <v>0.0</v>
      </c>
      <c r="J61" s="10">
        <v>2.8985343882925E-5</v>
      </c>
      <c r="K61" s="4">
        <v>0.0020547388219229</v>
      </c>
      <c r="L61" s="4">
        <v>0.0239038507834497</v>
      </c>
      <c r="M61" s="4">
        <v>0.0623579416219071</v>
      </c>
      <c r="N61" s="4">
        <v>0.0864216143709335</v>
      </c>
      <c r="O61" s="4">
        <v>0.0975066968221596</v>
      </c>
      <c r="P61" s="4">
        <v>0.0894809771603542</v>
      </c>
      <c r="Q61" s="4">
        <v>0.0830223782957745</v>
      </c>
      <c r="R61" s="4">
        <v>0.0741393768312095</v>
      </c>
      <c r="S61" s="4">
        <v>0.0690710680374587</v>
      </c>
      <c r="T61" s="4">
        <v>0.0647685560548371</v>
      </c>
      <c r="U61" s="4">
        <v>0.0564018560281867</v>
      </c>
      <c r="V61" s="4">
        <v>0.0496799736233371</v>
      </c>
      <c r="W61" s="4">
        <v>0.0407084058302409</v>
      </c>
      <c r="X61" s="4">
        <v>0.0347715431555539</v>
      </c>
      <c r="Y61" s="4">
        <v>0.0283295504775738</v>
      </c>
      <c r="Z61" s="4">
        <v>0.0222246130657879</v>
      </c>
      <c r="AA61" s="4">
        <v>0.0179829904340314</v>
      </c>
      <c r="AB61" s="4">
        <v>0.0139171920931203</v>
      </c>
      <c r="AC61" s="4">
        <v>0.0109379415735982</v>
      </c>
      <c r="AD61" s="4">
        <v>0.00935179914444927</v>
      </c>
      <c r="AE61" s="4">
        <v>0.00808610579489488</v>
      </c>
      <c r="AF61" s="4">
        <v>0.00664247463983698</v>
      </c>
      <c r="AG61" s="4">
        <v>0.00539308554621673</v>
      </c>
      <c r="AH61" s="4">
        <v>0.00443284538653969</v>
      </c>
      <c r="AI61" s="4">
        <v>0.00375923807192713</v>
      </c>
      <c r="AJ61" s="4">
        <v>0.00324213148557134</v>
      </c>
      <c r="AK61" s="4">
        <v>0.00263847144178737</v>
      </c>
      <c r="AL61" s="4">
        <v>0.00242339616443386</v>
      </c>
      <c r="AM61" s="4">
        <v>0.00226770058461828</v>
      </c>
      <c r="AN61" s="4">
        <v>0.00211442045012629</v>
      </c>
      <c r="AO61" s="4">
        <v>0.00177988127281086</v>
      </c>
      <c r="AP61" s="4">
        <v>0.00159721322021535</v>
      </c>
      <c r="AQ61" s="4">
        <v>0.00135506482652674</v>
      </c>
      <c r="AR61" s="4">
        <v>0.00128219889259883</v>
      </c>
      <c r="AS61" s="4">
        <v>0.00117189355615548</v>
      </c>
      <c r="AT61" s="4">
        <v>0.0147518290959713</v>
      </c>
    </row>
    <row r="62" ht="15.75" customHeight="1">
      <c r="A62" s="4">
        <v>2.0</v>
      </c>
      <c r="B62" s="4">
        <v>2.0</v>
      </c>
      <c r="C62" s="4">
        <v>2008.0</v>
      </c>
      <c r="D62" s="4">
        <v>1.0</v>
      </c>
      <c r="E62" s="4">
        <v>4.0</v>
      </c>
      <c r="F62" s="4">
        <v>0.0</v>
      </c>
      <c r="G62" s="4">
        <v>0.0</v>
      </c>
      <c r="H62" s="4">
        <v>0.0</v>
      </c>
      <c r="I62" s="4">
        <v>0.0</v>
      </c>
      <c r="J62" s="10">
        <v>3.10605950795876E-5</v>
      </c>
      <c r="K62" s="4">
        <v>0.002363563377961</v>
      </c>
      <c r="L62" s="4">
        <v>0.0267638794269113</v>
      </c>
      <c r="M62" s="4">
        <v>0.0697137800675188</v>
      </c>
      <c r="N62" s="4">
        <v>0.0955759161864847</v>
      </c>
      <c r="O62" s="4">
        <v>0.091328798880872</v>
      </c>
      <c r="P62" s="4">
        <v>0.0958220344255915</v>
      </c>
      <c r="Q62" s="4">
        <v>0.0889705601763532</v>
      </c>
      <c r="R62" s="4">
        <v>0.0870158133926778</v>
      </c>
      <c r="S62" s="4">
        <v>0.0750865727808413</v>
      </c>
      <c r="T62" s="4">
        <v>0.0592466553408891</v>
      </c>
      <c r="U62" s="4">
        <v>0.0525393416948455</v>
      </c>
      <c r="V62" s="4">
        <v>0.0415871786596555</v>
      </c>
      <c r="W62" s="4">
        <v>0.0357719450253104</v>
      </c>
      <c r="X62" s="4">
        <v>0.0302816150760043</v>
      </c>
      <c r="Y62" s="4">
        <v>0.0269215489238391</v>
      </c>
      <c r="Z62" s="4">
        <v>0.0208194731590607</v>
      </c>
      <c r="AA62" s="4">
        <v>0.0165755112154879</v>
      </c>
      <c r="AB62" s="4">
        <v>0.0145634748897768</v>
      </c>
      <c r="AC62" s="4">
        <v>0.0110500778634886</v>
      </c>
      <c r="AD62" s="4">
        <v>0.00923189909309965</v>
      </c>
      <c r="AE62" s="4">
        <v>0.00677180135773257</v>
      </c>
      <c r="AF62" s="4">
        <v>0.00494129695437554</v>
      </c>
      <c r="AG62" s="4">
        <v>0.00442145105831336</v>
      </c>
      <c r="AH62" s="4">
        <v>0.00349052065149943</v>
      </c>
      <c r="AI62" s="4">
        <v>0.00320683388310587</v>
      </c>
      <c r="AJ62" s="4">
        <v>0.00277474649377649</v>
      </c>
      <c r="AK62" s="4">
        <v>0.00235173077031163</v>
      </c>
      <c r="AL62" s="4">
        <v>0.00210590834639604</v>
      </c>
      <c r="AM62" s="4">
        <v>0.00188917441628514</v>
      </c>
      <c r="AN62" s="4">
        <v>0.00152650499183205</v>
      </c>
      <c r="AO62" s="4">
        <v>0.00121008134227524</v>
      </c>
      <c r="AP62" s="4">
        <v>0.00114657968122363</v>
      </c>
      <c r="AQ62" s="4">
        <v>0.0010706537821402</v>
      </c>
      <c r="AR62" s="4">
        <v>9.61399371511045E-4</v>
      </c>
      <c r="AS62" s="4">
        <v>8.98094920586933E-4</v>
      </c>
      <c r="AT62" s="4">
        <v>0.00997252172688626</v>
      </c>
    </row>
    <row r="63" ht="15.75" customHeight="1">
      <c r="A63" s="4">
        <v>2.0</v>
      </c>
      <c r="B63" s="4">
        <v>2.0</v>
      </c>
      <c r="C63" s="4">
        <v>2009.0</v>
      </c>
      <c r="D63" s="4">
        <v>1.0</v>
      </c>
      <c r="E63" s="4">
        <v>5.0</v>
      </c>
      <c r="F63" s="4">
        <v>0.0</v>
      </c>
      <c r="G63" s="4">
        <v>0.0</v>
      </c>
      <c r="H63" s="4">
        <v>0.0</v>
      </c>
      <c r="I63" s="4">
        <v>0.0</v>
      </c>
      <c r="J63" s="10">
        <v>2.20247661153378E-5</v>
      </c>
      <c r="K63" s="4">
        <v>0.00209738701321203</v>
      </c>
      <c r="L63" s="4">
        <v>0.0235411188224595</v>
      </c>
      <c r="M63" s="4">
        <v>0.0714233798765585</v>
      </c>
      <c r="N63" s="4">
        <v>0.0937682392594393</v>
      </c>
      <c r="O63" s="4">
        <v>0.0961733437192341</v>
      </c>
      <c r="P63" s="4">
        <v>0.0897220799643744</v>
      </c>
      <c r="Q63" s="4">
        <v>0.0883705983636018</v>
      </c>
      <c r="R63" s="4">
        <v>0.0844907784926271</v>
      </c>
      <c r="S63" s="4">
        <v>0.0817609660523889</v>
      </c>
      <c r="T63" s="4">
        <v>0.0704612122368342</v>
      </c>
      <c r="U63" s="4">
        <v>0.0604800077527177</v>
      </c>
      <c r="V63" s="4">
        <v>0.0486033099447797</v>
      </c>
      <c r="W63" s="4">
        <v>0.0376990580007532</v>
      </c>
      <c r="X63" s="4">
        <v>0.0323924528048592</v>
      </c>
      <c r="Y63" s="4">
        <v>0.0266756625600267</v>
      </c>
      <c r="Z63" s="4">
        <v>0.0207803668298212</v>
      </c>
      <c r="AA63" s="4">
        <v>0.0159081739255926</v>
      </c>
      <c r="AB63" s="4">
        <v>0.0116239373968048</v>
      </c>
      <c r="AC63" s="4">
        <v>0.00910377975401692</v>
      </c>
      <c r="AD63" s="4">
        <v>0.00793678178941995</v>
      </c>
      <c r="AE63" s="4">
        <v>0.00670297536760646</v>
      </c>
      <c r="AF63" s="4">
        <v>0.0049159277969434</v>
      </c>
      <c r="AG63" s="4">
        <v>0.00347550809300031</v>
      </c>
      <c r="AH63" s="4">
        <v>0.00236797699691475</v>
      </c>
      <c r="AI63" s="4">
        <v>0.00181966520048148</v>
      </c>
      <c r="AJ63" s="4">
        <v>0.00143475619265629</v>
      </c>
      <c r="AK63" s="4">
        <v>0.00125698486615392</v>
      </c>
      <c r="AL63" s="4">
        <v>0.00100212685824787</v>
      </c>
      <c r="AM63" s="4">
        <v>6.79621354416139E-4</v>
      </c>
      <c r="AN63" s="4">
        <v>6.27600954448484E-4</v>
      </c>
      <c r="AO63" s="4">
        <v>4.10080169099861E-4</v>
      </c>
      <c r="AP63" s="4">
        <v>2.67233828866099E-4</v>
      </c>
      <c r="AQ63" s="4">
        <v>2.11437754707243E-4</v>
      </c>
      <c r="AR63" s="4">
        <v>1.9633505794244E-4</v>
      </c>
      <c r="AS63" s="4">
        <v>1.36553549915094E-4</v>
      </c>
      <c r="AT63" s="4">
        <v>0.00146055663296283</v>
      </c>
    </row>
    <row r="64" ht="15.75" customHeight="1">
      <c r="A64" s="4">
        <v>2.0</v>
      </c>
      <c r="B64" s="4">
        <v>2.0</v>
      </c>
      <c r="C64" s="4">
        <v>2010.0</v>
      </c>
      <c r="D64" s="4">
        <v>1.0</v>
      </c>
      <c r="E64" s="4">
        <v>7.0</v>
      </c>
      <c r="F64" s="4">
        <v>0.0</v>
      </c>
      <c r="G64" s="4">
        <v>0.0</v>
      </c>
      <c r="H64" s="4">
        <v>0.0</v>
      </c>
      <c r="I64" s="4">
        <v>0.0</v>
      </c>
      <c r="J64" s="10">
        <v>1.93128099002981E-5</v>
      </c>
      <c r="K64" s="4">
        <v>0.00208833021339488</v>
      </c>
      <c r="L64" s="4">
        <v>0.0247231556452245</v>
      </c>
      <c r="M64" s="4">
        <v>0.0644656288754947</v>
      </c>
      <c r="N64" s="4">
        <v>0.0861737577751303</v>
      </c>
      <c r="O64" s="4">
        <v>0.09426083774937</v>
      </c>
      <c r="P64" s="4">
        <v>0.0862316962048312</v>
      </c>
      <c r="Q64" s="4">
        <v>0.0906625004761881</v>
      </c>
      <c r="R64" s="4">
        <v>0.0883245893348509</v>
      </c>
      <c r="S64" s="4">
        <v>0.076912947084917</v>
      </c>
      <c r="T64" s="4">
        <v>0.0674462745748874</v>
      </c>
      <c r="U64" s="4">
        <v>0.055027501122955</v>
      </c>
      <c r="V64" s="4">
        <v>0.0445349151727271</v>
      </c>
      <c r="W64" s="4">
        <v>0.0373867348797942</v>
      </c>
      <c r="X64" s="4">
        <v>0.0339417328280734</v>
      </c>
      <c r="Y64" s="4">
        <v>0.0265740019654498</v>
      </c>
      <c r="Z64" s="4">
        <v>0.0234783283213762</v>
      </c>
      <c r="AA64" s="4">
        <v>0.0188064322692859</v>
      </c>
      <c r="AB64" s="4">
        <v>0.0153908238897761</v>
      </c>
      <c r="AC64" s="4">
        <v>0.0140151575845702</v>
      </c>
      <c r="AD64" s="4">
        <v>0.0102294223867513</v>
      </c>
      <c r="AE64" s="4">
        <v>0.00806171864695302</v>
      </c>
      <c r="AF64" s="4">
        <v>0.00608862860691927</v>
      </c>
      <c r="AG64" s="4">
        <v>0.0051049486740854</v>
      </c>
      <c r="AH64" s="4">
        <v>0.00357180868815404</v>
      </c>
      <c r="AI64" s="4">
        <v>0.00314013555258034</v>
      </c>
      <c r="AJ64" s="4">
        <v>0.00233218096697117</v>
      </c>
      <c r="AK64" s="4">
        <v>0.00163309969431642</v>
      </c>
      <c r="AL64" s="4">
        <v>0.00117256345823239</v>
      </c>
      <c r="AM64" s="4">
        <v>0.00101795486468989</v>
      </c>
      <c r="AN64" s="4">
        <v>8.85418053890592E-4</v>
      </c>
      <c r="AO64" s="4">
        <v>6.97383443212964E-4</v>
      </c>
      <c r="AP64" s="4">
        <v>5.95938134066343E-4</v>
      </c>
      <c r="AQ64" s="4">
        <v>5.16989065023366E-4</v>
      </c>
      <c r="AR64" s="4">
        <v>4.86852592431692E-4</v>
      </c>
      <c r="AS64" s="4">
        <v>4.07797409048603E-4</v>
      </c>
      <c r="AT64" s="4">
        <v>0.00359250098447579</v>
      </c>
    </row>
    <row r="65" ht="15.75" customHeight="1">
      <c r="A65" s="4">
        <v>2.0</v>
      </c>
      <c r="B65" s="4">
        <v>2.0</v>
      </c>
      <c r="C65" s="4">
        <v>2011.0</v>
      </c>
      <c r="D65" s="4">
        <v>1.0</v>
      </c>
      <c r="E65" s="4">
        <v>6.0</v>
      </c>
      <c r="F65" s="4">
        <v>0.0</v>
      </c>
      <c r="G65" s="4">
        <v>0.0</v>
      </c>
      <c r="H65" s="4">
        <v>0.0</v>
      </c>
      <c r="I65" s="4">
        <v>0.0</v>
      </c>
      <c r="J65" s="10">
        <v>1.67850266917746E-5</v>
      </c>
      <c r="K65" s="4">
        <v>0.00143123056864498</v>
      </c>
      <c r="L65" s="4">
        <v>0.018208888224311</v>
      </c>
      <c r="M65" s="4">
        <v>0.0571008185463901</v>
      </c>
      <c r="N65" s="4">
        <v>0.0835259773363248</v>
      </c>
      <c r="O65" s="4">
        <v>0.0940777206097509</v>
      </c>
      <c r="P65" s="4">
        <v>0.0940190753640534</v>
      </c>
      <c r="Q65" s="4">
        <v>0.0819707013265186</v>
      </c>
      <c r="R65" s="4">
        <v>0.0826763888816393</v>
      </c>
      <c r="S65" s="4">
        <v>0.077865534127695</v>
      </c>
      <c r="T65" s="4">
        <v>0.064964808246934</v>
      </c>
      <c r="U65" s="4">
        <v>0.0590218853208084</v>
      </c>
      <c r="V65" s="4">
        <v>0.0478889093243177</v>
      </c>
      <c r="W65" s="4">
        <v>0.0396109230812847</v>
      </c>
      <c r="X65" s="4">
        <v>0.0310858694331666</v>
      </c>
      <c r="Y65" s="4">
        <v>0.0261807524256666</v>
      </c>
      <c r="Z65" s="4">
        <v>0.0215544306176081</v>
      </c>
      <c r="AA65" s="4">
        <v>0.0169840930144301</v>
      </c>
      <c r="AB65" s="4">
        <v>0.0158057636711228</v>
      </c>
      <c r="AC65" s="4">
        <v>0.014225310121279</v>
      </c>
      <c r="AD65" s="4">
        <v>0.0127707442716235</v>
      </c>
      <c r="AE65" s="4">
        <v>0.00932254711142484</v>
      </c>
      <c r="AF65" s="4">
        <v>0.00820368179560484</v>
      </c>
      <c r="AG65" s="4">
        <v>0.00675986245694103</v>
      </c>
      <c r="AH65" s="4">
        <v>0.00579308585858431</v>
      </c>
      <c r="AI65" s="4">
        <v>0.00509660959859939</v>
      </c>
      <c r="AJ65" s="4">
        <v>0.00408224130870806</v>
      </c>
      <c r="AK65" s="4">
        <v>0.00355842565865622</v>
      </c>
      <c r="AL65" s="4">
        <v>0.00274967394573913</v>
      </c>
      <c r="AM65" s="4">
        <v>0.00209045225719205</v>
      </c>
      <c r="AN65" s="4">
        <v>0.00166570920371117</v>
      </c>
      <c r="AO65" s="4">
        <v>0.00134648665339626</v>
      </c>
      <c r="AP65" s="4">
        <v>0.00106277876321578</v>
      </c>
      <c r="AQ65" s="4">
        <v>8.93495628165807E-4</v>
      </c>
      <c r="AR65" s="4">
        <v>7.129542435055E-4</v>
      </c>
      <c r="AS65" s="4">
        <v>6.0548913358865E-4</v>
      </c>
      <c r="AT65" s="4">
        <v>0.00506989684270577</v>
      </c>
    </row>
    <row r="66" ht="15.75" customHeight="1">
      <c r="A66" s="4">
        <v>2.0</v>
      </c>
      <c r="B66" s="4">
        <v>2.0</v>
      </c>
      <c r="C66" s="4">
        <v>2012.0</v>
      </c>
      <c r="D66" s="4">
        <v>1.0</v>
      </c>
      <c r="E66" s="4">
        <v>9.0</v>
      </c>
      <c r="F66" s="4">
        <v>0.0</v>
      </c>
      <c r="G66" s="4">
        <v>0.0</v>
      </c>
      <c r="H66" s="4">
        <v>0.0</v>
      </c>
      <c r="I66" s="4">
        <v>0.0</v>
      </c>
      <c r="J66" s="10">
        <v>1.68228176703879E-5</v>
      </c>
      <c r="K66" s="4">
        <v>0.00137147604651459</v>
      </c>
      <c r="L66" s="4">
        <v>0.0154616685020472</v>
      </c>
      <c r="M66" s="4">
        <v>0.0448134878356454</v>
      </c>
      <c r="N66" s="4">
        <v>0.0661018475034897</v>
      </c>
      <c r="O66" s="4">
        <v>0.0724227297586733</v>
      </c>
      <c r="P66" s="4">
        <v>0.0709836293163748</v>
      </c>
      <c r="Q66" s="4">
        <v>0.0719650158679978</v>
      </c>
      <c r="R66" s="4">
        <v>0.0728291423835817</v>
      </c>
      <c r="S66" s="4">
        <v>0.0731372831032869</v>
      </c>
      <c r="T66" s="4">
        <v>0.0663318703866858</v>
      </c>
      <c r="U66" s="4">
        <v>0.0592754479054384</v>
      </c>
      <c r="V66" s="4">
        <v>0.050770347635199</v>
      </c>
      <c r="W66" s="4">
        <v>0.0446224405894282</v>
      </c>
      <c r="X66" s="4">
        <v>0.0404348082086356</v>
      </c>
      <c r="Y66" s="4">
        <v>0.0373436571023396</v>
      </c>
      <c r="Z66" s="4">
        <v>0.030430145290015</v>
      </c>
      <c r="AA66" s="4">
        <v>0.0284419713977121</v>
      </c>
      <c r="AB66" s="4">
        <v>0.0259304579695642</v>
      </c>
      <c r="AC66" s="4">
        <v>0.020908930176229</v>
      </c>
      <c r="AD66" s="4">
        <v>0.017744408266133</v>
      </c>
      <c r="AE66" s="4">
        <v>0.0149651455369439</v>
      </c>
      <c r="AF66" s="4">
        <v>0.0126514251383364</v>
      </c>
      <c r="AG66" s="4">
        <v>0.0108502177097466</v>
      </c>
      <c r="AH66" s="4">
        <v>0.00918967235563836</v>
      </c>
      <c r="AI66" s="4">
        <v>0.00716002438808875</v>
      </c>
      <c r="AJ66" s="4">
        <v>0.00603797576198411</v>
      </c>
      <c r="AK66" s="4">
        <v>0.00459779266310284</v>
      </c>
      <c r="AL66" s="4">
        <v>0.00392204839291706</v>
      </c>
      <c r="AM66" s="4">
        <v>0.00308057438429528</v>
      </c>
      <c r="AN66" s="4">
        <v>0.00262635830719481</v>
      </c>
      <c r="AO66" s="4">
        <v>0.00220878599135657</v>
      </c>
      <c r="AP66" s="4">
        <v>0.00167895051601495</v>
      </c>
      <c r="AQ66" s="4">
        <v>0.00143476981596754</v>
      </c>
      <c r="AR66" s="4">
        <v>0.00124722038332539</v>
      </c>
      <c r="AS66" s="4">
        <v>9.80303895040275E-4</v>
      </c>
      <c r="AT66" s="4">
        <v>0.00603114669738524</v>
      </c>
    </row>
    <row r="67" ht="15.75" customHeight="1">
      <c r="A67" s="4">
        <v>2.0</v>
      </c>
      <c r="B67" s="4">
        <v>2.0</v>
      </c>
      <c r="C67" s="4">
        <v>2013.0</v>
      </c>
      <c r="D67" s="4">
        <v>1.0</v>
      </c>
      <c r="E67" s="4">
        <v>8.0</v>
      </c>
      <c r="F67" s="4">
        <v>0.0</v>
      </c>
      <c r="G67" s="4">
        <v>0.0</v>
      </c>
      <c r="H67" s="4">
        <v>0.0</v>
      </c>
      <c r="I67" s="4">
        <v>0.0</v>
      </c>
      <c r="J67" s="10">
        <v>2.44283619273839E-5</v>
      </c>
      <c r="K67" s="4">
        <v>0.00225893210954922</v>
      </c>
      <c r="L67" s="4">
        <v>0.0264233064087462</v>
      </c>
      <c r="M67" s="4">
        <v>0.0705622452522269</v>
      </c>
      <c r="N67" s="4">
        <v>0.09361824024303</v>
      </c>
      <c r="O67" s="4">
        <v>0.0887026085457554</v>
      </c>
      <c r="P67" s="4">
        <v>0.0834399097441164</v>
      </c>
      <c r="Q67" s="4">
        <v>0.0828190606211695</v>
      </c>
      <c r="R67" s="4">
        <v>0.0731150090736385</v>
      </c>
      <c r="S67" s="4">
        <v>0.064580062054953</v>
      </c>
      <c r="T67" s="4">
        <v>0.0553568574617757</v>
      </c>
      <c r="U67" s="4">
        <v>0.050881281963561</v>
      </c>
      <c r="V67" s="4">
        <v>0.0474244382945915</v>
      </c>
      <c r="W67" s="4">
        <v>0.0379630571726222</v>
      </c>
      <c r="X67" s="4">
        <v>0.0371271923734654</v>
      </c>
      <c r="Y67" s="4">
        <v>0.0318241637290217</v>
      </c>
      <c r="Z67" s="4">
        <v>0.0270238753821685</v>
      </c>
      <c r="AA67" s="4">
        <v>0.021657356042338</v>
      </c>
      <c r="AB67" s="4">
        <v>0.0169537440900936</v>
      </c>
      <c r="AC67" s="4">
        <v>0.0143942970375887</v>
      </c>
      <c r="AD67" s="4">
        <v>0.0104780388450132</v>
      </c>
      <c r="AE67" s="4">
        <v>0.0096203959307419</v>
      </c>
      <c r="AF67" s="4">
        <v>0.00903918528186584</v>
      </c>
      <c r="AG67" s="4">
        <v>0.00773710749988736</v>
      </c>
      <c r="AH67" s="4">
        <v>0.00615940404936972</v>
      </c>
      <c r="AI67" s="4">
        <v>0.00521292025280589</v>
      </c>
      <c r="AJ67" s="4">
        <v>0.00395462915730102</v>
      </c>
      <c r="AK67" s="4">
        <v>0.00319204944392636</v>
      </c>
      <c r="AL67" s="4">
        <v>0.0027585612478376</v>
      </c>
      <c r="AM67" s="4">
        <v>0.00217377852717027</v>
      </c>
      <c r="AN67" s="4">
        <v>0.00208966199789202</v>
      </c>
      <c r="AO67" s="4">
        <v>0.00167403416075959</v>
      </c>
      <c r="AP67" s="4">
        <v>0.00156894611322292</v>
      </c>
      <c r="AQ67" s="4">
        <v>0.00116749133513327</v>
      </c>
      <c r="AR67" s="4">
        <v>9.6203959307419E-4</v>
      </c>
      <c r="AS67" s="4">
        <v>8.44161223962333E-4</v>
      </c>
      <c r="AT67" s="4">
        <v>0.00521752937769785</v>
      </c>
    </row>
    <row r="68" ht="15.75" customHeight="1">
      <c r="A68" s="4">
        <v>2.0</v>
      </c>
      <c r="B68" s="4">
        <v>2.0</v>
      </c>
      <c r="C68" s="4">
        <v>2014.0</v>
      </c>
      <c r="D68" s="4">
        <v>1.0</v>
      </c>
      <c r="E68" s="4">
        <v>5.0</v>
      </c>
      <c r="F68" s="4">
        <v>0.0</v>
      </c>
      <c r="G68" s="4">
        <v>0.0</v>
      </c>
      <c r="H68" s="4">
        <v>0.0</v>
      </c>
      <c r="I68" s="4">
        <v>0.0</v>
      </c>
      <c r="J68" s="10">
        <v>1.6717437784403E-5</v>
      </c>
      <c r="K68" s="4">
        <v>0.00153955938665665</v>
      </c>
      <c r="L68" s="4">
        <v>0.0183277546984262</v>
      </c>
      <c r="M68" s="4">
        <v>0.0518629348939385</v>
      </c>
      <c r="N68" s="4">
        <v>0.0673325908976661</v>
      </c>
      <c r="O68" s="4">
        <v>0.0645477767848829</v>
      </c>
      <c r="P68" s="4">
        <v>0.0696554400000467</v>
      </c>
      <c r="Q68" s="4">
        <v>0.0664181859286216</v>
      </c>
      <c r="R68" s="4">
        <v>0.056766975829112</v>
      </c>
      <c r="S68" s="4">
        <v>0.0550493562911703</v>
      </c>
      <c r="T68" s="4">
        <v>0.0532124792174062</v>
      </c>
      <c r="U68" s="4">
        <v>0.0537927298195741</v>
      </c>
      <c r="V68" s="4">
        <v>0.0520339970480115</v>
      </c>
      <c r="W68" s="4">
        <v>0.050373916598258</v>
      </c>
      <c r="X68" s="4">
        <v>0.0485940926406534</v>
      </c>
      <c r="Y68" s="4">
        <v>0.0414631334815483</v>
      </c>
      <c r="Z68" s="4">
        <v>0.0359463790126953</v>
      </c>
      <c r="AA68" s="4">
        <v>0.0293711774655159</v>
      </c>
      <c r="AB68" s="4">
        <v>0.0279516531699275</v>
      </c>
      <c r="AC68" s="4">
        <v>0.0242535032265627</v>
      </c>
      <c r="AD68" s="4">
        <v>0.0203326808996858</v>
      </c>
      <c r="AE68" s="4">
        <v>0.0159544616994753</v>
      </c>
      <c r="AF68" s="4">
        <v>0.0142957419714019</v>
      </c>
      <c r="AG68" s="4">
        <v>0.0129532928395521</v>
      </c>
      <c r="AH68" s="4">
        <v>0.0112259538610381</v>
      </c>
      <c r="AI68" s="4">
        <v>0.00914871502192026</v>
      </c>
      <c r="AJ68" s="4">
        <v>0.0082768812025825</v>
      </c>
      <c r="AK68" s="4">
        <v>0.00636817746298886</v>
      </c>
      <c r="AL68" s="4">
        <v>0.00519572134674901</v>
      </c>
      <c r="AM68" s="4">
        <v>0.00446151480591541</v>
      </c>
      <c r="AN68" s="4">
        <v>0.00380836839945501</v>
      </c>
      <c r="AO68" s="4">
        <v>0.00326961980853091</v>
      </c>
      <c r="AP68" s="4">
        <v>0.00257992830551856</v>
      </c>
      <c r="AQ68" s="4">
        <v>0.00215722983502805</v>
      </c>
      <c r="AR68" s="4">
        <v>0.00183114260382647</v>
      </c>
      <c r="AS68" s="4">
        <v>0.00145655536416897</v>
      </c>
      <c r="AT68" s="4">
        <v>0.00817366074370438</v>
      </c>
    </row>
    <row r="69" ht="15.75" customHeight="1">
      <c r="A69" s="4">
        <v>2.0</v>
      </c>
      <c r="B69" s="4">
        <v>2.0</v>
      </c>
      <c r="C69" s="4">
        <v>2015.0</v>
      </c>
      <c r="D69" s="4">
        <v>1.0</v>
      </c>
      <c r="E69" s="4">
        <v>5.0</v>
      </c>
      <c r="F69" s="4">
        <v>0.0</v>
      </c>
      <c r="G69" s="4">
        <v>0.0</v>
      </c>
      <c r="H69" s="4">
        <v>0.0</v>
      </c>
      <c r="I69" s="4">
        <v>0.0</v>
      </c>
      <c r="J69" s="10">
        <v>2.45867979947549E-5</v>
      </c>
      <c r="K69" s="4">
        <v>0.00200574135568221</v>
      </c>
      <c r="L69" s="4">
        <v>0.0232460280197015</v>
      </c>
      <c r="M69" s="4">
        <v>0.0636521748545403</v>
      </c>
      <c r="N69" s="4">
        <v>0.080512515187705</v>
      </c>
      <c r="O69" s="4">
        <v>0.077148184067597</v>
      </c>
      <c r="P69" s="4">
        <v>0.0731202349685847</v>
      </c>
      <c r="Q69" s="4">
        <v>0.0758017749186916</v>
      </c>
      <c r="R69" s="4">
        <v>0.0739519003282788</v>
      </c>
      <c r="S69" s="4">
        <v>0.0720449572984838</v>
      </c>
      <c r="T69" s="4">
        <v>0.0638007106938022</v>
      </c>
      <c r="U69" s="4">
        <v>0.056358129043922</v>
      </c>
      <c r="V69" s="4">
        <v>0.049340064401621</v>
      </c>
      <c r="W69" s="4">
        <v>0.0430077232997242</v>
      </c>
      <c r="X69" s="4">
        <v>0.034854605744491</v>
      </c>
      <c r="Y69" s="4">
        <v>0.0296115274638481</v>
      </c>
      <c r="Z69" s="4">
        <v>0.0299643141800297</v>
      </c>
      <c r="AA69" s="4">
        <v>0.0241150247102959</v>
      </c>
      <c r="AB69" s="4">
        <v>0.0206687000023797</v>
      </c>
      <c r="AC69" s="4">
        <v>0.0172619622949046</v>
      </c>
      <c r="AD69" s="4">
        <v>0.0149697509075404</v>
      </c>
      <c r="AE69" s="4">
        <v>0.0131223575536226</v>
      </c>
      <c r="AF69" s="4">
        <v>0.0126840809618446</v>
      </c>
      <c r="AG69" s="4">
        <v>0.0107133024840448</v>
      </c>
      <c r="AH69" s="4">
        <v>0.009781485396739</v>
      </c>
      <c r="AI69" s="4">
        <v>0.00726866952828423</v>
      </c>
      <c r="AJ69" s="4">
        <v>0.00533465846399957</v>
      </c>
      <c r="AK69" s="4">
        <v>0.00387490192066878</v>
      </c>
      <c r="AL69" s="4">
        <v>0.00306184583468626</v>
      </c>
      <c r="AM69" s="4">
        <v>0.00297951389644695</v>
      </c>
      <c r="AN69" s="4">
        <v>0.00234409178680268</v>
      </c>
      <c r="AO69" s="4">
        <v>0.00154287796590939</v>
      </c>
      <c r="AP69" s="4">
        <v>9.41065332423094E-4</v>
      </c>
      <c r="AQ69" s="4">
        <v>4.97375133747105E-4</v>
      </c>
      <c r="AR69" s="4">
        <v>2.26694788850721E-4</v>
      </c>
      <c r="AS69" s="4">
        <v>1.66468412111275E-4</v>
      </c>
      <c r="AT69" s="10">
        <v>0.0</v>
      </c>
    </row>
    <row r="70" ht="15.75" customHeight="1">
      <c r="A70" s="4">
        <v>2.0</v>
      </c>
      <c r="B70" s="4">
        <v>2.0</v>
      </c>
      <c r="C70" s="4">
        <v>2016.0</v>
      </c>
      <c r="D70" s="4">
        <v>1.0</v>
      </c>
      <c r="E70" s="4">
        <v>6.0</v>
      </c>
      <c r="F70" s="4">
        <v>0.0</v>
      </c>
      <c r="G70" s="4">
        <v>0.0</v>
      </c>
      <c r="H70" s="4">
        <v>0.0</v>
      </c>
      <c r="I70" s="4">
        <v>0.0</v>
      </c>
      <c r="J70" s="10">
        <v>1.68410699805401E-5</v>
      </c>
      <c r="K70" s="4">
        <v>0.00139865086188386</v>
      </c>
      <c r="L70" s="4">
        <v>0.015056665054602</v>
      </c>
      <c r="M70" s="4">
        <v>0.0460999029112316</v>
      </c>
      <c r="N70" s="4">
        <v>0.0598464262828475</v>
      </c>
      <c r="O70" s="4">
        <v>0.0627924907914433</v>
      </c>
      <c r="P70" s="4">
        <v>0.0662339634419667</v>
      </c>
      <c r="Q70" s="4">
        <v>0.0661632309480484</v>
      </c>
      <c r="R70" s="4">
        <v>0.0616453332412688</v>
      </c>
      <c r="S70" s="4">
        <v>0.0621554305386794</v>
      </c>
      <c r="T70" s="4">
        <v>0.0622661137930515</v>
      </c>
      <c r="U70" s="4">
        <v>0.0539700155976377</v>
      </c>
      <c r="V70" s="4">
        <v>0.0485063982499509</v>
      </c>
      <c r="W70" s="4">
        <v>0.0412016777073915</v>
      </c>
      <c r="X70" s="4">
        <v>0.0413705562146963</v>
      </c>
      <c r="Y70" s="4">
        <v>0.0395807247217645</v>
      </c>
      <c r="Z70" s="4">
        <v>0.0333583236099545</v>
      </c>
      <c r="AA70" s="4">
        <v>0.0320850451579257</v>
      </c>
      <c r="AB70" s="4">
        <v>0.0279365282527194</v>
      </c>
      <c r="AC70" s="4">
        <v>0.0267879672800465</v>
      </c>
      <c r="AD70" s="4">
        <v>0.0222349840108075</v>
      </c>
      <c r="AE70" s="4">
        <v>0.020244088854608</v>
      </c>
      <c r="AF70" s="4">
        <v>0.0166217618247936</v>
      </c>
      <c r="AG70" s="4">
        <v>0.0137909650840645</v>
      </c>
      <c r="AH70" s="4">
        <v>0.01123327436152</v>
      </c>
      <c r="AI70" s="4">
        <v>0.0103059863360914</v>
      </c>
      <c r="AJ70" s="4">
        <v>0.00929514789125946</v>
      </c>
      <c r="AK70" s="4">
        <v>0.00864508259001061</v>
      </c>
      <c r="AL70" s="4">
        <v>0.00673642799221606</v>
      </c>
      <c r="AM70" s="4">
        <v>0.00528510200589307</v>
      </c>
      <c r="AN70" s="4">
        <v>0.00458208089570541</v>
      </c>
      <c r="AO70" s="4">
        <v>0.00399320481538585</v>
      </c>
      <c r="AP70" s="4">
        <v>0.00359051611985116</v>
      </c>
      <c r="AQ70" s="4">
        <v>0.00293932808060361</v>
      </c>
      <c r="AR70" s="4">
        <v>0.00222751218942611</v>
      </c>
      <c r="AS70" s="4">
        <v>0.00186449356984558</v>
      </c>
      <c r="AT70" s="4">
        <v>0.00793775765082792</v>
      </c>
    </row>
    <row r="71" ht="15.75" customHeight="1">
      <c r="A71" s="4">
        <v>2.0</v>
      </c>
      <c r="B71" s="4">
        <v>2.0</v>
      </c>
      <c r="C71" s="4">
        <v>2017.0</v>
      </c>
      <c r="D71" s="4">
        <v>1.0</v>
      </c>
      <c r="E71" s="4">
        <v>7.0</v>
      </c>
      <c r="F71" s="4">
        <v>0.0</v>
      </c>
      <c r="G71" s="4">
        <v>0.0</v>
      </c>
      <c r="H71" s="4">
        <v>0.0</v>
      </c>
      <c r="I71" s="4">
        <v>0.0</v>
      </c>
      <c r="J71" s="10">
        <v>1.56493574676715E-5</v>
      </c>
      <c r="K71" s="4">
        <v>0.00128097563142633</v>
      </c>
      <c r="L71" s="4">
        <v>0.0133191176589369</v>
      </c>
      <c r="M71" s="4">
        <v>0.0445663411600313</v>
      </c>
      <c r="N71" s="4">
        <v>0.0674234897865226</v>
      </c>
      <c r="O71" s="4">
        <v>0.0782272256415227</v>
      </c>
      <c r="P71" s="4">
        <v>0.0696497370907945</v>
      </c>
      <c r="Q71" s="4">
        <v>0.0682046956149491</v>
      </c>
      <c r="R71" s="4">
        <v>0.058402897251367</v>
      </c>
      <c r="S71" s="4">
        <v>0.053020401713958</v>
      </c>
      <c r="T71" s="4">
        <v>0.0461534888980429</v>
      </c>
      <c r="U71" s="4">
        <v>0.0401592801699419</v>
      </c>
      <c r="V71" s="4">
        <v>0.0414808936489859</v>
      </c>
      <c r="W71" s="4">
        <v>0.0353871095737721</v>
      </c>
      <c r="X71" s="4">
        <v>0.0310725564790359</v>
      </c>
      <c r="Y71" s="4">
        <v>0.0333313645432003</v>
      </c>
      <c r="Z71" s="4">
        <v>0.0333078905069988</v>
      </c>
      <c r="AA71" s="4">
        <v>0.0320685623591558</v>
      </c>
      <c r="AB71" s="4">
        <v>0.0284280674759908</v>
      </c>
      <c r="AC71" s="4">
        <v>0.0278109274919835</v>
      </c>
      <c r="AD71" s="4">
        <v>0.0260796542198745</v>
      </c>
      <c r="AE71" s="4">
        <v>0.021075141147108</v>
      </c>
      <c r="AF71" s="4">
        <v>0.0179109420307414</v>
      </c>
      <c r="AG71" s="4">
        <v>0.0169170816270485</v>
      </c>
      <c r="AH71" s="4">
        <v>0.0151516069366029</v>
      </c>
      <c r="AI71" s="4">
        <v>0.0145917637936466</v>
      </c>
      <c r="AJ71" s="4">
        <v>0.0132211829702682</v>
      </c>
      <c r="AK71" s="4">
        <v>0.0119010839451727</v>
      </c>
      <c r="AL71" s="4">
        <v>0.0106592317074156</v>
      </c>
      <c r="AM71" s="4">
        <v>0.00948477267036597</v>
      </c>
      <c r="AN71" s="4">
        <v>0.00754450475336613</v>
      </c>
      <c r="AO71" s="4">
        <v>0.00639023843562965</v>
      </c>
      <c r="AP71" s="4">
        <v>0.00539145605660423</v>
      </c>
      <c r="AQ71" s="4">
        <v>0.00413938125469481</v>
      </c>
      <c r="AR71" s="4">
        <v>0.00309024328188228</v>
      </c>
      <c r="AS71" s="4">
        <v>0.00251777968935521</v>
      </c>
      <c r="AT71" s="4">
        <v>0.0106232634261391</v>
      </c>
    </row>
    <row r="72" ht="15.75" customHeight="1">
      <c r="A72" s="4">
        <v>2.0</v>
      </c>
      <c r="B72" s="4">
        <v>2.0</v>
      </c>
      <c r="C72" s="4">
        <v>2018.0</v>
      </c>
      <c r="D72" s="4">
        <v>1.0</v>
      </c>
      <c r="E72" s="4">
        <v>13.0</v>
      </c>
      <c r="F72" s="4">
        <v>0.0</v>
      </c>
      <c r="G72" s="4">
        <v>0.0</v>
      </c>
      <c r="H72" s="4">
        <v>0.0</v>
      </c>
      <c r="I72" s="4">
        <v>0.0</v>
      </c>
      <c r="J72" s="10">
        <v>9.70013729626763E-6</v>
      </c>
      <c r="K72" s="4">
        <v>0.00108152161422169</v>
      </c>
      <c r="L72" s="4">
        <v>0.0137260438287158</v>
      </c>
      <c r="M72" s="4">
        <v>0.0460878865646719</v>
      </c>
      <c r="N72" s="4">
        <v>0.0643774517424724</v>
      </c>
      <c r="O72" s="4">
        <v>0.0622942817166307</v>
      </c>
      <c r="P72" s="4">
        <v>0.0640866224008329</v>
      </c>
      <c r="Q72" s="4">
        <v>0.056662958767338</v>
      </c>
      <c r="R72" s="4">
        <v>0.052331978547491</v>
      </c>
      <c r="S72" s="4">
        <v>0.0453331984052974</v>
      </c>
      <c r="T72" s="4">
        <v>0.042675622951993</v>
      </c>
      <c r="U72" s="4">
        <v>0.0423403128005896</v>
      </c>
      <c r="V72" s="4">
        <v>0.0423487894971458</v>
      </c>
      <c r="W72" s="4">
        <v>0.0427485050646514</v>
      </c>
      <c r="X72" s="4">
        <v>0.0422196291104441</v>
      </c>
      <c r="Y72" s="4">
        <v>0.0387279292382849</v>
      </c>
      <c r="Z72" s="4">
        <v>0.0338983969168594</v>
      </c>
      <c r="AA72" s="4">
        <v>0.0336227731958466</v>
      </c>
      <c r="AB72" s="4">
        <v>0.0331272796961183</v>
      </c>
      <c r="AC72" s="4">
        <v>0.0306917587371365</v>
      </c>
      <c r="AD72" s="4">
        <v>0.0261064776206035</v>
      </c>
      <c r="AE72" s="4">
        <v>0.0217073342738097</v>
      </c>
      <c r="AF72" s="4">
        <v>0.019678257806404</v>
      </c>
      <c r="AG72" s="4">
        <v>0.0179397485147648</v>
      </c>
      <c r="AH72" s="4">
        <v>0.0166779441686314</v>
      </c>
      <c r="AI72" s="4">
        <v>0.0149707200044883</v>
      </c>
      <c r="AJ72" s="4">
        <v>0.0124561997291477</v>
      </c>
      <c r="AK72" s="4">
        <v>0.0118263025252603</v>
      </c>
      <c r="AL72" s="4">
        <v>0.0102461414208359</v>
      </c>
      <c r="AM72" s="4">
        <v>0.00932139499859174</v>
      </c>
      <c r="AN72" s="4">
        <v>0.00781883499253745</v>
      </c>
      <c r="AO72" s="4">
        <v>0.00700192613266799</v>
      </c>
      <c r="AP72" s="4">
        <v>0.00613607964319574</v>
      </c>
      <c r="AQ72" s="4">
        <v>0.00495493499728265</v>
      </c>
      <c r="AR72" s="4">
        <v>0.00407099906258223</v>
      </c>
      <c r="AS72" s="4">
        <v>0.00328624921645175</v>
      </c>
      <c r="AT72" s="4">
        <v>0.0174078139587073</v>
      </c>
    </row>
    <row r="73" ht="15.75" customHeight="1">
      <c r="A73" s="4">
        <v>2.0</v>
      </c>
      <c r="B73" s="4">
        <v>2.0</v>
      </c>
      <c r="C73" s="4">
        <v>2019.0</v>
      </c>
      <c r="D73" s="4">
        <v>1.0</v>
      </c>
      <c r="E73" s="4">
        <v>5.0</v>
      </c>
      <c r="F73" s="4">
        <v>0.0</v>
      </c>
      <c r="G73" s="4">
        <v>0.0</v>
      </c>
      <c r="H73" s="4">
        <v>0.0</v>
      </c>
      <c r="I73" s="4">
        <v>0.0</v>
      </c>
      <c r="J73" s="10">
        <v>1.92514634089221E-5</v>
      </c>
      <c r="K73" s="4">
        <v>0.0013420453151663</v>
      </c>
      <c r="L73" s="4">
        <v>0.01485538181606</v>
      </c>
      <c r="M73" s="4">
        <v>0.0433836689637434</v>
      </c>
      <c r="N73" s="4">
        <v>0.0540625747978894</v>
      </c>
      <c r="O73" s="4">
        <v>0.0592840876929959</v>
      </c>
      <c r="P73" s="4">
        <v>0.0544852138837585</v>
      </c>
      <c r="Q73" s="4">
        <v>0.0572217002495546</v>
      </c>
      <c r="R73" s="4">
        <v>0.0567124295783453</v>
      </c>
      <c r="S73" s="4">
        <v>0.0521099405427484</v>
      </c>
      <c r="T73" s="4">
        <v>0.0441813146486965</v>
      </c>
      <c r="U73" s="4">
        <v>0.0452689230969532</v>
      </c>
      <c r="V73" s="4">
        <v>0.0403774636415274</v>
      </c>
      <c r="W73" s="4">
        <v>0.0404473246221454</v>
      </c>
      <c r="X73" s="4">
        <v>0.0403836161710705</v>
      </c>
      <c r="Y73" s="4">
        <v>0.0382816342229891</v>
      </c>
      <c r="Z73" s="4">
        <v>0.035409196801161</v>
      </c>
      <c r="AA73" s="4">
        <v>0.0337230067689733</v>
      </c>
      <c r="AB73" s="4">
        <v>0.0291759897336114</v>
      </c>
      <c r="AC73" s="4">
        <v>0.0268331660242235</v>
      </c>
      <c r="AD73" s="4">
        <v>0.0255364708058504</v>
      </c>
      <c r="AE73" s="4">
        <v>0.0242179440310342</v>
      </c>
      <c r="AF73" s="4">
        <v>0.0230680164125672</v>
      </c>
      <c r="AG73" s="4">
        <v>0.0195846923477219</v>
      </c>
      <c r="AH73" s="4">
        <v>0.0166817899812209</v>
      </c>
      <c r="AI73" s="4">
        <v>0.0149729745178104</v>
      </c>
      <c r="AJ73" s="4">
        <v>0.0133996139386946</v>
      </c>
      <c r="AK73" s="4">
        <v>0.0125203976201222</v>
      </c>
      <c r="AL73" s="4">
        <v>0.0106175790074104</v>
      </c>
      <c r="AM73" s="4">
        <v>0.00957750381159129</v>
      </c>
      <c r="AN73" s="4">
        <v>0.00916290270786719</v>
      </c>
      <c r="AO73" s="4">
        <v>0.0079769530212691</v>
      </c>
      <c r="AP73" s="4">
        <v>0.00685143705227944</v>
      </c>
      <c r="AQ73" s="4">
        <v>0.00601836470527994</v>
      </c>
      <c r="AR73" s="4">
        <v>0.0047930189827368</v>
      </c>
      <c r="AS73" s="4">
        <v>0.00441235602584698</v>
      </c>
      <c r="AT73" s="4">
        <v>0.0230500549956754</v>
      </c>
    </row>
    <row r="74" ht="15.75" customHeight="1">
      <c r="A74" s="4">
        <v>2.0</v>
      </c>
      <c r="B74" s="4">
        <v>2.0</v>
      </c>
      <c r="C74" s="4">
        <v>2020.0</v>
      </c>
      <c r="D74" s="4">
        <v>1.0</v>
      </c>
      <c r="E74" s="4">
        <v>2.0</v>
      </c>
      <c r="F74" s="4">
        <v>0.0</v>
      </c>
      <c r="G74" s="4">
        <v>0.0</v>
      </c>
      <c r="H74" s="4">
        <v>0.0</v>
      </c>
      <c r="I74" s="4">
        <v>0.0</v>
      </c>
      <c r="J74" s="10">
        <v>2.48170509312807E-5</v>
      </c>
      <c r="K74" s="4">
        <v>0.00191648978708643</v>
      </c>
      <c r="L74" s="4">
        <v>0.0183568100776188</v>
      </c>
      <c r="M74" s="4">
        <v>0.0426347175484992</v>
      </c>
      <c r="N74" s="4">
        <v>0.0624720459622937</v>
      </c>
      <c r="O74" s="4">
        <v>0.061329903932917</v>
      </c>
      <c r="P74" s="4">
        <v>0.0521099512470429</v>
      </c>
      <c r="Q74" s="4">
        <v>0.0482393278315697</v>
      </c>
      <c r="R74" s="4">
        <v>0.0512269940361002</v>
      </c>
      <c r="S74" s="4">
        <v>0.0472605879577631</v>
      </c>
      <c r="T74" s="4">
        <v>0.0507193598650845</v>
      </c>
      <c r="U74" s="4">
        <v>0.0474182738263208</v>
      </c>
      <c r="V74" s="4">
        <v>0.0421648666404182</v>
      </c>
      <c r="W74" s="4">
        <v>0.0389465970525151</v>
      </c>
      <c r="X74" s="4">
        <v>0.0403102800590255</v>
      </c>
      <c r="Y74" s="4">
        <v>0.0335406625985293</v>
      </c>
      <c r="Z74" s="4">
        <v>0.0339335527643964</v>
      </c>
      <c r="AA74" s="4">
        <v>0.0302812636284648</v>
      </c>
      <c r="AB74" s="4">
        <v>0.0242416578459246</v>
      </c>
      <c r="AC74" s="4">
        <v>0.0255883314130327</v>
      </c>
      <c r="AD74" s="4">
        <v>0.0267848478798431</v>
      </c>
      <c r="AE74" s="4">
        <v>0.0275195998933703</v>
      </c>
      <c r="AF74" s="4">
        <v>0.0247324219991724</v>
      </c>
      <c r="AG74" s="4">
        <v>0.0198606118267469</v>
      </c>
      <c r="AH74" s="4">
        <v>0.0196166239664674</v>
      </c>
      <c r="AI74" s="4">
        <v>0.018563154096598</v>
      </c>
      <c r="AJ74" s="4">
        <v>0.0165327568341697</v>
      </c>
      <c r="AK74" s="4">
        <v>0.0162251927085831</v>
      </c>
      <c r="AL74" s="4">
        <v>0.0145430706889994</v>
      </c>
      <c r="AM74" s="4">
        <v>0.0117624456116204</v>
      </c>
      <c r="AN74" s="4">
        <v>0.00961549186279573</v>
      </c>
      <c r="AO74" s="4">
        <v>0.00776968884437311</v>
      </c>
      <c r="AP74" s="4">
        <v>0.00619868586744237</v>
      </c>
      <c r="AQ74" s="4">
        <v>0.0048680457882955</v>
      </c>
      <c r="AR74" s="4">
        <v>0.00353350190338415</v>
      </c>
      <c r="AS74" s="4">
        <v>0.00334221542092507</v>
      </c>
      <c r="AT74" s="4">
        <v>0.0158151536816792</v>
      </c>
    </row>
    <row r="75" ht="15.75" customHeight="1">
      <c r="A75" s="4">
        <v>2.0</v>
      </c>
      <c r="B75" s="4">
        <v>2.0</v>
      </c>
      <c r="C75" s="4">
        <v>2021.0</v>
      </c>
      <c r="D75" s="4">
        <v>1.0</v>
      </c>
      <c r="E75" s="4">
        <v>5.0</v>
      </c>
      <c r="F75" s="4">
        <v>0.0</v>
      </c>
      <c r="G75" s="4">
        <v>0.0</v>
      </c>
      <c r="H75" s="4">
        <v>0.0</v>
      </c>
      <c r="I75" s="4">
        <v>0.0</v>
      </c>
      <c r="J75" s="10">
        <v>1.83121467967529E-5</v>
      </c>
      <c r="K75" s="4">
        <v>0.00145108331779887</v>
      </c>
      <c r="L75" s="4">
        <v>0.0144161861271291</v>
      </c>
      <c r="M75" s="4">
        <v>0.043344851467914</v>
      </c>
      <c r="N75" s="4">
        <v>0.0607227701463449</v>
      </c>
      <c r="O75" s="4">
        <v>0.0599105544218485</v>
      </c>
      <c r="P75" s="4">
        <v>0.0620662438824056</v>
      </c>
      <c r="Q75" s="4">
        <v>0.0535883371788842</v>
      </c>
      <c r="R75" s="4">
        <v>0.0540837939146884</v>
      </c>
      <c r="S75" s="4">
        <v>0.0476527325632355</v>
      </c>
      <c r="T75" s="4">
        <v>0.044232681955869</v>
      </c>
      <c r="U75" s="4">
        <v>0.0409727083171302</v>
      </c>
      <c r="V75" s="4">
        <v>0.0366068044645425</v>
      </c>
      <c r="W75" s="4">
        <v>0.0333828378560221</v>
      </c>
      <c r="X75" s="4">
        <v>0.0353552000941532</v>
      </c>
      <c r="Y75" s="4">
        <v>0.03229521978897</v>
      </c>
      <c r="Z75" s="4">
        <v>0.0309689265501849</v>
      </c>
      <c r="AA75" s="4">
        <v>0.0303559840186397</v>
      </c>
      <c r="AB75" s="4">
        <v>0.0311856888720993</v>
      </c>
      <c r="AC75" s="4">
        <v>0.0287552143323618</v>
      </c>
      <c r="AD75" s="4">
        <v>0.02766883079206</v>
      </c>
      <c r="AE75" s="4">
        <v>0.025809839260502</v>
      </c>
      <c r="AF75" s="4">
        <v>0.0242296450200631</v>
      </c>
      <c r="AG75" s="4">
        <v>0.0236501375880063</v>
      </c>
      <c r="AH75" s="4">
        <v>0.0213492883570548</v>
      </c>
      <c r="AI75" s="4">
        <v>0.0182787116972644</v>
      </c>
      <c r="AJ75" s="4">
        <v>0.0151337548007659</v>
      </c>
      <c r="AK75" s="4">
        <v>0.0127637720717951</v>
      </c>
      <c r="AL75" s="4">
        <v>0.0108086932081688</v>
      </c>
      <c r="AM75" s="4">
        <v>0.010470021369658</v>
      </c>
      <c r="AN75" s="4">
        <v>0.00939042772648319</v>
      </c>
      <c r="AO75" s="4">
        <v>0.00763863426774663</v>
      </c>
      <c r="AP75" s="4">
        <v>0.00628456417707887</v>
      </c>
      <c r="AQ75" s="4">
        <v>0.00625719883411294</v>
      </c>
      <c r="AR75" s="4">
        <v>0.00571832790758826</v>
      </c>
      <c r="AS75" s="4">
        <v>0.00483646429892666</v>
      </c>
      <c r="AT75" s="4">
        <v>0.0283455572057063</v>
      </c>
    </row>
    <row r="76" ht="15.75" customHeight="1">
      <c r="A76" s="4">
        <v>2.0</v>
      </c>
      <c r="B76" s="4">
        <v>2.0</v>
      </c>
      <c r="C76" s="4">
        <v>2022.0</v>
      </c>
      <c r="D76" s="4">
        <v>1.0</v>
      </c>
      <c r="E76" s="4">
        <v>6.0</v>
      </c>
      <c r="F76" s="4">
        <v>0.0</v>
      </c>
      <c r="G76" s="4">
        <v>0.0</v>
      </c>
      <c r="H76" s="4">
        <v>0.0</v>
      </c>
      <c r="I76" s="4">
        <v>0.0</v>
      </c>
      <c r="J76" s="10">
        <v>8.98991718448918E-6</v>
      </c>
      <c r="K76" s="4">
        <v>0.00115202179628388</v>
      </c>
      <c r="L76" s="4">
        <v>0.0139040552728981</v>
      </c>
      <c r="M76" s="4">
        <v>0.0441953515566173</v>
      </c>
      <c r="N76" s="4">
        <v>0.0555805239021884</v>
      </c>
      <c r="O76" s="4">
        <v>0.0567406825578217</v>
      </c>
      <c r="P76" s="4">
        <v>0.053657009723875</v>
      </c>
      <c r="Q76" s="4">
        <v>0.0514889304262435</v>
      </c>
      <c r="R76" s="4">
        <v>0.0511746770437871</v>
      </c>
      <c r="S76" s="4">
        <v>0.0476990569445634</v>
      </c>
      <c r="T76" s="4">
        <v>0.0442146437876555</v>
      </c>
      <c r="U76" s="4">
        <v>0.0418661099479996</v>
      </c>
      <c r="V76" s="4">
        <v>0.0379850248978053</v>
      </c>
      <c r="W76" s="4">
        <v>0.0336879757232864</v>
      </c>
      <c r="X76" s="4">
        <v>0.032721658055704</v>
      </c>
      <c r="Y76" s="4">
        <v>0.0323932307892196</v>
      </c>
      <c r="Z76" s="4">
        <v>0.0308970985862535</v>
      </c>
      <c r="AA76" s="4">
        <v>0.0282401515293194</v>
      </c>
      <c r="AB76" s="4">
        <v>0.0277283168283047</v>
      </c>
      <c r="AC76" s="4">
        <v>0.0271298639471183</v>
      </c>
      <c r="AD76" s="4">
        <v>0.0240052443370904</v>
      </c>
      <c r="AE76" s="4">
        <v>0.0235954484771113</v>
      </c>
      <c r="AF76" s="4">
        <v>0.0219901904910956</v>
      </c>
      <c r="AG76" s="4">
        <v>0.0204376252313509</v>
      </c>
      <c r="AH76" s="4">
        <v>0.0181567454399958</v>
      </c>
      <c r="AI76" s="4">
        <v>0.0173000128942973</v>
      </c>
      <c r="AJ76" s="4">
        <v>0.0156763157350783</v>
      </c>
      <c r="AK76" s="4">
        <v>0.015102667150941</v>
      </c>
      <c r="AL76" s="4">
        <v>0.0142398319607305</v>
      </c>
      <c r="AM76" s="4">
        <v>0.0129620169436972</v>
      </c>
      <c r="AN76" s="4">
        <v>0.0114531544930392</v>
      </c>
      <c r="AO76" s="4">
        <v>0.0107154563252434</v>
      </c>
      <c r="AP76" s="4">
        <v>0.0101332771627559</v>
      </c>
      <c r="AQ76" s="4">
        <v>0.00916676263567311</v>
      </c>
      <c r="AR76" s="4">
        <v>0.0079869836498342</v>
      </c>
      <c r="AS76" s="4">
        <v>0.00747528018848641</v>
      </c>
      <c r="AT76" s="4">
        <v>0.0471376136494503</v>
      </c>
    </row>
    <row r="77" ht="15.75" customHeight="1">
      <c r="A77" s="4">
        <v>2.0</v>
      </c>
      <c r="B77" s="4">
        <v>2.0</v>
      </c>
      <c r="C77" s="4">
        <v>2023.0</v>
      </c>
      <c r="D77" s="4">
        <v>1.0</v>
      </c>
      <c r="E77" s="4">
        <v>8.0</v>
      </c>
      <c r="F77" s="4">
        <v>0.0</v>
      </c>
      <c r="G77" s="4">
        <v>0.0</v>
      </c>
      <c r="H77" s="4">
        <v>0.0</v>
      </c>
      <c r="I77" s="4">
        <v>0.0</v>
      </c>
      <c r="J77" s="10">
        <v>1.30063656869777E-5</v>
      </c>
      <c r="K77" s="4">
        <v>0.00147715153159246</v>
      </c>
      <c r="L77" s="4">
        <v>0.0196396121873363</v>
      </c>
      <c r="M77" s="4">
        <v>0.0557973087971341</v>
      </c>
      <c r="N77" s="4">
        <v>0.0786203838240449</v>
      </c>
      <c r="O77" s="4">
        <v>0.0791827543023199</v>
      </c>
      <c r="P77" s="4">
        <v>0.0730590270164925</v>
      </c>
      <c r="Q77" s="4">
        <v>0.0641028023143898</v>
      </c>
      <c r="R77" s="4">
        <v>0.0492978420581273</v>
      </c>
      <c r="S77" s="4">
        <v>0.0365406618216922</v>
      </c>
      <c r="T77" s="4">
        <v>0.0260368860530883</v>
      </c>
      <c r="U77" s="4">
        <v>0.0318767442465412</v>
      </c>
      <c r="V77" s="4">
        <v>0.0300734013215293</v>
      </c>
      <c r="W77" s="4">
        <v>0.0329924013921353</v>
      </c>
      <c r="X77" s="4">
        <v>0.0335341268455104</v>
      </c>
      <c r="Y77" s="4">
        <v>0.0310986332580616</v>
      </c>
      <c r="Z77" s="4">
        <v>0.0345184816327407</v>
      </c>
      <c r="AA77" s="4">
        <v>0.0290533306412221</v>
      </c>
      <c r="AB77" s="4">
        <v>0.0261500207895401</v>
      </c>
      <c r="AC77" s="4">
        <v>0.0213050463460164</v>
      </c>
      <c r="AD77" s="4">
        <v>0.0174136656026221</v>
      </c>
      <c r="AE77" s="4">
        <v>0.019775456451178</v>
      </c>
      <c r="AF77" s="4">
        <v>0.0208411526365142</v>
      </c>
      <c r="AG77" s="4">
        <v>0.0158031472101758</v>
      </c>
      <c r="AH77" s="4">
        <v>0.0156332386552491</v>
      </c>
      <c r="AI77" s="4">
        <v>0.0137260512549904</v>
      </c>
      <c r="AJ77" s="4">
        <v>0.0125901619849944</v>
      </c>
      <c r="AK77" s="4">
        <v>0.0134341306029049</v>
      </c>
      <c r="AL77" s="4">
        <v>0.0130113204929536</v>
      </c>
      <c r="AM77" s="4">
        <v>0.011613445856977</v>
      </c>
      <c r="AN77" s="4">
        <v>0.0107568837738775</v>
      </c>
      <c r="AO77" s="4">
        <v>0.0103101254350423</v>
      </c>
      <c r="AP77" s="4">
        <v>0.00796629575814931</v>
      </c>
      <c r="AQ77" s="4">
        <v>0.00688408355289317</v>
      </c>
      <c r="AR77" s="4">
        <v>0.00508734703584926</v>
      </c>
      <c r="AS77" s="4">
        <v>0.00580249069838403</v>
      </c>
      <c r="AT77" s="4">
        <v>0.0449813802520427</v>
      </c>
    </row>
    <row r="78" ht="15.75" customHeight="1">
      <c r="A78" s="4">
        <v>2.0</v>
      </c>
      <c r="B78" s="4">
        <v>2.0</v>
      </c>
      <c r="C78" s="4">
        <v>2024.0</v>
      </c>
      <c r="D78" s="4">
        <v>1.0</v>
      </c>
      <c r="E78" s="4">
        <v>14.0</v>
      </c>
      <c r="F78" s="4">
        <v>0.0</v>
      </c>
      <c r="G78" s="4">
        <v>0.0</v>
      </c>
      <c r="H78" s="4">
        <v>0.0</v>
      </c>
      <c r="I78" s="4">
        <v>0.0</v>
      </c>
      <c r="J78" s="10">
        <v>2.05739604714831E-5</v>
      </c>
      <c r="K78" s="4">
        <v>0.00150189911441826</v>
      </c>
      <c r="L78" s="4">
        <v>0.015840464844245</v>
      </c>
      <c r="M78" s="4">
        <v>0.0405264600751162</v>
      </c>
      <c r="N78" s="4">
        <v>0.0528654277395315</v>
      </c>
      <c r="O78" s="4">
        <v>0.0508119555920608</v>
      </c>
      <c r="P78" s="4">
        <v>0.055394858312755</v>
      </c>
      <c r="Q78" s="4">
        <v>0.0517208155984557</v>
      </c>
      <c r="R78" s="4">
        <v>0.0540709133512808</v>
      </c>
      <c r="S78" s="4">
        <v>0.053460481823065</v>
      </c>
      <c r="T78" s="4">
        <v>0.0486882774557647</v>
      </c>
      <c r="U78" s="4">
        <v>0.0447451824851966</v>
      </c>
      <c r="V78" s="4">
        <v>0.0438314441170404</v>
      </c>
      <c r="W78" s="4">
        <v>0.0415238729526125</v>
      </c>
      <c r="X78" s="4">
        <v>0.0365452926725416</v>
      </c>
      <c r="Y78" s="4">
        <v>0.0342333734030656</v>
      </c>
      <c r="Z78" s="4">
        <v>0.0314597065877503</v>
      </c>
      <c r="AA78" s="4">
        <v>0.0270208215903565</v>
      </c>
      <c r="AB78" s="4">
        <v>0.0257479933760331</v>
      </c>
      <c r="AC78" s="4">
        <v>0.0216183540937674</v>
      </c>
      <c r="AD78" s="4">
        <v>0.0225364405669717</v>
      </c>
      <c r="AE78" s="4">
        <v>0.0194082441132225</v>
      </c>
      <c r="AF78" s="4">
        <v>0.0174460821717618</v>
      </c>
      <c r="AG78" s="4">
        <v>0.0181672313016901</v>
      </c>
      <c r="AH78" s="4">
        <v>0.0155959104481253</v>
      </c>
      <c r="AI78" s="4">
        <v>0.0157706830607902</v>
      </c>
      <c r="AJ78" s="4">
        <v>0.0131699859853151</v>
      </c>
      <c r="AK78" s="4">
        <v>0.0114111244676885</v>
      </c>
      <c r="AL78" s="4">
        <v>0.0113946865095799</v>
      </c>
      <c r="AM78" s="4">
        <v>0.0114047613871304</v>
      </c>
      <c r="AN78" s="4">
        <v>0.0110753659169014</v>
      </c>
      <c r="AO78" s="4">
        <v>0.010900699355579</v>
      </c>
      <c r="AP78" s="4">
        <v>0.0105550780299266</v>
      </c>
      <c r="AQ78" s="4">
        <v>0.00874584212454776</v>
      </c>
      <c r="AR78" s="4">
        <v>0.00739135437639424</v>
      </c>
      <c r="AS78" s="4">
        <v>0.00701466000734936</v>
      </c>
      <c r="AT78" s="4">
        <v>0.0563836810314978</v>
      </c>
    </row>
    <row r="79" ht="15.75" customHeight="1">
      <c r="A79" s="4">
        <v>4.0</v>
      </c>
      <c r="B79" s="4">
        <v>1.0</v>
      </c>
      <c r="C79" s="4">
        <v>1990.0</v>
      </c>
      <c r="D79" s="4">
        <v>1.0</v>
      </c>
      <c r="E79" s="4">
        <v>13.0</v>
      </c>
      <c r="F79" s="4">
        <v>0.0</v>
      </c>
      <c r="G79" s="4">
        <v>0.0</v>
      </c>
      <c r="H79" s="4">
        <v>0.0</v>
      </c>
      <c r="I79" s="4">
        <v>0.0</v>
      </c>
      <c r="J79" s="10">
        <v>8.26225948778795E-6</v>
      </c>
      <c r="K79" s="4">
        <v>4.46162012340549E-4</v>
      </c>
      <c r="L79" s="4">
        <v>0.00619851999875106</v>
      </c>
      <c r="M79" s="4">
        <v>0.0316071775977481</v>
      </c>
      <c r="N79" s="4">
        <v>0.042796102327123</v>
      </c>
      <c r="O79" s="4">
        <v>0.0390316824025882</v>
      </c>
      <c r="P79" s="4">
        <v>0.036130380376173</v>
      </c>
      <c r="Q79" s="4">
        <v>0.0405920004995785</v>
      </c>
      <c r="R79" s="4">
        <v>0.0396770032976983</v>
      </c>
      <c r="S79" s="4">
        <v>0.0410964786922573</v>
      </c>
      <c r="T79" s="4">
        <v>0.0432586927856544</v>
      </c>
      <c r="U79" s="4">
        <v>0.0454750919296459</v>
      </c>
      <c r="V79" s="4">
        <v>0.0463408998657383</v>
      </c>
      <c r="W79" s="4">
        <v>0.0493306849269006</v>
      </c>
      <c r="X79" s="4">
        <v>0.0512980634128416</v>
      </c>
      <c r="Y79" s="4">
        <v>0.0480930753138578</v>
      </c>
      <c r="Z79" s="4">
        <v>0.0492745784206115</v>
      </c>
      <c r="AA79" s="4">
        <v>0.0441752271520904</v>
      </c>
      <c r="AB79" s="4">
        <v>0.0408679215373567</v>
      </c>
      <c r="AC79" s="4">
        <v>0.0387054192256053</v>
      </c>
      <c r="AD79" s="4">
        <v>0.0381390701595529</v>
      </c>
      <c r="AE79" s="4">
        <v>0.0352992547153724</v>
      </c>
      <c r="AF79" s="4">
        <v>0.0307879649622554</v>
      </c>
      <c r="AG79" s="4">
        <v>0.0254679345071826</v>
      </c>
      <c r="AH79" s="4">
        <v>0.0232742085403902</v>
      </c>
      <c r="AI79" s="4">
        <v>0.0194050692804869</v>
      </c>
      <c r="AJ79" s="4">
        <v>0.0161267776467452</v>
      </c>
      <c r="AK79" s="4">
        <v>0.0126921755922287</v>
      </c>
      <c r="AL79" s="4">
        <v>0.00999733398022342</v>
      </c>
      <c r="AM79" s="4">
        <v>0.00842519893070991</v>
      </c>
      <c r="AN79" s="4">
        <v>0.00729077148847967</v>
      </c>
      <c r="AO79" s="4">
        <v>0.00628018186578152</v>
      </c>
      <c r="AP79" s="4">
        <v>0.00514748373367664</v>
      </c>
      <c r="AQ79" s="4">
        <v>0.00444144483860973</v>
      </c>
      <c r="AR79" s="4">
        <v>0.00380448227577213</v>
      </c>
      <c r="AS79" s="4">
        <v>0.00330029230144758</v>
      </c>
      <c r="AT79" s="4">
        <v>0.015716931147037</v>
      </c>
    </row>
    <row r="80" ht="15.75" customHeight="1">
      <c r="A80" s="4">
        <v>4.0</v>
      </c>
      <c r="B80" s="4">
        <v>1.0</v>
      </c>
      <c r="C80" s="4">
        <v>1991.0</v>
      </c>
      <c r="D80" s="4">
        <v>1.0</v>
      </c>
      <c r="E80" s="4">
        <v>5.0</v>
      </c>
      <c r="F80" s="4">
        <v>0.0</v>
      </c>
      <c r="G80" s="4">
        <v>0.0</v>
      </c>
      <c r="H80" s="4">
        <v>0.0</v>
      </c>
      <c r="I80" s="4">
        <v>0.0</v>
      </c>
      <c r="J80" s="10">
        <v>1.88455596347267E-5</v>
      </c>
      <c r="K80" s="4">
        <v>6.12944103529472E-4</v>
      </c>
      <c r="L80" s="4">
        <v>0.00676462907806518</v>
      </c>
      <c r="M80" s="4">
        <v>0.0266432961130956</v>
      </c>
      <c r="N80" s="4">
        <v>0.0374648180820364</v>
      </c>
      <c r="O80" s="4">
        <v>0.038988991335445</v>
      </c>
      <c r="P80" s="4">
        <v>0.0441511299573573</v>
      </c>
      <c r="Q80" s="4">
        <v>0.0469652972149429</v>
      </c>
      <c r="R80" s="4">
        <v>0.0480271363700996</v>
      </c>
      <c r="S80" s="4">
        <v>0.0466249186030157</v>
      </c>
      <c r="T80" s="4">
        <v>0.0483496734890939</v>
      </c>
      <c r="U80" s="4">
        <v>0.0513413288452067</v>
      </c>
      <c r="V80" s="4">
        <v>0.0468825775658905</v>
      </c>
      <c r="W80" s="4">
        <v>0.0422522853523583</v>
      </c>
      <c r="X80" s="4">
        <v>0.0436145721590686</v>
      </c>
      <c r="Y80" s="4">
        <v>0.0430880550277984</v>
      </c>
      <c r="Z80" s="4">
        <v>0.0449827288941897</v>
      </c>
      <c r="AA80" s="4">
        <v>0.0400371597362765</v>
      </c>
      <c r="AB80" s="4">
        <v>0.0368628414763272</v>
      </c>
      <c r="AC80" s="4">
        <v>0.0339435561586478</v>
      </c>
      <c r="AD80" s="4">
        <v>0.0333177136597945</v>
      </c>
      <c r="AE80" s="4">
        <v>0.0333079819363766</v>
      </c>
      <c r="AF80" s="4">
        <v>0.0326645296522909</v>
      </c>
      <c r="AG80" s="4">
        <v>0.0299829764352496</v>
      </c>
      <c r="AH80" s="4">
        <v>0.0271700449520662</v>
      </c>
      <c r="AI80" s="4">
        <v>0.0236731123372224</v>
      </c>
      <c r="AJ80" s="4">
        <v>0.0178735458314356</v>
      </c>
      <c r="AK80" s="4">
        <v>0.0135869533735367</v>
      </c>
      <c r="AL80" s="4">
        <v>0.0107302291349726</v>
      </c>
      <c r="AM80" s="4">
        <v>0.00891564889702887</v>
      </c>
      <c r="AN80" s="4">
        <v>0.00708160521224927</v>
      </c>
      <c r="AO80" s="4">
        <v>0.00612673777878974</v>
      </c>
      <c r="AP80" s="4">
        <v>0.00503454491487716</v>
      </c>
      <c r="AQ80" s="4">
        <v>0.00422449479418448</v>
      </c>
      <c r="AR80" s="4">
        <v>0.00328584689975483</v>
      </c>
      <c r="AS80" s="4">
        <v>0.00273994355754889</v>
      </c>
      <c r="AT80" s="4">
        <v>0.012667305510542</v>
      </c>
    </row>
    <row r="81" ht="15.75" customHeight="1">
      <c r="A81" s="4">
        <v>4.0</v>
      </c>
      <c r="B81" s="4">
        <v>1.0</v>
      </c>
      <c r="C81" s="4">
        <v>1992.0</v>
      </c>
      <c r="D81" s="4">
        <v>1.0</v>
      </c>
      <c r="E81" s="4">
        <v>9.0</v>
      </c>
      <c r="F81" s="4">
        <v>0.0</v>
      </c>
      <c r="G81" s="4">
        <v>0.0</v>
      </c>
      <c r="H81" s="4">
        <v>0.0</v>
      </c>
      <c r="I81" s="4">
        <v>0.0</v>
      </c>
      <c r="J81" s="10">
        <v>1.78686021618864E-5</v>
      </c>
      <c r="K81" s="4">
        <v>5.36058064856593E-4</v>
      </c>
      <c r="L81" s="4">
        <v>0.00762488991452018</v>
      </c>
      <c r="M81" s="4">
        <v>0.0360348952357899</v>
      </c>
      <c r="N81" s="4">
        <v>0.0451289416200604</v>
      </c>
      <c r="O81" s="4">
        <v>0.0421425025787371</v>
      </c>
      <c r="P81" s="4">
        <v>0.0437973733869566</v>
      </c>
      <c r="Q81" s="4">
        <v>0.0480060248161529</v>
      </c>
      <c r="R81" s="4">
        <v>0.0483610143791024</v>
      </c>
      <c r="S81" s="4">
        <v>0.0532427164897298</v>
      </c>
      <c r="T81" s="4">
        <v>0.051930208098932</v>
      </c>
      <c r="U81" s="4">
        <v>0.0535200371952822</v>
      </c>
      <c r="V81" s="4">
        <v>0.0508852522445049</v>
      </c>
      <c r="W81" s="4">
        <v>0.0532041203090601</v>
      </c>
      <c r="X81" s="4">
        <v>0.0516105983682631</v>
      </c>
      <c r="Y81" s="4">
        <v>0.0534442743221159</v>
      </c>
      <c r="Z81" s="4">
        <v>0.0490668241644969</v>
      </c>
      <c r="AA81" s="4">
        <v>0.0492244252355648</v>
      </c>
      <c r="AB81" s="4">
        <v>0.0422915267207672</v>
      </c>
      <c r="AC81" s="4">
        <v>0.0382521505160512</v>
      </c>
      <c r="AD81" s="4">
        <v>0.0344285079014363</v>
      </c>
      <c r="AE81" s="4">
        <v>0.0296073207901305</v>
      </c>
      <c r="AF81" s="4">
        <v>0.0235951317827278</v>
      </c>
      <c r="AG81" s="4">
        <v>0.0184318205020291</v>
      </c>
      <c r="AH81" s="4">
        <v>0.0155286491467802</v>
      </c>
      <c r="AI81" s="4">
        <v>0.0137307103972512</v>
      </c>
      <c r="AJ81" s="4">
        <v>0.0105541494289254</v>
      </c>
      <c r="AK81" s="4">
        <v>0.00852356147924866</v>
      </c>
      <c r="AL81" s="4">
        <v>0.00594131021882724</v>
      </c>
      <c r="AM81" s="4">
        <v>0.00469872762448966</v>
      </c>
      <c r="AN81" s="4">
        <v>0.00316202783856743</v>
      </c>
      <c r="AO81" s="4">
        <v>0.00213470233827337</v>
      </c>
      <c r="AP81" s="4">
        <v>0.00195661193672657</v>
      </c>
      <c r="AQ81" s="4">
        <v>0.00181652209577738</v>
      </c>
      <c r="AR81" s="4">
        <v>0.00145926917655406</v>
      </c>
      <c r="AS81" s="4">
        <v>0.0010295888565679</v>
      </c>
      <c r="AT81" s="4">
        <v>0.00507968622258108</v>
      </c>
    </row>
    <row r="82" ht="15.75" customHeight="1">
      <c r="A82" s="4">
        <v>4.0</v>
      </c>
      <c r="B82" s="4">
        <v>1.0</v>
      </c>
      <c r="C82" s="4">
        <v>1993.0</v>
      </c>
      <c r="D82" s="4">
        <v>1.0</v>
      </c>
      <c r="E82" s="4">
        <v>6.0</v>
      </c>
      <c r="F82" s="4">
        <v>0.0</v>
      </c>
      <c r="G82" s="4">
        <v>0.0</v>
      </c>
      <c r="H82" s="4">
        <v>0.0</v>
      </c>
      <c r="I82" s="4">
        <v>0.0</v>
      </c>
      <c r="J82" s="10">
        <v>1.63780766944386E-5</v>
      </c>
      <c r="K82" s="4">
        <v>6.28400942644514E-4</v>
      </c>
      <c r="L82" s="4">
        <v>0.00811296649099384</v>
      </c>
      <c r="M82" s="4">
        <v>0.0345617285939346</v>
      </c>
      <c r="N82" s="4">
        <v>0.0431079598637991</v>
      </c>
      <c r="O82" s="4">
        <v>0.0399139116568698</v>
      </c>
      <c r="P82" s="4">
        <v>0.0375958750520839</v>
      </c>
      <c r="Q82" s="4">
        <v>0.0406346547819297</v>
      </c>
      <c r="R82" s="4">
        <v>0.0391224842008129</v>
      </c>
      <c r="S82" s="4">
        <v>0.0463858379632827</v>
      </c>
      <c r="T82" s="4">
        <v>0.053325832461542</v>
      </c>
      <c r="U82" s="4">
        <v>0.0589824106998837</v>
      </c>
      <c r="V82" s="4">
        <v>0.0574851096883974</v>
      </c>
      <c r="W82" s="4">
        <v>0.0561940431426555</v>
      </c>
      <c r="X82" s="4">
        <v>0.0526401082504669</v>
      </c>
      <c r="Y82" s="4">
        <v>0.0541416115316314</v>
      </c>
      <c r="Z82" s="4">
        <v>0.0505392966628914</v>
      </c>
      <c r="AA82" s="4">
        <v>0.0460614011940264</v>
      </c>
      <c r="AB82" s="4">
        <v>0.0404353163484776</v>
      </c>
      <c r="AC82" s="4">
        <v>0.033438968336329</v>
      </c>
      <c r="AD82" s="4">
        <v>0.0291944604603597</v>
      </c>
      <c r="AE82" s="4">
        <v>0.0269178000493282</v>
      </c>
      <c r="AF82" s="4">
        <v>0.0247762587710258</v>
      </c>
      <c r="AG82" s="4">
        <v>0.0216003126488641</v>
      </c>
      <c r="AH82" s="4">
        <v>0.0180654495959841</v>
      </c>
      <c r="AI82" s="4">
        <v>0.016524617380652</v>
      </c>
      <c r="AJ82" s="4">
        <v>0.0130325312780858</v>
      </c>
      <c r="AK82" s="4">
        <v>0.0104622507421047</v>
      </c>
      <c r="AL82" s="4">
        <v>0.00765675085465006</v>
      </c>
      <c r="AM82" s="4">
        <v>0.00645188471256314</v>
      </c>
      <c r="AN82" s="4">
        <v>0.00563535138894172</v>
      </c>
      <c r="AO82" s="4">
        <v>0.00467238512961147</v>
      </c>
      <c r="AP82" s="4">
        <v>0.00364821658368621</v>
      </c>
      <c r="AQ82" s="4">
        <v>0.00316786483431905</v>
      </c>
      <c r="AR82" s="4">
        <v>0.00266488547899248</v>
      </c>
      <c r="AS82" s="4">
        <v>0.00212699496018565</v>
      </c>
      <c r="AT82" s="4">
        <v>0.0100776891912991</v>
      </c>
    </row>
    <row r="83" ht="15.75" customHeight="1">
      <c r="A83" s="4">
        <v>4.0</v>
      </c>
      <c r="B83" s="4">
        <v>1.0</v>
      </c>
      <c r="C83" s="4">
        <v>1994.0</v>
      </c>
      <c r="D83" s="4">
        <v>1.0</v>
      </c>
      <c r="E83" s="4">
        <v>10.0</v>
      </c>
      <c r="F83" s="4">
        <v>0.0</v>
      </c>
      <c r="G83" s="4">
        <v>0.0</v>
      </c>
      <c r="H83" s="4">
        <v>0.0</v>
      </c>
      <c r="I83" s="4">
        <v>0.0</v>
      </c>
      <c r="J83" s="10">
        <v>1.93360449749245E-5</v>
      </c>
      <c r="K83" s="4">
        <v>6.67362107815101E-4</v>
      </c>
      <c r="L83" s="4">
        <v>0.00840312287868592</v>
      </c>
      <c r="M83" s="4">
        <v>0.0403550420124812</v>
      </c>
      <c r="N83" s="4">
        <v>0.0550568815417488</v>
      </c>
      <c r="O83" s="4">
        <v>0.0511334547863739</v>
      </c>
      <c r="P83" s="4">
        <v>0.0499561044923451</v>
      </c>
      <c r="Q83" s="4">
        <v>0.0497290850013432</v>
      </c>
      <c r="R83" s="4">
        <v>0.04756129951471</v>
      </c>
      <c r="S83" s="4">
        <v>0.0519746622615098</v>
      </c>
      <c r="T83" s="4">
        <v>0.0521928193985649</v>
      </c>
      <c r="U83" s="4">
        <v>0.0485764418758936</v>
      </c>
      <c r="V83" s="4">
        <v>0.0484561287071607</v>
      </c>
      <c r="W83" s="4">
        <v>0.0450042866042297</v>
      </c>
      <c r="X83" s="4">
        <v>0.0430822300224862</v>
      </c>
      <c r="Y83" s="4">
        <v>0.0429764188874845</v>
      </c>
      <c r="Z83" s="4">
        <v>0.0456416599385884</v>
      </c>
      <c r="AA83" s="4">
        <v>0.0424703695252473</v>
      </c>
      <c r="AB83" s="4">
        <v>0.038974931802396</v>
      </c>
      <c r="AC83" s="4">
        <v>0.0338780935769687</v>
      </c>
      <c r="AD83" s="4">
        <v>0.031057985128612</v>
      </c>
      <c r="AE83" s="4">
        <v>0.0265252939190735</v>
      </c>
      <c r="AF83" s="4">
        <v>0.022784306328786</v>
      </c>
      <c r="AG83" s="4">
        <v>0.0217014878101902</v>
      </c>
      <c r="AH83" s="4">
        <v>0.0179692730551229</v>
      </c>
      <c r="AI83" s="4">
        <v>0.0155682017666163</v>
      </c>
      <c r="AJ83" s="4">
        <v>0.0125598354359343</v>
      </c>
      <c r="AK83" s="4">
        <v>0.0105315201255554</v>
      </c>
      <c r="AL83" s="4">
        <v>0.00854044460549858</v>
      </c>
      <c r="AM83" s="4">
        <v>0.00725531376447999</v>
      </c>
      <c r="AN83" s="4">
        <v>0.00566743058964106</v>
      </c>
      <c r="AO83" s="4">
        <v>0.00425930101808753</v>
      </c>
      <c r="AP83" s="4">
        <v>0.00352479986522061</v>
      </c>
      <c r="AQ83" s="4">
        <v>0.00299082066024179</v>
      </c>
      <c r="AR83" s="4">
        <v>0.00250025803772982</v>
      </c>
      <c r="AS83" s="4">
        <v>0.00192465262481887</v>
      </c>
      <c r="AT83" s="4">
        <v>0.00852934428338335</v>
      </c>
    </row>
    <row r="84" ht="15.75" customHeight="1">
      <c r="A84" s="4">
        <v>4.0</v>
      </c>
      <c r="B84" s="4">
        <v>1.0</v>
      </c>
      <c r="C84" s="4">
        <v>1995.0</v>
      </c>
      <c r="D84" s="4">
        <v>1.0</v>
      </c>
      <c r="E84" s="4">
        <v>14.0</v>
      </c>
      <c r="F84" s="4">
        <v>0.0</v>
      </c>
      <c r="G84" s="4">
        <v>0.0</v>
      </c>
      <c r="H84" s="4">
        <v>0.0</v>
      </c>
      <c r="I84" s="4">
        <v>0.0</v>
      </c>
      <c r="J84" s="10">
        <v>1.7518235060277E-5</v>
      </c>
      <c r="K84" s="4">
        <v>5.75256915398154E-4</v>
      </c>
      <c r="L84" s="4">
        <v>0.00783566697685422</v>
      </c>
      <c r="M84" s="4">
        <v>0.0333044107771583</v>
      </c>
      <c r="N84" s="4">
        <v>0.0455126741436091</v>
      </c>
      <c r="O84" s="4">
        <v>0.0470920104121202</v>
      </c>
      <c r="P84" s="4">
        <v>0.0501937861173228</v>
      </c>
      <c r="Q84" s="4">
        <v>0.0494080109241917</v>
      </c>
      <c r="R84" s="4">
        <v>0.0448646491748836</v>
      </c>
      <c r="S84" s="4">
        <v>0.0432793986304334</v>
      </c>
      <c r="T84" s="4">
        <v>0.0456824662680395</v>
      </c>
      <c r="U84" s="4">
        <v>0.0466730700557215</v>
      </c>
      <c r="V84" s="4">
        <v>0.0491033134169467</v>
      </c>
      <c r="W84" s="4">
        <v>0.0507112478298725</v>
      </c>
      <c r="X84" s="4">
        <v>0.0507332579200764</v>
      </c>
      <c r="Y84" s="4">
        <v>0.0470382578789011</v>
      </c>
      <c r="Z84" s="4">
        <v>0.0481976056914799</v>
      </c>
      <c r="AA84" s="4">
        <v>0.0437948390081684</v>
      </c>
      <c r="AB84" s="4">
        <v>0.042571781716802</v>
      </c>
      <c r="AC84" s="4">
        <v>0.0397819653513267</v>
      </c>
      <c r="AD84" s="4">
        <v>0.0341758306750285</v>
      </c>
      <c r="AE84" s="4">
        <v>0.0313533734955093</v>
      </c>
      <c r="AF84" s="4">
        <v>0.0253325657251988</v>
      </c>
      <c r="AG84" s="4">
        <v>0.0227138141764446</v>
      </c>
      <c r="AH84" s="4">
        <v>0.018335528103666</v>
      </c>
      <c r="AI84" s="4">
        <v>0.0153798874191373</v>
      </c>
      <c r="AJ84" s="4">
        <v>0.0123081322791448</v>
      </c>
      <c r="AK84" s="4">
        <v>0.0103649557439972</v>
      </c>
      <c r="AL84" s="4">
        <v>0.00766355406059962</v>
      </c>
      <c r="AM84" s="4">
        <v>0.00623020308425747</v>
      </c>
      <c r="AN84" s="4">
        <v>0.00515440377735072</v>
      </c>
      <c r="AO84" s="4">
        <v>0.00393980614650485</v>
      </c>
      <c r="AP84" s="4">
        <v>0.00339681572388866</v>
      </c>
      <c r="AQ84" s="4">
        <v>0.00292554525506625</v>
      </c>
      <c r="AR84" s="4">
        <v>0.00250233763628101</v>
      </c>
      <c r="AS84" s="4">
        <v>0.00206864902216057</v>
      </c>
      <c r="AT84" s="4">
        <v>0.00978341023139792</v>
      </c>
    </row>
    <row r="85" ht="15.75" customHeight="1">
      <c r="A85" s="4">
        <v>4.0</v>
      </c>
      <c r="B85" s="4">
        <v>1.0</v>
      </c>
      <c r="C85" s="4">
        <v>1996.0</v>
      </c>
      <c r="D85" s="4">
        <v>1.0</v>
      </c>
      <c r="E85" s="4">
        <v>13.0</v>
      </c>
      <c r="F85" s="4">
        <v>0.0</v>
      </c>
      <c r="G85" s="4">
        <v>0.0</v>
      </c>
      <c r="H85" s="4">
        <v>0.0</v>
      </c>
      <c r="I85" s="4">
        <v>0.0</v>
      </c>
      <c r="J85" s="10">
        <v>2.15758752353883E-5</v>
      </c>
      <c r="K85" s="4">
        <v>7.86296071722658E-4</v>
      </c>
      <c r="L85" s="4">
        <v>0.00977253689141017</v>
      </c>
      <c r="M85" s="4">
        <v>0.0469990404296313</v>
      </c>
      <c r="N85" s="4">
        <v>0.0683626046040693</v>
      </c>
      <c r="O85" s="4">
        <v>0.0676292472777696</v>
      </c>
      <c r="P85" s="4">
        <v>0.0680587628971462</v>
      </c>
      <c r="Q85" s="4">
        <v>0.0680807836357885</v>
      </c>
      <c r="R85" s="4">
        <v>0.0665453375868206</v>
      </c>
      <c r="S85" s="4">
        <v>0.0632328846589299</v>
      </c>
      <c r="T85" s="4">
        <v>0.0558707289220381</v>
      </c>
      <c r="U85" s="4">
        <v>0.0502363114417534</v>
      </c>
      <c r="V85" s="4">
        <v>0.0481883827480191</v>
      </c>
      <c r="W85" s="4">
        <v>0.0425022498966805</v>
      </c>
      <c r="X85" s="4">
        <v>0.0406898763769078</v>
      </c>
      <c r="Y85" s="4">
        <v>0.0374487128099752</v>
      </c>
      <c r="Z85" s="4">
        <v>0.0335693926858228</v>
      </c>
      <c r="AA85" s="4">
        <v>0.0283849545416328</v>
      </c>
      <c r="AB85" s="4">
        <v>0.0296121102496084</v>
      </c>
      <c r="AC85" s="4">
        <v>0.0244897305506831</v>
      </c>
      <c r="AD85" s="4">
        <v>0.0225410063966909</v>
      </c>
      <c r="AE85" s="4">
        <v>0.0221176076491594</v>
      </c>
      <c r="AF85" s="4">
        <v>0.020281767584672</v>
      </c>
      <c r="AG85" s="4">
        <v>0.0161735652376616</v>
      </c>
      <c r="AH85" s="4">
        <v>0.0120266597742496</v>
      </c>
      <c r="AI85" s="4">
        <v>0.0101415510874464</v>
      </c>
      <c r="AJ85" s="4">
        <v>0.00858408429983615</v>
      </c>
      <c r="AK85" s="4">
        <v>0.00727907749565035</v>
      </c>
      <c r="AL85" s="4">
        <v>0.0064082573766138</v>
      </c>
      <c r="AM85" s="4">
        <v>0.00468886030888646</v>
      </c>
      <c r="AN85" s="4">
        <v>0.00323082049272181</v>
      </c>
      <c r="AO85" s="4">
        <v>0.00281743117184584</v>
      </c>
      <c r="AP85" s="4">
        <v>0.00217271287937395</v>
      </c>
      <c r="AQ85" s="4">
        <v>0.00188021518932719</v>
      </c>
      <c r="AR85" s="4">
        <v>0.0015868277724666</v>
      </c>
      <c r="AS85" s="4">
        <v>0.00140554593414865</v>
      </c>
      <c r="AT85" s="4">
        <v>0.00618248919760432</v>
      </c>
    </row>
    <row r="86" ht="15.75" customHeight="1">
      <c r="A86" s="4">
        <v>4.0</v>
      </c>
      <c r="B86" s="4">
        <v>1.0</v>
      </c>
      <c r="C86" s="4">
        <v>1997.0</v>
      </c>
      <c r="D86" s="4">
        <v>1.0</v>
      </c>
      <c r="E86" s="4">
        <v>3.0</v>
      </c>
      <c r="F86" s="4">
        <v>0.0</v>
      </c>
      <c r="G86" s="4">
        <v>0.0</v>
      </c>
      <c r="H86" s="4">
        <v>0.0</v>
      </c>
      <c r="I86" s="4">
        <v>0.0</v>
      </c>
      <c r="J86" s="10">
        <v>2.60653175642203E-5</v>
      </c>
      <c r="K86" s="4">
        <v>0.00100563632183817</v>
      </c>
      <c r="L86" s="4">
        <v>0.0125895483835184</v>
      </c>
      <c r="M86" s="4">
        <v>0.049196771477026</v>
      </c>
      <c r="N86" s="4">
        <v>0.0574846332071842</v>
      </c>
      <c r="O86" s="4">
        <v>0.0572257985420698</v>
      </c>
      <c r="P86" s="4">
        <v>0.0512965449663856</v>
      </c>
      <c r="Q86" s="4">
        <v>0.0595862252070715</v>
      </c>
      <c r="R86" s="4">
        <v>0.054810361933604</v>
      </c>
      <c r="S86" s="4">
        <v>0.0555658015153345</v>
      </c>
      <c r="T86" s="4">
        <v>0.0533390353741214</v>
      </c>
      <c r="U86" s="4">
        <v>0.0562292547728703</v>
      </c>
      <c r="V86" s="4">
        <v>0.0476358832740524</v>
      </c>
      <c r="W86" s="4">
        <v>0.0508225198888223</v>
      </c>
      <c r="X86" s="4">
        <v>0.0484002638658775</v>
      </c>
      <c r="Y86" s="4">
        <v>0.0468639255550283</v>
      </c>
      <c r="Z86" s="4">
        <v>0.0466334293456378</v>
      </c>
      <c r="AA86" s="4">
        <v>0.0401572587287369</v>
      </c>
      <c r="AB86" s="4">
        <v>0.0338306606027423</v>
      </c>
      <c r="AC86" s="4">
        <v>0.0292552881149577</v>
      </c>
      <c r="AD86" s="4">
        <v>0.0299908756234271</v>
      </c>
      <c r="AE86" s="4">
        <v>0.0223404018332405</v>
      </c>
      <c r="AF86" s="4">
        <v>0.0198202493268859</v>
      </c>
      <c r="AG86" s="4">
        <v>0.0150163506827825</v>
      </c>
      <c r="AH86" s="4">
        <v>0.0115620899353474</v>
      </c>
      <c r="AI86" s="4">
        <v>0.00966114026368705</v>
      </c>
      <c r="AJ86" s="4">
        <v>0.00679668309741442</v>
      </c>
      <c r="AK86" s="4">
        <v>0.00503712261928558</v>
      </c>
      <c r="AL86" s="4">
        <v>0.00407406975230523</v>
      </c>
      <c r="AM86" s="4">
        <v>0.00371749014632493</v>
      </c>
      <c r="AN86" s="4">
        <v>0.00344607745006029</v>
      </c>
      <c r="AO86" s="4">
        <v>0.00272776579160445</v>
      </c>
      <c r="AP86" s="4">
        <v>0.00217312008064488</v>
      </c>
      <c r="AQ86" s="4">
        <v>0.00201809205815536</v>
      </c>
      <c r="AR86" s="4">
        <v>0.00177304776454289</v>
      </c>
      <c r="AS86" s="4">
        <v>0.00131902630278473</v>
      </c>
      <c r="AT86" s="4">
        <v>0.00657149087706308</v>
      </c>
    </row>
    <row r="87" ht="15.75" customHeight="1">
      <c r="A87" s="4">
        <v>4.0</v>
      </c>
      <c r="B87" s="4">
        <v>1.0</v>
      </c>
      <c r="C87" s="4">
        <v>1998.0</v>
      </c>
      <c r="D87" s="4">
        <v>1.0</v>
      </c>
      <c r="E87" s="4">
        <v>9.0</v>
      </c>
      <c r="F87" s="4">
        <v>0.0</v>
      </c>
      <c r="G87" s="4">
        <v>0.0</v>
      </c>
      <c r="H87" s="4">
        <v>0.0</v>
      </c>
      <c r="I87" s="4">
        <v>0.0</v>
      </c>
      <c r="J87" s="10">
        <v>2.52241185055639E-5</v>
      </c>
      <c r="K87" s="4">
        <v>7.54068384797911E-4</v>
      </c>
      <c r="L87" s="4">
        <v>0.00786063187744442</v>
      </c>
      <c r="M87" s="4">
        <v>0.0354458606336476</v>
      </c>
      <c r="N87" s="4">
        <v>0.0524829825705766</v>
      </c>
      <c r="O87" s="4">
        <v>0.0501581596483138</v>
      </c>
      <c r="P87" s="4">
        <v>0.0522059597954103</v>
      </c>
      <c r="Q87" s="4">
        <v>0.0519461956276424</v>
      </c>
      <c r="R87" s="4">
        <v>0.0536800218786038</v>
      </c>
      <c r="S87" s="4">
        <v>0.0542438030536229</v>
      </c>
      <c r="T87" s="4">
        <v>0.0525696075038655</v>
      </c>
      <c r="U87" s="4">
        <v>0.0515868625710369</v>
      </c>
      <c r="V87" s="4">
        <v>0.0532964603923811</v>
      </c>
      <c r="W87" s="4">
        <v>0.0473385899806261</v>
      </c>
      <c r="X87" s="4">
        <v>0.0482749800640958</v>
      </c>
      <c r="Y87" s="4">
        <v>0.0407838593963382</v>
      </c>
      <c r="Z87" s="4">
        <v>0.041143856245536</v>
      </c>
      <c r="AA87" s="4">
        <v>0.0403428798508856</v>
      </c>
      <c r="AB87" s="4">
        <v>0.0412710831590509</v>
      </c>
      <c r="AC87" s="4">
        <v>0.0356748690779744</v>
      </c>
      <c r="AD87" s="4">
        <v>0.0290289776443506</v>
      </c>
      <c r="AE87" s="4">
        <v>0.0277189829635419</v>
      </c>
      <c r="AF87" s="4">
        <v>0.0251076229056237</v>
      </c>
      <c r="AG87" s="4">
        <v>0.02106435159412</v>
      </c>
      <c r="AH87" s="4">
        <v>0.0166887414580957</v>
      </c>
      <c r="AI87" s="4">
        <v>0.0125987834009369</v>
      </c>
      <c r="AJ87" s="4">
        <v>0.0103947707304639</v>
      </c>
      <c r="AK87" s="4">
        <v>0.00875232659303584</v>
      </c>
      <c r="AL87" s="4">
        <v>0.00716895999631817</v>
      </c>
      <c r="AM87" s="4">
        <v>0.00574977143408407</v>
      </c>
      <c r="AN87" s="4">
        <v>0.00481802789876013</v>
      </c>
      <c r="AO87" s="4">
        <v>0.00392854582514287</v>
      </c>
      <c r="AP87" s="4">
        <v>0.0028808598503723</v>
      </c>
      <c r="AQ87" s="4">
        <v>0.00239319355926473</v>
      </c>
      <c r="AR87" s="4">
        <v>0.00204614066561581</v>
      </c>
      <c r="AS87" s="4">
        <v>0.00153502036958201</v>
      </c>
      <c r="AT87" s="4">
        <v>0.00703896728033554</v>
      </c>
    </row>
    <row r="88" ht="15.75" customHeight="1">
      <c r="A88" s="4">
        <v>4.0</v>
      </c>
      <c r="B88" s="4">
        <v>1.0</v>
      </c>
      <c r="C88" s="4">
        <v>1999.0</v>
      </c>
      <c r="D88" s="4">
        <v>1.0</v>
      </c>
      <c r="E88" s="4">
        <v>5.0</v>
      </c>
      <c r="F88" s="4">
        <v>0.0</v>
      </c>
      <c r="G88" s="4">
        <v>0.0</v>
      </c>
      <c r="H88" s="4">
        <v>0.0</v>
      </c>
      <c r="I88" s="4">
        <v>0.0</v>
      </c>
      <c r="J88" s="10">
        <v>2.61191962524041E-5</v>
      </c>
      <c r="K88" s="4">
        <v>8.22698146893907E-4</v>
      </c>
      <c r="L88" s="4">
        <v>0.0111703095972782</v>
      </c>
      <c r="M88" s="4">
        <v>0.0482178454037564</v>
      </c>
      <c r="N88" s="4">
        <v>0.0642328701604578</v>
      </c>
      <c r="O88" s="4">
        <v>0.057502936996202</v>
      </c>
      <c r="P88" s="4">
        <v>0.0622008871481117</v>
      </c>
      <c r="Q88" s="4">
        <v>0.0668287338295604</v>
      </c>
      <c r="R88" s="4">
        <v>0.0631528244349038</v>
      </c>
      <c r="S88" s="4">
        <v>0.059452039615245</v>
      </c>
      <c r="T88" s="4">
        <v>0.0568591157690972</v>
      </c>
      <c r="U88" s="4">
        <v>0.0483150857014926</v>
      </c>
      <c r="V88" s="4">
        <v>0.0499740504089181</v>
      </c>
      <c r="W88" s="4">
        <v>0.0467336870920289</v>
      </c>
      <c r="X88" s="4">
        <v>0.0456628000456803</v>
      </c>
      <c r="Y88" s="4">
        <v>0.0393416153422576</v>
      </c>
      <c r="Z88" s="4">
        <v>0.0330816015703177</v>
      </c>
      <c r="AA88" s="4">
        <v>0.0312365234558297</v>
      </c>
      <c r="AB88" s="4">
        <v>0.0327168373836932</v>
      </c>
      <c r="AC88" s="4">
        <v>0.0317884186805396</v>
      </c>
      <c r="AD88" s="4">
        <v>0.0275128984732142</v>
      </c>
      <c r="AE88" s="4">
        <v>0.0239245053465203</v>
      </c>
      <c r="AF88" s="4">
        <v>0.0185203192647729</v>
      </c>
      <c r="AG88" s="4">
        <v>0.0160782309502299</v>
      </c>
      <c r="AH88" s="4">
        <v>0.012493342997059</v>
      </c>
      <c r="AI88" s="4">
        <v>0.0103119943645855</v>
      </c>
      <c r="AJ88" s="4">
        <v>0.00867835736261698</v>
      </c>
      <c r="AK88" s="4">
        <v>0.00702922975507882</v>
      </c>
      <c r="AL88" s="4">
        <v>0.00520122522775147</v>
      </c>
      <c r="AM88" s="4">
        <v>0.00426862293039291</v>
      </c>
      <c r="AN88" s="4">
        <v>0.00342783356531552</v>
      </c>
      <c r="AO88" s="4">
        <v>0.00281092302525873</v>
      </c>
      <c r="AP88" s="4">
        <v>0.00204419458461998</v>
      </c>
      <c r="AQ88" s="4">
        <v>0.00174625483516073</v>
      </c>
      <c r="AR88" s="4">
        <v>0.00136532162228476</v>
      </c>
      <c r="AS88" s="4">
        <v>0.00103097329623126</v>
      </c>
      <c r="AT88" s="4">
        <v>0.00423877242039016</v>
      </c>
    </row>
    <row r="89" ht="15.75" customHeight="1">
      <c r="A89" s="4">
        <v>4.0</v>
      </c>
      <c r="B89" s="4">
        <v>1.0</v>
      </c>
      <c r="C89" s="4">
        <v>2000.0</v>
      </c>
      <c r="D89" s="4">
        <v>1.0</v>
      </c>
      <c r="E89" s="4">
        <v>6.0</v>
      </c>
      <c r="F89" s="4">
        <v>0.0</v>
      </c>
      <c r="G89" s="4">
        <v>0.0</v>
      </c>
      <c r="H89" s="4">
        <v>0.0</v>
      </c>
      <c r="I89" s="4">
        <v>0.0</v>
      </c>
      <c r="J89" s="10">
        <v>2.50565202401776E-5</v>
      </c>
      <c r="K89" s="4">
        <v>8.76668868650163E-4</v>
      </c>
      <c r="L89" s="4">
        <v>0.0114331973836662</v>
      </c>
      <c r="M89" s="4">
        <v>0.0521653550918793</v>
      </c>
      <c r="N89" s="4">
        <v>0.0722516361366372</v>
      </c>
      <c r="O89" s="4">
        <v>0.0705317844279295</v>
      </c>
      <c r="P89" s="4">
        <v>0.0728761157691664</v>
      </c>
      <c r="Q89" s="4">
        <v>0.0768345819574803</v>
      </c>
      <c r="R89" s="4">
        <v>0.0685218493629844</v>
      </c>
      <c r="S89" s="4">
        <v>0.0688748060246392</v>
      </c>
      <c r="T89" s="4">
        <v>0.0580010495897923</v>
      </c>
      <c r="U89" s="4">
        <v>0.0482183344745393</v>
      </c>
      <c r="V89" s="4">
        <v>0.0450961683167107</v>
      </c>
      <c r="W89" s="4">
        <v>0.043592158422788</v>
      </c>
      <c r="X89" s="4">
        <v>0.0389671423951218</v>
      </c>
      <c r="Y89" s="4">
        <v>0.0326925721183107</v>
      </c>
      <c r="Z89" s="4">
        <v>0.0320746659555977</v>
      </c>
      <c r="AA89" s="4">
        <v>0.0275955809578489</v>
      </c>
      <c r="AB89" s="4">
        <v>0.0256153425094847</v>
      </c>
      <c r="AC89" s="4">
        <v>0.0244512196725237</v>
      </c>
      <c r="AD89" s="4">
        <v>0.0238268947098726</v>
      </c>
      <c r="AE89" s="4">
        <v>0.0220365908717241</v>
      </c>
      <c r="AF89" s="4">
        <v>0.0177010395207832</v>
      </c>
      <c r="AG89" s="4">
        <v>0.0143781118612772</v>
      </c>
      <c r="AH89" s="4">
        <v>0.0113685453746514</v>
      </c>
      <c r="AI89" s="4">
        <v>0.00870157266785278</v>
      </c>
      <c r="AJ89" s="4">
        <v>0.00670973397863669</v>
      </c>
      <c r="AK89" s="4">
        <v>0.00523820475909935</v>
      </c>
      <c r="AL89" s="4">
        <v>0.00398367737843218</v>
      </c>
      <c r="AM89" s="4">
        <v>0.00314668133349563</v>
      </c>
      <c r="AN89" s="4">
        <v>0.00247920347487535</v>
      </c>
      <c r="AO89" s="4">
        <v>0.00187421224697748</v>
      </c>
      <c r="AP89" s="4">
        <v>0.00142265353808119</v>
      </c>
      <c r="AQ89" s="4">
        <v>0.00109444405691047</v>
      </c>
      <c r="AR89" s="4">
        <v>9.42171561994085E-4</v>
      </c>
      <c r="AS89" s="4">
        <v>7.9345647427229E-4</v>
      </c>
      <c r="AT89" s="4">
        <v>0.00360752023507347</v>
      </c>
    </row>
    <row r="90" ht="15.75" customHeight="1">
      <c r="A90" s="4">
        <v>4.0</v>
      </c>
      <c r="B90" s="4">
        <v>1.0</v>
      </c>
      <c r="C90" s="4">
        <v>2001.0</v>
      </c>
      <c r="D90" s="4">
        <v>1.0</v>
      </c>
      <c r="E90" s="4">
        <v>18.0</v>
      </c>
      <c r="F90" s="4">
        <v>0.0</v>
      </c>
      <c r="G90" s="4">
        <v>0.0</v>
      </c>
      <c r="H90" s="4">
        <v>0.0</v>
      </c>
      <c r="I90" s="4">
        <v>0.0</v>
      </c>
      <c r="J90" s="10">
        <v>2.7054975710644E-5</v>
      </c>
      <c r="K90" s="4">
        <v>9.7798727013291E-4</v>
      </c>
      <c r="L90" s="4">
        <v>0.0132546477299014</v>
      </c>
      <c r="M90" s="4">
        <v>0.0597176319423927</v>
      </c>
      <c r="N90" s="4">
        <v>0.0861313045250807</v>
      </c>
      <c r="O90" s="4">
        <v>0.0812508159437119</v>
      </c>
      <c r="P90" s="4">
        <v>0.0774459415818658</v>
      </c>
      <c r="Q90" s="4">
        <v>0.0811756632334046</v>
      </c>
      <c r="R90" s="4">
        <v>0.0866502160962504</v>
      </c>
      <c r="S90" s="4">
        <v>0.0799109504799467</v>
      </c>
      <c r="T90" s="4">
        <v>0.0640050582784218</v>
      </c>
      <c r="U90" s="4">
        <v>0.0473281708431533</v>
      </c>
      <c r="V90" s="4">
        <v>0.0398317953510104</v>
      </c>
      <c r="W90" s="4">
        <v>0.0326622267876897</v>
      </c>
      <c r="X90" s="4">
        <v>0.0345504923146691</v>
      </c>
      <c r="Y90" s="4">
        <v>0.0355287658808413</v>
      </c>
      <c r="Z90" s="4">
        <v>0.0299872197448072</v>
      </c>
      <c r="AA90" s="4">
        <v>0.026816634257955</v>
      </c>
      <c r="AB90" s="4">
        <v>0.0254766256461702</v>
      </c>
      <c r="AC90" s="4">
        <v>0.0227880195414225</v>
      </c>
      <c r="AD90" s="4">
        <v>0.0193513218860725</v>
      </c>
      <c r="AE90" s="4">
        <v>0.0148072311508414</v>
      </c>
      <c r="AF90" s="4">
        <v>0.01118773347442</v>
      </c>
      <c r="AG90" s="4">
        <v>0.00832949696640717</v>
      </c>
      <c r="AH90" s="4">
        <v>0.00577258703972186</v>
      </c>
      <c r="AI90" s="4">
        <v>0.00421928787868377</v>
      </c>
      <c r="AJ90" s="4">
        <v>0.00254059105244714</v>
      </c>
      <c r="AK90" s="4">
        <v>0.00157749117635607</v>
      </c>
      <c r="AL90" s="4">
        <v>0.00136505951522064</v>
      </c>
      <c r="AM90" s="4">
        <v>0.00104283332302668</v>
      </c>
      <c r="AN90" s="4">
        <v>0.00109164679772154</v>
      </c>
      <c r="AO90" s="4">
        <v>7.52385991191243E-4</v>
      </c>
      <c r="AP90" s="4">
        <v>4.48339597490672E-4</v>
      </c>
      <c r="AQ90" s="4">
        <v>3.42410062962225E-4</v>
      </c>
      <c r="AR90" s="4">
        <v>3.13494162996351E-4</v>
      </c>
      <c r="AS90" s="4">
        <v>1.94251862642031E-4</v>
      </c>
      <c r="AT90" s="4">
        <v>0.00114661563726063</v>
      </c>
    </row>
    <row r="91" ht="15.75" customHeight="1">
      <c r="A91" s="4">
        <v>4.0</v>
      </c>
      <c r="B91" s="4">
        <v>1.0</v>
      </c>
      <c r="C91" s="4">
        <v>2002.0</v>
      </c>
      <c r="D91" s="4">
        <v>1.0</v>
      </c>
      <c r="E91" s="4">
        <v>11.0</v>
      </c>
      <c r="F91" s="4">
        <v>0.0</v>
      </c>
      <c r="G91" s="4">
        <v>0.0</v>
      </c>
      <c r="H91" s="4">
        <v>0.0</v>
      </c>
      <c r="I91" s="4">
        <v>0.0</v>
      </c>
      <c r="J91" s="10">
        <v>2.40399781248159E-5</v>
      </c>
      <c r="K91" s="4">
        <v>9.16569016714064E-4</v>
      </c>
      <c r="L91" s="4">
        <v>0.0117729513767522</v>
      </c>
      <c r="M91" s="4">
        <v>0.0553376974066425</v>
      </c>
      <c r="N91" s="4">
        <v>0.0772038515393809</v>
      </c>
      <c r="O91" s="4">
        <v>0.0705509370956896</v>
      </c>
      <c r="P91" s="4">
        <v>0.0747380195543096</v>
      </c>
      <c r="Q91" s="4">
        <v>0.0802036461231499</v>
      </c>
      <c r="R91" s="4">
        <v>0.0824127526701868</v>
      </c>
      <c r="S91" s="4">
        <v>0.0799194720533759</v>
      </c>
      <c r="T91" s="4">
        <v>0.06807643397423</v>
      </c>
      <c r="U91" s="4">
        <v>0.0588618864386118</v>
      </c>
      <c r="V91" s="4">
        <v>0.048652550255963</v>
      </c>
      <c r="W91" s="4">
        <v>0.0426908748847711</v>
      </c>
      <c r="X91" s="4">
        <v>0.0354695525005913</v>
      </c>
      <c r="Y91" s="4">
        <v>0.0330241126362677</v>
      </c>
      <c r="Z91" s="4">
        <v>0.0287295678873733</v>
      </c>
      <c r="AA91" s="4">
        <v>0.0262100346576351</v>
      </c>
      <c r="AB91" s="4">
        <v>0.0220813777179901</v>
      </c>
      <c r="AC91" s="4">
        <v>0.0189875162546432</v>
      </c>
      <c r="AD91" s="4">
        <v>0.0168774998661954</v>
      </c>
      <c r="AE91" s="4">
        <v>0.0138778846852482</v>
      </c>
      <c r="AF91" s="4">
        <v>0.0117317485286726</v>
      </c>
      <c r="AG91" s="4">
        <v>0.00957771864793662</v>
      </c>
      <c r="AH91" s="4">
        <v>0.00766677959077619</v>
      </c>
      <c r="AI91" s="4">
        <v>0.00546281592463168</v>
      </c>
      <c r="AJ91" s="4">
        <v>0.00400373277471281</v>
      </c>
      <c r="AK91" s="4">
        <v>0.00311192134741087</v>
      </c>
      <c r="AL91" s="4">
        <v>0.00249238360270169</v>
      </c>
      <c r="AM91" s="4">
        <v>0.00194831464504105</v>
      </c>
      <c r="AN91" s="4">
        <v>0.00151152857483295</v>
      </c>
      <c r="AO91" s="4">
        <v>0.00119888925732913</v>
      </c>
      <c r="AP91" s="4">
        <v>8.89359588736972E-4</v>
      </c>
      <c r="AQ91" s="4">
        <v>7.03259061561779E-4</v>
      </c>
      <c r="AR91" s="4">
        <v>5.82700365294046E-4</v>
      </c>
      <c r="AS91" s="4">
        <v>4.6824136496843E-4</v>
      </c>
      <c r="AT91" s="4">
        <v>0.00203137815154695</v>
      </c>
    </row>
    <row r="92" ht="15.75" customHeight="1">
      <c r="A92" s="4">
        <v>4.0</v>
      </c>
      <c r="B92" s="4">
        <v>1.0</v>
      </c>
      <c r="C92" s="4">
        <v>2003.0</v>
      </c>
      <c r="D92" s="4">
        <v>1.0</v>
      </c>
      <c r="E92" s="4">
        <v>4.0</v>
      </c>
      <c r="F92" s="4">
        <v>0.0</v>
      </c>
      <c r="G92" s="4">
        <v>0.0</v>
      </c>
      <c r="H92" s="4">
        <v>0.0</v>
      </c>
      <c r="I92" s="4">
        <v>0.0</v>
      </c>
      <c r="J92" s="10">
        <v>2.84815814196202E-5</v>
      </c>
      <c r="K92" s="4">
        <v>0.00107837159995666</v>
      </c>
      <c r="L92" s="4">
        <v>0.0140677187246319</v>
      </c>
      <c r="M92" s="4">
        <v>0.058161353505859</v>
      </c>
      <c r="N92" s="4">
        <v>0.0837928125365227</v>
      </c>
      <c r="O92" s="4">
        <v>0.069557914567696</v>
      </c>
      <c r="P92" s="4">
        <v>0.0747685162198241</v>
      </c>
      <c r="Q92" s="4">
        <v>0.080261751189488</v>
      </c>
      <c r="R92" s="4">
        <v>0.0890508834910169</v>
      </c>
      <c r="S92" s="4">
        <v>0.0830765171325442</v>
      </c>
      <c r="T92" s="4">
        <v>0.0768808456126961</v>
      </c>
      <c r="U92" s="4">
        <v>0.0624838972668267</v>
      </c>
      <c r="V92" s="4">
        <v>0.0525583389541716</v>
      </c>
      <c r="W92" s="4">
        <v>0.0470907483202687</v>
      </c>
      <c r="X92" s="4">
        <v>0.0379963938607678</v>
      </c>
      <c r="Y92" s="4">
        <v>0.0292345427674953</v>
      </c>
      <c r="Z92" s="4">
        <v>0.0250877991125314</v>
      </c>
      <c r="AA92" s="4">
        <v>0.02065907688903</v>
      </c>
      <c r="AB92" s="4">
        <v>0.0166807128514242</v>
      </c>
      <c r="AC92" s="4">
        <v>0.0148497072780917</v>
      </c>
      <c r="AD92" s="4">
        <v>0.0131120034369957</v>
      </c>
      <c r="AE92" s="4">
        <v>0.0101382426122215</v>
      </c>
      <c r="AF92" s="4">
        <v>0.00794636121607404</v>
      </c>
      <c r="AG92" s="4">
        <v>0.00642166904904365</v>
      </c>
      <c r="AH92" s="4">
        <v>0.00499955422505709</v>
      </c>
      <c r="AI92" s="4">
        <v>0.0039481364588577</v>
      </c>
      <c r="AJ92" s="4">
        <v>0.00316538403156676</v>
      </c>
      <c r="AK92" s="4">
        <v>0.00250932553541827</v>
      </c>
      <c r="AL92" s="4">
        <v>0.00201018854916025</v>
      </c>
      <c r="AM92" s="4">
        <v>0.00168532392124374</v>
      </c>
      <c r="AN92" s="4">
        <v>0.00137322689879119</v>
      </c>
      <c r="AO92" s="4">
        <v>0.00102904717542919</v>
      </c>
      <c r="AP92" s="4">
        <v>7.80242556131359E-4</v>
      </c>
      <c r="AQ92" s="4">
        <v>6.28886412725178E-4</v>
      </c>
      <c r="AR92" s="4">
        <v>4.83204760636316E-4</v>
      </c>
      <c r="AS92" s="4">
        <v>4.24932099800771E-4</v>
      </c>
      <c r="AT92" s="4">
        <v>0.00197788759858474</v>
      </c>
    </row>
    <row r="93" ht="15.75" customHeight="1">
      <c r="A93" s="4">
        <v>4.0</v>
      </c>
      <c r="B93" s="4">
        <v>1.0</v>
      </c>
      <c r="C93" s="4">
        <v>2004.0</v>
      </c>
      <c r="D93" s="4">
        <v>1.0</v>
      </c>
      <c r="E93" s="4">
        <v>8.0</v>
      </c>
      <c r="F93" s="4">
        <v>0.0</v>
      </c>
      <c r="G93" s="4">
        <v>0.0</v>
      </c>
      <c r="H93" s="4">
        <v>0.0</v>
      </c>
      <c r="I93" s="4">
        <v>0.0</v>
      </c>
      <c r="J93" s="10">
        <v>4.76679671003421E-5</v>
      </c>
      <c r="K93" s="4">
        <v>0.00150218512537835</v>
      </c>
      <c r="L93" s="4">
        <v>0.0185312442911168</v>
      </c>
      <c r="M93" s="4">
        <v>0.0711666430044596</v>
      </c>
      <c r="N93" s="4">
        <v>0.0932199917908031</v>
      </c>
      <c r="O93" s="4">
        <v>0.0819195057235487</v>
      </c>
      <c r="P93" s="4">
        <v>0.0805677967753952</v>
      </c>
      <c r="Q93" s="4">
        <v>0.0822895122141221</v>
      </c>
      <c r="R93" s="4">
        <v>0.0870538181655151</v>
      </c>
      <c r="S93" s="4">
        <v>0.0814577706043929</v>
      </c>
      <c r="T93" s="4">
        <v>0.0757018850490839</v>
      </c>
      <c r="U93" s="4">
        <v>0.0615921667873826</v>
      </c>
      <c r="V93" s="4">
        <v>0.054055990021162</v>
      </c>
      <c r="W93" s="4">
        <v>0.0453041512615392</v>
      </c>
      <c r="X93" s="4">
        <v>0.0354192749848214</v>
      </c>
      <c r="Y93" s="4">
        <v>0.0274072774298875</v>
      </c>
      <c r="Z93" s="4">
        <v>0.020523164098308</v>
      </c>
      <c r="AA93" s="4">
        <v>0.0163416097807454</v>
      </c>
      <c r="AB93" s="4">
        <v>0.0138644214796498</v>
      </c>
      <c r="AC93" s="4">
        <v>0.0125426016351916</v>
      </c>
      <c r="AD93" s="4">
        <v>0.00985739204343471</v>
      </c>
      <c r="AE93" s="4">
        <v>0.00764336527602459</v>
      </c>
      <c r="AF93" s="4">
        <v>0.00567996036086455</v>
      </c>
      <c r="AG93" s="4">
        <v>0.00441894938254523</v>
      </c>
      <c r="AH93" s="4">
        <v>0.00308424630373565</v>
      </c>
      <c r="AI93" s="4">
        <v>0.00241517699975067</v>
      </c>
      <c r="AJ93" s="4">
        <v>0.00170135992845167</v>
      </c>
      <c r="AK93" s="4">
        <v>0.00113269396417894</v>
      </c>
      <c r="AL93" s="4">
        <v>8.58538737180216E-4</v>
      </c>
      <c r="AM93" s="4">
        <v>6.40039082579729E-4</v>
      </c>
      <c r="AN93" s="4">
        <v>4.51428531674591E-4</v>
      </c>
      <c r="AO93" s="4">
        <v>3.37798404694857E-4</v>
      </c>
      <c r="AP93" s="4">
        <v>2.28033248020556E-4</v>
      </c>
      <c r="AQ93" s="4">
        <v>1.94794503393831E-4</v>
      </c>
      <c r="AR93" s="4">
        <v>1.37077613499362E-4</v>
      </c>
      <c r="AS93" s="4">
        <v>1.26427473102169E-4</v>
      </c>
      <c r="AT93" s="4">
        <v>5.84039957265453E-4</v>
      </c>
    </row>
    <row r="94" ht="15.75" customHeight="1">
      <c r="A94" s="4">
        <v>4.0</v>
      </c>
      <c r="B94" s="4">
        <v>1.0</v>
      </c>
      <c r="C94" s="4">
        <v>2005.0</v>
      </c>
      <c r="D94" s="4">
        <v>1.0</v>
      </c>
      <c r="E94" s="4">
        <v>12.0</v>
      </c>
      <c r="F94" s="4">
        <v>0.0</v>
      </c>
      <c r="G94" s="4">
        <v>0.0</v>
      </c>
      <c r="H94" s="4">
        <v>0.0</v>
      </c>
      <c r="I94" s="4">
        <v>0.0</v>
      </c>
      <c r="J94" s="10">
        <v>3.70878611430479E-5</v>
      </c>
      <c r="K94" s="4">
        <v>0.00139352184147776</v>
      </c>
      <c r="L94" s="4">
        <v>0.0195960259265966</v>
      </c>
      <c r="M94" s="4">
        <v>0.0872621922707443</v>
      </c>
      <c r="N94" s="4">
        <v>0.121329665271145</v>
      </c>
      <c r="O94" s="4">
        <v>0.0940691783148003</v>
      </c>
      <c r="P94" s="4">
        <v>0.0844846932579359</v>
      </c>
      <c r="Q94" s="4">
        <v>0.0884421862057882</v>
      </c>
      <c r="R94" s="4">
        <v>0.0893375671672074</v>
      </c>
      <c r="S94" s="4">
        <v>0.0844741486699639</v>
      </c>
      <c r="T94" s="4">
        <v>0.077251833122078</v>
      </c>
      <c r="U94" s="4">
        <v>0.0577310737372129</v>
      </c>
      <c r="V94" s="4">
        <v>0.042893747641103</v>
      </c>
      <c r="W94" s="4">
        <v>0.0339579365477601</v>
      </c>
      <c r="X94" s="4">
        <v>0.0246786991323622</v>
      </c>
      <c r="Y94" s="4">
        <v>0.0191286097942496</v>
      </c>
      <c r="Z94" s="4">
        <v>0.0148750502685961</v>
      </c>
      <c r="AA94" s="4">
        <v>0.0118520259789559</v>
      </c>
      <c r="AB94" s="4">
        <v>0.010463140120121</v>
      </c>
      <c r="AC94" s="4">
        <v>0.00917842751832031</v>
      </c>
      <c r="AD94" s="4">
        <v>0.00721086194370936</v>
      </c>
      <c r="AE94" s="4">
        <v>0.00533192544903583</v>
      </c>
      <c r="AF94" s="4">
        <v>0.00386877296629441</v>
      </c>
      <c r="AG94" s="4">
        <v>0.00323591588473093</v>
      </c>
      <c r="AH94" s="4">
        <v>0.0023038106686505</v>
      </c>
      <c r="AI94" s="4">
        <v>0.00154214599091129</v>
      </c>
      <c r="AJ94" s="4">
        <v>0.00103609666987368</v>
      </c>
      <c r="AK94" s="4">
        <v>6.88579774898499E-4</v>
      </c>
      <c r="AL94" s="4">
        <v>5.66498898635967E-4</v>
      </c>
      <c r="AM94" s="4">
        <v>4.11238930909678E-4</v>
      </c>
      <c r="AN94" s="4">
        <v>3.06792969014183E-4</v>
      </c>
      <c r="AO94" s="4">
        <v>2.51979291883649E-4</v>
      </c>
      <c r="AP94" s="4">
        <v>1.70531439961661E-4</v>
      </c>
      <c r="AQ94" s="4">
        <v>1.51987509390137E-4</v>
      </c>
      <c r="AR94" s="4">
        <v>1.14536041765295E-4</v>
      </c>
      <c r="AS94" s="10">
        <v>7.76299838631443E-5</v>
      </c>
      <c r="AT94" s="4">
        <v>2.93884938910475E-4</v>
      </c>
    </row>
    <row r="95" ht="15.75" customHeight="1">
      <c r="A95" s="4">
        <v>4.0</v>
      </c>
      <c r="B95" s="4">
        <v>1.0</v>
      </c>
      <c r="C95" s="4">
        <v>2006.0</v>
      </c>
      <c r="D95" s="4">
        <v>1.0</v>
      </c>
      <c r="E95" s="4">
        <v>7.0</v>
      </c>
      <c r="F95" s="4">
        <v>0.0</v>
      </c>
      <c r="G95" s="4">
        <v>0.0</v>
      </c>
      <c r="H95" s="4">
        <v>0.0</v>
      </c>
      <c r="I95" s="4">
        <v>0.0</v>
      </c>
      <c r="J95" s="10">
        <v>6.43992865809519E-5</v>
      </c>
      <c r="K95" s="4">
        <v>0.00200550632657341</v>
      </c>
      <c r="L95" s="4">
        <v>0.0235166187048291</v>
      </c>
      <c r="M95" s="4">
        <v>0.09355353137552</v>
      </c>
      <c r="N95" s="4">
        <v>0.11931799779992</v>
      </c>
      <c r="O95" s="4">
        <v>0.103617951920118</v>
      </c>
      <c r="P95" s="4">
        <v>0.106200050694118</v>
      </c>
      <c r="Q95" s="4">
        <v>0.104142024561013</v>
      </c>
      <c r="R95" s="4">
        <v>0.091114361503582</v>
      </c>
      <c r="S95" s="4">
        <v>0.0852846629785258</v>
      </c>
      <c r="T95" s="4">
        <v>0.0664205488494849</v>
      </c>
      <c r="U95" s="4">
        <v>0.0451750366356912</v>
      </c>
      <c r="V95" s="4">
        <v>0.0370002037018211</v>
      </c>
      <c r="W95" s="4">
        <v>0.027480363532097</v>
      </c>
      <c r="X95" s="4">
        <v>0.0218553672053573</v>
      </c>
      <c r="Y95" s="4">
        <v>0.0184179458678354</v>
      </c>
      <c r="Z95" s="4">
        <v>0.0120495441843505</v>
      </c>
      <c r="AA95" s="4">
        <v>0.00953234488556497</v>
      </c>
      <c r="AB95" s="4">
        <v>0.00749445134496347</v>
      </c>
      <c r="AC95" s="4">
        <v>0.00569914929167662</v>
      </c>
      <c r="AD95" s="4">
        <v>0.00507566415984628</v>
      </c>
      <c r="AE95" s="4">
        <v>0.00353270727223004</v>
      </c>
      <c r="AF95" s="4">
        <v>0.00295373892879352</v>
      </c>
      <c r="AG95" s="4">
        <v>0.00200450594930613</v>
      </c>
      <c r="AH95" s="4">
        <v>0.00163461645473049</v>
      </c>
      <c r="AI95" s="4">
        <v>0.00118169564697086</v>
      </c>
      <c r="AJ95" s="4">
        <v>8.55322563521768E-4</v>
      </c>
      <c r="AK95" s="4">
        <v>6.80256541748307E-4</v>
      </c>
      <c r="AL95" s="4">
        <v>4.40791233393894E-4</v>
      </c>
      <c r="AM95" s="4">
        <v>3.42129025408707E-4</v>
      </c>
      <c r="AN95" s="4">
        <v>2.6960167353113E-4</v>
      </c>
      <c r="AO95" s="4">
        <v>2.20082998800923E-4</v>
      </c>
      <c r="AP95" s="4">
        <v>1.6581253205115E-4</v>
      </c>
      <c r="AQ95" s="4">
        <v>1.47055458289708E-4</v>
      </c>
      <c r="AR95" s="4">
        <v>1.10041499400461E-4</v>
      </c>
      <c r="AS95" s="10">
        <v>9.22848029062961E-5</v>
      </c>
      <c r="AT95" s="4">
        <v>3.51632609447838E-4</v>
      </c>
    </row>
    <row r="96" ht="15.75" customHeight="1">
      <c r="A96" s="4">
        <v>4.0</v>
      </c>
      <c r="B96" s="4">
        <v>1.0</v>
      </c>
      <c r="C96" s="4">
        <v>2007.0</v>
      </c>
      <c r="D96" s="4">
        <v>1.0</v>
      </c>
      <c r="E96" s="4">
        <v>17.0</v>
      </c>
      <c r="F96" s="4">
        <v>0.0</v>
      </c>
      <c r="G96" s="4">
        <v>0.0</v>
      </c>
      <c r="H96" s="4">
        <v>0.0</v>
      </c>
      <c r="I96" s="4">
        <v>0.0</v>
      </c>
      <c r="J96" s="10">
        <v>4.7688250396203E-5</v>
      </c>
      <c r="K96" s="4">
        <v>0.00166059258132525</v>
      </c>
      <c r="L96" s="4">
        <v>0.0193834923284268</v>
      </c>
      <c r="M96" s="4">
        <v>0.0755442181764863</v>
      </c>
      <c r="N96" s="4">
        <v>0.107190031511245</v>
      </c>
      <c r="O96" s="4">
        <v>0.0900715940414353</v>
      </c>
      <c r="P96" s="4">
        <v>0.0895311272036117</v>
      </c>
      <c r="Q96" s="4">
        <v>0.0939585975543328</v>
      </c>
      <c r="R96" s="4">
        <v>0.0980832201079974</v>
      </c>
      <c r="S96" s="4">
        <v>0.094236641979775</v>
      </c>
      <c r="T96" s="4">
        <v>0.0752168410782204</v>
      </c>
      <c r="U96" s="4">
        <v>0.0587983794216977</v>
      </c>
      <c r="V96" s="4">
        <v>0.0471694351203409</v>
      </c>
      <c r="W96" s="4">
        <v>0.0356897221542756</v>
      </c>
      <c r="X96" s="4">
        <v>0.0301598036011481</v>
      </c>
      <c r="Y96" s="4">
        <v>0.022466099203894</v>
      </c>
      <c r="Z96" s="4">
        <v>0.0162044126705489</v>
      </c>
      <c r="AA96" s="4">
        <v>0.0120590978013387</v>
      </c>
      <c r="AB96" s="4">
        <v>0.00788226483560229</v>
      </c>
      <c r="AC96" s="4">
        <v>0.00598569763593721</v>
      </c>
      <c r="AD96" s="4">
        <v>0.0048938011441069</v>
      </c>
      <c r="AE96" s="4">
        <v>0.00357894837815412</v>
      </c>
      <c r="AF96" s="4">
        <v>0.00263436472878335</v>
      </c>
      <c r="AG96" s="4">
        <v>0.00193137414104622</v>
      </c>
      <c r="AH96" s="4">
        <v>0.00143064751188609</v>
      </c>
      <c r="AI96" s="4">
        <v>0.00115644007210792</v>
      </c>
      <c r="AJ96" s="4">
        <v>7.77400702579482E-4</v>
      </c>
      <c r="AK96" s="4">
        <v>5.06482107656225E-4</v>
      </c>
      <c r="AL96" s="4">
        <v>3.90276256116052E-4</v>
      </c>
      <c r="AM96" s="4">
        <v>3.05862571506682E-4</v>
      </c>
      <c r="AN96" s="4">
        <v>2.3679682955356E-4</v>
      </c>
      <c r="AO96" s="4">
        <v>1.74582847714835E-4</v>
      </c>
      <c r="AP96" s="4">
        <v>1.40187011940562E-4</v>
      </c>
      <c r="AQ96" s="4">
        <v>1.1839841477678E-4</v>
      </c>
      <c r="AR96" s="10">
        <v>8.53729310253865E-5</v>
      </c>
      <c r="AS96" s="10">
        <v>6.65991083119387E-5</v>
      </c>
      <c r="AT96" s="4">
        <v>2.33507984698649E-4</v>
      </c>
    </row>
    <row r="97" ht="15.75" customHeight="1">
      <c r="A97" s="4">
        <v>4.0</v>
      </c>
      <c r="B97" s="4">
        <v>1.0</v>
      </c>
      <c r="C97" s="4">
        <v>2008.0</v>
      </c>
      <c r="D97" s="4">
        <v>1.0</v>
      </c>
      <c r="E97" s="4">
        <v>13.0</v>
      </c>
      <c r="F97" s="4">
        <v>0.0</v>
      </c>
      <c r="G97" s="4">
        <v>0.0</v>
      </c>
      <c r="H97" s="4">
        <v>0.0</v>
      </c>
      <c r="I97" s="4">
        <v>0.0</v>
      </c>
      <c r="J97" s="10">
        <v>5.0841432187581E-5</v>
      </c>
      <c r="K97" s="4">
        <v>0.00186764444770706</v>
      </c>
      <c r="L97" s="4">
        <v>0.0232807068307928</v>
      </c>
      <c r="M97" s="4">
        <v>0.089562889489792</v>
      </c>
      <c r="N97" s="4">
        <v>0.120371759815217</v>
      </c>
      <c r="O97" s="4">
        <v>0.1060298068272</v>
      </c>
      <c r="P97" s="4">
        <v>0.0997633409150187</v>
      </c>
      <c r="Q97" s="4">
        <v>0.0936711884846231</v>
      </c>
      <c r="R97" s="4">
        <v>0.0925468405875973</v>
      </c>
      <c r="S97" s="4">
        <v>0.083307318170222</v>
      </c>
      <c r="T97" s="4">
        <v>0.0777221533888603</v>
      </c>
      <c r="U97" s="4">
        <v>0.0619404281082046</v>
      </c>
      <c r="V97" s="4">
        <v>0.04438716425038</v>
      </c>
      <c r="W97" s="4">
        <v>0.0285552460251922</v>
      </c>
      <c r="X97" s="4">
        <v>0.0219861957729759</v>
      </c>
      <c r="Y97" s="4">
        <v>0.0135492416779903</v>
      </c>
      <c r="Z97" s="4">
        <v>0.00969826258484326</v>
      </c>
      <c r="AA97" s="4">
        <v>0.0079219251990241</v>
      </c>
      <c r="AB97" s="4">
        <v>0.00615233208482167</v>
      </c>
      <c r="AC97" s="4">
        <v>0.00454771423016669</v>
      </c>
      <c r="AD97" s="4">
        <v>0.00344269126527334</v>
      </c>
      <c r="AE97" s="4">
        <v>0.00250030900436782</v>
      </c>
      <c r="AF97" s="4">
        <v>0.0019738667256704</v>
      </c>
      <c r="AG97" s="4">
        <v>0.0013991769654072</v>
      </c>
      <c r="AH97" s="4">
        <v>0.00108556833522973</v>
      </c>
      <c r="AI97" s="4">
        <v>7.08148519755593E-4</v>
      </c>
      <c r="AJ97" s="4">
        <v>4.65354741553675E-4</v>
      </c>
      <c r="AK97" s="4">
        <v>3.48626963571984E-4</v>
      </c>
      <c r="AL97" s="4">
        <v>2.62507802927714E-4</v>
      </c>
      <c r="AM97" s="4">
        <v>2.02846938625961E-4</v>
      </c>
      <c r="AN97" s="4">
        <v>1.61862518801278E-4</v>
      </c>
      <c r="AO97" s="4">
        <v>1.18024753292599E-4</v>
      </c>
      <c r="AP97" s="10">
        <v>9.33822223853529E-5</v>
      </c>
      <c r="AQ97" s="10">
        <v>6.69239260428363E-5</v>
      </c>
      <c r="AR97" s="10">
        <v>5.12305247808533E-5</v>
      </c>
      <c r="AS97" s="10">
        <v>4.46159506952242E-5</v>
      </c>
      <c r="AT97" s="4">
        <v>1.61862518801278E-4</v>
      </c>
    </row>
    <row r="98" ht="15.75" customHeight="1">
      <c r="A98" s="4">
        <v>4.0</v>
      </c>
      <c r="B98" s="4">
        <v>1.0</v>
      </c>
      <c r="C98" s="4">
        <v>2009.0</v>
      </c>
      <c r="D98" s="4">
        <v>1.0</v>
      </c>
      <c r="E98" s="4">
        <v>8.0</v>
      </c>
      <c r="F98" s="4">
        <v>0.0</v>
      </c>
      <c r="G98" s="4">
        <v>0.0</v>
      </c>
      <c r="H98" s="4">
        <v>0.0</v>
      </c>
      <c r="I98" s="4">
        <v>0.0</v>
      </c>
      <c r="J98" s="10">
        <v>2.4888799527796E-5</v>
      </c>
      <c r="K98" s="4">
        <v>0.0010287370471489</v>
      </c>
      <c r="L98" s="4">
        <v>0.0134460519409725</v>
      </c>
      <c r="M98" s="4">
        <v>0.0650328064472076</v>
      </c>
      <c r="N98" s="4">
        <v>0.0892413121212439</v>
      </c>
      <c r="O98" s="4">
        <v>0.0770930565373482</v>
      </c>
      <c r="P98" s="4">
        <v>0.0837056689609097</v>
      </c>
      <c r="Q98" s="4">
        <v>0.0904182432623132</v>
      </c>
      <c r="R98" s="4">
        <v>0.0924891377877289</v>
      </c>
      <c r="S98" s="4">
        <v>0.0888483781653002</v>
      </c>
      <c r="T98" s="4">
        <v>0.0814742172777558</v>
      </c>
      <c r="U98" s="4">
        <v>0.0744729817033976</v>
      </c>
      <c r="V98" s="4">
        <v>0.0643829322373152</v>
      </c>
      <c r="W98" s="4">
        <v>0.0513438853709736</v>
      </c>
      <c r="X98" s="4">
        <v>0.037383627578319</v>
      </c>
      <c r="Y98" s="4">
        <v>0.0272195624012226</v>
      </c>
      <c r="Z98" s="4">
        <v>0.0199663480656319</v>
      </c>
      <c r="AA98" s="4">
        <v>0.0143932090341137</v>
      </c>
      <c r="AB98" s="4">
        <v>0.00908929198441571</v>
      </c>
      <c r="AC98" s="4">
        <v>0.00595045648579748</v>
      </c>
      <c r="AD98" s="4">
        <v>0.00378578161444858</v>
      </c>
      <c r="AE98" s="4">
        <v>0.00262096952935849</v>
      </c>
      <c r="AF98" s="4">
        <v>0.00187398019973994</v>
      </c>
      <c r="AG98" s="4">
        <v>0.00135831030102678</v>
      </c>
      <c r="AH98" s="4">
        <v>9.47075757194957E-4</v>
      </c>
      <c r="AI98" s="4">
        <v>6.71021555896462E-4</v>
      </c>
      <c r="AJ98" s="4">
        <v>4.46941024200128E-4</v>
      </c>
      <c r="AK98" s="4">
        <v>3.02569719749677E-4</v>
      </c>
      <c r="AL98" s="4">
        <v>2.26764617919919E-4</v>
      </c>
      <c r="AM98" s="4">
        <v>1.70236135332278E-4</v>
      </c>
      <c r="AN98" s="4">
        <v>1.31764232794214E-4</v>
      </c>
      <c r="AO98" s="10">
        <v>9.28043145791349E-5</v>
      </c>
      <c r="AP98" s="10">
        <v>7.8570523999513E-5</v>
      </c>
      <c r="AQ98" s="10">
        <v>5.17296617636545E-5</v>
      </c>
      <c r="AR98" s="10">
        <v>4.88015677015608E-5</v>
      </c>
      <c r="AS98" s="10">
        <v>3.85532384842331E-5</v>
      </c>
      <c r="AT98" s="4">
        <v>1.49332797166776E-4</v>
      </c>
    </row>
    <row r="99" ht="15.75" customHeight="1">
      <c r="A99" s="4">
        <v>4.0</v>
      </c>
      <c r="B99" s="4">
        <v>1.0</v>
      </c>
      <c r="C99" s="4">
        <v>2010.0</v>
      </c>
      <c r="D99" s="4">
        <v>1.0</v>
      </c>
      <c r="E99" s="4">
        <v>6.0</v>
      </c>
      <c r="F99" s="4">
        <v>0.0</v>
      </c>
      <c r="G99" s="4">
        <v>0.0</v>
      </c>
      <c r="H99" s="4">
        <v>0.0</v>
      </c>
      <c r="I99" s="4">
        <v>0.0</v>
      </c>
      <c r="J99" s="10">
        <v>4.08249622294601E-5</v>
      </c>
      <c r="K99" s="4">
        <v>0.00129805500344181</v>
      </c>
      <c r="L99" s="4">
        <v>0.015496500078968</v>
      </c>
      <c r="M99" s="4">
        <v>0.0672054866365297</v>
      </c>
      <c r="N99" s="4">
        <v>0.0904885287815984</v>
      </c>
      <c r="O99" s="4">
        <v>0.0906031068690234</v>
      </c>
      <c r="P99" s="4">
        <v>0.0891036089862596</v>
      </c>
      <c r="Q99" s="4">
        <v>0.0829550567824566</v>
      </c>
      <c r="R99" s="4">
        <v>0.086174194451977</v>
      </c>
      <c r="S99" s="4">
        <v>0.0851982692599954</v>
      </c>
      <c r="T99" s="4">
        <v>0.0831732617356867</v>
      </c>
      <c r="U99" s="4">
        <v>0.0698991891626115</v>
      </c>
      <c r="V99" s="4">
        <v>0.0642070123577459</v>
      </c>
      <c r="W99" s="4">
        <v>0.0496898643836474</v>
      </c>
      <c r="X99" s="4">
        <v>0.0378644074867617</v>
      </c>
      <c r="Y99" s="4">
        <v>0.0285258463729852</v>
      </c>
      <c r="Z99" s="4">
        <v>0.0198157512836024</v>
      </c>
      <c r="AA99" s="4">
        <v>0.0139745037681142</v>
      </c>
      <c r="AB99" s="4">
        <v>0.00895914225860379</v>
      </c>
      <c r="AC99" s="4">
        <v>0.00560300257167463</v>
      </c>
      <c r="AD99" s="4">
        <v>0.00340940583290373</v>
      </c>
      <c r="AE99" s="4">
        <v>0.00214331051704666</v>
      </c>
      <c r="AF99" s="4">
        <v>0.00133761349786488</v>
      </c>
      <c r="AG99" s="4">
        <v>8.91593335697407E-4</v>
      </c>
      <c r="AH99" s="4">
        <v>6.03434660690925E-4</v>
      </c>
      <c r="AI99" s="4">
        <v>4.0988858063228E-4</v>
      </c>
      <c r="AJ99" s="4">
        <v>2.6141385485981E-4</v>
      </c>
      <c r="AK99" s="4">
        <v>1.77305492894371E-4</v>
      </c>
      <c r="AL99" s="4">
        <v>1.1368411014992E-4</v>
      </c>
      <c r="AM99" s="10">
        <v>8.64178032594411E-5</v>
      </c>
      <c r="AN99" s="10">
        <v>6.10139490254158E-5</v>
      </c>
      <c r="AO99" s="10">
        <v>5.00627274054694E-5</v>
      </c>
      <c r="AP99" s="10">
        <v>3.30771591786137E-5</v>
      </c>
      <c r="AQ99" s="10">
        <v>2.70428125717044E-5</v>
      </c>
      <c r="AR99" s="10">
        <v>2.52548580215091E-5</v>
      </c>
      <c r="AS99" s="10">
        <v>1.74325568644045E-5</v>
      </c>
      <c r="AT99" s="10">
        <v>7.64350570208505E-5</v>
      </c>
    </row>
    <row r="100" ht="15.75" customHeight="1">
      <c r="A100" s="4">
        <v>4.0</v>
      </c>
      <c r="B100" s="4">
        <v>1.0</v>
      </c>
      <c r="C100" s="4">
        <v>2011.0</v>
      </c>
      <c r="D100" s="4">
        <v>1.0</v>
      </c>
      <c r="E100" s="4">
        <v>7.0</v>
      </c>
      <c r="F100" s="4">
        <v>0.0</v>
      </c>
      <c r="G100" s="4">
        <v>0.0</v>
      </c>
      <c r="H100" s="4">
        <v>0.0</v>
      </c>
      <c r="I100" s="4">
        <v>0.0</v>
      </c>
      <c r="J100" s="10">
        <v>2.68714990390816E-5</v>
      </c>
      <c r="K100" s="4">
        <v>0.00103854712502397</v>
      </c>
      <c r="L100" s="4">
        <v>0.0141211744830182</v>
      </c>
      <c r="M100" s="4">
        <v>0.0671063640102025</v>
      </c>
      <c r="N100" s="4">
        <v>0.0874572073395182</v>
      </c>
      <c r="O100" s="4">
        <v>0.077448017771018</v>
      </c>
      <c r="P100" s="4">
        <v>0.0839125096269364</v>
      </c>
      <c r="Q100" s="4">
        <v>0.0885749971433902</v>
      </c>
      <c r="R100" s="4">
        <v>0.0906683111270924</v>
      </c>
      <c r="S100" s="4">
        <v>0.0898667657818815</v>
      </c>
      <c r="T100" s="4">
        <v>0.0767508113094635</v>
      </c>
      <c r="U100" s="4">
        <v>0.0698458043987272</v>
      </c>
      <c r="V100" s="4">
        <v>0.0606547026898613</v>
      </c>
      <c r="W100" s="4">
        <v>0.0483739434578471</v>
      </c>
      <c r="X100" s="4">
        <v>0.0394321898932177</v>
      </c>
      <c r="Y100" s="4">
        <v>0.0329139550392211</v>
      </c>
      <c r="Z100" s="4">
        <v>0.0253783152005857</v>
      </c>
      <c r="AA100" s="4">
        <v>0.0171655620032807</v>
      </c>
      <c r="AB100" s="4">
        <v>0.0111630501233345</v>
      </c>
      <c r="AC100" s="4">
        <v>0.00708640970304815</v>
      </c>
      <c r="AD100" s="4">
        <v>0.00405832261163212</v>
      </c>
      <c r="AE100" s="4">
        <v>0.00248331384813423</v>
      </c>
      <c r="AF100" s="4">
        <v>0.00153385421542001</v>
      </c>
      <c r="AG100" s="4">
        <v>9.32997813483069E-4</v>
      </c>
      <c r="AH100" s="4">
        <v>6.45803624053365E-4</v>
      </c>
      <c r="AI100" s="4">
        <v>4.09608796163299E-4</v>
      </c>
      <c r="AJ100" s="4">
        <v>2.73072530775532E-4</v>
      </c>
      <c r="AK100" s="4">
        <v>1.70428246157779E-4</v>
      </c>
      <c r="AL100" s="4">
        <v>1.15394125002663E-4</v>
      </c>
      <c r="AM100" s="10">
        <v>8.90874923097482E-5</v>
      </c>
      <c r="AN100" s="10">
        <v>6.92364750015978E-5</v>
      </c>
      <c r="AO100" s="10">
        <v>4.51893076933505E-5</v>
      </c>
      <c r="AP100" s="10">
        <v>3.21973817315122E-5</v>
      </c>
      <c r="AQ100" s="10">
        <v>3.41340663469416E-5</v>
      </c>
      <c r="AR100" s="10">
        <v>2.29174346159135E-5</v>
      </c>
      <c r="AS100" s="10">
        <v>2.21104826928179E-5</v>
      </c>
      <c r="AT100" s="10">
        <v>7.68218230786959E-5</v>
      </c>
    </row>
    <row r="101" ht="15.75" customHeight="1">
      <c r="A101" s="4">
        <v>4.0</v>
      </c>
      <c r="B101" s="4">
        <v>1.0</v>
      </c>
      <c r="C101" s="4">
        <v>2012.0</v>
      </c>
      <c r="D101" s="4">
        <v>1.0</v>
      </c>
      <c r="E101" s="4">
        <v>12.0</v>
      </c>
      <c r="F101" s="4">
        <v>0.0</v>
      </c>
      <c r="G101" s="4">
        <v>0.0</v>
      </c>
      <c r="H101" s="4">
        <v>0.0</v>
      </c>
      <c r="I101" s="4">
        <v>0.0</v>
      </c>
      <c r="J101" s="10">
        <v>3.12592375505862E-5</v>
      </c>
      <c r="K101" s="4">
        <v>0.00113349937964964</v>
      </c>
      <c r="L101" s="4">
        <v>0.0139404934885506</v>
      </c>
      <c r="M101" s="4">
        <v>0.0618425996946733</v>
      </c>
      <c r="N101" s="4">
        <v>0.0834276195170663</v>
      </c>
      <c r="O101" s="4">
        <v>0.0866010422937484</v>
      </c>
      <c r="P101" s="4">
        <v>0.0849105089332424</v>
      </c>
      <c r="Q101" s="4">
        <v>0.0775567028957787</v>
      </c>
      <c r="R101" s="4">
        <v>0.0837199356303772</v>
      </c>
      <c r="S101" s="4">
        <v>0.0844312006241334</v>
      </c>
      <c r="T101" s="4">
        <v>0.0859637481083702</v>
      </c>
      <c r="U101" s="4">
        <v>0.0746366395249497</v>
      </c>
      <c r="V101" s="4">
        <v>0.0697447096556593</v>
      </c>
      <c r="W101" s="4">
        <v>0.0560670566029695</v>
      </c>
      <c r="X101" s="4">
        <v>0.0448168288470382</v>
      </c>
      <c r="Y101" s="4">
        <v>0.0331629532788922</v>
      </c>
      <c r="Z101" s="4">
        <v>0.0231746412298454</v>
      </c>
      <c r="AA101" s="4">
        <v>0.014998332371306</v>
      </c>
      <c r="AB101" s="4">
        <v>0.00882486763402585</v>
      </c>
      <c r="AC101" s="4">
        <v>0.0047725252141422</v>
      </c>
      <c r="AD101" s="4">
        <v>0.00247201429927068</v>
      </c>
      <c r="AE101" s="4">
        <v>0.00135099984032443</v>
      </c>
      <c r="AF101" s="4">
        <v>8.32265465836328E-4</v>
      </c>
      <c r="AG101" s="4">
        <v>5.08033013885203E-4</v>
      </c>
      <c r="AH101" s="4">
        <v>3.28550544825981E-4</v>
      </c>
      <c r="AI101" s="4">
        <v>2.1327623938418E-4</v>
      </c>
      <c r="AJ101" s="4">
        <v>1.30106015751089E-4</v>
      </c>
      <c r="AK101" s="10">
        <v>9.72509612684904E-5</v>
      </c>
      <c r="AL101" s="10">
        <v>7.88521307582355E-5</v>
      </c>
      <c r="AM101" s="10">
        <v>5.2568087172157E-5</v>
      </c>
      <c r="AN101" s="10">
        <v>4.17728549850176E-5</v>
      </c>
      <c r="AO101" s="10">
        <v>3.71731473574539E-5</v>
      </c>
      <c r="AP101" s="10">
        <v>2.75982457653824E-5</v>
      </c>
      <c r="AQ101" s="10">
        <v>1.6521398825535E-5</v>
      </c>
      <c r="AR101" s="10">
        <v>1.61459124885911E-5</v>
      </c>
      <c r="AS101" s="10">
        <v>7.32198357040758E-6</v>
      </c>
      <c r="AT101" s="10">
        <v>3.23856965614181E-5</v>
      </c>
    </row>
    <row r="102" ht="15.75" customHeight="1">
      <c r="A102" s="4">
        <v>4.0</v>
      </c>
      <c r="B102" s="4">
        <v>1.0</v>
      </c>
      <c r="C102" s="4">
        <v>2013.0</v>
      </c>
      <c r="D102" s="4">
        <v>1.0</v>
      </c>
      <c r="E102" s="4">
        <v>18.0</v>
      </c>
      <c r="F102" s="4">
        <v>0.0</v>
      </c>
      <c r="G102" s="4">
        <v>0.0</v>
      </c>
      <c r="H102" s="4">
        <v>0.0</v>
      </c>
      <c r="I102" s="4">
        <v>0.0</v>
      </c>
      <c r="J102" s="10">
        <v>2.59302846031406E-5</v>
      </c>
      <c r="K102" s="4">
        <v>8.85372191810325E-4</v>
      </c>
      <c r="L102" s="4">
        <v>0.0112826143501046</v>
      </c>
      <c r="M102" s="4">
        <v>0.0543065702796701</v>
      </c>
      <c r="N102" s="4">
        <v>0.0656651042259324</v>
      </c>
      <c r="O102" s="4">
        <v>0.0634131793032844</v>
      </c>
      <c r="P102" s="4">
        <v>0.0715394275323841</v>
      </c>
      <c r="Q102" s="4">
        <v>0.0734468628320914</v>
      </c>
      <c r="R102" s="4">
        <v>0.0765558237592515</v>
      </c>
      <c r="S102" s="4">
        <v>0.0811591175826131</v>
      </c>
      <c r="T102" s="4">
        <v>0.0777122609880472</v>
      </c>
      <c r="U102" s="4">
        <v>0.0786394246007471</v>
      </c>
      <c r="V102" s="4">
        <v>0.0721213886620855</v>
      </c>
      <c r="W102" s="4">
        <v>0.0616716621820343</v>
      </c>
      <c r="X102" s="4">
        <v>0.0511468180733905</v>
      </c>
      <c r="Y102" s="4">
        <v>0.0449957268494909</v>
      </c>
      <c r="Z102" s="4">
        <v>0.0388989912049999</v>
      </c>
      <c r="AA102" s="4">
        <v>0.0287716556860971</v>
      </c>
      <c r="AB102" s="4">
        <v>0.0209169180315189</v>
      </c>
      <c r="AC102" s="4">
        <v>0.0127570762721946</v>
      </c>
      <c r="AD102" s="4">
        <v>0.00666550886312276</v>
      </c>
      <c r="AE102" s="4">
        <v>0.00346948990140165</v>
      </c>
      <c r="AF102" s="4">
        <v>0.00167611221094527</v>
      </c>
      <c r="AG102" s="4">
        <v>9.01767973140146E-4</v>
      </c>
      <c r="AH102" s="4">
        <v>5.03457415834172E-4</v>
      </c>
      <c r="AI102" s="4">
        <v>3.23460251235052E-4</v>
      </c>
      <c r="AJ102" s="4">
        <v>1.87927732742349E-4</v>
      </c>
      <c r="AK102" s="4">
        <v>1.20473349771292E-4</v>
      </c>
      <c r="AL102" s="10">
        <v>7.77908538094217E-5</v>
      </c>
      <c r="AM102" s="10">
        <v>4.65141187726439E-5</v>
      </c>
      <c r="AN102" s="10">
        <v>3.27915626596417E-5</v>
      </c>
      <c r="AO102" s="10">
        <v>2.29897368646401E-5</v>
      </c>
      <c r="AP102" s="10">
        <v>1.37225561130022E-5</v>
      </c>
      <c r="AQ102" s="10">
        <v>1.33661260840931E-5</v>
      </c>
      <c r="AR102" s="10">
        <v>5.79198796977366E-6</v>
      </c>
      <c r="AS102" s="10">
        <v>5.5246654480918E-6</v>
      </c>
      <c r="AT102" s="10">
        <v>2.13858017345489E-5</v>
      </c>
    </row>
    <row r="103" ht="15.75" customHeight="1">
      <c r="A103" s="4">
        <v>4.0</v>
      </c>
      <c r="B103" s="4">
        <v>1.0</v>
      </c>
      <c r="C103" s="4">
        <v>2014.0</v>
      </c>
      <c r="D103" s="4">
        <v>1.0</v>
      </c>
      <c r="E103" s="4">
        <v>11.0</v>
      </c>
      <c r="F103" s="4">
        <v>0.0</v>
      </c>
      <c r="G103" s="4">
        <v>0.0</v>
      </c>
      <c r="H103" s="4">
        <v>0.0</v>
      </c>
      <c r="I103" s="4">
        <v>0.0</v>
      </c>
      <c r="J103" s="10">
        <v>2.80195805992728E-5</v>
      </c>
      <c r="K103" s="4">
        <v>0.00113521065029574</v>
      </c>
      <c r="L103" s="4">
        <v>0.0140234583877336</v>
      </c>
      <c r="M103" s="4">
        <v>0.0617519664202412</v>
      </c>
      <c r="N103" s="4">
        <v>0.0821201513026979</v>
      </c>
      <c r="O103" s="4">
        <v>0.0737461693284762</v>
      </c>
      <c r="P103" s="4">
        <v>0.0774933516141481</v>
      </c>
      <c r="Q103" s="4">
        <v>0.0764421997056501</v>
      </c>
      <c r="R103" s="4">
        <v>0.0740552199871186</v>
      </c>
      <c r="S103" s="4">
        <v>0.0796864722831676</v>
      </c>
      <c r="T103" s="4">
        <v>0.078179413702805</v>
      </c>
      <c r="U103" s="4">
        <v>0.0679546966663989</v>
      </c>
      <c r="V103" s="4">
        <v>0.0585550765481274</v>
      </c>
      <c r="W103" s="4">
        <v>0.0511281412113966</v>
      </c>
      <c r="X103" s="4">
        <v>0.0494705817943193</v>
      </c>
      <c r="Y103" s="4">
        <v>0.0409155735866324</v>
      </c>
      <c r="Z103" s="4">
        <v>0.0345359175334386</v>
      </c>
      <c r="AA103" s="4">
        <v>0.0279567833278484</v>
      </c>
      <c r="AB103" s="4">
        <v>0.0201874623842825</v>
      </c>
      <c r="AC103" s="4">
        <v>0.0130965342132747</v>
      </c>
      <c r="AD103" s="4">
        <v>0.00811664224888039</v>
      </c>
      <c r="AE103" s="4">
        <v>0.0043977073452761</v>
      </c>
      <c r="AF103" s="4">
        <v>0.00226594120504851</v>
      </c>
      <c r="AG103" s="4">
        <v>0.00110757073881028</v>
      </c>
      <c r="AH103" s="4">
        <v>6.07698383566341E-4</v>
      </c>
      <c r="AI103" s="4">
        <v>3.41702202430156E-4</v>
      </c>
      <c r="AJ103" s="4">
        <v>2.05021321458093E-4</v>
      </c>
      <c r="AK103" s="4">
        <v>1.39414498591504E-4</v>
      </c>
      <c r="AL103" s="10">
        <v>9.71952931356887E-5</v>
      </c>
      <c r="AM103" s="10">
        <v>5.77097052993152E-5</v>
      </c>
      <c r="AN103" s="10">
        <v>4.67752348215502E-5</v>
      </c>
      <c r="AO103" s="10">
        <v>3.50814261161627E-5</v>
      </c>
      <c r="AP103" s="10">
        <v>2.49062938660202E-5</v>
      </c>
      <c r="AQ103" s="10">
        <v>2.55137644481183E-5</v>
      </c>
      <c r="AR103" s="10">
        <v>1.23012792874856E-5</v>
      </c>
      <c r="AS103" s="10">
        <v>1.17697425281498E-5</v>
      </c>
      <c r="AT103" s="10">
        <v>4.4649087784207E-5</v>
      </c>
    </row>
    <row r="104" ht="15.75" customHeight="1">
      <c r="A104" s="4">
        <v>4.0</v>
      </c>
      <c r="B104" s="4">
        <v>1.0</v>
      </c>
      <c r="C104" s="4">
        <v>2015.0</v>
      </c>
      <c r="D104" s="4">
        <v>1.0</v>
      </c>
      <c r="E104" s="4">
        <v>4.0</v>
      </c>
      <c r="F104" s="4">
        <v>0.0</v>
      </c>
      <c r="G104" s="4">
        <v>0.0</v>
      </c>
      <c r="H104" s="4">
        <v>0.0</v>
      </c>
      <c r="I104" s="4">
        <v>0.0</v>
      </c>
      <c r="J104" s="10">
        <v>2.46211345496225E-5</v>
      </c>
      <c r="K104" s="4">
        <v>8.27827580517497E-4</v>
      </c>
      <c r="L104" s="4">
        <v>0.0114062438422968</v>
      </c>
      <c r="M104" s="4">
        <v>0.0506540356633263</v>
      </c>
      <c r="N104" s="4">
        <v>0.0724462947631389</v>
      </c>
      <c r="O104" s="4">
        <v>0.0701061256066535</v>
      </c>
      <c r="P104" s="4">
        <v>0.07337562645496</v>
      </c>
      <c r="Q104" s="4">
        <v>0.0784996097395324</v>
      </c>
      <c r="R104" s="4">
        <v>0.0773577465560801</v>
      </c>
      <c r="S104" s="4">
        <v>0.0754362141118897</v>
      </c>
      <c r="T104" s="4">
        <v>0.071455100535138</v>
      </c>
      <c r="U104" s="4">
        <v>0.0679660225246217</v>
      </c>
      <c r="V104" s="4">
        <v>0.0611753897359136</v>
      </c>
      <c r="W104" s="4">
        <v>0.0545616729611862</v>
      </c>
      <c r="X104" s="4">
        <v>0.0515287827644006</v>
      </c>
      <c r="Y104" s="4">
        <v>0.0471858623896917</v>
      </c>
      <c r="Z104" s="4">
        <v>0.0417990213950691</v>
      </c>
      <c r="AA104" s="4">
        <v>0.0314713845509194</v>
      </c>
      <c r="AB104" s="4">
        <v>0.0233920134459268</v>
      </c>
      <c r="AC104" s="4">
        <v>0.0167405132949094</v>
      </c>
      <c r="AD104" s="4">
        <v>0.0107422474589712</v>
      </c>
      <c r="AE104" s="4">
        <v>0.00574229894656385</v>
      </c>
      <c r="AF104" s="4">
        <v>0.00290769405034929</v>
      </c>
      <c r="AG104" s="4">
        <v>0.00144753689163441</v>
      </c>
      <c r="AH104" s="4">
        <v>7.33988539403842E-4</v>
      </c>
      <c r="AI104" s="4">
        <v>3.81550160567736E-4</v>
      </c>
      <c r="AJ104" s="4">
        <v>2.27164807448404E-4</v>
      </c>
      <c r="AK104" s="4">
        <v>1.31157867695159E-4</v>
      </c>
      <c r="AL104" s="10">
        <v>7.80443510252186E-5</v>
      </c>
      <c r="AM104" s="10">
        <v>5.45845907468047E-5</v>
      </c>
      <c r="AN104" s="10">
        <v>3.50735029905E-5</v>
      </c>
      <c r="AO104" s="10">
        <v>2.29177856185166E-5</v>
      </c>
      <c r="AP104" s="10">
        <v>2.22983860072053E-5</v>
      </c>
      <c r="AQ104" s="10">
        <v>1.06072183437053E-5</v>
      </c>
      <c r="AR104" s="10">
        <v>1.05297933922914E-5</v>
      </c>
      <c r="AS104" s="10">
        <v>1.10717680521888E-5</v>
      </c>
      <c r="AT104" s="10">
        <v>3.11248304683908E-5</v>
      </c>
    </row>
    <row r="105" ht="15.75" customHeight="1">
      <c r="A105" s="4">
        <v>4.0</v>
      </c>
      <c r="B105" s="4">
        <v>1.0</v>
      </c>
      <c r="C105" s="4">
        <v>2016.0</v>
      </c>
      <c r="D105" s="4">
        <v>1.0</v>
      </c>
      <c r="E105" s="4">
        <v>4.0</v>
      </c>
      <c r="F105" s="4">
        <v>0.0</v>
      </c>
      <c r="G105" s="4">
        <v>0.0</v>
      </c>
      <c r="H105" s="4">
        <v>0.0</v>
      </c>
      <c r="I105" s="4">
        <v>0.0</v>
      </c>
      <c r="J105" s="10">
        <v>2.30377741965853E-5</v>
      </c>
      <c r="K105" s="4">
        <v>8.09349496694781E-4</v>
      </c>
      <c r="L105" s="4">
        <v>0.0099124453822</v>
      </c>
      <c r="M105" s="4">
        <v>0.0438643651044176</v>
      </c>
      <c r="N105" s="4">
        <v>0.0649377260166249</v>
      </c>
      <c r="O105" s="4">
        <v>0.0610949219060066</v>
      </c>
      <c r="P105" s="4">
        <v>0.0645340480950456</v>
      </c>
      <c r="Q105" s="4">
        <v>0.0661523778933358</v>
      </c>
      <c r="R105" s="4">
        <v>0.0693726452275073</v>
      </c>
      <c r="S105" s="4">
        <v>0.0674196031521878</v>
      </c>
      <c r="T105" s="4">
        <v>0.0654478798048435</v>
      </c>
      <c r="U105" s="4">
        <v>0.0657356304652412</v>
      </c>
      <c r="V105" s="4">
        <v>0.0644540804365363</v>
      </c>
      <c r="W105" s="4">
        <v>0.0626767752284856</v>
      </c>
      <c r="X105" s="4">
        <v>0.0600187920305546</v>
      </c>
      <c r="Y105" s="4">
        <v>0.0560740162335085</v>
      </c>
      <c r="Z105" s="4">
        <v>0.0499860628850013</v>
      </c>
      <c r="AA105" s="4">
        <v>0.0410150650060271</v>
      </c>
      <c r="AB105" s="4">
        <v>0.0316112227926287</v>
      </c>
      <c r="AC105" s="4">
        <v>0.0233363053538827</v>
      </c>
      <c r="AD105" s="4">
        <v>0.0153697396620757</v>
      </c>
      <c r="AE105" s="4">
        <v>0.00817900055194668</v>
      </c>
      <c r="AF105" s="4">
        <v>0.00398996527720091</v>
      </c>
      <c r="AG105" s="4">
        <v>0.00197238789852304</v>
      </c>
      <c r="AH105" s="4">
        <v>9.37903230272522E-4</v>
      </c>
      <c r="AI105" s="4">
        <v>4.23835974001281E-4</v>
      </c>
      <c r="AJ105" s="4">
        <v>2.20630991344221E-4</v>
      </c>
      <c r="AK105" s="4">
        <v>1.36454508702852E-4</v>
      </c>
      <c r="AL105" s="10">
        <v>8.21828291051265E-5</v>
      </c>
      <c r="AM105" s="10">
        <v>4.96198213464915E-5</v>
      </c>
      <c r="AN105" s="10">
        <v>3.65503148311209E-5</v>
      </c>
      <c r="AO105" s="10">
        <v>2.49575887129674E-5</v>
      </c>
      <c r="AP105" s="10">
        <v>2.49575887129674E-5</v>
      </c>
      <c r="AQ105" s="10">
        <v>1.18880821975969E-5</v>
      </c>
      <c r="AR105" s="10">
        <v>1.25526333763446E-5</v>
      </c>
      <c r="AS105" s="10">
        <v>1.24787943564837E-5</v>
      </c>
      <c r="AT105" s="10">
        <v>3.85439683673639E-5</v>
      </c>
    </row>
    <row r="106" ht="15.75" customHeight="1">
      <c r="A106" s="4">
        <v>4.0</v>
      </c>
      <c r="B106" s="4">
        <v>1.0</v>
      </c>
      <c r="C106" s="4">
        <v>2017.0</v>
      </c>
      <c r="D106" s="4">
        <v>1.0</v>
      </c>
      <c r="E106" s="4">
        <v>5.0</v>
      </c>
      <c r="F106" s="4">
        <v>0.0</v>
      </c>
      <c r="G106" s="4">
        <v>0.0</v>
      </c>
      <c r="H106" s="4">
        <v>0.0</v>
      </c>
      <c r="I106" s="4">
        <v>0.0</v>
      </c>
      <c r="J106" s="10">
        <v>1.91391456385243E-5</v>
      </c>
      <c r="K106" s="4">
        <v>6.19109754567918E-4</v>
      </c>
      <c r="L106" s="4">
        <v>0.00834411274055201</v>
      </c>
      <c r="M106" s="4">
        <v>0.0391204136851437</v>
      </c>
      <c r="N106" s="4">
        <v>0.0555866250768409</v>
      </c>
      <c r="O106" s="4">
        <v>0.0546085869968201</v>
      </c>
      <c r="P106" s="4">
        <v>0.0600014989556961</v>
      </c>
      <c r="Q106" s="4">
        <v>0.062985652353341</v>
      </c>
      <c r="R106" s="4">
        <v>0.0635572748364116</v>
      </c>
      <c r="S106" s="4">
        <v>0.0680456541296756</v>
      </c>
      <c r="T106" s="4">
        <v>0.0688117747130612</v>
      </c>
      <c r="U106" s="4">
        <v>0.0682596242303359</v>
      </c>
      <c r="V106" s="4">
        <v>0.0678054994587505</v>
      </c>
      <c r="W106" s="4">
        <v>0.0663360014042031</v>
      </c>
      <c r="X106" s="4">
        <v>0.0648964047974793</v>
      </c>
      <c r="Y106" s="4">
        <v>0.0587626692129312</v>
      </c>
      <c r="Z106" s="4">
        <v>0.0498325102853491</v>
      </c>
      <c r="AA106" s="4">
        <v>0.0448548345731524</v>
      </c>
      <c r="AB106" s="4">
        <v>0.0358118378999797</v>
      </c>
      <c r="AC106" s="4">
        <v>0.0258368480478876</v>
      </c>
      <c r="AD106" s="4">
        <v>0.016977254318138</v>
      </c>
      <c r="AE106" s="4">
        <v>0.00963913945297437</v>
      </c>
      <c r="AF106" s="4">
        <v>0.00504008596971366</v>
      </c>
      <c r="AG106" s="4">
        <v>0.00228338328835264</v>
      </c>
      <c r="AH106" s="4">
        <v>9.69938615489738E-4</v>
      </c>
      <c r="AI106" s="4">
        <v>4.29382571716459E-4</v>
      </c>
      <c r="AJ106" s="4">
        <v>2.15523422625122E-4</v>
      </c>
      <c r="AK106" s="4">
        <v>1.17164856778445E-4</v>
      </c>
      <c r="AL106" s="10">
        <v>7.76660982432871E-5</v>
      </c>
      <c r="AM106" s="10">
        <v>4.2605402464889E-5</v>
      </c>
      <c r="AN106" s="10">
        <v>3.06226330216389E-5</v>
      </c>
      <c r="AO106" s="10">
        <v>1.98603308364977E-5</v>
      </c>
      <c r="AP106" s="10">
        <v>9.98564120270835E-6</v>
      </c>
      <c r="AQ106" s="10">
        <v>9.59731071149191E-6</v>
      </c>
      <c r="AR106" s="10">
        <v>9.93016541824886E-6</v>
      </c>
      <c r="AS106" s="10">
        <v>1.03739716939248E-5</v>
      </c>
      <c r="AT106" s="10">
        <v>2.14136528013635E-5</v>
      </c>
    </row>
    <row r="107" ht="15.75" customHeight="1">
      <c r="A107" s="4">
        <v>4.0</v>
      </c>
      <c r="B107" s="4">
        <v>1.0</v>
      </c>
      <c r="C107" s="4">
        <v>2018.0</v>
      </c>
      <c r="D107" s="4">
        <v>1.0</v>
      </c>
      <c r="E107" s="4">
        <v>8.0</v>
      </c>
      <c r="F107" s="4">
        <v>0.0</v>
      </c>
      <c r="G107" s="4">
        <v>0.0</v>
      </c>
      <c r="H107" s="4">
        <v>0.0</v>
      </c>
      <c r="I107" s="4">
        <v>0.0</v>
      </c>
      <c r="J107" s="10">
        <v>2.38051815420525E-5</v>
      </c>
      <c r="K107" s="4">
        <v>8.92694307826967E-4</v>
      </c>
      <c r="L107" s="4">
        <v>0.0117688095855006</v>
      </c>
      <c r="M107" s="4">
        <v>0.0599679082544369</v>
      </c>
      <c r="N107" s="4">
        <v>0.0780663385486355</v>
      </c>
      <c r="O107" s="4">
        <v>0.0737645848543566</v>
      </c>
      <c r="P107" s="4">
        <v>0.0753227421916546</v>
      </c>
      <c r="Q107" s="4">
        <v>0.076904507973457</v>
      </c>
      <c r="R107" s="4">
        <v>0.0729343545559478</v>
      </c>
      <c r="S107" s="4">
        <v>0.069071226086859</v>
      </c>
      <c r="T107" s="4">
        <v>0.0702823392899406</v>
      </c>
      <c r="U107" s="4">
        <v>0.0629469004768316</v>
      </c>
      <c r="V107" s="4">
        <v>0.0583315479447177</v>
      </c>
      <c r="W107" s="4">
        <v>0.0530957851647289</v>
      </c>
      <c r="X107" s="4">
        <v>0.0507917977181258</v>
      </c>
      <c r="Y107" s="4">
        <v>0.0464823712793829</v>
      </c>
      <c r="Z107" s="4">
        <v>0.0380013326966923</v>
      </c>
      <c r="AA107" s="4">
        <v>0.0328869566688642</v>
      </c>
      <c r="AB107" s="4">
        <v>0.0240919257742635</v>
      </c>
      <c r="AC107" s="4">
        <v>0.0183508439133594</v>
      </c>
      <c r="AD107" s="4">
        <v>0.0122241574588815</v>
      </c>
      <c r="AE107" s="4">
        <v>0.00725635052401894</v>
      </c>
      <c r="AF107" s="4">
        <v>0.00354028299048953</v>
      </c>
      <c r="AG107" s="4">
        <v>0.00163085167266813</v>
      </c>
      <c r="AH107" s="4">
        <v>7.31861779639959E-4</v>
      </c>
      <c r="AI107" s="4">
        <v>3.45273500878529E-4</v>
      </c>
      <c r="AJ107" s="4">
        <v>1.39289822576637E-4</v>
      </c>
      <c r="AK107" s="10">
        <v>6.13819557117385E-5</v>
      </c>
      <c r="AL107" s="10">
        <v>2.96089241494123E-5</v>
      </c>
      <c r="AM107" s="10">
        <v>2.00671778288376E-5</v>
      </c>
      <c r="AN107" s="10">
        <v>1.29846444774831E-5</v>
      </c>
      <c r="AO107" s="10">
        <v>8.45969261411781E-6</v>
      </c>
      <c r="AP107" s="10">
        <v>4.52495186336534E-6</v>
      </c>
      <c r="AQ107" s="10">
        <v>3.73800371321484E-6</v>
      </c>
      <c r="AR107" s="10">
        <v>3.44289815690841E-6</v>
      </c>
      <c r="AS107" s="10">
        <v>2.45921296922029E-6</v>
      </c>
      <c r="AT107" s="10">
        <v>6.49232223874157E-6</v>
      </c>
    </row>
    <row r="108" ht="15.75" customHeight="1">
      <c r="A108" s="4">
        <v>4.0</v>
      </c>
      <c r="B108" s="4">
        <v>1.0</v>
      </c>
      <c r="C108" s="4">
        <v>2019.0</v>
      </c>
      <c r="D108" s="4">
        <v>1.0</v>
      </c>
      <c r="E108" s="4">
        <v>15.0</v>
      </c>
      <c r="F108" s="4">
        <v>0.0</v>
      </c>
      <c r="G108" s="4">
        <v>0.0</v>
      </c>
      <c r="H108" s="4">
        <v>0.0</v>
      </c>
      <c r="I108" s="4">
        <v>0.0</v>
      </c>
      <c r="J108" s="10">
        <v>3.5392927239638E-5</v>
      </c>
      <c r="K108" s="4">
        <v>0.00100648636837721</v>
      </c>
      <c r="L108" s="4">
        <v>0.0109263373641535</v>
      </c>
      <c r="M108" s="4">
        <v>0.0380473967826109</v>
      </c>
      <c r="N108" s="4">
        <v>0.0509470127324827</v>
      </c>
      <c r="O108" s="4">
        <v>0.0559693674214741</v>
      </c>
      <c r="P108" s="4">
        <v>0.0613870660234166</v>
      </c>
      <c r="Q108" s="4">
        <v>0.0643941130255926</v>
      </c>
      <c r="R108" s="4">
        <v>0.0690243189964532</v>
      </c>
      <c r="S108" s="4">
        <v>0.0672146098071098</v>
      </c>
      <c r="T108" s="4">
        <v>0.0628322772190351</v>
      </c>
      <c r="U108" s="4">
        <v>0.0620941872155585</v>
      </c>
      <c r="V108" s="4">
        <v>0.0670935610802659</v>
      </c>
      <c r="W108" s="4">
        <v>0.0660549998715777</v>
      </c>
      <c r="X108" s="4">
        <v>0.0560682955687932</v>
      </c>
      <c r="Y108" s="4">
        <v>0.0577385222150221</v>
      </c>
      <c r="Z108" s="4">
        <v>0.0504324634743147</v>
      </c>
      <c r="AA108" s="4">
        <v>0.0433619889055462</v>
      </c>
      <c r="AB108" s="4">
        <v>0.0383466390667377</v>
      </c>
      <c r="AC108" s="4">
        <v>0.0291261670602696</v>
      </c>
      <c r="AD108" s="4">
        <v>0.0221451579464679</v>
      </c>
      <c r="AE108" s="4">
        <v>0.0130363948666</v>
      </c>
      <c r="AF108" s="4">
        <v>0.00647838039015541</v>
      </c>
      <c r="AG108" s="4">
        <v>0.00348399127515187</v>
      </c>
      <c r="AH108" s="4">
        <v>0.00158776604144487</v>
      </c>
      <c r="AI108" s="4">
        <v>5.92831531263937E-4</v>
      </c>
      <c r="AJ108" s="4">
        <v>2.51437253931595E-4</v>
      </c>
      <c r="AK108" s="4">
        <v>1.2731622437592E-4</v>
      </c>
      <c r="AL108" s="10">
        <v>6.78364438759728E-5</v>
      </c>
      <c r="AM108" s="10">
        <v>3.24435166363348E-5</v>
      </c>
      <c r="AN108" s="10">
        <v>2.58073427789027E-5</v>
      </c>
      <c r="AO108" s="10">
        <v>1.49928372334578E-5</v>
      </c>
      <c r="AP108" s="10">
        <v>8.60244759296757E-6</v>
      </c>
      <c r="AQ108" s="10">
        <v>8.47955548449661E-6</v>
      </c>
      <c r="AR108" s="10">
        <v>8.60244759296757E-6</v>
      </c>
      <c r="AS108" s="10">
        <v>9.33980024379336E-6</v>
      </c>
      <c r="AT108" s="10">
        <v>1.94169531384125E-5</v>
      </c>
    </row>
    <row r="109" ht="15.75" customHeight="1">
      <c r="A109" s="4">
        <v>4.0</v>
      </c>
      <c r="B109" s="4">
        <v>1.0</v>
      </c>
      <c r="C109" s="4">
        <v>2020.0</v>
      </c>
      <c r="D109" s="4">
        <v>1.0</v>
      </c>
      <c r="E109" s="4">
        <v>16.0</v>
      </c>
      <c r="F109" s="4">
        <v>0.0</v>
      </c>
      <c r="G109" s="4">
        <v>0.0</v>
      </c>
      <c r="H109" s="4">
        <v>0.0</v>
      </c>
      <c r="I109" s="4">
        <v>0.0</v>
      </c>
      <c r="J109" s="10">
        <v>5.23472872588797E-5</v>
      </c>
      <c r="K109" s="4">
        <v>0.00166115391568178</v>
      </c>
      <c r="L109" s="4">
        <v>0.0176556930466749</v>
      </c>
      <c r="M109" s="4">
        <v>0.0729158160232487</v>
      </c>
      <c r="N109" s="4">
        <v>0.0904421531067417</v>
      </c>
      <c r="O109" s="4">
        <v>0.0680430978705822</v>
      </c>
      <c r="P109" s="4">
        <v>0.0682154949366214</v>
      </c>
      <c r="Q109" s="4">
        <v>0.0663879929747614</v>
      </c>
      <c r="R109" s="4">
        <v>0.0740762972181256</v>
      </c>
      <c r="S109" s="4">
        <v>0.0659045366950994</v>
      </c>
      <c r="T109" s="4">
        <v>0.0686754531006694</v>
      </c>
      <c r="U109" s="4">
        <v>0.0820154031311123</v>
      </c>
      <c r="V109" s="4">
        <v>0.0693720210031276</v>
      </c>
      <c r="W109" s="4">
        <v>0.0536817941020661</v>
      </c>
      <c r="X109" s="4">
        <v>0.0418457234709183</v>
      </c>
      <c r="Y109" s="4">
        <v>0.0276803148840554</v>
      </c>
      <c r="Z109" s="4">
        <v>0.0230653780393126</v>
      </c>
      <c r="AA109" s="4">
        <v>0.0269846776000374</v>
      </c>
      <c r="AB109" s="4">
        <v>0.0207460442318292</v>
      </c>
      <c r="AC109" s="4">
        <v>0.0140348893506307</v>
      </c>
      <c r="AD109" s="4">
        <v>0.0160780621359973</v>
      </c>
      <c r="AE109" s="4">
        <v>0.014118877664855</v>
      </c>
      <c r="AF109" s="4">
        <v>0.00788140756969692</v>
      </c>
      <c r="AG109" s="4">
        <v>0.00475871739374722</v>
      </c>
      <c r="AH109" s="4">
        <v>0.00204154420309631</v>
      </c>
      <c r="AI109" s="4">
        <v>0.00100506791537049</v>
      </c>
      <c r="AJ109" s="4">
        <v>3.44328822858409E-4</v>
      </c>
      <c r="AK109" s="4">
        <v>1.3051923623214E-4</v>
      </c>
      <c r="AL109" s="10">
        <v>7.44494752126289E-5</v>
      </c>
      <c r="AM109" s="10">
        <v>3.72247376063144E-5</v>
      </c>
      <c r="AN109" s="10">
        <v>2.09389149035519E-5</v>
      </c>
      <c r="AO109" s="10">
        <v>1.07021120618154E-5</v>
      </c>
      <c r="AP109" s="10">
        <v>6.97963830118396E-6</v>
      </c>
      <c r="AQ109" s="10">
        <v>6.97963830118396E-6</v>
      </c>
      <c r="AR109" s="10">
        <v>7.91025674134182E-6</v>
      </c>
      <c r="AS109" s="4">
        <v>0.0</v>
      </c>
      <c r="AT109" s="10">
        <v>2.0008296463394E-5</v>
      </c>
    </row>
    <row r="110" ht="15.75" customHeight="1">
      <c r="A110" s="4">
        <v>4.0</v>
      </c>
      <c r="B110" s="4">
        <v>1.0</v>
      </c>
      <c r="C110" s="4">
        <v>2021.0</v>
      </c>
      <c r="D110" s="4">
        <v>1.0</v>
      </c>
      <c r="E110" s="4">
        <v>10.0</v>
      </c>
      <c r="F110" s="4">
        <v>0.0</v>
      </c>
      <c r="G110" s="4">
        <v>0.0</v>
      </c>
      <c r="H110" s="4">
        <v>0.0</v>
      </c>
      <c r="I110" s="4">
        <v>0.0</v>
      </c>
      <c r="J110" s="10">
        <v>2.72192391367951E-5</v>
      </c>
      <c r="K110" s="4">
        <v>9.76145032521731E-4</v>
      </c>
      <c r="L110" s="4">
        <v>0.0115044678342887</v>
      </c>
      <c r="M110" s="4">
        <v>0.0501895155961638</v>
      </c>
      <c r="N110" s="4">
        <v>0.0679805099728268</v>
      </c>
      <c r="O110" s="4">
        <v>0.06040396243745</v>
      </c>
      <c r="P110" s="4">
        <v>0.0565928744765721</v>
      </c>
      <c r="Q110" s="4">
        <v>0.0559195599161858</v>
      </c>
      <c r="R110" s="4">
        <v>0.0539881773826532</v>
      </c>
      <c r="S110" s="4">
        <v>0.052612553854974</v>
      </c>
      <c r="T110" s="4">
        <v>0.0583622565143726</v>
      </c>
      <c r="U110" s="4">
        <v>0.0614970713019146</v>
      </c>
      <c r="V110" s="4">
        <v>0.0614472351104516</v>
      </c>
      <c r="W110" s="4">
        <v>0.063655149334345</v>
      </c>
      <c r="X110" s="4">
        <v>0.0582248453795999</v>
      </c>
      <c r="Y110" s="4">
        <v>0.0541689157603997</v>
      </c>
      <c r="Z110" s="4">
        <v>0.0490340786188932</v>
      </c>
      <c r="AA110" s="4">
        <v>0.045327133833843</v>
      </c>
      <c r="AB110" s="4">
        <v>0.0395744068145403</v>
      </c>
      <c r="AC110" s="4">
        <v>0.0322178485887087</v>
      </c>
      <c r="AD110" s="4">
        <v>0.0255834549104099</v>
      </c>
      <c r="AE110" s="4">
        <v>0.0178284701406919</v>
      </c>
      <c r="AF110" s="4">
        <v>0.0117054562740017</v>
      </c>
      <c r="AG110" s="4">
        <v>0.00607370365086263</v>
      </c>
      <c r="AH110" s="4">
        <v>0.00283040638850007</v>
      </c>
      <c r="AI110" s="4">
        <v>0.00130889036892589</v>
      </c>
      <c r="AJ110" s="4">
        <v>5.09407402975576E-4</v>
      </c>
      <c r="AK110" s="4">
        <v>2.18411382638728E-4</v>
      </c>
      <c r="AL110" s="10">
        <v>9.40181448444854E-5</v>
      </c>
      <c r="AM110" s="10">
        <v>4.66803376500592E-5</v>
      </c>
      <c r="AN110" s="10">
        <v>2.80082025900355E-5</v>
      </c>
      <c r="AO110" s="10">
        <v>1.91981106955173E-5</v>
      </c>
      <c r="AP110" s="10">
        <v>9.99353707437887E-6</v>
      </c>
      <c r="AQ110" s="10">
        <v>9.99353707437887E-6</v>
      </c>
      <c r="AR110" s="10">
        <v>1.01250309832523E-5</v>
      </c>
      <c r="AS110" s="4">
        <v>0.0</v>
      </c>
      <c r="AT110" s="10">
        <v>1.98555802398843E-5</v>
      </c>
    </row>
    <row r="111" ht="15.75" customHeight="1">
      <c r="A111" s="4">
        <v>4.0</v>
      </c>
      <c r="B111" s="4">
        <v>1.0</v>
      </c>
      <c r="C111" s="4">
        <v>2022.0</v>
      </c>
      <c r="D111" s="4">
        <v>1.0</v>
      </c>
      <c r="E111" s="4">
        <v>7.0</v>
      </c>
      <c r="F111" s="4">
        <v>0.0</v>
      </c>
      <c r="G111" s="4">
        <v>0.0</v>
      </c>
      <c r="H111" s="4">
        <v>0.0</v>
      </c>
      <c r="I111" s="4">
        <v>0.0</v>
      </c>
      <c r="J111" s="10">
        <v>2.08041399863724E-5</v>
      </c>
      <c r="K111" s="4">
        <v>9.10040555890369E-4</v>
      </c>
      <c r="L111" s="4">
        <v>0.0123257032431874</v>
      </c>
      <c r="M111" s="4">
        <v>0.0599609050850472</v>
      </c>
      <c r="N111" s="4">
        <v>0.0748892812104036</v>
      </c>
      <c r="O111" s="4">
        <v>0.0688423049000403</v>
      </c>
      <c r="P111" s="4">
        <v>0.0667156907166586</v>
      </c>
      <c r="Q111" s="4">
        <v>0.0674850690467852</v>
      </c>
      <c r="R111" s="4">
        <v>0.0600977251047774</v>
      </c>
      <c r="S111" s="4">
        <v>0.0596825794284728</v>
      </c>
      <c r="T111" s="4">
        <v>0.0545724454038922</v>
      </c>
      <c r="U111" s="4">
        <v>0.0524290567112422</v>
      </c>
      <c r="V111" s="4">
        <v>0.0517027860585648</v>
      </c>
      <c r="W111" s="4">
        <v>0.0479031254284411</v>
      </c>
      <c r="X111" s="4">
        <v>0.0480766806863454</v>
      </c>
      <c r="Y111" s="4">
        <v>0.0441144291423643</v>
      </c>
      <c r="Z111" s="4">
        <v>0.0441812460424106</v>
      </c>
      <c r="AA111" s="4">
        <v>0.044534916422179</v>
      </c>
      <c r="AB111" s="4">
        <v>0.0380774800526251</v>
      </c>
      <c r="AC111" s="4">
        <v>0.0345427442141297</v>
      </c>
      <c r="AD111" s="4">
        <v>0.0258274963820007</v>
      </c>
      <c r="AE111" s="4">
        <v>0.0189756247637863</v>
      </c>
      <c r="AF111" s="4">
        <v>0.0112454810737148</v>
      </c>
      <c r="AG111" s="4">
        <v>0.00684353121975141</v>
      </c>
      <c r="AH111" s="4">
        <v>0.00343624416675811</v>
      </c>
      <c r="AI111" s="4">
        <v>0.00156911945915234</v>
      </c>
      <c r="AJ111" s="4">
        <v>5.96479058618288E-4</v>
      </c>
      <c r="AK111" s="4">
        <v>2.3615510254801E-4</v>
      </c>
      <c r="AL111" s="10">
        <v>9.67111372339471E-5</v>
      </c>
      <c r="AM111" s="10">
        <v>4.27328280801162E-5</v>
      </c>
      <c r="AN111" s="10">
        <v>1.88361807984723E-5</v>
      </c>
      <c r="AO111" s="10">
        <v>1.38694266575816E-5</v>
      </c>
      <c r="AP111" s="10">
        <v>7.59069972475748E-6</v>
      </c>
      <c r="AQ111" s="10">
        <v>8.34039846300513E-6</v>
      </c>
      <c r="AR111" s="10">
        <v>8.621535489848E-6</v>
      </c>
      <c r="AS111" s="4">
        <v>0.0</v>
      </c>
      <c r="AT111" s="10">
        <v>8.15297377844322E-6</v>
      </c>
    </row>
    <row r="112" ht="15.75" customHeight="1">
      <c r="A112" s="4">
        <v>4.0</v>
      </c>
      <c r="B112" s="4">
        <v>1.0</v>
      </c>
      <c r="C112" s="4">
        <v>2023.0</v>
      </c>
      <c r="D112" s="4">
        <v>1.0</v>
      </c>
      <c r="E112" s="4">
        <v>9.0</v>
      </c>
      <c r="F112" s="4">
        <v>0.0</v>
      </c>
      <c r="G112" s="4">
        <v>0.0</v>
      </c>
      <c r="H112" s="4">
        <v>0.0</v>
      </c>
      <c r="I112" s="4">
        <v>0.0</v>
      </c>
      <c r="J112" s="10">
        <v>2.11140462466779E-5</v>
      </c>
      <c r="K112" s="4">
        <v>9.45035587178896E-4</v>
      </c>
      <c r="L112" s="4">
        <v>0.0114671113236268</v>
      </c>
      <c r="M112" s="4">
        <v>0.0481070802495753</v>
      </c>
      <c r="N112" s="4">
        <v>0.0611470060009396</v>
      </c>
      <c r="O112" s="4">
        <v>0.0589340355331196</v>
      </c>
      <c r="P112" s="4">
        <v>0.0667527852794325</v>
      </c>
      <c r="Q112" s="4">
        <v>0.0670698600084128</v>
      </c>
      <c r="R112" s="4">
        <v>0.070048760705595</v>
      </c>
      <c r="S112" s="4">
        <v>0.0673015684642061</v>
      </c>
      <c r="T112" s="4">
        <v>0.0599364066769167</v>
      </c>
      <c r="U112" s="4">
        <v>0.0564132732359624</v>
      </c>
      <c r="V112" s="4">
        <v>0.0512675435427149</v>
      </c>
      <c r="W112" s="4">
        <v>0.0511665237524829</v>
      </c>
      <c r="X112" s="4">
        <v>0.0533348088896687</v>
      </c>
      <c r="Y112" s="4">
        <v>0.0499073257185647</v>
      </c>
      <c r="Z112" s="4">
        <v>0.0442029838879805</v>
      </c>
      <c r="AA112" s="4">
        <v>0.0419701734973943</v>
      </c>
      <c r="AB112" s="4">
        <v>0.0342286902392858</v>
      </c>
      <c r="AC112" s="4">
        <v>0.0310857006395918</v>
      </c>
      <c r="AD112" s="4">
        <v>0.0250834869410534</v>
      </c>
      <c r="AE112" s="4">
        <v>0.0193393742561167</v>
      </c>
      <c r="AF112" s="4">
        <v>0.0135216354357766</v>
      </c>
      <c r="AG112" s="4">
        <v>0.00860770520714244</v>
      </c>
      <c r="AH112" s="4">
        <v>0.00435486304719736</v>
      </c>
      <c r="AI112" s="4">
        <v>0.00210994848354733</v>
      </c>
      <c r="AJ112" s="4">
        <v>9.61053139503962E-4</v>
      </c>
      <c r="AK112" s="4">
        <v>3.93977181904607E-4</v>
      </c>
      <c r="AL112" s="4">
        <v>1.51529685347926E-4</v>
      </c>
      <c r="AM112" s="10">
        <v>7.51732853437758E-5</v>
      </c>
      <c r="AN112" s="10">
        <v>3.22171222901896E-5</v>
      </c>
      <c r="AO112" s="10">
        <v>2.11140462466779E-5</v>
      </c>
      <c r="AP112" s="10">
        <v>9.91996138313748E-6</v>
      </c>
      <c r="AQ112" s="10">
        <v>9.64693492305113E-6</v>
      </c>
      <c r="AR112" s="10">
        <v>1.04660143033102E-5</v>
      </c>
      <c r="AS112" s="4">
        <v>0.0</v>
      </c>
      <c r="AT112" s="10">
        <v>1.01019790231951E-5</v>
      </c>
    </row>
    <row r="113" ht="15.75" customHeight="1">
      <c r="A113" s="4">
        <v>4.0</v>
      </c>
      <c r="B113" s="4">
        <v>1.0</v>
      </c>
      <c r="C113" s="4">
        <v>2024.0</v>
      </c>
      <c r="D113" s="4">
        <v>1.0</v>
      </c>
      <c r="E113" s="4">
        <v>10.0</v>
      </c>
      <c r="F113" s="4">
        <v>0.0</v>
      </c>
      <c r="G113" s="4">
        <v>0.0</v>
      </c>
      <c r="H113" s="4">
        <v>0.0</v>
      </c>
      <c r="I113" s="4">
        <v>0.0</v>
      </c>
      <c r="J113" s="10">
        <v>3.15124144589143E-5</v>
      </c>
      <c r="K113" s="4">
        <v>0.0010007578894831</v>
      </c>
      <c r="L113" s="4">
        <v>0.0116307069698776</v>
      </c>
      <c r="M113" s="4">
        <v>0.050770717263933</v>
      </c>
      <c r="N113" s="4">
        <v>0.0642223006672674</v>
      </c>
      <c r="O113" s="4">
        <v>0.0627370791938806</v>
      </c>
      <c r="P113" s="4">
        <v>0.0624956431699707</v>
      </c>
      <c r="Q113" s="4">
        <v>0.0629618040889109</v>
      </c>
      <c r="R113" s="4">
        <v>0.0651837476154811</v>
      </c>
      <c r="S113" s="4">
        <v>0.0621367517830775</v>
      </c>
      <c r="T113" s="4">
        <v>0.0638209948437414</v>
      </c>
      <c r="U113" s="4">
        <v>0.0602784742516518</v>
      </c>
      <c r="V113" s="4">
        <v>0.05215336423672</v>
      </c>
      <c r="W113" s="4">
        <v>0.0499228264152973</v>
      </c>
      <c r="X113" s="4">
        <v>0.0447927485796336</v>
      </c>
      <c r="Y113" s="4">
        <v>0.0448563304461808</v>
      </c>
      <c r="Z113" s="4">
        <v>0.0408365877593687</v>
      </c>
      <c r="AA113" s="4">
        <v>0.0402760487506601</v>
      </c>
      <c r="AB113" s="4">
        <v>0.0402002120562678</v>
      </c>
      <c r="AC113" s="4">
        <v>0.0326557739815044</v>
      </c>
      <c r="AD113" s="4">
        <v>0.0273059845894744</v>
      </c>
      <c r="AE113" s="4">
        <v>0.0224880865566448</v>
      </c>
      <c r="AF113" s="4">
        <v>0.0166880516065124</v>
      </c>
      <c r="AG113" s="4">
        <v>0.00972221647500859</v>
      </c>
      <c r="AH113" s="4">
        <v>0.00557761778242365</v>
      </c>
      <c r="AI113" s="4">
        <v>0.00290606531218458</v>
      </c>
      <c r="AJ113" s="4">
        <v>0.00134261984027981</v>
      </c>
      <c r="AK113" s="4">
        <v>5.46215183954515E-4</v>
      </c>
      <c r="AL113" s="4">
        <v>2.33955804316182E-4</v>
      </c>
      <c r="AM113" s="4">
        <v>1.06712494417687E-4</v>
      </c>
      <c r="AN113" s="10">
        <v>4.90193113805334E-5</v>
      </c>
      <c r="AO113" s="10">
        <v>2.46688092986451E-5</v>
      </c>
      <c r="AP113" s="10">
        <v>1.2095674236755E-5</v>
      </c>
      <c r="AQ113" s="10">
        <v>1.16977902158091E-5</v>
      </c>
      <c r="AR113" s="10">
        <v>1.09020221739173E-5</v>
      </c>
      <c r="AS113" s="4">
        <v>0.0</v>
      </c>
      <c r="AT113" s="10">
        <v>9.70837011107967E-6</v>
      </c>
    </row>
    <row r="114" ht="15.75" customHeight="1">
      <c r="A114" s="4">
        <v>4.0</v>
      </c>
      <c r="B114" s="4">
        <v>2.0</v>
      </c>
      <c r="C114" s="4">
        <v>1990.0</v>
      </c>
      <c r="D114" s="4">
        <v>1.0</v>
      </c>
      <c r="E114" s="4">
        <v>12.0</v>
      </c>
      <c r="F114" s="4">
        <v>0.0</v>
      </c>
      <c r="G114" s="4">
        <v>0.0</v>
      </c>
      <c r="H114" s="4">
        <v>0.0</v>
      </c>
      <c r="I114" s="4">
        <v>0.0</v>
      </c>
      <c r="J114" s="10">
        <v>1.32178204465921E-5</v>
      </c>
      <c r="K114" s="4">
        <v>0.00118507718935542</v>
      </c>
      <c r="L114" s="4">
        <v>0.0129281147929682</v>
      </c>
      <c r="M114" s="4">
        <v>0.0425349461971335</v>
      </c>
      <c r="N114" s="4">
        <v>0.0578161951616621</v>
      </c>
      <c r="O114" s="4">
        <v>0.0524714879843675</v>
      </c>
      <c r="P114" s="4">
        <v>0.0510014128582595</v>
      </c>
      <c r="Q114" s="4">
        <v>0.0502813132429705</v>
      </c>
      <c r="R114" s="4">
        <v>0.0454330891295739</v>
      </c>
      <c r="S114" s="4">
        <v>0.0477536314151017</v>
      </c>
      <c r="T114" s="4">
        <v>0.0418496112602793</v>
      </c>
      <c r="U114" s="4">
        <v>0.0329297552512318</v>
      </c>
      <c r="V114" s="4">
        <v>0.0284322560447537</v>
      </c>
      <c r="W114" s="4">
        <v>0.0288943365622839</v>
      </c>
      <c r="X114" s="4">
        <v>0.0245123574851883</v>
      </c>
      <c r="Y114" s="4">
        <v>0.0207789569401434</v>
      </c>
      <c r="Z114" s="4">
        <v>0.0197173667856452</v>
      </c>
      <c r="AA114" s="4">
        <v>0.0213007892487335</v>
      </c>
      <c r="AB114" s="4">
        <v>0.0156900960682054</v>
      </c>
      <c r="AC114" s="4">
        <v>0.0142165806874606</v>
      </c>
      <c r="AD114" s="4">
        <v>0.0135864708908286</v>
      </c>
      <c r="AE114" s="4">
        <v>0.0119458315611495</v>
      </c>
      <c r="AF114" s="4">
        <v>0.0120615327565656</v>
      </c>
      <c r="AG114" s="4">
        <v>0.012115490434553</v>
      </c>
      <c r="AH114" s="4">
        <v>0.0134946704118365</v>
      </c>
      <c r="AI114" s="4">
        <v>0.0149125985202922</v>
      </c>
      <c r="AJ114" s="4">
        <v>0.016363299580814</v>
      </c>
      <c r="AK114" s="4">
        <v>0.0158052540655209</v>
      </c>
      <c r="AL114" s="4">
        <v>0.0144548635875663</v>
      </c>
      <c r="AM114" s="4">
        <v>0.0128397545686129</v>
      </c>
      <c r="AN114" s="4">
        <v>0.010626403374926</v>
      </c>
      <c r="AO114" s="4">
        <v>0.00990883868410622</v>
      </c>
      <c r="AP114" s="4">
        <v>0.0106198849977195</v>
      </c>
      <c r="AQ114" s="4">
        <v>0.00996261529606017</v>
      </c>
      <c r="AR114" s="4">
        <v>0.00841848416224458</v>
      </c>
      <c r="AS114" s="4">
        <v>0.0083449713526375</v>
      </c>
      <c r="AT114" s="4">
        <v>0.194798443628802</v>
      </c>
    </row>
    <row r="115" ht="15.75" customHeight="1">
      <c r="A115" s="4">
        <v>4.0</v>
      </c>
      <c r="B115" s="4">
        <v>2.0</v>
      </c>
      <c r="C115" s="4">
        <v>1991.0</v>
      </c>
      <c r="D115" s="4">
        <v>1.0</v>
      </c>
      <c r="E115" s="4">
        <v>18.0</v>
      </c>
      <c r="F115" s="4">
        <v>0.0</v>
      </c>
      <c r="G115" s="4">
        <v>0.0</v>
      </c>
      <c r="H115" s="4">
        <v>0.0</v>
      </c>
      <c r="I115" s="4">
        <v>0.0</v>
      </c>
      <c r="J115" s="10">
        <v>1.10232907868892E-5</v>
      </c>
      <c r="K115" s="4">
        <v>0.00112113351591361</v>
      </c>
      <c r="L115" s="4">
        <v>0.0135450306616075</v>
      </c>
      <c r="M115" s="4">
        <v>0.0362426348206822</v>
      </c>
      <c r="N115" s="4">
        <v>0.0440351936065951</v>
      </c>
      <c r="O115" s="4">
        <v>0.0449660780921044</v>
      </c>
      <c r="P115" s="4">
        <v>0.041891747134528</v>
      </c>
      <c r="Q115" s="4">
        <v>0.0430121025357978</v>
      </c>
      <c r="R115" s="4">
        <v>0.0418589366337152</v>
      </c>
      <c r="S115" s="4">
        <v>0.0433770383037308</v>
      </c>
      <c r="T115" s="4">
        <v>0.0367132644943954</v>
      </c>
      <c r="U115" s="4">
        <v>0.0313012177753547</v>
      </c>
      <c r="V115" s="4">
        <v>0.0316099996031615</v>
      </c>
      <c r="W115" s="4">
        <v>0.0325819944790172</v>
      </c>
      <c r="X115" s="4">
        <v>0.0291165312271672</v>
      </c>
      <c r="Y115" s="4">
        <v>0.0288489894754807</v>
      </c>
      <c r="Z115" s="4">
        <v>0.0302258633376501</v>
      </c>
      <c r="AA115" s="4">
        <v>0.027154255781327</v>
      </c>
      <c r="AB115" s="4">
        <v>0.0238419514285277</v>
      </c>
      <c r="AC115" s="4">
        <v>0.0210371075092472</v>
      </c>
      <c r="AD115" s="4">
        <v>0.0192993181381377</v>
      </c>
      <c r="AE115" s="4">
        <v>0.0159237271276443</v>
      </c>
      <c r="AF115" s="4">
        <v>0.0143502496321463</v>
      </c>
      <c r="AG115" s="4">
        <v>0.0140102135328143</v>
      </c>
      <c r="AH115" s="4">
        <v>0.0150764899663414</v>
      </c>
      <c r="AI115" s="4">
        <v>0.0129016595369751</v>
      </c>
      <c r="AJ115" s="4">
        <v>0.0136206374678282</v>
      </c>
      <c r="AK115" s="4">
        <v>0.0143628291522208</v>
      </c>
      <c r="AL115" s="4">
        <v>0.013128739327185</v>
      </c>
      <c r="AM115" s="4">
        <v>0.012023297789921</v>
      </c>
      <c r="AN115" s="4">
        <v>0.0115744553262336</v>
      </c>
      <c r="AO115" s="4">
        <v>0.0103995022141252</v>
      </c>
      <c r="AP115" s="4">
        <v>0.0109130578790203</v>
      </c>
      <c r="AQ115" s="4">
        <v>0.00999643882864697</v>
      </c>
      <c r="AR115" s="4">
        <v>0.00873563373417477</v>
      </c>
      <c r="AS115" s="4">
        <v>0.00789475117579607</v>
      </c>
      <c r="AT115" s="4">
        <v>0.193296905463999</v>
      </c>
    </row>
    <row r="116" ht="15.75" customHeight="1">
      <c r="A116" s="4">
        <v>4.0</v>
      </c>
      <c r="B116" s="4">
        <v>2.0</v>
      </c>
      <c r="C116" s="4">
        <v>1992.0</v>
      </c>
      <c r="D116" s="4">
        <v>1.0</v>
      </c>
      <c r="E116" s="4">
        <v>7.0</v>
      </c>
      <c r="F116" s="4">
        <v>0.0</v>
      </c>
      <c r="G116" s="4">
        <v>0.0</v>
      </c>
      <c r="H116" s="4">
        <v>0.0</v>
      </c>
      <c r="I116" s="4">
        <v>0.0</v>
      </c>
      <c r="J116" s="10">
        <v>1.25190540654911E-5</v>
      </c>
      <c r="K116" s="4">
        <v>0.00111576069358689</v>
      </c>
      <c r="L116" s="4">
        <v>0.0133054071489797</v>
      </c>
      <c r="M116" s="4">
        <v>0.0355851503675321</v>
      </c>
      <c r="N116" s="4">
        <v>0.0467658393093342</v>
      </c>
      <c r="O116" s="4">
        <v>0.0444027374476596</v>
      </c>
      <c r="P116" s="4">
        <v>0.0474405641607389</v>
      </c>
      <c r="Q116" s="4">
        <v>0.0425574810411315</v>
      </c>
      <c r="R116" s="4">
        <v>0.045329929889385</v>
      </c>
      <c r="S116" s="4">
        <v>0.0417030556011617</v>
      </c>
      <c r="T116" s="4">
        <v>0.0439974330722893</v>
      </c>
      <c r="U116" s="4">
        <v>0.0369621159079229</v>
      </c>
      <c r="V116" s="4">
        <v>0.0348534377387667</v>
      </c>
      <c r="W116" s="4">
        <v>0.03707674349671</v>
      </c>
      <c r="X116" s="4">
        <v>0.0342070111658226</v>
      </c>
      <c r="Y116" s="4">
        <v>0.030723845185726</v>
      </c>
      <c r="Z116" s="4">
        <v>0.0321322387680938</v>
      </c>
      <c r="AA116" s="4">
        <v>0.028940923235899</v>
      </c>
      <c r="AB116" s="4">
        <v>0.0277458751998973</v>
      </c>
      <c r="AC116" s="4">
        <v>0.0228545764510594</v>
      </c>
      <c r="AD116" s="4">
        <v>0.0212688296027639</v>
      </c>
      <c r="AE116" s="4">
        <v>0.0197921028502887</v>
      </c>
      <c r="AF116" s="4">
        <v>0.0174546911308109</v>
      </c>
      <c r="AG116" s="4">
        <v>0.0184995105180267</v>
      </c>
      <c r="AH116" s="4">
        <v>0.0163764875994205</v>
      </c>
      <c r="AI116" s="4">
        <v>0.014846554867167</v>
      </c>
      <c r="AJ116" s="4">
        <v>0.0121884727940742</v>
      </c>
      <c r="AK116" s="4">
        <v>0.01151909462201</v>
      </c>
      <c r="AL116" s="4">
        <v>0.011054585553455</v>
      </c>
      <c r="AM116" s="4">
        <v>0.00988183708250748</v>
      </c>
      <c r="AN116" s="4">
        <v>0.00814025409245921</v>
      </c>
      <c r="AO116" s="4">
        <v>0.00749552280808642</v>
      </c>
      <c r="AP116" s="4">
        <v>0.00740593332743025</v>
      </c>
      <c r="AQ116" s="4">
        <v>0.00754820716061203</v>
      </c>
      <c r="AR116" s="4">
        <v>0.00691051784415108</v>
      </c>
      <c r="AS116" s="4">
        <v>0.00756568167357845</v>
      </c>
      <c r="AT116" s="4">
        <v>0.154339071537396</v>
      </c>
    </row>
    <row r="117" ht="15.75" customHeight="1">
      <c r="A117" s="4">
        <v>4.0</v>
      </c>
      <c r="B117" s="4">
        <v>2.0</v>
      </c>
      <c r="C117" s="4">
        <v>1993.0</v>
      </c>
      <c r="D117" s="4">
        <v>1.0</v>
      </c>
      <c r="E117" s="4">
        <v>8.0</v>
      </c>
      <c r="F117" s="4">
        <v>0.0</v>
      </c>
      <c r="G117" s="4">
        <v>0.0</v>
      </c>
      <c r="H117" s="4">
        <v>0.0</v>
      </c>
      <c r="I117" s="4">
        <v>0.0</v>
      </c>
      <c r="J117" s="10">
        <v>9.38772981264622E-6</v>
      </c>
      <c r="K117" s="4">
        <v>9.7877287350981E-4</v>
      </c>
      <c r="L117" s="4">
        <v>0.0110835619789759</v>
      </c>
      <c r="M117" s="4">
        <v>0.0315035886025776</v>
      </c>
      <c r="N117" s="4">
        <v>0.0451130213281874</v>
      </c>
      <c r="O117" s="4">
        <v>0.0507613326429406</v>
      </c>
      <c r="P117" s="4">
        <v>0.0528153679259476</v>
      </c>
      <c r="Q117" s="4">
        <v>0.0500347223554418</v>
      </c>
      <c r="R117" s="4">
        <v>0.0466950578827012</v>
      </c>
      <c r="S117" s="4">
        <v>0.0435113929897168</v>
      </c>
      <c r="T117" s="4">
        <v>0.0383825904795522</v>
      </c>
      <c r="U117" s="4">
        <v>0.0346105190083978</v>
      </c>
      <c r="V117" s="4">
        <v>0.0301782860503315</v>
      </c>
      <c r="W117" s="4">
        <v>0.0295848182613059</v>
      </c>
      <c r="X117" s="4">
        <v>0.0278007414347374</v>
      </c>
      <c r="Y117" s="4">
        <v>0.0271176412341093</v>
      </c>
      <c r="Z117" s="4">
        <v>0.0254031968730207</v>
      </c>
      <c r="AA117" s="4">
        <v>0.023164182496488</v>
      </c>
      <c r="AB117" s="4">
        <v>0.0237870379614488</v>
      </c>
      <c r="AC117" s="4">
        <v>0.0229713666893795</v>
      </c>
      <c r="AD117" s="4">
        <v>0.0208593723788336</v>
      </c>
      <c r="AE117" s="4">
        <v>0.0194267231769906</v>
      </c>
      <c r="AF117" s="4">
        <v>0.0179349720935446</v>
      </c>
      <c r="AG117" s="4">
        <v>0.0156959577170119</v>
      </c>
      <c r="AH117" s="4">
        <v>0.0134040455237957</v>
      </c>
      <c r="AI117" s="4">
        <v>0.012731231009745</v>
      </c>
      <c r="AJ117" s="4">
        <v>0.0126617618091314</v>
      </c>
      <c r="AK117" s="4">
        <v>0.0126550679496129</v>
      </c>
      <c r="AL117" s="4">
        <v>0.0119776820193056</v>
      </c>
      <c r="AM117" s="4">
        <v>0.0106927058890372</v>
      </c>
      <c r="AN117" s="4">
        <v>0.0101416869652514</v>
      </c>
      <c r="AO117" s="4">
        <v>0.00979589197841345</v>
      </c>
      <c r="AP117" s="4">
        <v>0.00946446429981046</v>
      </c>
      <c r="AQ117" s="4">
        <v>0.0086527113845326</v>
      </c>
      <c r="AR117" s="4">
        <v>0.00858903808667291</v>
      </c>
      <c r="AS117" s="4">
        <v>0.00871932344998581</v>
      </c>
      <c r="AT117" s="4">
        <v>0.181090777469742</v>
      </c>
    </row>
    <row r="118" ht="15.75" customHeight="1">
      <c r="A118" s="4">
        <v>4.0</v>
      </c>
      <c r="B118" s="4">
        <v>2.0</v>
      </c>
      <c r="C118" s="4">
        <v>1994.0</v>
      </c>
      <c r="D118" s="4">
        <v>1.0</v>
      </c>
      <c r="E118" s="4">
        <v>5.0</v>
      </c>
      <c r="F118" s="4">
        <v>0.0</v>
      </c>
      <c r="G118" s="4">
        <v>0.0</v>
      </c>
      <c r="H118" s="4">
        <v>0.0</v>
      </c>
      <c r="I118" s="4">
        <v>0.0</v>
      </c>
      <c r="J118" s="10">
        <v>7.24582490217107E-6</v>
      </c>
      <c r="K118" s="4">
        <v>8.42327144877387E-4</v>
      </c>
      <c r="L118" s="4">
        <v>0.00936605207524954</v>
      </c>
      <c r="M118" s="4">
        <v>0.0292396206645986</v>
      </c>
      <c r="N118" s="4">
        <v>0.0374664314518204</v>
      </c>
      <c r="O118" s="4">
        <v>0.0392741824259927</v>
      </c>
      <c r="P118" s="4">
        <v>0.0349466135031711</v>
      </c>
      <c r="Q118" s="4">
        <v>0.035254231705836</v>
      </c>
      <c r="R118" s="4">
        <v>0.0336654199181963</v>
      </c>
      <c r="S118" s="4">
        <v>0.0329974866044871</v>
      </c>
      <c r="T118" s="4">
        <v>0.0306136925505921</v>
      </c>
      <c r="U118" s="4">
        <v>0.0318226749033032</v>
      </c>
      <c r="V118" s="4">
        <v>0.0304878786818362</v>
      </c>
      <c r="W118" s="4">
        <v>0.0303101912938944</v>
      </c>
      <c r="X118" s="4">
        <v>0.0284790560666287</v>
      </c>
      <c r="Y118" s="4">
        <v>0.0282832541164314</v>
      </c>
      <c r="Z118" s="4">
        <v>0.0279662492769614</v>
      </c>
      <c r="AA118" s="4">
        <v>0.0276275069627849</v>
      </c>
      <c r="AB118" s="4">
        <v>0.0243684501962754</v>
      </c>
      <c r="AC118" s="4">
        <v>0.0237689405245401</v>
      </c>
      <c r="AD118" s="4">
        <v>0.0232706253846771</v>
      </c>
      <c r="AE118" s="4">
        <v>0.0218748160239771</v>
      </c>
      <c r="AF118" s="4">
        <v>0.0218099329555349</v>
      </c>
      <c r="AG118" s="4">
        <v>0.0198986819597486</v>
      </c>
      <c r="AH118" s="4">
        <v>0.0197512952941249</v>
      </c>
      <c r="AI118" s="4">
        <v>0.0176485239719471</v>
      </c>
      <c r="AJ118" s="4">
        <v>0.0171306121692806</v>
      </c>
      <c r="AK118" s="4">
        <v>0.0170451443710027</v>
      </c>
      <c r="AL118" s="4">
        <v>0.0152532848082635</v>
      </c>
      <c r="AM118" s="4">
        <v>0.0133512557714436</v>
      </c>
      <c r="AN118" s="4">
        <v>0.013051377427197</v>
      </c>
      <c r="AO118" s="4">
        <v>0.0115043938105834</v>
      </c>
      <c r="AP118" s="4">
        <v>0.0114219725523212</v>
      </c>
      <c r="AQ118" s="4">
        <v>0.0113052983036124</v>
      </c>
      <c r="AR118" s="4">
        <v>0.0100957395784659</v>
      </c>
      <c r="AS118" s="4">
        <v>0.00976210227728866</v>
      </c>
      <c r="AT118" s="4">
        <v>0.209037437448152</v>
      </c>
    </row>
    <row r="119" ht="15.75" customHeight="1">
      <c r="A119" s="4">
        <v>4.0</v>
      </c>
      <c r="B119" s="4">
        <v>2.0</v>
      </c>
      <c r="C119" s="4">
        <v>1995.0</v>
      </c>
      <c r="D119" s="4">
        <v>1.0</v>
      </c>
      <c r="E119" s="4">
        <v>9.0</v>
      </c>
      <c r="F119" s="4">
        <v>0.0</v>
      </c>
      <c r="G119" s="4">
        <v>0.0</v>
      </c>
      <c r="H119" s="4">
        <v>0.0</v>
      </c>
      <c r="I119" s="4">
        <v>0.0</v>
      </c>
      <c r="J119" s="10">
        <v>1.19733050033534E-5</v>
      </c>
      <c r="K119" s="4">
        <v>0.00116038430203928</v>
      </c>
      <c r="L119" s="4">
        <v>0.0116277896303995</v>
      </c>
      <c r="M119" s="4">
        <v>0.0399034335846758</v>
      </c>
      <c r="N119" s="4">
        <v>0.0479684807877203</v>
      </c>
      <c r="O119" s="4">
        <v>0.0498111724277364</v>
      </c>
      <c r="P119" s="4">
        <v>0.0416635094201688</v>
      </c>
      <c r="Q119" s="4">
        <v>0.03163980056579</v>
      </c>
      <c r="R119" s="4">
        <v>0.0360558975454554</v>
      </c>
      <c r="S119" s="4">
        <v>0.0345159594748098</v>
      </c>
      <c r="T119" s="4">
        <v>0.0342132059054393</v>
      </c>
      <c r="U119" s="4">
        <v>0.0361511708438392</v>
      </c>
      <c r="V119" s="4">
        <v>0.0376568994716181</v>
      </c>
      <c r="W119" s="4">
        <v>0.0329919287950972</v>
      </c>
      <c r="X119" s="4">
        <v>0.0351353214379118</v>
      </c>
      <c r="Y119" s="4">
        <v>0.0359979125397963</v>
      </c>
      <c r="Z119" s="4">
        <v>0.0385446345140095</v>
      </c>
      <c r="AA119" s="4">
        <v>0.0343681746816255</v>
      </c>
      <c r="AB119" s="4">
        <v>0.0340548161849663</v>
      </c>
      <c r="AC119" s="4">
        <v>0.0288337710146469</v>
      </c>
      <c r="AD119" s="4">
        <v>0.0273504495719458</v>
      </c>
      <c r="AE119" s="4">
        <v>0.0245569064674491</v>
      </c>
      <c r="AF119" s="4">
        <v>0.0226370725337686</v>
      </c>
      <c r="AG119" s="4">
        <v>0.0190697118316266</v>
      </c>
      <c r="AH119" s="4">
        <v>0.0152873447810673</v>
      </c>
      <c r="AI119" s="4">
        <v>0.0132246864234181</v>
      </c>
      <c r="AJ119" s="4">
        <v>0.01135941655111</v>
      </c>
      <c r="AK119" s="4">
        <v>0.00968657479492722</v>
      </c>
      <c r="AL119" s="4">
        <v>0.0106948981234239</v>
      </c>
      <c r="AM119" s="4">
        <v>0.00918078818214271</v>
      </c>
      <c r="AN119" s="4">
        <v>0.00945480581950517</v>
      </c>
      <c r="AO119" s="4">
        <v>0.00829750036732389</v>
      </c>
      <c r="AP119" s="4">
        <v>0.0063082212646239</v>
      </c>
      <c r="AQ119" s="4">
        <v>0.00647242659038417</v>
      </c>
      <c r="AR119" s="4">
        <v>0.00685899329477815</v>
      </c>
      <c r="AS119" s="4">
        <v>0.00614127918343428</v>
      </c>
      <c r="AT119" s="4">
        <v>0.151112687786322</v>
      </c>
    </row>
    <row r="120" ht="15.75" customHeight="1">
      <c r="A120" s="4">
        <v>4.0</v>
      </c>
      <c r="B120" s="4">
        <v>2.0</v>
      </c>
      <c r="C120" s="4">
        <v>1996.0</v>
      </c>
      <c r="D120" s="4">
        <v>1.0</v>
      </c>
      <c r="E120" s="4">
        <v>19.0</v>
      </c>
      <c r="F120" s="4">
        <v>0.0</v>
      </c>
      <c r="G120" s="4">
        <v>0.0</v>
      </c>
      <c r="H120" s="4">
        <v>0.0</v>
      </c>
      <c r="I120" s="4">
        <v>0.0</v>
      </c>
      <c r="J120" s="10">
        <v>9.50659030792253E-6</v>
      </c>
      <c r="K120" s="4">
        <v>0.00113984017791991</v>
      </c>
      <c r="L120" s="4">
        <v>0.0147337210845172</v>
      </c>
      <c r="M120" s="4">
        <v>0.0400254613650132</v>
      </c>
      <c r="N120" s="4">
        <v>0.0584859016586691</v>
      </c>
      <c r="O120" s="4">
        <v>0.0623491083429429</v>
      </c>
      <c r="P120" s="4">
        <v>0.0651464904452656</v>
      </c>
      <c r="Q120" s="4">
        <v>0.0575916031275595</v>
      </c>
      <c r="R120" s="4">
        <v>0.0497033061069114</v>
      </c>
      <c r="S120" s="4">
        <v>0.0411602766309133</v>
      </c>
      <c r="T120" s="4">
        <v>0.0325551827010477</v>
      </c>
      <c r="U120" s="4">
        <v>0.0283839624907973</v>
      </c>
      <c r="V120" s="4">
        <v>0.0255651226560653</v>
      </c>
      <c r="W120" s="4">
        <v>0.0261648526960622</v>
      </c>
      <c r="X120" s="4">
        <v>0.0222963494829026</v>
      </c>
      <c r="Y120" s="4">
        <v>0.0249025133116031</v>
      </c>
      <c r="Z120" s="4">
        <v>0.0250199876061224</v>
      </c>
      <c r="AA120" s="4">
        <v>0.0215609468183683</v>
      </c>
      <c r="AB120" s="4">
        <v>0.0228235578196934</v>
      </c>
      <c r="AC120" s="4">
        <v>0.0237751675095164</v>
      </c>
      <c r="AD120" s="4">
        <v>0.0216883351284945</v>
      </c>
      <c r="AE120" s="4">
        <v>0.0216266780999259</v>
      </c>
      <c r="AF120" s="4">
        <v>0.0185276654679762</v>
      </c>
      <c r="AG120" s="4">
        <v>0.019196386191922</v>
      </c>
      <c r="AH120" s="4">
        <v>0.0175127690483889</v>
      </c>
      <c r="AI120" s="4">
        <v>0.0145499722747084</v>
      </c>
      <c r="AJ120" s="4">
        <v>0.0126478393625261</v>
      </c>
      <c r="AK120" s="4">
        <v>0.0119777605542505</v>
      </c>
      <c r="AL120" s="4">
        <v>0.0114934676822783</v>
      </c>
      <c r="AM120" s="4">
        <v>0.011632263900774</v>
      </c>
      <c r="AN120" s="4">
        <v>0.0112653095148882</v>
      </c>
      <c r="AO120" s="4">
        <v>0.010492831148153</v>
      </c>
      <c r="AP120" s="4">
        <v>0.00952655414756917</v>
      </c>
      <c r="AQ120" s="4">
        <v>0.00967390629734197</v>
      </c>
      <c r="AR120" s="4">
        <v>0.00815393831553813</v>
      </c>
      <c r="AS120" s="4">
        <v>0.00710644787203803</v>
      </c>
      <c r="AT120" s="4">
        <v>0.139535016371028</v>
      </c>
    </row>
    <row r="121" ht="15.75" customHeight="1">
      <c r="A121" s="4">
        <v>4.0</v>
      </c>
      <c r="B121" s="4">
        <v>2.0</v>
      </c>
      <c r="C121" s="4">
        <v>1997.0</v>
      </c>
      <c r="D121" s="4">
        <v>1.0</v>
      </c>
      <c r="E121" s="4">
        <v>20.0</v>
      </c>
      <c r="F121" s="4">
        <v>0.0</v>
      </c>
      <c r="G121" s="4">
        <v>0.0</v>
      </c>
      <c r="H121" s="4">
        <v>0.0</v>
      </c>
      <c r="I121" s="4">
        <v>0.0</v>
      </c>
      <c r="J121" s="10">
        <v>8.27280901648589E-6</v>
      </c>
      <c r="K121" s="4">
        <v>0.00112790018223295</v>
      </c>
      <c r="L121" s="4">
        <v>0.0127103194411377</v>
      </c>
      <c r="M121" s="4">
        <v>0.0344720652179599</v>
      </c>
      <c r="N121" s="4">
        <v>0.0471572012551798</v>
      </c>
      <c r="O121" s="4">
        <v>0.0477506536431565</v>
      </c>
      <c r="P121" s="4">
        <v>0.0428832004675597</v>
      </c>
      <c r="Q121" s="4">
        <v>0.041151141909211</v>
      </c>
      <c r="R121" s="4">
        <v>0.0455184551161788</v>
      </c>
      <c r="S121" s="4">
        <v>0.0446529733023071</v>
      </c>
      <c r="T121" s="4">
        <v>0.0415582127764046</v>
      </c>
      <c r="U121" s="4">
        <v>0.0343351988923195</v>
      </c>
      <c r="V121" s="4">
        <v>0.0340142625660624</v>
      </c>
      <c r="W121" s="4">
        <v>0.0351293885579022</v>
      </c>
      <c r="X121" s="4">
        <v>0.0327067937645892</v>
      </c>
      <c r="Y121" s="4">
        <v>0.0277674401459226</v>
      </c>
      <c r="Z121" s="4">
        <v>0.022729542772795</v>
      </c>
      <c r="AA121" s="4">
        <v>0.0218285365437348</v>
      </c>
      <c r="AB121" s="4">
        <v>0.022862151034971</v>
      </c>
      <c r="AC121" s="4">
        <v>0.0233552347841448</v>
      </c>
      <c r="AD121" s="4">
        <v>0.0227303943854878</v>
      </c>
      <c r="AE121" s="4">
        <v>0.0189331750469208</v>
      </c>
      <c r="AF121" s="4">
        <v>0.0181381337686453</v>
      </c>
      <c r="AG121" s="4">
        <v>0.0183782885480357</v>
      </c>
      <c r="AH121" s="4">
        <v>0.0190729611875082</v>
      </c>
      <c r="AI121" s="4">
        <v>0.0160949932594855</v>
      </c>
      <c r="AJ121" s="4">
        <v>0.0158722357108211</v>
      </c>
      <c r="AK121" s="4">
        <v>0.0133045017828512</v>
      </c>
      <c r="AL121" s="4">
        <v>0.0124365867898569</v>
      </c>
      <c r="AM121" s="4">
        <v>0.0110771696141185</v>
      </c>
      <c r="AN121" s="4">
        <v>0.0113255972025253</v>
      </c>
      <c r="AO121" s="4">
        <v>0.0104456379728747</v>
      </c>
      <c r="AP121" s="4">
        <v>0.0108154811994941</v>
      </c>
      <c r="AQ121" s="4">
        <v>0.0102748287984755</v>
      </c>
      <c r="AR121" s="4">
        <v>0.009673833555219</v>
      </c>
      <c r="AS121" s="4">
        <v>0.00918464289264121</v>
      </c>
      <c r="AT121" s="4">
        <v>0.158522593102254</v>
      </c>
    </row>
    <row r="122" ht="15.75" customHeight="1">
      <c r="A122" s="4">
        <v>4.0</v>
      </c>
      <c r="B122" s="4">
        <v>2.0</v>
      </c>
      <c r="C122" s="4">
        <v>1998.0</v>
      </c>
      <c r="D122" s="4">
        <v>1.0</v>
      </c>
      <c r="E122" s="4">
        <v>6.0</v>
      </c>
      <c r="F122" s="4">
        <v>0.0</v>
      </c>
      <c r="G122" s="4">
        <v>0.0</v>
      </c>
      <c r="H122" s="4">
        <v>0.0</v>
      </c>
      <c r="I122" s="4">
        <v>0.0</v>
      </c>
      <c r="J122" s="10">
        <v>1.72418598345443E-5</v>
      </c>
      <c r="K122" s="4">
        <v>0.00110347902941083</v>
      </c>
      <c r="L122" s="4">
        <v>0.0120551304925362</v>
      </c>
      <c r="M122" s="4">
        <v>0.0336591808652202</v>
      </c>
      <c r="N122" s="4">
        <v>0.0431802303417998</v>
      </c>
      <c r="O122" s="4">
        <v>0.0464141419151502</v>
      </c>
      <c r="P122" s="4">
        <v>0.0417281350779261</v>
      </c>
      <c r="Q122" s="4">
        <v>0.046203224369503</v>
      </c>
      <c r="R122" s="4">
        <v>0.0492740468440075</v>
      </c>
      <c r="S122" s="4">
        <v>0.0429477014238942</v>
      </c>
      <c r="T122" s="4">
        <v>0.0440671232689055</v>
      </c>
      <c r="U122" s="4">
        <v>0.035747335424086</v>
      </c>
      <c r="V122" s="4">
        <v>0.0304708539349939</v>
      </c>
      <c r="W122" s="4">
        <v>0.0302015974937422</v>
      </c>
      <c r="X122" s="4">
        <v>0.0262482516045558</v>
      </c>
      <c r="Y122" s="4">
        <v>0.0277537257769584</v>
      </c>
      <c r="Z122" s="4">
        <v>0.02514004877793</v>
      </c>
      <c r="AA122" s="4">
        <v>0.0261568461284467</v>
      </c>
      <c r="AB122" s="4">
        <v>0.0248980722655946</v>
      </c>
      <c r="AC122" s="4">
        <v>0.0229211631311406</v>
      </c>
      <c r="AD122" s="4">
        <v>0.022062731082255</v>
      </c>
      <c r="AE122" s="4">
        <v>0.0191827500152342</v>
      </c>
      <c r="AF122" s="4">
        <v>0.01841643201204</v>
      </c>
      <c r="AG122" s="4">
        <v>0.0175385142996427</v>
      </c>
      <c r="AH122" s="4">
        <v>0.0158592043897303</v>
      </c>
      <c r="AI122" s="4">
        <v>0.0149862466644087</v>
      </c>
      <c r="AJ122" s="4">
        <v>0.0141696202208753</v>
      </c>
      <c r="AK122" s="4">
        <v>0.0139470112771211</v>
      </c>
      <c r="AL122" s="4">
        <v>0.0134409745004703</v>
      </c>
      <c r="AM122" s="4">
        <v>0.0124431904337438</v>
      </c>
      <c r="AN122" s="4">
        <v>0.01105427595762</v>
      </c>
      <c r="AO122" s="4">
        <v>0.0104275461621273</v>
      </c>
      <c r="AP122" s="4">
        <v>0.01042837282664</v>
      </c>
      <c r="AQ122" s="4">
        <v>0.0099067475191798</v>
      </c>
      <c r="AR122" s="4">
        <v>0.00992765032185593</v>
      </c>
      <c r="AS122" s="4">
        <v>0.00877894093411201</v>
      </c>
      <c r="AT122" s="4">
        <v>0.167242261357308</v>
      </c>
    </row>
    <row r="123" ht="15.75" customHeight="1">
      <c r="A123" s="4">
        <v>4.0</v>
      </c>
      <c r="B123" s="4">
        <v>2.0</v>
      </c>
      <c r="C123" s="4">
        <v>1999.0</v>
      </c>
      <c r="D123" s="4">
        <v>1.0</v>
      </c>
      <c r="E123" s="4">
        <v>9.0</v>
      </c>
      <c r="F123" s="4">
        <v>0.0</v>
      </c>
      <c r="G123" s="4">
        <v>0.0</v>
      </c>
      <c r="H123" s="4">
        <v>0.0</v>
      </c>
      <c r="I123" s="4">
        <v>0.0</v>
      </c>
      <c r="J123" s="10">
        <v>3.47225510342585E-5</v>
      </c>
      <c r="K123" s="4">
        <v>0.0026746886281541</v>
      </c>
      <c r="L123" s="4">
        <v>0.0261124105762786</v>
      </c>
      <c r="M123" s="4">
        <v>0.0767596354202288</v>
      </c>
      <c r="N123" s="4">
        <v>0.104883148093785</v>
      </c>
      <c r="O123" s="4">
        <v>0.10892429186163</v>
      </c>
      <c r="P123" s="4">
        <v>0.0933187849351828</v>
      </c>
      <c r="Q123" s="4">
        <v>0.077694338435444</v>
      </c>
      <c r="R123" s="4">
        <v>0.0658783244650535</v>
      </c>
      <c r="S123" s="4">
        <v>0.065814666454824</v>
      </c>
      <c r="T123" s="4">
        <v>0.0531255030824156</v>
      </c>
      <c r="U123" s="4">
        <v>0.0474681823937025</v>
      </c>
      <c r="V123" s="4">
        <v>0.0435736449524459</v>
      </c>
      <c r="W123" s="4">
        <v>0.0401003376505039</v>
      </c>
      <c r="X123" s="4">
        <v>0.0313192149336431</v>
      </c>
      <c r="Y123" s="4">
        <v>0.0245688353530284</v>
      </c>
      <c r="Z123" s="4">
        <v>0.0190837244881317</v>
      </c>
      <c r="AA123" s="4">
        <v>0.0209124455092694</v>
      </c>
      <c r="AB123" s="4">
        <v>0.0164614704193678</v>
      </c>
      <c r="AC123" s="4">
        <v>0.0122388224074793</v>
      </c>
      <c r="AD123" s="4">
        <v>0.00895631376980633</v>
      </c>
      <c r="AE123" s="4">
        <v>0.00587126772033826</v>
      </c>
      <c r="AF123" s="4">
        <v>0.00595298847176233</v>
      </c>
      <c r="AG123" s="4">
        <v>0.00375371820650659</v>
      </c>
      <c r="AH123" s="4">
        <v>0.00580462848097959</v>
      </c>
      <c r="AI123" s="4">
        <v>0.00345682285852174</v>
      </c>
      <c r="AJ123" s="4">
        <v>0.00342245104032621</v>
      </c>
      <c r="AK123" s="4">
        <v>0.00187992801559218</v>
      </c>
      <c r="AL123" s="4">
        <v>0.00263575728305508</v>
      </c>
      <c r="AM123" s="4">
        <v>0.00131314374820469</v>
      </c>
      <c r="AN123" s="4">
        <v>0.0</v>
      </c>
      <c r="AO123" s="4">
        <v>0.0</v>
      </c>
      <c r="AP123" s="4">
        <v>0.0</v>
      </c>
      <c r="AQ123" s="4">
        <v>5.00846493706276E-4</v>
      </c>
      <c r="AR123" s="4">
        <v>0.0</v>
      </c>
      <c r="AS123" s="4">
        <v>5.45389564224971E-4</v>
      </c>
      <c r="AT123" s="4">
        <v>0.0280910698859733</v>
      </c>
    </row>
    <row r="124" ht="15.75" customHeight="1">
      <c r="A124" s="4">
        <v>4.0</v>
      </c>
      <c r="B124" s="4">
        <v>2.0</v>
      </c>
      <c r="C124" s="4">
        <v>2000.0</v>
      </c>
      <c r="D124" s="4">
        <v>1.0</v>
      </c>
      <c r="E124" s="4">
        <v>8.0</v>
      </c>
      <c r="F124" s="4">
        <v>0.0</v>
      </c>
      <c r="G124" s="4">
        <v>0.0</v>
      </c>
      <c r="H124" s="4">
        <v>0.0</v>
      </c>
      <c r="I124" s="4">
        <v>0.0</v>
      </c>
      <c r="J124" s="10">
        <v>2.05269617314369E-5</v>
      </c>
      <c r="K124" s="4">
        <v>0.00163003861170964</v>
      </c>
      <c r="L124" s="4">
        <v>0.0173860892737351</v>
      </c>
      <c r="M124" s="4">
        <v>0.0507879076410378</v>
      </c>
      <c r="N124" s="4">
        <v>0.0694320770873973</v>
      </c>
      <c r="O124" s="4">
        <v>0.0766511374842725</v>
      </c>
      <c r="P124" s="4">
        <v>0.0736702764029591</v>
      </c>
      <c r="Q124" s="4">
        <v>0.0616995953344442</v>
      </c>
      <c r="R124" s="4">
        <v>0.0616977404885046</v>
      </c>
      <c r="S124" s="4">
        <v>0.0513421356077867</v>
      </c>
      <c r="T124" s="4">
        <v>0.0419480828621509</v>
      </c>
      <c r="U124" s="4">
        <v>0.0407769331358953</v>
      </c>
      <c r="V124" s="4">
        <v>0.0388157426957713</v>
      </c>
      <c r="W124" s="4">
        <v>0.0349530878547779</v>
      </c>
      <c r="X124" s="4">
        <v>0.0300206815322264</v>
      </c>
      <c r="Y124" s="4">
        <v>0.0298036645572947</v>
      </c>
      <c r="Z124" s="4">
        <v>0.0255315833892363</v>
      </c>
      <c r="AA124" s="4">
        <v>0.0211358458252055</v>
      </c>
      <c r="AB124" s="4">
        <v>0.0169676360297641</v>
      </c>
      <c r="AC124" s="4">
        <v>0.0170200663416564</v>
      </c>
      <c r="AD124" s="4">
        <v>0.0175646491095194</v>
      </c>
      <c r="AE124" s="4">
        <v>0.0160065785202657</v>
      </c>
      <c r="AF124" s="4">
        <v>0.0141127808159467</v>
      </c>
      <c r="AG124" s="4">
        <v>0.0118316912794418</v>
      </c>
      <c r="AH124" s="4">
        <v>0.0104477288957175</v>
      </c>
      <c r="AI124" s="4">
        <v>0.00951288654216529</v>
      </c>
      <c r="AJ124" s="4">
        <v>0.00842582316517094</v>
      </c>
      <c r="AK124" s="4">
        <v>0.00853043647616369</v>
      </c>
      <c r="AL124" s="4">
        <v>0.00880421173684682</v>
      </c>
      <c r="AM124" s="4">
        <v>0.00840579082902339</v>
      </c>
      <c r="AN124" s="4">
        <v>0.00690559143308489</v>
      </c>
      <c r="AO124" s="4">
        <v>0.00715154400467421</v>
      </c>
      <c r="AP124" s="4">
        <v>0.00610343239241121</v>
      </c>
      <c r="AQ124" s="4">
        <v>0.00632725046912145</v>
      </c>
      <c r="AR124" s="4">
        <v>0.00627197606012174</v>
      </c>
      <c r="AS124" s="4">
        <v>0.00571787174976892</v>
      </c>
      <c r="AT124" s="4">
        <v>0.0865889074029993</v>
      </c>
    </row>
    <row r="125" ht="15.75" customHeight="1">
      <c r="A125" s="4">
        <v>4.0</v>
      </c>
      <c r="B125" s="4">
        <v>2.0</v>
      </c>
      <c r="C125" s="4">
        <v>2001.0</v>
      </c>
      <c r="D125" s="4">
        <v>1.0</v>
      </c>
      <c r="E125" s="4">
        <v>9.0</v>
      </c>
      <c r="F125" s="4">
        <v>0.0</v>
      </c>
      <c r="G125" s="4">
        <v>0.0</v>
      </c>
      <c r="H125" s="4">
        <v>0.0</v>
      </c>
      <c r="I125" s="4">
        <v>0.0</v>
      </c>
      <c r="J125" s="10">
        <v>2.33651374735255E-5</v>
      </c>
      <c r="K125" s="4">
        <v>0.002160173087175</v>
      </c>
      <c r="L125" s="4">
        <v>0.0248270015463974</v>
      </c>
      <c r="M125" s="4">
        <v>0.0673340278951086</v>
      </c>
      <c r="N125" s="4">
        <v>0.0812269165942843</v>
      </c>
      <c r="O125" s="4">
        <v>0.0785289044935678</v>
      </c>
      <c r="P125" s="4">
        <v>0.0746595495576219</v>
      </c>
      <c r="Q125" s="4">
        <v>0.0738779195813849</v>
      </c>
      <c r="R125" s="4">
        <v>0.0672655856763772</v>
      </c>
      <c r="S125" s="4">
        <v>0.0666645946639096</v>
      </c>
      <c r="T125" s="4">
        <v>0.0561074099778175</v>
      </c>
      <c r="U125" s="4">
        <v>0.0450142598976982</v>
      </c>
      <c r="V125" s="4">
        <v>0.0369012669745795</v>
      </c>
      <c r="W125" s="4">
        <v>0.0306524152553628</v>
      </c>
      <c r="X125" s="4">
        <v>0.0260278814422065</v>
      </c>
      <c r="Y125" s="4">
        <v>0.0219288427963793</v>
      </c>
      <c r="Z125" s="4">
        <v>0.0210663165422859</v>
      </c>
      <c r="AA125" s="4">
        <v>0.0197104772913457</v>
      </c>
      <c r="AB125" s="4">
        <v>0.0198410795927897</v>
      </c>
      <c r="AC125" s="4">
        <v>0.0165557428807694</v>
      </c>
      <c r="AD125" s="4">
        <v>0.0149360539170386</v>
      </c>
      <c r="AE125" s="4">
        <v>0.012444580814555</v>
      </c>
      <c r="AF125" s="4">
        <v>0.0106126217811355</v>
      </c>
      <c r="AG125" s="4">
        <v>0.00953892758647939</v>
      </c>
      <c r="AH125" s="4">
        <v>0.00894465956168104</v>
      </c>
      <c r="AI125" s="4">
        <v>0.00755906282433594</v>
      </c>
      <c r="AJ125" s="4">
        <v>0.00655722744870223</v>
      </c>
      <c r="AK125" s="4">
        <v>0.00513878726339905</v>
      </c>
      <c r="AL125" s="4">
        <v>0.00516589963990135</v>
      </c>
      <c r="AM125" s="4">
        <v>0.00409474034223534</v>
      </c>
      <c r="AN125" s="4">
        <v>0.0043766649726942</v>
      </c>
      <c r="AO125" s="4">
        <v>0.00454165370287282</v>
      </c>
      <c r="AP125" s="4">
        <v>0.00442119098938903</v>
      </c>
      <c r="AQ125" s="4">
        <v>0.00458849419073248</v>
      </c>
      <c r="AR125" s="4">
        <v>0.00374150795731718</v>
      </c>
      <c r="AS125" s="4">
        <v>0.00334606402686903</v>
      </c>
      <c r="AT125" s="4">
        <v>0.0596181320961273</v>
      </c>
    </row>
    <row r="126" ht="15.75" customHeight="1">
      <c r="A126" s="4">
        <v>4.0</v>
      </c>
      <c r="B126" s="4">
        <v>2.0</v>
      </c>
      <c r="C126" s="4">
        <v>2002.0</v>
      </c>
      <c r="D126" s="4">
        <v>1.0</v>
      </c>
      <c r="E126" s="4">
        <v>20.0</v>
      </c>
      <c r="F126" s="4">
        <v>0.0</v>
      </c>
      <c r="G126" s="4">
        <v>0.0</v>
      </c>
      <c r="H126" s="4">
        <v>0.0</v>
      </c>
      <c r="I126" s="4">
        <v>0.0</v>
      </c>
      <c r="J126" s="10">
        <v>2.34974244337516E-5</v>
      </c>
      <c r="K126" s="4">
        <v>0.00206732147662334</v>
      </c>
      <c r="L126" s="4">
        <v>0.0248884041791977</v>
      </c>
      <c r="M126" s="4">
        <v>0.0721451137670732</v>
      </c>
      <c r="N126" s="4">
        <v>0.0899326640634232</v>
      </c>
      <c r="O126" s="4">
        <v>0.0966042380768081</v>
      </c>
      <c r="P126" s="4">
        <v>0.0909350325586187</v>
      </c>
      <c r="Q126" s="4">
        <v>0.0894912965765834</v>
      </c>
      <c r="R126" s="4">
        <v>0.080505226256474</v>
      </c>
      <c r="S126" s="4">
        <v>0.0661868221473167</v>
      </c>
      <c r="T126" s="4">
        <v>0.054546785518447</v>
      </c>
      <c r="U126" s="4">
        <v>0.0511918503702087</v>
      </c>
      <c r="V126" s="4">
        <v>0.0401094256980938</v>
      </c>
      <c r="W126" s="4">
        <v>0.0311991571654605</v>
      </c>
      <c r="X126" s="4">
        <v>0.0259167554033344</v>
      </c>
      <c r="Y126" s="4">
        <v>0.0198611980026286</v>
      </c>
      <c r="Z126" s="4">
        <v>0.0190549426267455</v>
      </c>
      <c r="AA126" s="4">
        <v>0.017076753207229</v>
      </c>
      <c r="AB126" s="4">
        <v>0.013313663277841</v>
      </c>
      <c r="AC126" s="4">
        <v>0.0100322705493449</v>
      </c>
      <c r="AD126" s="4">
        <v>0.00955791629358857</v>
      </c>
      <c r="AE126" s="4">
        <v>0.00799748396809141</v>
      </c>
      <c r="AF126" s="4">
        <v>0.00745162072355348</v>
      </c>
      <c r="AG126" s="4">
        <v>0.00718817844576738</v>
      </c>
      <c r="AH126" s="4">
        <v>0.00579482636420059</v>
      </c>
      <c r="AI126" s="4">
        <v>0.00451692797384195</v>
      </c>
      <c r="AJ126" s="4">
        <v>0.00489379051187558</v>
      </c>
      <c r="AK126" s="4">
        <v>0.00384713840909332</v>
      </c>
      <c r="AL126" s="4">
        <v>0.00345954387432312</v>
      </c>
      <c r="AM126" s="4">
        <v>0.00351455947864638</v>
      </c>
      <c r="AN126" s="4">
        <v>0.00336758760754873</v>
      </c>
      <c r="AO126" s="4">
        <v>0.00294305241032739</v>
      </c>
      <c r="AP126" s="4">
        <v>0.00267904529060779</v>
      </c>
      <c r="AQ126" s="4">
        <v>0.00253772183884518</v>
      </c>
      <c r="AR126" s="4">
        <v>0.00222525128123096</v>
      </c>
      <c r="AS126" s="4">
        <v>0.00177925209053648</v>
      </c>
      <c r="AT126" s="4">
        <v>0.0311636850920365</v>
      </c>
    </row>
    <row r="127" ht="15.75" customHeight="1">
      <c r="A127" s="4">
        <v>4.0</v>
      </c>
      <c r="B127" s="4">
        <v>2.0</v>
      </c>
      <c r="C127" s="4">
        <v>2003.0</v>
      </c>
      <c r="D127" s="4">
        <v>1.0</v>
      </c>
      <c r="E127" s="4">
        <v>21.0</v>
      </c>
      <c r="F127" s="4">
        <v>0.0</v>
      </c>
      <c r="G127" s="4">
        <v>0.0</v>
      </c>
      <c r="H127" s="4">
        <v>0.0</v>
      </c>
      <c r="I127" s="4">
        <v>0.0</v>
      </c>
      <c r="J127" s="10">
        <v>1.70085453999204E-5</v>
      </c>
      <c r="K127" s="4">
        <v>0.00164230053123821</v>
      </c>
      <c r="L127" s="4">
        <v>0.0172431099707021</v>
      </c>
      <c r="M127" s="4">
        <v>0.052618514359325</v>
      </c>
      <c r="N127" s="4">
        <v>0.0728639811288794</v>
      </c>
      <c r="O127" s="4">
        <v>0.0813125578133702</v>
      </c>
      <c r="P127" s="4">
        <v>0.0812601380341049</v>
      </c>
      <c r="Q127" s="4">
        <v>0.0719619008583042</v>
      </c>
      <c r="R127" s="4">
        <v>0.0707863594254179</v>
      </c>
      <c r="S127" s="4">
        <v>0.0654058733853209</v>
      </c>
      <c r="T127" s="4">
        <v>0.0584748214277001</v>
      </c>
      <c r="U127" s="4">
        <v>0.0514304953460019</v>
      </c>
      <c r="V127" s="4">
        <v>0.0448923826114112</v>
      </c>
      <c r="W127" s="4">
        <v>0.0393248025719151</v>
      </c>
      <c r="X127" s="4">
        <v>0.0324023943013008</v>
      </c>
      <c r="Y127" s="4">
        <v>0.0261939964017167</v>
      </c>
      <c r="Z127" s="4">
        <v>0.0231567163190719</v>
      </c>
      <c r="AA127" s="4">
        <v>0.0192750734887663</v>
      </c>
      <c r="AB127" s="4">
        <v>0.0163521828446513</v>
      </c>
      <c r="AC127" s="4">
        <v>0.013994408092164</v>
      </c>
      <c r="AD127" s="4">
        <v>0.0119564497589178</v>
      </c>
      <c r="AE127" s="4">
        <v>0.0108981557578457</v>
      </c>
      <c r="AF127" s="4">
        <v>0.00925264869755669</v>
      </c>
      <c r="AG127" s="4">
        <v>0.00886437985379622</v>
      </c>
      <c r="AH127" s="4">
        <v>0.00822063429327054</v>
      </c>
      <c r="AI127" s="4">
        <v>0.00774265234324081</v>
      </c>
      <c r="AJ127" s="4">
        <v>0.00682739742069591</v>
      </c>
      <c r="AK127" s="4">
        <v>0.0064353643906584</v>
      </c>
      <c r="AL127" s="4">
        <v>0.00585540087538243</v>
      </c>
      <c r="AM127" s="4">
        <v>0.00535350937177822</v>
      </c>
      <c r="AN127" s="4">
        <v>0.00463134326381439</v>
      </c>
      <c r="AO127" s="4">
        <v>0.00444954700806442</v>
      </c>
      <c r="AP127" s="4">
        <v>0.00435641825128453</v>
      </c>
      <c r="AQ127" s="4">
        <v>0.0039805572808076</v>
      </c>
      <c r="AR127" s="4">
        <v>0.00371350917659819</v>
      </c>
      <c r="AS127" s="4">
        <v>0.00328069746189284</v>
      </c>
      <c r="AT127" s="4">
        <v>0.0535723173376329</v>
      </c>
    </row>
    <row r="128" ht="15.75" customHeight="1">
      <c r="A128" s="4">
        <v>4.0</v>
      </c>
      <c r="B128" s="4">
        <v>2.0</v>
      </c>
      <c r="C128" s="4">
        <v>2004.0</v>
      </c>
      <c r="D128" s="4">
        <v>1.0</v>
      </c>
      <c r="E128" s="4">
        <v>11.0</v>
      </c>
      <c r="F128" s="4">
        <v>0.0</v>
      </c>
      <c r="G128" s="4">
        <v>0.0</v>
      </c>
      <c r="H128" s="4">
        <v>0.0</v>
      </c>
      <c r="I128" s="4">
        <v>0.0</v>
      </c>
      <c r="J128" s="10">
        <v>3.24754941060966E-5</v>
      </c>
      <c r="K128" s="4">
        <v>0.00245970531850597</v>
      </c>
      <c r="L128" s="4">
        <v>0.0247982872994154</v>
      </c>
      <c r="M128" s="4">
        <v>0.0611256029046994</v>
      </c>
      <c r="N128" s="4">
        <v>0.0827970128926572</v>
      </c>
      <c r="O128" s="4">
        <v>0.0897964504398891</v>
      </c>
      <c r="P128" s="4">
        <v>0.0844140646009366</v>
      </c>
      <c r="Q128" s="4">
        <v>0.0851455038874876</v>
      </c>
      <c r="R128" s="4">
        <v>0.0789708299414484</v>
      </c>
      <c r="S128" s="4">
        <v>0.0714679652610209</v>
      </c>
      <c r="T128" s="4">
        <v>0.0655615275013879</v>
      </c>
      <c r="U128" s="4">
        <v>0.0516913009432251</v>
      </c>
      <c r="V128" s="4">
        <v>0.0389824436339372</v>
      </c>
      <c r="W128" s="4">
        <v>0.0317507778165711</v>
      </c>
      <c r="X128" s="4">
        <v>0.0296942244213893</v>
      </c>
      <c r="Y128" s="4">
        <v>0.0227533567126505</v>
      </c>
      <c r="Z128" s="4">
        <v>0.0199490693093135</v>
      </c>
      <c r="AA128" s="4">
        <v>0.0168260662673282</v>
      </c>
      <c r="AB128" s="4">
        <v>0.0137942225070443</v>
      </c>
      <c r="AC128" s="4">
        <v>0.0123618822933123</v>
      </c>
      <c r="AD128" s="4">
        <v>0.0104482210721972</v>
      </c>
      <c r="AE128" s="4">
        <v>0.00789621698096868</v>
      </c>
      <c r="AF128" s="4">
        <v>0.00735245186562028</v>
      </c>
      <c r="AG128" s="4">
        <v>0.00643447789888795</v>
      </c>
      <c r="AH128" s="4">
        <v>0.00641875292279447</v>
      </c>
      <c r="AI128" s="4">
        <v>0.00543810694989248</v>
      </c>
      <c r="AJ128" s="4">
        <v>0.00544084172834352</v>
      </c>
      <c r="AK128" s="4">
        <v>0.0045135239352368</v>
      </c>
      <c r="AL128" s="4">
        <v>0.0038765484543488</v>
      </c>
      <c r="AM128" s="4">
        <v>0.00363725533988282</v>
      </c>
      <c r="AN128" s="4">
        <v>0.00303583197885834</v>
      </c>
      <c r="AO128" s="4">
        <v>0.00301509324227129</v>
      </c>
      <c r="AP128" s="4">
        <v>0.0029535607271229</v>
      </c>
      <c r="AQ128" s="4">
        <v>0.00282776091837507</v>
      </c>
      <c r="AR128" s="4">
        <v>0.00260282539077705</v>
      </c>
      <c r="AS128" s="4">
        <v>0.00247588609100796</v>
      </c>
      <c r="AT128" s="4">
        <v>0.0372598750570885</v>
      </c>
    </row>
    <row r="129" ht="15.75" customHeight="1">
      <c r="A129" s="4">
        <v>4.0</v>
      </c>
      <c r="B129" s="4">
        <v>2.0</v>
      </c>
      <c r="C129" s="4">
        <v>2005.0</v>
      </c>
      <c r="D129" s="4">
        <v>1.0</v>
      </c>
      <c r="E129" s="4">
        <v>18.0</v>
      </c>
      <c r="F129" s="4">
        <v>0.0</v>
      </c>
      <c r="G129" s="4">
        <v>0.0</v>
      </c>
      <c r="H129" s="4">
        <v>0.0</v>
      </c>
      <c r="I129" s="4">
        <v>0.0</v>
      </c>
      <c r="J129" s="10">
        <v>2.91811063976626E-5</v>
      </c>
      <c r="K129" s="4">
        <v>0.00229366685477584</v>
      </c>
      <c r="L129" s="4">
        <v>0.0253705003890017</v>
      </c>
      <c r="M129" s="4">
        <v>0.068741119097025</v>
      </c>
      <c r="N129" s="4">
        <v>0.084652954523239</v>
      </c>
      <c r="O129" s="4">
        <v>0.0921619069837085</v>
      </c>
      <c r="P129" s="4">
        <v>0.0832661344011599</v>
      </c>
      <c r="Q129" s="4">
        <v>0.0809703945716126</v>
      </c>
      <c r="R129" s="4">
        <v>0.0769921965256624</v>
      </c>
      <c r="S129" s="4">
        <v>0.0730618363590527</v>
      </c>
      <c r="T129" s="4">
        <v>0.0607885500354718</v>
      </c>
      <c r="U129" s="4">
        <v>0.0500519758559034</v>
      </c>
      <c r="V129" s="4">
        <v>0.0440859544637605</v>
      </c>
      <c r="W129" s="4">
        <v>0.0351967197247217</v>
      </c>
      <c r="X129" s="4">
        <v>0.0296122054203188</v>
      </c>
      <c r="Y129" s="4">
        <v>0.0256540195538927</v>
      </c>
      <c r="Z129" s="4">
        <v>0.0227504197375263</v>
      </c>
      <c r="AA129" s="4">
        <v>0.0181496914217593</v>
      </c>
      <c r="AB129" s="4">
        <v>0.015912632724203</v>
      </c>
      <c r="AC129" s="4">
        <v>0.0127226434701853</v>
      </c>
      <c r="AD129" s="4">
        <v>0.0114877086150121</v>
      </c>
      <c r="AE129" s="4">
        <v>0.00920711744725595</v>
      </c>
      <c r="AF129" s="4">
        <v>0.00774662699099261</v>
      </c>
      <c r="AG129" s="4">
        <v>0.00637304201553105</v>
      </c>
      <c r="AH129" s="4">
        <v>0.00567995087368711</v>
      </c>
      <c r="AI129" s="4">
        <v>0.00480364065396933</v>
      </c>
      <c r="AJ129" s="4">
        <v>0.00389328581012093</v>
      </c>
      <c r="AK129" s="4">
        <v>0.00366605588325389</v>
      </c>
      <c r="AL129" s="4">
        <v>0.00308458645987096</v>
      </c>
      <c r="AM129" s="4">
        <v>0.00269159828108932</v>
      </c>
      <c r="AN129" s="4">
        <v>0.0026111509139985</v>
      </c>
      <c r="AO129" s="4">
        <v>0.00241453722990933</v>
      </c>
      <c r="AP129" s="4">
        <v>0.00230458983722524</v>
      </c>
      <c r="AQ129" s="4">
        <v>0.00209099370597022</v>
      </c>
      <c r="AR129" s="4">
        <v>0.00192467734546332</v>
      </c>
      <c r="AS129" s="4">
        <v>0.00172886095936316</v>
      </c>
      <c r="AT129" s="4">
        <v>0.0258268737579094</v>
      </c>
    </row>
    <row r="130" ht="15.75" customHeight="1">
      <c r="A130" s="4">
        <v>4.0</v>
      </c>
      <c r="B130" s="4">
        <v>2.0</v>
      </c>
      <c r="C130" s="4">
        <v>2006.0</v>
      </c>
      <c r="D130" s="4">
        <v>1.0</v>
      </c>
      <c r="E130" s="4">
        <v>13.0</v>
      </c>
      <c r="F130" s="4">
        <v>0.0</v>
      </c>
      <c r="G130" s="4">
        <v>0.0</v>
      </c>
      <c r="H130" s="4">
        <v>0.0</v>
      </c>
      <c r="I130" s="4">
        <v>0.0</v>
      </c>
      <c r="J130" s="10">
        <v>2.61306572741821E-5</v>
      </c>
      <c r="K130" s="4">
        <v>0.00246918969881217</v>
      </c>
      <c r="L130" s="4">
        <v>0.0250715785865875</v>
      </c>
      <c r="M130" s="4">
        <v>0.0667219573184572</v>
      </c>
      <c r="N130" s="4">
        <v>0.0971767661307223</v>
      </c>
      <c r="O130" s="4">
        <v>0.102117874030713</v>
      </c>
      <c r="P130" s="4">
        <v>0.104975350604683</v>
      </c>
      <c r="Q130" s="4">
        <v>0.0997867885285785</v>
      </c>
      <c r="R130" s="4">
        <v>0.0846505265957095</v>
      </c>
      <c r="S130" s="4">
        <v>0.0784990130692115</v>
      </c>
      <c r="T130" s="4">
        <v>0.0671484432267395</v>
      </c>
      <c r="U130" s="4">
        <v>0.0507724967381279</v>
      </c>
      <c r="V130" s="4">
        <v>0.042120730562805</v>
      </c>
      <c r="W130" s="4">
        <v>0.0335570110599843</v>
      </c>
      <c r="X130" s="4">
        <v>0.0253914430177992</v>
      </c>
      <c r="Y130" s="4">
        <v>0.0187674788123921</v>
      </c>
      <c r="Z130" s="4">
        <v>0.0150540920346935</v>
      </c>
      <c r="AA130" s="4">
        <v>0.0122035416590365</v>
      </c>
      <c r="AB130" s="4">
        <v>0.00985828893307896</v>
      </c>
      <c r="AC130" s="4">
        <v>0.00721458002524284</v>
      </c>
      <c r="AD130" s="4">
        <v>0.006082461428159</v>
      </c>
      <c r="AE130" s="4">
        <v>0.00507595888230888</v>
      </c>
      <c r="AF130" s="4">
        <v>0.00407953080673315</v>
      </c>
      <c r="AG130" s="4">
        <v>0.00371055333293385</v>
      </c>
      <c r="AH130" s="4">
        <v>0.00332929759848765</v>
      </c>
      <c r="AI130" s="4">
        <v>0.00322907760773728</v>
      </c>
      <c r="AJ130" s="4">
        <v>0.00301226661204065</v>
      </c>
      <c r="AK130" s="4">
        <v>0.00269177252643683</v>
      </c>
      <c r="AL130" s="4">
        <v>0.00232804217257211</v>
      </c>
      <c r="AM130" s="4">
        <v>0.00215058457638479</v>
      </c>
      <c r="AN130" s="4">
        <v>0.00200817774136043</v>
      </c>
      <c r="AO130" s="4">
        <v>0.00160792743275107</v>
      </c>
      <c r="AP130" s="4">
        <v>0.00128701357755248</v>
      </c>
      <c r="AQ130" s="4">
        <v>0.00103892974704579</v>
      </c>
      <c r="AR130" s="4">
        <v>8.86658326544435E-4</v>
      </c>
      <c r="AS130" s="4">
        <v>8.84034766577147E-4</v>
      </c>
      <c r="AT130" s="4">
        <v>0.0130144315737257</v>
      </c>
    </row>
    <row r="131" ht="15.75" customHeight="1">
      <c r="A131" s="4">
        <v>4.0</v>
      </c>
      <c r="B131" s="4">
        <v>2.0</v>
      </c>
      <c r="C131" s="4">
        <v>2007.0</v>
      </c>
      <c r="D131" s="4">
        <v>1.0</v>
      </c>
      <c r="E131" s="4">
        <v>20.0</v>
      </c>
      <c r="F131" s="4">
        <v>0.0</v>
      </c>
      <c r="G131" s="4">
        <v>0.0</v>
      </c>
      <c r="H131" s="4">
        <v>0.0</v>
      </c>
      <c r="I131" s="4">
        <v>0.0</v>
      </c>
      <c r="J131" s="10">
        <v>3.44249702635052E-5</v>
      </c>
      <c r="K131" s="4">
        <v>0.00282113487651969</v>
      </c>
      <c r="L131" s="4">
        <v>0.029830521247143</v>
      </c>
      <c r="M131" s="4">
        <v>0.095763759069738</v>
      </c>
      <c r="N131" s="4">
        <v>0.113258152166932</v>
      </c>
      <c r="O131" s="4">
        <v>0.103706507432625</v>
      </c>
      <c r="P131" s="4">
        <v>0.0993083321273176</v>
      </c>
      <c r="Q131" s="4">
        <v>0.105573334178258</v>
      </c>
      <c r="R131" s="4">
        <v>0.0907257246156521</v>
      </c>
      <c r="S131" s="4">
        <v>0.0887806281615096</v>
      </c>
      <c r="T131" s="4">
        <v>0.0674153954975222</v>
      </c>
      <c r="U131" s="4">
        <v>0.050656600645511</v>
      </c>
      <c r="V131" s="4">
        <v>0.035406510087287</v>
      </c>
      <c r="W131" s="4">
        <v>0.0238678081141881</v>
      </c>
      <c r="X131" s="4">
        <v>0.0173758752891226</v>
      </c>
      <c r="Y131" s="4">
        <v>0.0164523954898151</v>
      </c>
      <c r="Z131" s="4">
        <v>0.0146905563400605</v>
      </c>
      <c r="AA131" s="4">
        <v>0.010965808811251</v>
      </c>
      <c r="AB131" s="4">
        <v>0.00851769674684031</v>
      </c>
      <c r="AC131" s="4">
        <v>0.00524561188671958</v>
      </c>
      <c r="AD131" s="4">
        <v>0.00442831856285169</v>
      </c>
      <c r="AE131" s="4">
        <v>0.0026156126659913</v>
      </c>
      <c r="AF131" s="4">
        <v>0.00122456983773165</v>
      </c>
      <c r="AG131" s="4">
        <v>3.92204885091675E-4</v>
      </c>
      <c r="AH131" s="4">
        <v>4.59170872022175E-4</v>
      </c>
      <c r="AI131" s="4">
        <v>7.72078437551648E-4</v>
      </c>
      <c r="AJ131" s="4">
        <v>9.81882360799378E-4</v>
      </c>
      <c r="AK131" s="4">
        <v>5.16545822461351E-4</v>
      </c>
      <c r="AL131" s="4">
        <v>5.79401365181283E-4</v>
      </c>
      <c r="AM131" s="4">
        <v>5.89163670181382E-4</v>
      </c>
      <c r="AN131" s="4">
        <v>7.40051226410974E-4</v>
      </c>
      <c r="AO131" s="4">
        <v>6.28212890181776E-4</v>
      </c>
      <c r="AP131" s="4">
        <v>3.93917570179412E-4</v>
      </c>
      <c r="AQ131" s="4">
        <v>2.79510206318609E-4</v>
      </c>
      <c r="AR131" s="4">
        <v>1.71439777282431E-4</v>
      </c>
      <c r="AS131" s="4">
        <v>2.66836336669358E-4</v>
      </c>
      <c r="AT131" s="4">
        <v>0.00456430575881797</v>
      </c>
    </row>
    <row r="132" ht="15.75" customHeight="1">
      <c r="A132" s="4">
        <v>4.0</v>
      </c>
      <c r="B132" s="4">
        <v>2.0</v>
      </c>
      <c r="C132" s="4">
        <v>2008.0</v>
      </c>
      <c r="D132" s="4">
        <v>1.0</v>
      </c>
      <c r="E132" s="4">
        <v>22.0</v>
      </c>
      <c r="F132" s="4">
        <v>0.0</v>
      </c>
      <c r="G132" s="4">
        <v>0.0</v>
      </c>
      <c r="H132" s="4">
        <v>0.0</v>
      </c>
      <c r="I132" s="4">
        <v>0.0</v>
      </c>
      <c r="J132" s="10">
        <v>3.35134050278319E-5</v>
      </c>
      <c r="K132" s="4">
        <v>0.00249059022835041</v>
      </c>
      <c r="L132" s="4">
        <v>0.0259156010247273</v>
      </c>
      <c r="M132" s="4">
        <v>0.0756047140662063</v>
      </c>
      <c r="N132" s="4">
        <v>0.0987757486307483</v>
      </c>
      <c r="O132" s="4">
        <v>0.102251976694148</v>
      </c>
      <c r="P132" s="4">
        <v>0.0936771280367704</v>
      </c>
      <c r="Q132" s="4">
        <v>0.0912183325772926</v>
      </c>
      <c r="R132" s="4">
        <v>0.0803570294748965</v>
      </c>
      <c r="S132" s="4">
        <v>0.0776004325616243</v>
      </c>
      <c r="T132" s="4">
        <v>0.0659131338270466</v>
      </c>
      <c r="U132" s="4">
        <v>0.0550271014599719</v>
      </c>
      <c r="V132" s="4">
        <v>0.0428670823029075</v>
      </c>
      <c r="W132" s="4">
        <v>0.0332097793070669</v>
      </c>
      <c r="X132" s="4">
        <v>0.0278557502844582</v>
      </c>
      <c r="Y132" s="4">
        <v>0.0217235610026562</v>
      </c>
      <c r="Z132" s="4">
        <v>0.0181831705227929</v>
      </c>
      <c r="AA132" s="4">
        <v>0.0158896505735805</v>
      </c>
      <c r="AB132" s="4">
        <v>0.0122906355048651</v>
      </c>
      <c r="AC132" s="4">
        <v>0.0102843187531562</v>
      </c>
      <c r="AD132" s="4">
        <v>0.00852157093656409</v>
      </c>
      <c r="AE132" s="4">
        <v>0.00675996887740883</v>
      </c>
      <c r="AF132" s="4">
        <v>0.00560962841081248</v>
      </c>
      <c r="AG132" s="4">
        <v>0.00482211113255163</v>
      </c>
      <c r="AH132" s="4">
        <v>0.00363988041729632</v>
      </c>
      <c r="AI132" s="4">
        <v>0.00273625971876811</v>
      </c>
      <c r="AJ132" s="4">
        <v>0.0022773838653101</v>
      </c>
      <c r="AK132" s="4">
        <v>0.00171863615527343</v>
      </c>
      <c r="AL132" s="4">
        <v>0.00142560869079931</v>
      </c>
      <c r="AM132" s="4">
        <v>0.00112217392960715</v>
      </c>
      <c r="AN132" s="4">
        <v>0.00105953918972607</v>
      </c>
      <c r="AO132" s="4">
        <v>9.0132918365451E-4</v>
      </c>
      <c r="AP132" s="4">
        <v>7.69376118844072E-4</v>
      </c>
      <c r="AQ132" s="4">
        <v>6.71318378207083E-4</v>
      </c>
      <c r="AR132" s="4">
        <v>5.51109327124347E-4</v>
      </c>
      <c r="AS132" s="4">
        <v>4.80931684117348E-4</v>
      </c>
      <c r="AT132" s="4">
        <v>0.00576392374564147</v>
      </c>
    </row>
    <row r="133" ht="15.75" customHeight="1">
      <c r="A133" s="4">
        <v>4.0</v>
      </c>
      <c r="B133" s="4">
        <v>2.0</v>
      </c>
      <c r="C133" s="4">
        <v>2009.0</v>
      </c>
      <c r="D133" s="4">
        <v>1.0</v>
      </c>
      <c r="E133" s="4">
        <v>17.0</v>
      </c>
      <c r="F133" s="4">
        <v>0.0</v>
      </c>
      <c r="G133" s="4">
        <v>0.0</v>
      </c>
      <c r="H133" s="4">
        <v>0.0</v>
      </c>
      <c r="I133" s="4">
        <v>0.0</v>
      </c>
      <c r="J133" s="10">
        <v>1.609838762127E-5</v>
      </c>
      <c r="K133" s="4">
        <v>0.00169998973280612</v>
      </c>
      <c r="L133" s="4">
        <v>0.0211092790748507</v>
      </c>
      <c r="M133" s="4">
        <v>0.0658776429527877</v>
      </c>
      <c r="N133" s="4">
        <v>0.088935274107246</v>
      </c>
      <c r="O133" s="4">
        <v>0.0853584806842601</v>
      </c>
      <c r="P133" s="4">
        <v>0.0821473889667375</v>
      </c>
      <c r="Q133" s="4">
        <v>0.0806856553707262</v>
      </c>
      <c r="R133" s="4">
        <v>0.0748743163104212</v>
      </c>
      <c r="S133" s="4">
        <v>0.0716399713663345</v>
      </c>
      <c r="T133" s="4">
        <v>0.0606521063309234</v>
      </c>
      <c r="U133" s="4">
        <v>0.0535385865830313</v>
      </c>
      <c r="V133" s="4">
        <v>0.0468885215276583</v>
      </c>
      <c r="W133" s="4">
        <v>0.0402727996992106</v>
      </c>
      <c r="X133" s="4">
        <v>0.0365328759483292</v>
      </c>
      <c r="Y133" s="4">
        <v>0.0319964397521421</v>
      </c>
      <c r="Z133" s="4">
        <v>0.0279355320391899</v>
      </c>
      <c r="AA133" s="4">
        <v>0.0221513813668676</v>
      </c>
      <c r="AB133" s="4">
        <v>0.0171718817691484</v>
      </c>
      <c r="AC133" s="4">
        <v>0.0149638090359176</v>
      </c>
      <c r="AD133" s="4">
        <v>0.0126336568632256</v>
      </c>
      <c r="AE133" s="4">
        <v>0.00984004999801453</v>
      </c>
      <c r="AF133" s="4">
        <v>0.00774359275229125</v>
      </c>
      <c r="AG133" s="4">
        <v>0.00592742632215163</v>
      </c>
      <c r="AH133" s="4">
        <v>0.00514343484499578</v>
      </c>
      <c r="AI133" s="4">
        <v>0.0044999465175789</v>
      </c>
      <c r="AJ133" s="4">
        <v>0.00384885617378531</v>
      </c>
      <c r="AK133" s="4">
        <v>0.00336277430310974</v>
      </c>
      <c r="AL133" s="4">
        <v>0.00289502670722506</v>
      </c>
      <c r="AM133" s="4">
        <v>0.00227470217088546</v>
      </c>
      <c r="AN133" s="4">
        <v>0.00187313683522155</v>
      </c>
      <c r="AO133" s="4">
        <v>0.00162504279488043</v>
      </c>
      <c r="AP133" s="4">
        <v>0.00138481907737636</v>
      </c>
      <c r="AQ133" s="4">
        <v>0.00113439971437883</v>
      </c>
      <c r="AR133" s="4">
        <v>0.00103029680776128</v>
      </c>
      <c r="AS133" s="4">
        <v>9.37105030531486E-4</v>
      </c>
      <c r="AT133" s="4">
        <v>0.00939770208037674</v>
      </c>
    </row>
    <row r="134" ht="15.75" customHeight="1">
      <c r="A134" s="4">
        <v>4.0</v>
      </c>
      <c r="B134" s="4">
        <v>2.0</v>
      </c>
      <c r="C134" s="4">
        <v>2010.0</v>
      </c>
      <c r="D134" s="4">
        <v>1.0</v>
      </c>
      <c r="E134" s="4">
        <v>10.0</v>
      </c>
      <c r="F134" s="4">
        <v>0.0</v>
      </c>
      <c r="G134" s="4">
        <v>0.0</v>
      </c>
      <c r="H134" s="4">
        <v>0.0</v>
      </c>
      <c r="I134" s="4">
        <v>0.0</v>
      </c>
      <c r="J134" s="10">
        <v>1.80200993808481E-5</v>
      </c>
      <c r="K134" s="4">
        <v>0.00182963509043752</v>
      </c>
      <c r="L134" s="4">
        <v>0.0213420877016137</v>
      </c>
      <c r="M134" s="4">
        <v>0.061221162634712</v>
      </c>
      <c r="N134" s="4">
        <v>0.0782786317066539</v>
      </c>
      <c r="O134" s="4">
        <v>0.0822337035188749</v>
      </c>
      <c r="P134" s="4">
        <v>0.0742177343108047</v>
      </c>
      <c r="Q134" s="4">
        <v>0.0712129677395171</v>
      </c>
      <c r="R134" s="4">
        <v>0.0707503951884295</v>
      </c>
      <c r="S134" s="4">
        <v>0.0700655464114885</v>
      </c>
      <c r="T134" s="4">
        <v>0.0659120835051406</v>
      </c>
      <c r="U134" s="4">
        <v>0.0578234388962655</v>
      </c>
      <c r="V134" s="4">
        <v>0.051255282672884</v>
      </c>
      <c r="W134" s="4">
        <v>0.0443931948284695</v>
      </c>
      <c r="X134" s="4">
        <v>0.0377614582544423</v>
      </c>
      <c r="Y134" s="4">
        <v>0.0342660689773704</v>
      </c>
      <c r="Z134" s="4">
        <v>0.0294270772903313</v>
      </c>
      <c r="AA134" s="4">
        <v>0.0264093056473207</v>
      </c>
      <c r="AB134" s="4">
        <v>0.0223453482345955</v>
      </c>
      <c r="AC134" s="4">
        <v>0.0172812753062333</v>
      </c>
      <c r="AD134" s="4">
        <v>0.0143395790827786</v>
      </c>
      <c r="AE134" s="4">
        <v>0.0120046162054584</v>
      </c>
      <c r="AF134" s="4">
        <v>0.00921983084736713</v>
      </c>
      <c r="AG134" s="4">
        <v>0.00753274154306961</v>
      </c>
      <c r="AH134" s="4">
        <v>0.00645918562240871</v>
      </c>
      <c r="AI134" s="4">
        <v>0.00496079735879744</v>
      </c>
      <c r="AJ134" s="4">
        <v>0.00387780638610222</v>
      </c>
      <c r="AK134" s="4">
        <v>0.00307531696037304</v>
      </c>
      <c r="AL134" s="4">
        <v>0.00262991450397849</v>
      </c>
      <c r="AM134" s="4">
        <v>0.0021846820485215</v>
      </c>
      <c r="AN134" s="4">
        <v>0.00173511456915685</v>
      </c>
      <c r="AO134" s="4">
        <v>0.00149668825423572</v>
      </c>
      <c r="AP134" s="4">
        <v>0.00126412697166025</v>
      </c>
      <c r="AQ134" s="4">
        <v>0.00110186107676384</v>
      </c>
      <c r="AR134" s="4">
        <v>9.81245411568445E-4</v>
      </c>
      <c r="AS134" s="4">
        <v>8.83579872943E-4</v>
      </c>
      <c r="AT134" s="4">
        <v>0.00820849526985142</v>
      </c>
    </row>
    <row r="135" ht="15.75" customHeight="1">
      <c r="A135" s="4">
        <v>4.0</v>
      </c>
      <c r="B135" s="4">
        <v>2.0</v>
      </c>
      <c r="C135" s="4">
        <v>2011.0</v>
      </c>
      <c r="D135" s="4">
        <v>1.0</v>
      </c>
      <c r="E135" s="4">
        <v>12.0</v>
      </c>
      <c r="F135" s="4">
        <v>0.0</v>
      </c>
      <c r="G135" s="4">
        <v>0.0</v>
      </c>
      <c r="H135" s="4">
        <v>0.0</v>
      </c>
      <c r="I135" s="4">
        <v>0.0</v>
      </c>
      <c r="J135" s="10">
        <v>1.64784364643466E-5</v>
      </c>
      <c r="K135" s="4">
        <v>0.00144517427833111</v>
      </c>
      <c r="L135" s="4">
        <v>0.0174506642157431</v>
      </c>
      <c r="M135" s="4">
        <v>0.0467788930325397</v>
      </c>
      <c r="N135" s="4">
        <v>0.0678686736375586</v>
      </c>
      <c r="O135" s="4">
        <v>0.0759749093474239</v>
      </c>
      <c r="P135" s="4">
        <v>0.0694727801255272</v>
      </c>
      <c r="Q135" s="4">
        <v>0.0701359216901578</v>
      </c>
      <c r="R135" s="4">
        <v>0.0696207780455481</v>
      </c>
      <c r="S135" s="4">
        <v>0.0696659012407262</v>
      </c>
      <c r="T135" s="4">
        <v>0.0661273495151066</v>
      </c>
      <c r="U135" s="4">
        <v>0.0584957543770462</v>
      </c>
      <c r="V135" s="4">
        <v>0.0540443434725255</v>
      </c>
      <c r="W135" s="4">
        <v>0.0458485543906601</v>
      </c>
      <c r="X135" s="4">
        <v>0.0416414709576413</v>
      </c>
      <c r="Y135" s="4">
        <v>0.0388958862353387</v>
      </c>
      <c r="Z135" s="4">
        <v>0.0350279197845113</v>
      </c>
      <c r="AA135" s="4">
        <v>0.0303711444405028</v>
      </c>
      <c r="AB135" s="4">
        <v>0.0258172438213371</v>
      </c>
      <c r="AC135" s="4">
        <v>0.0207524346697371</v>
      </c>
      <c r="AD135" s="4">
        <v>0.0164094426369071</v>
      </c>
      <c r="AE135" s="4">
        <v>0.0143829029599507</v>
      </c>
      <c r="AF135" s="4">
        <v>0.0114002289578644</v>
      </c>
      <c r="AG135" s="4">
        <v>0.00952114818665202</v>
      </c>
      <c r="AH135" s="4">
        <v>0.00751955717051078</v>
      </c>
      <c r="AI135" s="4">
        <v>0.00573233983248514</v>
      </c>
      <c r="AJ135" s="4">
        <v>0.00485767366520237</v>
      </c>
      <c r="AK135" s="4">
        <v>0.00381375701498206</v>
      </c>
      <c r="AL135" s="4">
        <v>0.00317479409077108</v>
      </c>
      <c r="AM135" s="4">
        <v>0.00246676033708105</v>
      </c>
      <c r="AN135" s="4">
        <v>0.00208868032287571</v>
      </c>
      <c r="AO135" s="4">
        <v>0.00176180666497314</v>
      </c>
      <c r="AP135" s="4">
        <v>0.00142653978475928</v>
      </c>
      <c r="AQ135" s="4">
        <v>0.00123988684088275</v>
      </c>
      <c r="AR135" s="4">
        <v>0.00106031808464511</v>
      </c>
      <c r="AS135" s="4">
        <v>9.37268825439379E-4</v>
      </c>
      <c r="AT135" s="4">
        <v>0.00675461890959106</v>
      </c>
    </row>
    <row r="136" ht="15.75" customHeight="1">
      <c r="A136" s="4">
        <v>4.0</v>
      </c>
      <c r="B136" s="4">
        <v>2.0</v>
      </c>
      <c r="C136" s="4">
        <v>2012.0</v>
      </c>
      <c r="D136" s="4">
        <v>1.0</v>
      </c>
      <c r="E136" s="4">
        <v>11.0</v>
      </c>
      <c r="F136" s="4">
        <v>0.0</v>
      </c>
      <c r="G136" s="4">
        <v>0.0</v>
      </c>
      <c r="H136" s="4">
        <v>0.0</v>
      </c>
      <c r="I136" s="4">
        <v>0.0</v>
      </c>
      <c r="J136" s="10">
        <v>1.66873548147983E-5</v>
      </c>
      <c r="K136" s="4">
        <v>0.00156819416872067</v>
      </c>
      <c r="L136" s="4">
        <v>0.0188580459291073</v>
      </c>
      <c r="M136" s="4">
        <v>0.0584145861498459</v>
      </c>
      <c r="N136" s="4">
        <v>0.0816564001888008</v>
      </c>
      <c r="O136" s="4">
        <v>0.0906974421539103</v>
      </c>
      <c r="P136" s="4">
        <v>0.0823103776239927</v>
      </c>
      <c r="Q136" s="4">
        <v>0.0815861464250305</v>
      </c>
      <c r="R136" s="4">
        <v>0.0819362471290449</v>
      </c>
      <c r="S136" s="4">
        <v>0.0738289461025974</v>
      </c>
      <c r="T136" s="4">
        <v>0.0654411306417131</v>
      </c>
      <c r="U136" s="4">
        <v>0.0598429402852186</v>
      </c>
      <c r="V136" s="4">
        <v>0.051272064542016</v>
      </c>
      <c r="W136" s="4">
        <v>0.044705757295941</v>
      </c>
      <c r="X136" s="4">
        <v>0.0370015393250449</v>
      </c>
      <c r="Y136" s="4">
        <v>0.0311778193682284</v>
      </c>
      <c r="Z136" s="4">
        <v>0.0249893138351605</v>
      </c>
      <c r="AA136" s="4">
        <v>0.020881888321046</v>
      </c>
      <c r="AB136" s="4">
        <v>0.0162601585315395</v>
      </c>
      <c r="AC136" s="4">
        <v>0.0146001004745633</v>
      </c>
      <c r="AD136" s="4">
        <v>0.0116289169497885</v>
      </c>
      <c r="AE136" s="4">
        <v>0.00883920840862459</v>
      </c>
      <c r="AF136" s="4">
        <v>0.00801510339109578</v>
      </c>
      <c r="AG136" s="4">
        <v>0.00670731539426003</v>
      </c>
      <c r="AH136" s="4">
        <v>0.00533361234590584</v>
      </c>
      <c r="AI136" s="4">
        <v>0.00389858326860726</v>
      </c>
      <c r="AJ136" s="4">
        <v>0.00334189311198558</v>
      </c>
      <c r="AK136" s="4">
        <v>0.0028875798771527</v>
      </c>
      <c r="AL136" s="4">
        <v>0.00214582695563492</v>
      </c>
      <c r="AM136" s="4">
        <v>0.00195992982299806</v>
      </c>
      <c r="AN136" s="4">
        <v>0.00142526697473192</v>
      </c>
      <c r="AO136" s="4">
        <v>0.00105447395074711</v>
      </c>
      <c r="AP136" s="4">
        <v>8.5305757813249E-4</v>
      </c>
      <c r="AQ136" s="4">
        <v>7.28569911214095E-4</v>
      </c>
      <c r="AR136" s="4">
        <v>5.60695121777223E-4</v>
      </c>
      <c r="AS136" s="4">
        <v>4.87771381236555E-4</v>
      </c>
      <c r="AT136" s="4">
        <v>0.00308640970977102</v>
      </c>
    </row>
    <row r="137" ht="15.75" customHeight="1">
      <c r="A137" s="4">
        <v>4.0</v>
      </c>
      <c r="B137" s="4">
        <v>2.0</v>
      </c>
      <c r="C137" s="4">
        <v>2013.0</v>
      </c>
      <c r="D137" s="4">
        <v>1.0</v>
      </c>
      <c r="E137" s="4">
        <v>19.0</v>
      </c>
      <c r="F137" s="4">
        <v>0.0</v>
      </c>
      <c r="G137" s="4">
        <v>0.0</v>
      </c>
      <c r="H137" s="4">
        <v>0.0</v>
      </c>
      <c r="I137" s="4">
        <v>0.0</v>
      </c>
      <c r="J137" s="10">
        <v>2.16977594485418E-5</v>
      </c>
      <c r="K137" s="4">
        <v>0.00176084836950468</v>
      </c>
      <c r="L137" s="4">
        <v>0.020698803196703</v>
      </c>
      <c r="M137" s="4">
        <v>0.0645815549495221</v>
      </c>
      <c r="N137" s="4">
        <v>0.0777497318124708</v>
      </c>
      <c r="O137" s="4">
        <v>0.0735921403411081</v>
      </c>
      <c r="P137" s="4">
        <v>0.0785921849181881</v>
      </c>
      <c r="Q137" s="4">
        <v>0.0694049024261425</v>
      </c>
      <c r="R137" s="4">
        <v>0.0674163349970789</v>
      </c>
      <c r="S137" s="4">
        <v>0.0650447269234929</v>
      </c>
      <c r="T137" s="4">
        <v>0.0547885612419798</v>
      </c>
      <c r="U137" s="4">
        <v>0.0514800825846801</v>
      </c>
      <c r="V137" s="4">
        <v>0.0483694617140349</v>
      </c>
      <c r="W137" s="4">
        <v>0.0470298936047143</v>
      </c>
      <c r="X137" s="4">
        <v>0.0421153510896196</v>
      </c>
      <c r="Y137" s="4">
        <v>0.0356745538022262</v>
      </c>
      <c r="Z137" s="4">
        <v>0.0288861627050532</v>
      </c>
      <c r="AA137" s="4">
        <v>0.0252359980437644</v>
      </c>
      <c r="AB137" s="4">
        <v>0.0246129930694993</v>
      </c>
      <c r="AC137" s="4">
        <v>0.0205746318604529</v>
      </c>
      <c r="AD137" s="4">
        <v>0.019343552548375</v>
      </c>
      <c r="AE137" s="4">
        <v>0.0151641559029131</v>
      </c>
      <c r="AF137" s="4">
        <v>0.0129847126394927</v>
      </c>
      <c r="AG137" s="4">
        <v>0.00977172560669675</v>
      </c>
      <c r="AH137" s="4">
        <v>0.00846663760026218</v>
      </c>
      <c r="AI137" s="4">
        <v>0.00656024237901109</v>
      </c>
      <c r="AJ137" s="4">
        <v>0.00489295217029691</v>
      </c>
      <c r="AK137" s="4">
        <v>0.00429808983452451</v>
      </c>
      <c r="AL137" s="4">
        <v>0.00378958887794334</v>
      </c>
      <c r="AM137" s="4">
        <v>0.0028737715657737</v>
      </c>
      <c r="AN137" s="4">
        <v>0.00203787075375116</v>
      </c>
      <c r="AO137" s="4">
        <v>0.00165805254875094</v>
      </c>
      <c r="AP137" s="4">
        <v>0.00150208647588321</v>
      </c>
      <c r="AQ137" s="4">
        <v>0.00132839698564414</v>
      </c>
      <c r="AR137" s="4">
        <v>0.00107876533733517</v>
      </c>
      <c r="AS137" s="4">
        <v>9.03894285938015E-4</v>
      </c>
      <c r="AT137" s="4">
        <v>0.00571488907772385</v>
      </c>
    </row>
    <row r="138" ht="15.75" customHeight="1">
      <c r="A138" s="4">
        <v>4.0</v>
      </c>
      <c r="B138" s="4">
        <v>2.0</v>
      </c>
      <c r="C138" s="4">
        <v>2014.0</v>
      </c>
      <c r="D138" s="4">
        <v>1.0</v>
      </c>
      <c r="E138" s="4">
        <v>29.0</v>
      </c>
      <c r="F138" s="4">
        <v>0.0</v>
      </c>
      <c r="G138" s="4">
        <v>0.0</v>
      </c>
      <c r="H138" s="4">
        <v>0.0</v>
      </c>
      <c r="I138" s="4">
        <v>0.0</v>
      </c>
      <c r="J138" s="10">
        <v>2.0224432048818E-5</v>
      </c>
      <c r="K138" s="4">
        <v>0.00162863916951613</v>
      </c>
      <c r="L138" s="4">
        <v>0.0191017852735798</v>
      </c>
      <c r="M138" s="4">
        <v>0.0544678298449845</v>
      </c>
      <c r="N138" s="4">
        <v>0.0748551067311012</v>
      </c>
      <c r="O138" s="4">
        <v>0.0816574799728039</v>
      </c>
      <c r="P138" s="4">
        <v>0.0773458600158304</v>
      </c>
      <c r="Q138" s="4">
        <v>0.0711776944357341</v>
      </c>
      <c r="R138" s="4">
        <v>0.0709137274381912</v>
      </c>
      <c r="S138" s="4">
        <v>0.0718448144985519</v>
      </c>
      <c r="T138" s="4">
        <v>0.0643242831225875</v>
      </c>
      <c r="U138" s="4">
        <v>0.0598384659348539</v>
      </c>
      <c r="V138" s="4">
        <v>0.0551764481528082</v>
      </c>
      <c r="W138" s="4">
        <v>0.0465588367364597</v>
      </c>
      <c r="X138" s="4">
        <v>0.0387530645499954</v>
      </c>
      <c r="Y138" s="4">
        <v>0.0328966604978969</v>
      </c>
      <c r="Z138" s="4">
        <v>0.0269984720059994</v>
      </c>
      <c r="AA138" s="4">
        <v>0.0222390525960205</v>
      </c>
      <c r="AB138" s="4">
        <v>0.0177235665480644</v>
      </c>
      <c r="AC138" s="4">
        <v>0.0174288813093908</v>
      </c>
      <c r="AD138" s="4">
        <v>0.0149677014866198</v>
      </c>
      <c r="AE138" s="4">
        <v>0.0115050306843747</v>
      </c>
      <c r="AF138" s="4">
        <v>0.0103173222928286</v>
      </c>
      <c r="AG138" s="4">
        <v>0.00882910936848162</v>
      </c>
      <c r="AH138" s="4">
        <v>0.00771294967522138</v>
      </c>
      <c r="AI138" s="4">
        <v>0.00677709270164164</v>
      </c>
      <c r="AJ138" s="4">
        <v>0.00598605029339259</v>
      </c>
      <c r="AK138" s="4">
        <v>0.0051789809767275</v>
      </c>
      <c r="AL138" s="4">
        <v>0.00430751783160508</v>
      </c>
      <c r="AM138" s="4">
        <v>0.00339684599982199</v>
      </c>
      <c r="AN138" s="4">
        <v>0.00289610051008498</v>
      </c>
      <c r="AO138" s="4">
        <v>0.00213024324363257</v>
      </c>
      <c r="AP138" s="4">
        <v>0.00167309476071778</v>
      </c>
      <c r="AQ138" s="4">
        <v>0.00138088987691811</v>
      </c>
      <c r="AR138" s="4">
        <v>0.00127308983816734</v>
      </c>
      <c r="AS138" s="4">
        <v>0.00113886448018297</v>
      </c>
      <c r="AT138" s="4">
        <v>0.00557822271316289</v>
      </c>
    </row>
    <row r="139" ht="15.75" customHeight="1">
      <c r="A139" s="4">
        <v>4.0</v>
      </c>
      <c r="B139" s="4">
        <v>2.0</v>
      </c>
      <c r="C139" s="4">
        <v>2015.0</v>
      </c>
      <c r="D139" s="4">
        <v>1.0</v>
      </c>
      <c r="E139" s="4">
        <v>27.0</v>
      </c>
      <c r="F139" s="4">
        <v>0.0</v>
      </c>
      <c r="G139" s="4">
        <v>0.0</v>
      </c>
      <c r="H139" s="4">
        <v>0.0</v>
      </c>
      <c r="I139" s="4">
        <v>0.0</v>
      </c>
      <c r="J139" s="10">
        <v>1.92982211814888E-5</v>
      </c>
      <c r="K139" s="4">
        <v>0.00153629756663357</v>
      </c>
      <c r="L139" s="4">
        <v>0.0174455919480659</v>
      </c>
      <c r="M139" s="4">
        <v>0.0561414102025915</v>
      </c>
      <c r="N139" s="4">
        <v>0.0794493839490527</v>
      </c>
      <c r="O139" s="4">
        <v>0.0752837534841247</v>
      </c>
      <c r="P139" s="4">
        <v>0.0736053056181698</v>
      </c>
      <c r="Q139" s="4">
        <v>0.073543133513848</v>
      </c>
      <c r="R139" s="4">
        <v>0.0690253602500413</v>
      </c>
      <c r="S139" s="4">
        <v>0.058792926107708</v>
      </c>
      <c r="T139" s="4">
        <v>0.0524105865664486</v>
      </c>
      <c r="U139" s="4">
        <v>0.0502152646940038</v>
      </c>
      <c r="V139" s="4">
        <v>0.0499995026231654</v>
      </c>
      <c r="W139" s="4">
        <v>0.0417262358322209</v>
      </c>
      <c r="X139" s="4">
        <v>0.036121694184869</v>
      </c>
      <c r="Y139" s="4">
        <v>0.0328232899687051</v>
      </c>
      <c r="Z139" s="4">
        <v>0.0322300188804246</v>
      </c>
      <c r="AA139" s="4">
        <v>0.0294276983190652</v>
      </c>
      <c r="AB139" s="4">
        <v>0.0257822245477352</v>
      </c>
      <c r="AC139" s="4">
        <v>0.0214535539564338</v>
      </c>
      <c r="AD139" s="4">
        <v>0.0192972264278197</v>
      </c>
      <c r="AE139" s="4">
        <v>0.0158474207032113</v>
      </c>
      <c r="AF139" s="4">
        <v>0.0139842470808954</v>
      </c>
      <c r="AG139" s="4">
        <v>0.0129588549987367</v>
      </c>
      <c r="AH139" s="4">
        <v>0.0108424170922554</v>
      </c>
      <c r="AI139" s="4">
        <v>0.0100171694483295</v>
      </c>
      <c r="AJ139" s="4">
        <v>0.00778494221475936</v>
      </c>
      <c r="AK139" s="4">
        <v>0.00618090192325674</v>
      </c>
      <c r="AL139" s="4">
        <v>0.00509423301507848</v>
      </c>
      <c r="AM139" s="4">
        <v>0.00407073096489116</v>
      </c>
      <c r="AN139" s="4">
        <v>0.00301509837119034</v>
      </c>
      <c r="AO139" s="4">
        <v>0.00247096811416589</v>
      </c>
      <c r="AP139" s="4">
        <v>0.00183790687911952</v>
      </c>
      <c r="AQ139" s="4">
        <v>0.00129168763938986</v>
      </c>
      <c r="AR139" s="4">
        <v>0.00125965657124326</v>
      </c>
      <c r="AS139" s="4">
        <v>0.00106040741131274</v>
      </c>
      <c r="AT139" s="4">
        <v>0.00595360070985622</v>
      </c>
    </row>
    <row r="140" ht="15.75" customHeight="1">
      <c r="A140" s="4">
        <v>4.0</v>
      </c>
      <c r="B140" s="4">
        <v>2.0</v>
      </c>
      <c r="C140" s="4">
        <v>2016.0</v>
      </c>
      <c r="D140" s="4">
        <v>1.0</v>
      </c>
      <c r="E140" s="4">
        <v>6.0</v>
      </c>
      <c r="F140" s="4">
        <v>0.0</v>
      </c>
      <c r="G140" s="4">
        <v>0.0</v>
      </c>
      <c r="H140" s="4">
        <v>0.0</v>
      </c>
      <c r="I140" s="4">
        <v>0.0</v>
      </c>
      <c r="J140" s="10">
        <v>2.27831172544521E-5</v>
      </c>
      <c r="K140" s="4">
        <v>0.00173732660623824</v>
      </c>
      <c r="L140" s="4">
        <v>0.0193073248861129</v>
      </c>
      <c r="M140" s="4">
        <v>0.0515931664318107</v>
      </c>
      <c r="N140" s="4">
        <v>0.074383916030543</v>
      </c>
      <c r="O140" s="4">
        <v>0.0812311540901961</v>
      </c>
      <c r="P140" s="4">
        <v>0.0837747752160694</v>
      </c>
      <c r="Q140" s="4">
        <v>0.0730282066383169</v>
      </c>
      <c r="R140" s="4">
        <v>0.0629041867395422</v>
      </c>
      <c r="S140" s="4">
        <v>0.0596041661208211</v>
      </c>
      <c r="T140" s="4">
        <v>0.0571696761265967</v>
      </c>
      <c r="U140" s="4">
        <v>0.046854847620816</v>
      </c>
      <c r="V140" s="4">
        <v>0.0391983532362849</v>
      </c>
      <c r="W140" s="4">
        <v>0.0367876715995913</v>
      </c>
      <c r="X140" s="4">
        <v>0.0297843691867452</v>
      </c>
      <c r="Y140" s="4">
        <v>0.028347893643852</v>
      </c>
      <c r="Z140" s="4">
        <v>0.0294368127330286</v>
      </c>
      <c r="AA140" s="4">
        <v>0.0288741836524299</v>
      </c>
      <c r="AB140" s="4">
        <v>0.0260467988011524</v>
      </c>
      <c r="AC140" s="4">
        <v>0.02329687654854</v>
      </c>
      <c r="AD140" s="4">
        <v>0.0185358885358771</v>
      </c>
      <c r="AE140" s="4">
        <v>0.0168645190540905</v>
      </c>
      <c r="AF140" s="4">
        <v>0.0137464216266462</v>
      </c>
      <c r="AG140" s="4">
        <v>0.01074634074658</v>
      </c>
      <c r="AH140" s="4">
        <v>0.0102945515314242</v>
      </c>
      <c r="AI140" s="4">
        <v>0.00947504280378154</v>
      </c>
      <c r="AJ140" s="4">
        <v>0.00865439492027618</v>
      </c>
      <c r="AK140" s="4">
        <v>0.0083249510447768</v>
      </c>
      <c r="AL140" s="4">
        <v>0.00705365310197837</v>
      </c>
      <c r="AM140" s="4">
        <v>0.00643486363734745</v>
      </c>
      <c r="AN140" s="4">
        <v>0.00587565202433693</v>
      </c>
      <c r="AO140" s="4">
        <v>0.00516265436985885</v>
      </c>
      <c r="AP140" s="4">
        <v>0.00407738057944302</v>
      </c>
      <c r="AQ140" s="4">
        <v>0.00364894405947305</v>
      </c>
      <c r="AR140" s="4">
        <v>0.00291623900856987</v>
      </c>
      <c r="AS140" s="4">
        <v>0.00260821126328968</v>
      </c>
      <c r="AT140" s="4">
        <v>0.0121958026663082</v>
      </c>
    </row>
    <row r="141" ht="15.75" customHeight="1">
      <c r="A141" s="4">
        <v>4.0</v>
      </c>
      <c r="B141" s="4">
        <v>2.0</v>
      </c>
      <c r="C141" s="4">
        <v>2017.0</v>
      </c>
      <c r="D141" s="4">
        <v>1.0</v>
      </c>
      <c r="E141" s="4">
        <v>17.0</v>
      </c>
      <c r="F141" s="4">
        <v>0.0</v>
      </c>
      <c r="G141" s="4">
        <v>0.0</v>
      </c>
      <c r="H141" s="4">
        <v>0.0</v>
      </c>
      <c r="I141" s="4">
        <v>0.0</v>
      </c>
      <c r="J141" s="10">
        <v>2.28708280138238E-5</v>
      </c>
      <c r="K141" s="4">
        <v>0.00175965350228807</v>
      </c>
      <c r="L141" s="4">
        <v>0.0182797426658447</v>
      </c>
      <c r="M141" s="4">
        <v>0.0567971342385747</v>
      </c>
      <c r="N141" s="4">
        <v>0.0697606929580837</v>
      </c>
      <c r="O141" s="4">
        <v>0.0754393095156997</v>
      </c>
      <c r="P141" s="4">
        <v>0.067464275124859</v>
      </c>
      <c r="Q141" s="4">
        <v>0.0712225589446</v>
      </c>
      <c r="R141" s="4">
        <v>0.0710512611102923</v>
      </c>
      <c r="S141" s="4">
        <v>0.0691685018755829</v>
      </c>
      <c r="T141" s="4">
        <v>0.0652649416227949</v>
      </c>
      <c r="U141" s="4">
        <v>0.0562767062133622</v>
      </c>
      <c r="V141" s="4">
        <v>0.0500719439235302</v>
      </c>
      <c r="W141" s="4">
        <v>0.0444388356461458</v>
      </c>
      <c r="X141" s="4">
        <v>0.0399519525911073</v>
      </c>
      <c r="Y141" s="4">
        <v>0.0329002695373757</v>
      </c>
      <c r="Z141" s="4">
        <v>0.0265617829164016</v>
      </c>
      <c r="AA141" s="4">
        <v>0.0222377961670126</v>
      </c>
      <c r="AB141" s="4">
        <v>0.0192324993532573</v>
      </c>
      <c r="AC141" s="4">
        <v>0.0164683964247295</v>
      </c>
      <c r="AD141" s="4">
        <v>0.0140011475087892</v>
      </c>
      <c r="AE141" s="4">
        <v>0.013222605853135</v>
      </c>
      <c r="AF141" s="4">
        <v>0.0124202598662827</v>
      </c>
      <c r="AG141" s="4">
        <v>0.0110410089115715</v>
      </c>
      <c r="AH141" s="4">
        <v>0.0102624672559172</v>
      </c>
      <c r="AI141" s="4">
        <v>0.0100468280203583</v>
      </c>
      <c r="AJ141" s="4">
        <v>0.00806546751181377</v>
      </c>
      <c r="AK141" s="4">
        <v>0.00726242139757328</v>
      </c>
      <c r="AL141" s="4">
        <v>0.00564536050667752</v>
      </c>
      <c r="AM141" s="4">
        <v>0.00479843974277786</v>
      </c>
      <c r="AN141" s="4">
        <v>0.00391487897889688</v>
      </c>
      <c r="AO141" s="4">
        <v>0.00328919846966155</v>
      </c>
      <c r="AP141" s="4">
        <v>0.00280401018965401</v>
      </c>
      <c r="AQ141" s="4">
        <v>0.0023755322280889</v>
      </c>
      <c r="AR141" s="4">
        <v>0.00233772534912727</v>
      </c>
      <c r="AS141" s="4">
        <v>0.00220376764218916</v>
      </c>
      <c r="AT141" s="4">
        <v>0.0119377554079298</v>
      </c>
    </row>
    <row r="142" ht="15.75" customHeight="1">
      <c r="A142" s="4">
        <v>4.0</v>
      </c>
      <c r="B142" s="4">
        <v>2.0</v>
      </c>
      <c r="C142" s="4">
        <v>2018.0</v>
      </c>
      <c r="D142" s="4">
        <v>1.0</v>
      </c>
      <c r="E142" s="4">
        <v>11.0</v>
      </c>
      <c r="F142" s="4">
        <v>0.0</v>
      </c>
      <c r="G142" s="4">
        <v>0.0</v>
      </c>
      <c r="H142" s="4">
        <v>0.0</v>
      </c>
      <c r="I142" s="4">
        <v>0.0</v>
      </c>
      <c r="J142" s="10">
        <v>1.22726843183322E-5</v>
      </c>
      <c r="K142" s="4">
        <v>0.00129817727456136</v>
      </c>
      <c r="L142" s="4">
        <v>0.0139514511699209</v>
      </c>
      <c r="M142" s="4">
        <v>0.0425245784367027</v>
      </c>
      <c r="N142" s="4">
        <v>0.0519022728874994</v>
      </c>
      <c r="O142" s="4">
        <v>0.0604249703307856</v>
      </c>
      <c r="P142" s="4">
        <v>0.0663807676673131</v>
      </c>
      <c r="Q142" s="4">
        <v>0.0658965420893754</v>
      </c>
      <c r="R142" s="4">
        <v>0.0568417555993099</v>
      </c>
      <c r="S142" s="4">
        <v>0.050201824293615</v>
      </c>
      <c r="T142" s="4">
        <v>0.0522711352328449</v>
      </c>
      <c r="U142" s="4">
        <v>0.055390987949724</v>
      </c>
      <c r="V142" s="4">
        <v>0.0457015673172416</v>
      </c>
      <c r="W142" s="4">
        <v>0.0467510181896181</v>
      </c>
      <c r="X142" s="4">
        <v>0.0395282707419615</v>
      </c>
      <c r="Y142" s="4">
        <v>0.0353747852791606</v>
      </c>
      <c r="Z142" s="4">
        <v>0.0323758866843966</v>
      </c>
      <c r="AA142" s="4">
        <v>0.0323188868838959</v>
      </c>
      <c r="AB142" s="4">
        <v>0.0298668045570931</v>
      </c>
      <c r="AC142" s="4">
        <v>0.0301928488704835</v>
      </c>
      <c r="AD142" s="4">
        <v>0.0282026285635273</v>
      </c>
      <c r="AE142" s="4">
        <v>0.0248399130603043</v>
      </c>
      <c r="AF142" s="4">
        <v>0.0208092908038458</v>
      </c>
      <c r="AG142" s="4">
        <v>0.0193451595646688</v>
      </c>
      <c r="AH142" s="4">
        <v>0.0152488102655277</v>
      </c>
      <c r="AI142" s="4">
        <v>0.0126763192692462</v>
      </c>
      <c r="AJ142" s="4">
        <v>0.00995941968748564</v>
      </c>
      <c r="AK142" s="4">
        <v>0.00837528886830714</v>
      </c>
      <c r="AL142" s="4">
        <v>0.00811906249237219</v>
      </c>
      <c r="AM142" s="4">
        <v>0.00699924822990392</v>
      </c>
      <c r="AN142" s="4">
        <v>0.00571907089234279</v>
      </c>
      <c r="AO142" s="4">
        <v>0.00538020844199773</v>
      </c>
      <c r="AP142" s="4">
        <v>0.00392998624504814</v>
      </c>
      <c r="AQ142" s="4">
        <v>0.00374316871709131</v>
      </c>
      <c r="AR142" s="4">
        <v>0.00299248952628666</v>
      </c>
      <c r="AS142" s="4">
        <v>0.00222953765116367</v>
      </c>
      <c r="AT142" s="4">
        <v>0.0122235935810588</v>
      </c>
    </row>
    <row r="143" ht="15.75" customHeight="1">
      <c r="A143" s="4">
        <v>4.0</v>
      </c>
      <c r="B143" s="4">
        <v>2.0</v>
      </c>
      <c r="C143" s="4">
        <v>2019.0</v>
      </c>
      <c r="D143" s="4">
        <v>1.0</v>
      </c>
      <c r="E143" s="4">
        <v>25.0</v>
      </c>
      <c r="F143" s="4">
        <v>0.0</v>
      </c>
      <c r="G143" s="4">
        <v>0.0</v>
      </c>
      <c r="H143" s="4">
        <v>0.0</v>
      </c>
      <c r="I143" s="4">
        <v>0.0</v>
      </c>
      <c r="J143" s="10">
        <v>1.73118767048141E-5</v>
      </c>
      <c r="K143" s="4">
        <v>0.00113052737695545</v>
      </c>
      <c r="L143" s="4">
        <v>0.0114538931396588</v>
      </c>
      <c r="M143" s="4">
        <v>0.0334749867340016</v>
      </c>
      <c r="N143" s="4">
        <v>0.0480589290100219</v>
      </c>
      <c r="O143" s="4">
        <v>0.0534855840756702</v>
      </c>
      <c r="P143" s="4">
        <v>0.0576547322401398</v>
      </c>
      <c r="Q143" s="4">
        <v>0.0554790003071312</v>
      </c>
      <c r="R143" s="4">
        <v>0.0507937418183993</v>
      </c>
      <c r="S143" s="4">
        <v>0.0465024830950297</v>
      </c>
      <c r="T143" s="4">
        <v>0.047612529903562</v>
      </c>
      <c r="U143" s="4">
        <v>0.0461329827266113</v>
      </c>
      <c r="V143" s="4">
        <v>0.0464710280333384</v>
      </c>
      <c r="W143" s="4">
        <v>0.0435168026447601</v>
      </c>
      <c r="X143" s="4">
        <v>0.0426407753123982</v>
      </c>
      <c r="Y143" s="4">
        <v>0.0406042339595029</v>
      </c>
      <c r="Z143" s="4">
        <v>0.0392444787865364</v>
      </c>
      <c r="AA143" s="4">
        <v>0.0365731943828525</v>
      </c>
      <c r="AB143" s="4">
        <v>0.0341965210238058</v>
      </c>
      <c r="AC143" s="4">
        <v>0.0295031475928686</v>
      </c>
      <c r="AD143" s="4">
        <v>0.0262077854910089</v>
      </c>
      <c r="AE143" s="4">
        <v>0.0227345902271055</v>
      </c>
      <c r="AF143" s="4">
        <v>0.020401737555968</v>
      </c>
      <c r="AG143" s="4">
        <v>0.0188255839241913</v>
      </c>
      <c r="AH143" s="4">
        <v>0.0179413643644601</v>
      </c>
      <c r="AI143" s="4">
        <v>0.0171030521920623</v>
      </c>
      <c r="AJ143" s="4">
        <v>0.0143119757843942</v>
      </c>
      <c r="AK143" s="4">
        <v>0.0129423281104535</v>
      </c>
      <c r="AL143" s="4">
        <v>0.0114980229682233</v>
      </c>
      <c r="AM143" s="4">
        <v>0.0101778377991535</v>
      </c>
      <c r="AN143" s="4">
        <v>0.0086741776510782</v>
      </c>
      <c r="AO143" s="4">
        <v>0.00804932710126381</v>
      </c>
      <c r="AP143" s="4">
        <v>0.00670541538688876</v>
      </c>
      <c r="AQ143" s="4">
        <v>0.00592066183304643</v>
      </c>
      <c r="AR143" s="4">
        <v>0.00515492042951384</v>
      </c>
      <c r="AS143" s="4">
        <v>0.00426482719732927</v>
      </c>
      <c r="AT143" s="4">
        <v>0.0245395079439101</v>
      </c>
    </row>
    <row r="144" ht="15.75" customHeight="1">
      <c r="A144" s="4">
        <v>4.0</v>
      </c>
      <c r="B144" s="4">
        <v>2.0</v>
      </c>
      <c r="C144" s="4">
        <v>2020.0</v>
      </c>
      <c r="D144" s="4">
        <v>1.0</v>
      </c>
      <c r="E144" s="4">
        <v>24.0</v>
      </c>
      <c r="F144" s="4">
        <v>0.0</v>
      </c>
      <c r="G144" s="4">
        <v>0.0</v>
      </c>
      <c r="H144" s="4">
        <v>0.0</v>
      </c>
      <c r="I144" s="4">
        <v>0.0</v>
      </c>
      <c r="J144" s="10">
        <v>2.66168291186632E-5</v>
      </c>
      <c r="K144" s="4">
        <v>0.00183988831282759</v>
      </c>
      <c r="L144" s="4">
        <v>0.0184084947610132</v>
      </c>
      <c r="M144" s="4">
        <v>0.0413973021995297</v>
      </c>
      <c r="N144" s="4">
        <v>0.0496936199645442</v>
      </c>
      <c r="O144" s="4">
        <v>0.0556321302834637</v>
      </c>
      <c r="P144" s="4">
        <v>0.062804626374579</v>
      </c>
      <c r="Q144" s="4">
        <v>0.0568476321465493</v>
      </c>
      <c r="R144" s="4">
        <v>0.0620088940873856</v>
      </c>
      <c r="S144" s="4">
        <v>0.0512640128825453</v>
      </c>
      <c r="T144" s="4">
        <v>0.0536114693395385</v>
      </c>
      <c r="U144" s="4">
        <v>0.0465029275739444</v>
      </c>
      <c r="V144" s="4">
        <v>0.0429379360238635</v>
      </c>
      <c r="W144" s="4">
        <v>0.0349286733673302</v>
      </c>
      <c r="X144" s="4">
        <v>0.0363402895060748</v>
      </c>
      <c r="Y144" s="4">
        <v>0.0357081398145066</v>
      </c>
      <c r="Z144" s="4">
        <v>0.029146906597665</v>
      </c>
      <c r="AA144" s="4">
        <v>0.0277476746780242</v>
      </c>
      <c r="AB144" s="4">
        <v>0.0277807608753314</v>
      </c>
      <c r="AC144" s="4">
        <v>0.0294339617061461</v>
      </c>
      <c r="AD144" s="4">
        <v>0.0245839687947253</v>
      </c>
      <c r="AE144" s="4">
        <v>0.0219734863110942</v>
      </c>
      <c r="AF144" s="4">
        <v>0.0177136846175614</v>
      </c>
      <c r="AG144" s="4">
        <v>0.0164137112898423</v>
      </c>
      <c r="AH144" s="4">
        <v>0.0142418519693958</v>
      </c>
      <c r="AI144" s="4">
        <v>0.0145424003315274</v>
      </c>
      <c r="AJ144" s="4">
        <v>0.0128487197397613</v>
      </c>
      <c r="AK144" s="4">
        <v>0.0117742501031864</v>
      </c>
      <c r="AL144" s="4">
        <v>0.0103506194235201</v>
      </c>
      <c r="AM144" s="4">
        <v>0.01015432030877</v>
      </c>
      <c r="AN144" s="4">
        <v>0.0100046006449775</v>
      </c>
      <c r="AO144" s="4">
        <v>0.00858392739076888</v>
      </c>
      <c r="AP144" s="4">
        <v>0.00733293642219171</v>
      </c>
      <c r="AQ144" s="4">
        <v>0.00734402676765782</v>
      </c>
      <c r="AR144" s="4">
        <v>0.00702684288732708</v>
      </c>
      <c r="AS144" s="4">
        <v>0.00545349254386832</v>
      </c>
      <c r="AT144" s="4">
        <v>0.0355952031298434</v>
      </c>
    </row>
    <row r="145" ht="15.75" customHeight="1">
      <c r="A145" s="4">
        <v>4.0</v>
      </c>
      <c r="B145" s="4">
        <v>2.0</v>
      </c>
      <c r="C145" s="4">
        <v>2021.0</v>
      </c>
      <c r="D145" s="4">
        <v>1.0</v>
      </c>
      <c r="E145" s="4">
        <v>29.0</v>
      </c>
      <c r="F145" s="4">
        <v>0.0</v>
      </c>
      <c r="G145" s="4">
        <v>0.0</v>
      </c>
      <c r="H145" s="4">
        <v>0.0</v>
      </c>
      <c r="I145" s="4">
        <v>0.0</v>
      </c>
      <c r="J145" s="10">
        <v>2.18007591118089E-5</v>
      </c>
      <c r="K145" s="4">
        <v>0.00170772613042503</v>
      </c>
      <c r="L145" s="4">
        <v>0.0192631976345473</v>
      </c>
      <c r="M145" s="4">
        <v>0.0471634809623699</v>
      </c>
      <c r="N145" s="4">
        <v>0.0584834665269855</v>
      </c>
      <c r="O145" s="4">
        <v>0.0538865537723342</v>
      </c>
      <c r="P145" s="4">
        <v>0.0564338435453285</v>
      </c>
      <c r="Q145" s="4">
        <v>0.0496058692331864</v>
      </c>
      <c r="R145" s="4">
        <v>0.0424744424192138</v>
      </c>
      <c r="S145" s="4">
        <v>0.0458079660208211</v>
      </c>
      <c r="T145" s="4">
        <v>0.0477138915257519</v>
      </c>
      <c r="U145" s="4">
        <v>0.0410990020526704</v>
      </c>
      <c r="V145" s="4">
        <v>0.0407474941140881</v>
      </c>
      <c r="W145" s="4">
        <v>0.0412026142626426</v>
      </c>
      <c r="X145" s="4">
        <v>0.0377092184275487</v>
      </c>
      <c r="Y145" s="4">
        <v>0.0376117010534572</v>
      </c>
      <c r="Z145" s="4">
        <v>0.0383848075432502</v>
      </c>
      <c r="AA145" s="4">
        <v>0.0367689727845652</v>
      </c>
      <c r="AB145" s="4">
        <v>0.0318077763776585</v>
      </c>
      <c r="AC145" s="4">
        <v>0.0277687755228578</v>
      </c>
      <c r="AD145" s="4">
        <v>0.0232125340768721</v>
      </c>
      <c r="AE145" s="4">
        <v>0.0231041163232246</v>
      </c>
      <c r="AF145" s="4">
        <v>0.0213638062625142</v>
      </c>
      <c r="AG145" s="4">
        <v>0.0201537469234265</v>
      </c>
      <c r="AH145" s="4">
        <v>0.0201365172912252</v>
      </c>
      <c r="AI145" s="4">
        <v>0.0182897820193668</v>
      </c>
      <c r="AJ145" s="4">
        <v>0.0164208943632496</v>
      </c>
      <c r="AK145" s="4">
        <v>0.0145418095778705</v>
      </c>
      <c r="AL145" s="4">
        <v>0.0129836413432878</v>
      </c>
      <c r="AM145" s="4">
        <v>0.0107236293153636</v>
      </c>
      <c r="AN145" s="4">
        <v>0.00875335640853826</v>
      </c>
      <c r="AO145" s="4">
        <v>0.00879941930279063</v>
      </c>
      <c r="AP145" s="4">
        <v>0.00785014861436836</v>
      </c>
      <c r="AQ145" s="4">
        <v>0.00651561397325516</v>
      </c>
      <c r="AR145" s="4">
        <v>0.00508977400231346</v>
      </c>
      <c r="AS145" s="4">
        <v>0.00401286338554303</v>
      </c>
      <c r="AT145" s="4">
        <v>0.0223857461479758</v>
      </c>
    </row>
    <row r="146" ht="15.75" customHeight="1">
      <c r="A146" s="4">
        <v>4.0</v>
      </c>
      <c r="B146" s="4">
        <v>2.0</v>
      </c>
      <c r="C146" s="4">
        <v>2022.0</v>
      </c>
      <c r="D146" s="4">
        <v>1.0</v>
      </c>
      <c r="E146" s="4">
        <v>11.0</v>
      </c>
      <c r="F146" s="4">
        <v>0.0</v>
      </c>
      <c r="G146" s="4">
        <v>0.0</v>
      </c>
      <c r="H146" s="4">
        <v>0.0</v>
      </c>
      <c r="I146" s="4">
        <v>0.0</v>
      </c>
      <c r="J146" s="10">
        <v>1.15524399908505E-5</v>
      </c>
      <c r="K146" s="4">
        <v>0.001575752814752</v>
      </c>
      <c r="L146" s="4">
        <v>0.0169987736443148</v>
      </c>
      <c r="M146" s="4">
        <v>0.0517491549390147</v>
      </c>
      <c r="N146" s="4">
        <v>0.0623554500946145</v>
      </c>
      <c r="O146" s="4">
        <v>0.0661053721156445</v>
      </c>
      <c r="P146" s="4">
        <v>0.0614208576993547</v>
      </c>
      <c r="Q146" s="4">
        <v>0.0572429819568858</v>
      </c>
      <c r="R146" s="4">
        <v>0.0550907623865903</v>
      </c>
      <c r="S146" s="4">
        <v>0.0485187076362399</v>
      </c>
      <c r="T146" s="4">
        <v>0.0432446336990836</v>
      </c>
      <c r="U146" s="4">
        <v>0.0444268333914806</v>
      </c>
      <c r="V146" s="4">
        <v>0.0388970654491935</v>
      </c>
      <c r="W146" s="4">
        <v>0.0369214698503137</v>
      </c>
      <c r="X146" s="4">
        <v>0.0348730938794916</v>
      </c>
      <c r="Y146" s="4">
        <v>0.0367517773428926</v>
      </c>
      <c r="Z146" s="4">
        <v>0.0326367982181517</v>
      </c>
      <c r="AA146" s="4">
        <v>0.0339066680940348</v>
      </c>
      <c r="AB146" s="4">
        <v>0.033543151315656</v>
      </c>
      <c r="AC146" s="4">
        <v>0.0278614046072671</v>
      </c>
      <c r="AD146" s="4">
        <v>0.0273149741956999</v>
      </c>
      <c r="AE146" s="4">
        <v>0.0243520300589354</v>
      </c>
      <c r="AF146" s="4">
        <v>0.0221595053091163</v>
      </c>
      <c r="AG146" s="4">
        <v>0.0210665161255375</v>
      </c>
      <c r="AH146" s="4">
        <v>0.0197315675043726</v>
      </c>
      <c r="AI146" s="4">
        <v>0.0162196257471541</v>
      </c>
      <c r="AJ146" s="4">
        <v>0.0149673412521459</v>
      </c>
      <c r="AK146" s="4">
        <v>0.0131116343082823</v>
      </c>
      <c r="AL146" s="4">
        <v>0.0103891092837718</v>
      </c>
      <c r="AM146" s="4">
        <v>0.00804280872163009</v>
      </c>
      <c r="AN146" s="4">
        <v>0.00664727397073536</v>
      </c>
      <c r="AO146" s="4">
        <v>0.00587788146734472</v>
      </c>
      <c r="AP146" s="4">
        <v>0.00428313130682998</v>
      </c>
      <c r="AQ146" s="4">
        <v>0.00347920984391113</v>
      </c>
      <c r="AR146" s="4">
        <v>0.00255077874997978</v>
      </c>
      <c r="AS146" s="4">
        <v>0.00170359981731742</v>
      </c>
      <c r="AT146" s="4">
        <v>0.0139707507622685</v>
      </c>
    </row>
    <row r="147" ht="15.75" customHeight="1">
      <c r="A147" s="4">
        <v>4.0</v>
      </c>
      <c r="B147" s="4">
        <v>2.0</v>
      </c>
      <c r="C147" s="4">
        <v>2023.0</v>
      </c>
      <c r="D147" s="4">
        <v>1.0</v>
      </c>
      <c r="E147" s="4">
        <v>9.0</v>
      </c>
      <c r="F147" s="4">
        <v>0.0</v>
      </c>
      <c r="G147" s="4">
        <v>0.0</v>
      </c>
      <c r="H147" s="4">
        <v>0.0</v>
      </c>
      <c r="I147" s="4">
        <v>0.0</v>
      </c>
      <c r="J147" s="10">
        <v>1.00324447405048E-5</v>
      </c>
      <c r="K147" s="4">
        <v>0.00137946115181941</v>
      </c>
      <c r="L147" s="4">
        <v>0.0152892599985156</v>
      </c>
      <c r="M147" s="4">
        <v>0.0394525889420351</v>
      </c>
      <c r="N147" s="4">
        <v>0.0503833090588424</v>
      </c>
      <c r="O147" s="4">
        <v>0.0503324036910851</v>
      </c>
      <c r="P147" s="4">
        <v>0.0546028810022933</v>
      </c>
      <c r="Q147" s="4">
        <v>0.0544817485213523</v>
      </c>
      <c r="R147" s="4">
        <v>0.046884122383564</v>
      </c>
      <c r="S147" s="4">
        <v>0.047915513438692</v>
      </c>
      <c r="T147" s="4">
        <v>0.0433903235026832</v>
      </c>
      <c r="U147" s="4">
        <v>0.0418339011728021</v>
      </c>
      <c r="V147" s="4">
        <v>0.0351090977274376</v>
      </c>
      <c r="W147" s="4">
        <v>0.0330639652884843</v>
      </c>
      <c r="X147" s="4">
        <v>0.027977144233021</v>
      </c>
      <c r="Y147" s="4">
        <v>0.028879042436591</v>
      </c>
      <c r="Z147" s="4">
        <v>0.0293690530477592</v>
      </c>
      <c r="AA147" s="4">
        <v>0.0282796038633458</v>
      </c>
      <c r="AB147" s="4">
        <v>0.0255353586547904</v>
      </c>
      <c r="AC147" s="4">
        <v>0.0226797347310139</v>
      </c>
      <c r="AD147" s="4">
        <v>0.0228530730818082</v>
      </c>
      <c r="AE147" s="4">
        <v>0.0216384041241523</v>
      </c>
      <c r="AF147" s="4">
        <v>0.0219434647586691</v>
      </c>
      <c r="AG147" s="4">
        <v>0.0211586117437383</v>
      </c>
      <c r="AH147" s="4">
        <v>0.0211026901536107</v>
      </c>
      <c r="AI147" s="4">
        <v>0.020881047439251</v>
      </c>
      <c r="AJ147" s="4">
        <v>0.0180740065580605</v>
      </c>
      <c r="AK147" s="4">
        <v>0.0165304963561325</v>
      </c>
      <c r="AL147" s="4">
        <v>0.0160998443763456</v>
      </c>
      <c r="AM147" s="4">
        <v>0.0147543820650357</v>
      </c>
      <c r="AN147" s="4">
        <v>0.0139618189305358</v>
      </c>
      <c r="AO147" s="4">
        <v>0.0126520275338588</v>
      </c>
      <c r="AP147" s="4">
        <v>0.0114397737943811</v>
      </c>
      <c r="AQ147" s="4">
        <v>0.0106003925844256</v>
      </c>
      <c r="AR147" s="4">
        <v>0.00946561161266626</v>
      </c>
      <c r="AS147" s="4">
        <v>0.00888800289603239</v>
      </c>
      <c r="AT147" s="4">
        <v>0.0611078067004283</v>
      </c>
    </row>
    <row r="148" ht="15.75" customHeight="1">
      <c r="A148" s="4">
        <v>4.0</v>
      </c>
      <c r="B148" s="4">
        <v>2.0</v>
      </c>
      <c r="C148" s="4">
        <v>2024.0</v>
      </c>
      <c r="D148" s="4">
        <v>1.0</v>
      </c>
      <c r="E148" s="4">
        <v>11.0</v>
      </c>
      <c r="F148" s="4">
        <v>0.0</v>
      </c>
      <c r="G148" s="4">
        <v>0.0</v>
      </c>
      <c r="H148" s="4">
        <v>0.0</v>
      </c>
      <c r="I148" s="4">
        <v>0.0</v>
      </c>
      <c r="J148" s="10">
        <v>2.61124022243322E-5</v>
      </c>
      <c r="K148" s="4">
        <v>0.0018048114601222</v>
      </c>
      <c r="L148" s="4">
        <v>0.0183185446391516</v>
      </c>
      <c r="M148" s="4">
        <v>0.0518981216293473</v>
      </c>
      <c r="N148" s="4">
        <v>0.0653482311069825</v>
      </c>
      <c r="O148" s="4">
        <v>0.0641138645188568</v>
      </c>
      <c r="P148" s="4">
        <v>0.0589973615362093</v>
      </c>
      <c r="Q148" s="4">
        <v>0.0515739389336473</v>
      </c>
      <c r="R148" s="4">
        <v>0.0420474956817309</v>
      </c>
      <c r="S148" s="4">
        <v>0.0455112780576373</v>
      </c>
      <c r="T148" s="4">
        <v>0.0493045211679911</v>
      </c>
      <c r="U148" s="4">
        <v>0.0408999389414254</v>
      </c>
      <c r="V148" s="4">
        <v>0.0371451699556256</v>
      </c>
      <c r="W148" s="4">
        <v>0.0290047674579465</v>
      </c>
      <c r="X148" s="4">
        <v>0.0296753561703884</v>
      </c>
      <c r="Y148" s="4">
        <v>0.030488174137499</v>
      </c>
      <c r="Z148" s="4">
        <v>0.0298510593023766</v>
      </c>
      <c r="AA148" s="4">
        <v>0.0287046137281232</v>
      </c>
      <c r="AB148" s="4">
        <v>0.0260247590019729</v>
      </c>
      <c r="AC148" s="4">
        <v>0.0272902382395574</v>
      </c>
      <c r="AD148" s="4">
        <v>0.0250727674868369</v>
      </c>
      <c r="AE148" s="4">
        <v>0.0230544732489551</v>
      </c>
      <c r="AF148" s="4">
        <v>0.0189951058691235</v>
      </c>
      <c r="AG148" s="4">
        <v>0.0186767567951971</v>
      </c>
      <c r="AH148" s="4">
        <v>0.0163883103108987</v>
      </c>
      <c r="AI148" s="4">
        <v>0.0171391807706048</v>
      </c>
      <c r="AJ148" s="4">
        <v>0.0172487695224931</v>
      </c>
      <c r="AK148" s="4">
        <v>0.015131998193244</v>
      </c>
      <c r="AL148" s="4">
        <v>0.0125221469283759</v>
      </c>
      <c r="AM148" s="4">
        <v>0.0122639397170193</v>
      </c>
      <c r="AN148" s="4">
        <v>0.01163307519094</v>
      </c>
      <c r="AO148" s="4">
        <v>0.00995438107773107</v>
      </c>
      <c r="AP148" s="4">
        <v>0.00989132240427443</v>
      </c>
      <c r="AQ148" s="4">
        <v>0.00810456739249885</v>
      </c>
      <c r="AR148" s="4">
        <v>0.00694256549351607</v>
      </c>
      <c r="AS148" s="4">
        <v>0.0060953013787904</v>
      </c>
      <c r="AT148" s="4">
        <v>0.0428569801506852</v>
      </c>
    </row>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c r="A1" s="1" t="s">
        <v>275</v>
      </c>
      <c r="B1" s="2"/>
      <c r="C1" s="2"/>
      <c r="D1" s="2"/>
      <c r="E1" s="2"/>
      <c r="F1" s="2"/>
      <c r="G1" s="2"/>
      <c r="H1" s="2"/>
      <c r="I1" s="2"/>
      <c r="J1" s="2"/>
      <c r="K1" s="2"/>
      <c r="L1" s="2"/>
      <c r="M1" s="2"/>
      <c r="N1" s="2"/>
      <c r="O1" s="2"/>
      <c r="P1" s="2"/>
      <c r="Q1" s="2"/>
      <c r="R1" s="2"/>
      <c r="S1" s="2"/>
      <c r="T1" s="3"/>
    </row>
    <row r="2">
      <c r="A2" s="4" t="s">
        <v>109</v>
      </c>
      <c r="B2" s="4" t="s">
        <v>135</v>
      </c>
      <c r="C2" s="4" t="s">
        <v>44</v>
      </c>
      <c r="D2" s="4" t="s">
        <v>276</v>
      </c>
    </row>
    <row r="3">
      <c r="A3" s="4">
        <v>2010.0</v>
      </c>
      <c r="B3" s="4">
        <v>99.0</v>
      </c>
      <c r="C3" s="4">
        <v>1.0</v>
      </c>
      <c r="D3" s="4">
        <v>0.0467289719626168</v>
      </c>
    </row>
    <row r="4">
      <c r="A4" s="4">
        <v>2011.0</v>
      </c>
      <c r="B4" s="4">
        <v>99.0</v>
      </c>
      <c r="C4" s="4">
        <v>1.0</v>
      </c>
      <c r="D4" s="4">
        <v>0.0474788174636694</v>
      </c>
    </row>
    <row r="5">
      <c r="A5" s="4">
        <v>2012.0</v>
      </c>
      <c r="B5" s="4">
        <v>99.0</v>
      </c>
      <c r="C5" s="4">
        <v>1.0</v>
      </c>
      <c r="D5" s="4">
        <v>0.048228662964722</v>
      </c>
    </row>
    <row r="6">
      <c r="A6" s="4">
        <v>2013.0</v>
      </c>
      <c r="B6" s="4">
        <v>99.0</v>
      </c>
      <c r="C6" s="4">
        <v>1.0</v>
      </c>
      <c r="D6" s="4">
        <v>0.0489785084657745</v>
      </c>
    </row>
    <row r="7">
      <c r="A7" s="4">
        <v>2014.0</v>
      </c>
      <c r="B7" s="4">
        <v>99.0</v>
      </c>
      <c r="C7" s="4">
        <v>1.0</v>
      </c>
      <c r="D7" s="4">
        <v>0.0359745517640254</v>
      </c>
    </row>
    <row r="8">
      <c r="A8" s="4">
        <v>2015.0</v>
      </c>
      <c r="B8" s="4">
        <v>99.0</v>
      </c>
      <c r="C8" s="4">
        <v>1.0</v>
      </c>
      <c r="D8" s="4">
        <v>0.0439039908100249</v>
      </c>
    </row>
    <row r="9">
      <c r="A9" s="4">
        <v>2016.0</v>
      </c>
      <c r="B9" s="4">
        <v>99.0</v>
      </c>
      <c r="C9" s="4">
        <v>1.0</v>
      </c>
      <c r="D9" s="4">
        <v>0.0412235042597308</v>
      </c>
    </row>
    <row r="10">
      <c r="A10" s="4">
        <v>2017.0</v>
      </c>
      <c r="B10" s="4">
        <v>99.0</v>
      </c>
      <c r="C10" s="4">
        <v>1.0</v>
      </c>
      <c r="D10" s="4">
        <v>0.046106221178379</v>
      </c>
    </row>
    <row r="11">
      <c r="A11" s="4">
        <v>2018.0</v>
      </c>
      <c r="B11" s="4">
        <v>99.0</v>
      </c>
      <c r="C11" s="4">
        <v>1.0</v>
      </c>
      <c r="D11" s="4">
        <v>0.0509889380970272</v>
      </c>
    </row>
    <row r="12">
      <c r="A12" s="4">
        <v>2019.0</v>
      </c>
      <c r="B12" s="4">
        <v>99.0</v>
      </c>
      <c r="C12" s="4">
        <v>1.0</v>
      </c>
      <c r="D12" s="4">
        <v>0.0558716550156755</v>
      </c>
    </row>
    <row r="13">
      <c r="A13" s="4">
        <v>2020.0</v>
      </c>
      <c r="B13" s="4">
        <v>99.0</v>
      </c>
      <c r="C13" s="4">
        <v>1.0</v>
      </c>
      <c r="D13" s="4">
        <v>0.0607543719343237</v>
      </c>
    </row>
    <row r="14">
      <c r="A14" s="4">
        <v>2021.0</v>
      </c>
      <c r="B14" s="4">
        <v>99.0</v>
      </c>
      <c r="C14" s="4">
        <v>1.0</v>
      </c>
      <c r="D14" s="4">
        <v>0.0656370888529719</v>
      </c>
    </row>
    <row r="15">
      <c r="A15" s="4">
        <v>2022.0</v>
      </c>
      <c r="B15" s="4">
        <v>99.0</v>
      </c>
      <c r="C15" s="4">
        <v>1.0</v>
      </c>
      <c r="D15" s="4">
        <v>0.0705198057716202</v>
      </c>
    </row>
    <row r="16">
      <c r="A16" s="4">
        <v>2023.0</v>
      </c>
      <c r="B16" s="4">
        <v>99.0</v>
      </c>
      <c r="C16" s="4">
        <v>1.0</v>
      </c>
      <c r="D16" s="4">
        <v>0.0754025226902684</v>
      </c>
    </row>
    <row r="17">
      <c r="A17" s="4">
        <v>2024.0</v>
      </c>
      <c r="B17" s="4">
        <v>99.0</v>
      </c>
      <c r="C17" s="4">
        <v>1.0</v>
      </c>
      <c r="D17" s="4">
        <v>0.0802852396089166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T1"/>
  </mergeCells>
  <printOptions/>
  <pageMargins bottom="0.75" footer="0.0" header="0.0" left="0.7" right="0.7" top="0.75"/>
  <pageSetup paperSize="9" orientation="portrait"/>
  <headerFooter>
    <oddHeader>&amp;CFF0000 OFFICIAL#_x000D_</oddHead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0"/>
    <col customWidth="1" min="2" max="26" width="11.43"/>
  </cols>
  <sheetData>
    <row r="1" ht="14.25" customHeight="1">
      <c r="A1" s="1" t="s">
        <v>277</v>
      </c>
      <c r="B1" s="2"/>
      <c r="C1" s="2"/>
      <c r="D1" s="2"/>
      <c r="E1" s="2"/>
      <c r="F1" s="2"/>
      <c r="G1" s="2"/>
      <c r="H1" s="2"/>
      <c r="I1" s="2"/>
      <c r="J1" s="2"/>
      <c r="K1" s="2"/>
      <c r="L1" s="2"/>
      <c r="M1" s="2"/>
      <c r="N1" s="2"/>
      <c r="O1" s="2"/>
      <c r="P1" s="2"/>
      <c r="Q1" s="2"/>
      <c r="R1" s="2"/>
      <c r="S1" s="2"/>
      <c r="T1" s="2"/>
      <c r="U1" s="3"/>
    </row>
    <row r="2">
      <c r="A2" s="4" t="s">
        <v>51</v>
      </c>
      <c r="B2" s="4" t="s">
        <v>278</v>
      </c>
    </row>
    <row r="3">
      <c r="A3" s="4" t="s">
        <v>279</v>
      </c>
      <c r="B3" s="4">
        <v>1.0</v>
      </c>
    </row>
    <row r="4">
      <c r="A4" s="4" t="s">
        <v>280</v>
      </c>
      <c r="B4" s="4">
        <v>2.0</v>
      </c>
    </row>
    <row r="5">
      <c r="A5" s="4" t="s">
        <v>281</v>
      </c>
      <c r="B5" s="4">
        <v>3.0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57"/>
    <col customWidth="1" min="2" max="7" width="11.57"/>
    <col customWidth="1" min="8" max="43" width="11.43"/>
  </cols>
  <sheetData>
    <row r="1" ht="14.25" customHeight="1">
      <c r="A1" s="1" t="s">
        <v>282</v>
      </c>
      <c r="B1" s="2"/>
      <c r="C1" s="2"/>
      <c r="D1" s="2"/>
      <c r="E1" s="2"/>
      <c r="F1" s="2"/>
      <c r="G1" s="2"/>
      <c r="H1" s="2"/>
      <c r="I1" s="2"/>
      <c r="J1" s="2"/>
      <c r="K1" s="2"/>
      <c r="L1" s="2"/>
      <c r="M1" s="2"/>
      <c r="N1" s="2"/>
      <c r="O1" s="2"/>
      <c r="P1" s="2"/>
      <c r="Q1" s="2"/>
      <c r="R1" s="2"/>
      <c r="S1" s="2"/>
      <c r="T1" s="2"/>
      <c r="U1" s="3"/>
    </row>
    <row r="2">
      <c r="A2" s="4" t="s">
        <v>51</v>
      </c>
      <c r="B2" s="4" t="s">
        <v>278</v>
      </c>
      <c r="C2" s="4" t="s">
        <v>283</v>
      </c>
      <c r="D2" s="4" t="s">
        <v>284</v>
      </c>
      <c r="E2" s="4" t="s">
        <v>285</v>
      </c>
      <c r="F2" s="4" t="s">
        <v>286</v>
      </c>
      <c r="G2" s="4" t="s">
        <v>287</v>
      </c>
      <c r="H2" s="4" t="s">
        <v>288</v>
      </c>
      <c r="I2" s="4" t="s">
        <v>289</v>
      </c>
      <c r="J2" s="4" t="s">
        <v>290</v>
      </c>
      <c r="K2" s="4" t="s">
        <v>291</v>
      </c>
      <c r="L2" s="4" t="s">
        <v>292</v>
      </c>
      <c r="M2" s="4" t="s">
        <v>293</v>
      </c>
      <c r="N2" s="4" t="s">
        <v>294</v>
      </c>
      <c r="O2" s="4" t="s">
        <v>295</v>
      </c>
      <c r="P2" s="4" t="s">
        <v>296</v>
      </c>
      <c r="Q2" s="4" t="s">
        <v>297</v>
      </c>
      <c r="R2" s="4" t="s">
        <v>298</v>
      </c>
      <c r="S2" s="4" t="s">
        <v>299</v>
      </c>
      <c r="T2" s="4" t="s">
        <v>300</v>
      </c>
      <c r="U2" s="4" t="s">
        <v>301</v>
      </c>
      <c r="V2" s="4" t="s">
        <v>302</v>
      </c>
      <c r="W2" s="4" t="s">
        <v>303</v>
      </c>
      <c r="X2" s="4" t="s">
        <v>304</v>
      </c>
      <c r="Y2" s="4" t="s">
        <v>305</v>
      </c>
      <c r="Z2" s="4" t="s">
        <v>306</v>
      </c>
      <c r="AA2" s="4" t="s">
        <v>307</v>
      </c>
      <c r="AB2" s="4" t="s">
        <v>308</v>
      </c>
      <c r="AC2" s="4" t="s">
        <v>309</v>
      </c>
      <c r="AD2" s="4" t="s">
        <v>310</v>
      </c>
      <c r="AE2" s="4" t="s">
        <v>311</v>
      </c>
      <c r="AF2" s="4" t="s">
        <v>312</v>
      </c>
      <c r="AG2" s="4" t="s">
        <v>313</v>
      </c>
      <c r="AH2" s="4" t="s">
        <v>314</v>
      </c>
      <c r="AI2" s="4" t="s">
        <v>315</v>
      </c>
      <c r="AJ2" s="4" t="s">
        <v>316</v>
      </c>
      <c r="AK2" s="4" t="s">
        <v>317</v>
      </c>
      <c r="AL2" s="4" t="s">
        <v>318</v>
      </c>
      <c r="AM2" s="4" t="s">
        <v>319</v>
      </c>
      <c r="AN2" s="4" t="s">
        <v>320</v>
      </c>
      <c r="AO2" s="4" t="s">
        <v>321</v>
      </c>
      <c r="AP2" s="4" t="s">
        <v>322</v>
      </c>
      <c r="AQ2" s="4" t="s">
        <v>323</v>
      </c>
    </row>
    <row r="3">
      <c r="A3" s="4" t="s">
        <v>279</v>
      </c>
      <c r="B3" s="4">
        <v>1.0</v>
      </c>
      <c r="C3" s="4">
        <v>0.0</v>
      </c>
      <c r="D3" s="4">
        <v>0.0</v>
      </c>
      <c r="E3" s="4">
        <v>0.0</v>
      </c>
      <c r="F3" s="4">
        <v>0.0</v>
      </c>
      <c r="G3" s="4">
        <v>0.0</v>
      </c>
      <c r="H3" s="4">
        <v>0.0</v>
      </c>
      <c r="I3" s="4">
        <v>0.0</v>
      </c>
      <c r="J3" s="4">
        <v>0.0</v>
      </c>
      <c r="K3" s="4">
        <v>0.0</v>
      </c>
      <c r="L3" s="4">
        <v>0.0</v>
      </c>
      <c r="M3" s="4">
        <v>0.0</v>
      </c>
      <c r="N3" s="4">
        <v>0.0</v>
      </c>
      <c r="O3" s="4">
        <v>0.5</v>
      </c>
      <c r="P3" s="4">
        <v>1.0</v>
      </c>
      <c r="Q3" s="4">
        <v>1.0</v>
      </c>
      <c r="R3" s="4">
        <v>1.0</v>
      </c>
      <c r="S3" s="4">
        <v>1.0</v>
      </c>
      <c r="T3" s="4">
        <v>1.0</v>
      </c>
      <c r="U3" s="4">
        <v>1.0</v>
      </c>
      <c r="V3" s="4">
        <v>1.0</v>
      </c>
      <c r="W3" s="4">
        <v>1.0</v>
      </c>
      <c r="X3" s="4">
        <v>1.0</v>
      </c>
      <c r="Y3" s="4">
        <v>1.0</v>
      </c>
      <c r="Z3" s="4">
        <v>1.0</v>
      </c>
      <c r="AA3" s="4">
        <v>1.0</v>
      </c>
      <c r="AB3" s="4">
        <v>1.0</v>
      </c>
      <c r="AC3" s="4">
        <v>1.0</v>
      </c>
      <c r="AD3" s="4">
        <v>1.0</v>
      </c>
      <c r="AE3" s="4">
        <v>1.0</v>
      </c>
      <c r="AF3" s="4">
        <v>1.0</v>
      </c>
      <c r="AG3" s="4">
        <v>1.0</v>
      </c>
      <c r="AH3" s="4">
        <v>1.0</v>
      </c>
      <c r="AI3" s="4">
        <v>1.0</v>
      </c>
      <c r="AJ3" s="4">
        <v>1.0</v>
      </c>
      <c r="AK3" s="4">
        <v>1.0</v>
      </c>
      <c r="AL3" s="4">
        <v>1.0</v>
      </c>
      <c r="AM3" s="4">
        <v>1.0</v>
      </c>
      <c r="AN3" s="4">
        <v>1.0</v>
      </c>
      <c r="AO3" s="4">
        <v>1.0</v>
      </c>
      <c r="AP3" s="4">
        <v>1.0</v>
      </c>
      <c r="AQ3" s="4">
        <v>1.0</v>
      </c>
    </row>
    <row r="4">
      <c r="A4" s="4" t="s">
        <v>280</v>
      </c>
      <c r="B4" s="4">
        <v>2.0</v>
      </c>
      <c r="C4" s="4">
        <v>0.0</v>
      </c>
      <c r="D4" s="4">
        <v>0.0</v>
      </c>
      <c r="E4" s="4">
        <v>0.0</v>
      </c>
      <c r="F4" s="4">
        <v>0.0</v>
      </c>
      <c r="G4" s="4">
        <v>0.0</v>
      </c>
      <c r="H4" s="4">
        <v>0.0</v>
      </c>
      <c r="I4" s="4">
        <v>0.0</v>
      </c>
      <c r="J4" s="4">
        <v>0.0</v>
      </c>
      <c r="K4" s="4">
        <v>0.0</v>
      </c>
      <c r="L4" s="4">
        <v>0.0</v>
      </c>
      <c r="M4" s="4">
        <v>0.0</v>
      </c>
      <c r="N4" s="4">
        <v>0.0</v>
      </c>
      <c r="O4" s="4">
        <v>0.5</v>
      </c>
      <c r="P4" s="4">
        <v>1.0</v>
      </c>
      <c r="Q4" s="4">
        <v>1.0</v>
      </c>
      <c r="R4" s="4">
        <v>1.0</v>
      </c>
      <c r="S4" s="4">
        <v>1.0</v>
      </c>
      <c r="T4" s="4">
        <v>1.0</v>
      </c>
      <c r="U4" s="4">
        <v>1.0</v>
      </c>
      <c r="V4" s="4">
        <v>1.0</v>
      </c>
      <c r="W4" s="4">
        <v>1.0</v>
      </c>
      <c r="X4" s="4">
        <v>1.0</v>
      </c>
      <c r="Y4" s="4">
        <v>1.0</v>
      </c>
      <c r="Z4" s="4">
        <v>1.0</v>
      </c>
      <c r="AA4" s="4">
        <v>1.0</v>
      </c>
      <c r="AB4" s="4">
        <v>1.0</v>
      </c>
      <c r="AC4" s="4">
        <v>1.0</v>
      </c>
      <c r="AD4" s="4">
        <v>1.0</v>
      </c>
      <c r="AE4" s="4">
        <v>1.0</v>
      </c>
      <c r="AF4" s="4">
        <v>1.0</v>
      </c>
      <c r="AG4" s="4">
        <v>1.0</v>
      </c>
      <c r="AH4" s="4">
        <v>1.0</v>
      </c>
      <c r="AI4" s="4">
        <v>1.0</v>
      </c>
      <c r="AJ4" s="4">
        <v>1.0</v>
      </c>
      <c r="AK4" s="4">
        <v>1.0</v>
      </c>
      <c r="AL4" s="4">
        <v>1.0</v>
      </c>
      <c r="AM4" s="4">
        <v>1.0</v>
      </c>
      <c r="AN4" s="4">
        <v>1.0</v>
      </c>
      <c r="AO4" s="4">
        <v>1.0</v>
      </c>
      <c r="AP4" s="4">
        <v>1.0</v>
      </c>
      <c r="AQ4" s="4">
        <v>1.0</v>
      </c>
    </row>
    <row r="5">
      <c r="A5" s="4" t="s">
        <v>281</v>
      </c>
      <c r="B5" s="4">
        <v>3.0</v>
      </c>
      <c r="C5" s="4">
        <v>1.0</v>
      </c>
      <c r="D5" s="4">
        <v>1.0</v>
      </c>
      <c r="E5" s="4">
        <v>1.0</v>
      </c>
      <c r="F5" s="4">
        <v>1.0</v>
      </c>
      <c r="G5" s="4">
        <v>1.0</v>
      </c>
      <c r="H5" s="4">
        <v>1.0</v>
      </c>
      <c r="I5" s="4">
        <v>1.0</v>
      </c>
      <c r="J5" s="4">
        <v>1.0</v>
      </c>
      <c r="K5" s="4">
        <v>1.0</v>
      </c>
      <c r="L5" s="4">
        <v>1.0</v>
      </c>
      <c r="M5" s="4">
        <v>1.0</v>
      </c>
      <c r="N5" s="4">
        <v>1.0</v>
      </c>
      <c r="O5" s="4">
        <v>1.0</v>
      </c>
      <c r="P5" s="4">
        <v>1.0</v>
      </c>
      <c r="Q5" s="4">
        <v>1.0</v>
      </c>
      <c r="R5" s="4">
        <v>1.0</v>
      </c>
      <c r="S5" s="4">
        <v>1.0</v>
      </c>
      <c r="T5" s="4">
        <v>1.0</v>
      </c>
      <c r="U5" s="4">
        <v>1.0</v>
      </c>
      <c r="V5" s="4">
        <v>1.0</v>
      </c>
      <c r="W5" s="4">
        <v>1.0</v>
      </c>
      <c r="X5" s="4">
        <v>1.0</v>
      </c>
      <c r="Y5" s="4">
        <v>1.0</v>
      </c>
      <c r="Z5" s="4">
        <v>1.0</v>
      </c>
      <c r="AA5" s="4">
        <v>1.0</v>
      </c>
      <c r="AB5" s="4">
        <v>1.0</v>
      </c>
      <c r="AC5" s="4">
        <v>1.0</v>
      </c>
      <c r="AD5" s="4">
        <v>1.0</v>
      </c>
      <c r="AE5" s="4">
        <v>1.0</v>
      </c>
      <c r="AF5" s="4">
        <v>1.0</v>
      </c>
      <c r="AG5" s="4">
        <v>1.0</v>
      </c>
      <c r="AH5" s="4">
        <v>1.0</v>
      </c>
      <c r="AI5" s="4">
        <v>1.0</v>
      </c>
      <c r="AJ5" s="4">
        <v>1.0</v>
      </c>
      <c r="AK5" s="4">
        <v>1.0</v>
      </c>
      <c r="AL5" s="4">
        <v>1.0</v>
      </c>
      <c r="AM5" s="4">
        <v>1.0</v>
      </c>
      <c r="AN5" s="4">
        <v>1.0</v>
      </c>
      <c r="AO5" s="4">
        <v>1.0</v>
      </c>
      <c r="AP5" s="4">
        <v>1.0</v>
      </c>
      <c r="AQ5" s="4">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9" width="11.43"/>
    <col customWidth="1" min="10" max="10" width="22.29"/>
    <col customWidth="1" min="11" max="12" width="11.43"/>
    <col customWidth="1" min="13" max="13" width="23.0"/>
    <col customWidth="1" min="14" max="26" width="11.43"/>
  </cols>
  <sheetData>
    <row r="1" ht="14.25" customHeight="1">
      <c r="A1" s="1" t="s">
        <v>324</v>
      </c>
      <c r="B1" s="2"/>
      <c r="C1" s="2"/>
      <c r="D1" s="2"/>
      <c r="E1" s="2"/>
      <c r="F1" s="2"/>
      <c r="G1" s="2"/>
      <c r="H1" s="2"/>
      <c r="I1" s="2"/>
      <c r="J1" s="2"/>
      <c r="K1" s="2"/>
      <c r="L1" s="2"/>
      <c r="M1" s="2"/>
      <c r="N1" s="2"/>
      <c r="O1" s="2"/>
      <c r="P1" s="2"/>
      <c r="Q1" s="2"/>
      <c r="R1" s="2"/>
      <c r="S1" s="2"/>
      <c r="T1" s="2"/>
      <c r="U1" s="3"/>
    </row>
    <row r="2">
      <c r="A2" s="4" t="s">
        <v>325</v>
      </c>
      <c r="B2" s="4" t="s">
        <v>326</v>
      </c>
      <c r="C2" s="4" t="s">
        <v>50</v>
      </c>
      <c r="D2" s="4" t="s">
        <v>327</v>
      </c>
      <c r="E2" s="4" t="s">
        <v>328</v>
      </c>
      <c r="F2" s="4" t="s">
        <v>38</v>
      </c>
      <c r="G2" s="4" t="s">
        <v>329</v>
      </c>
      <c r="H2" s="4" t="s">
        <v>330</v>
      </c>
      <c r="I2" s="4" t="s">
        <v>331</v>
      </c>
      <c r="J2" s="4" t="s">
        <v>51</v>
      </c>
      <c r="K2" s="4" t="s">
        <v>332</v>
      </c>
    </row>
    <row r="3">
      <c r="A3" s="4" t="s">
        <v>333</v>
      </c>
      <c r="B3" s="4">
        <v>9999.0</v>
      </c>
      <c r="C3" s="4" t="s">
        <v>114</v>
      </c>
      <c r="D3" s="4" t="s">
        <v>334</v>
      </c>
      <c r="E3" s="4" t="s">
        <v>334</v>
      </c>
      <c r="F3" s="4" t="s">
        <v>334</v>
      </c>
      <c r="G3" s="4">
        <v>76.0</v>
      </c>
      <c r="H3" s="4" t="s">
        <v>334</v>
      </c>
      <c r="I3" s="4" t="s">
        <v>335</v>
      </c>
      <c r="J3" s="4" t="s">
        <v>279</v>
      </c>
      <c r="K3" s="4">
        <v>1.0</v>
      </c>
    </row>
    <row r="4">
      <c r="A4" s="4" t="s">
        <v>333</v>
      </c>
      <c r="B4" s="4">
        <v>9999.0</v>
      </c>
      <c r="C4" s="4" t="s">
        <v>90</v>
      </c>
      <c r="D4" s="4" t="s">
        <v>334</v>
      </c>
      <c r="E4" s="4" t="s">
        <v>334</v>
      </c>
      <c r="F4" s="4" t="s">
        <v>334</v>
      </c>
      <c r="G4" s="4">
        <v>76.0</v>
      </c>
      <c r="H4" s="4" t="s">
        <v>334</v>
      </c>
      <c r="I4" s="4" t="s">
        <v>335</v>
      </c>
      <c r="J4" s="4" t="s">
        <v>280</v>
      </c>
      <c r="K4" s="4">
        <v>2.0</v>
      </c>
    </row>
    <row r="5">
      <c r="A5" s="4" t="s">
        <v>333</v>
      </c>
      <c r="B5" s="4">
        <v>9999.0</v>
      </c>
      <c r="C5" s="4" t="s">
        <v>334</v>
      </c>
      <c r="D5" s="4" t="s">
        <v>334</v>
      </c>
      <c r="E5" s="4" t="s">
        <v>334</v>
      </c>
      <c r="F5" s="4" t="s">
        <v>334</v>
      </c>
      <c r="G5" s="4" t="s">
        <v>334</v>
      </c>
      <c r="H5" s="4" t="s">
        <v>334</v>
      </c>
      <c r="I5" s="4" t="s">
        <v>335</v>
      </c>
      <c r="J5" s="4" t="s">
        <v>281</v>
      </c>
      <c r="K5" s="4">
        <v>3.0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headerFooter>
    <oddHeader>&amp;CFF0000 OFFICIAL#_x000D_</oddHead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headerFooter>
    <oddHeader>&amp;CFF0000 OFFICIAL#_x000D_</oddHead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2024-01-22T03:28:43Z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