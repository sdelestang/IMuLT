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04317BCF-A176-4FBE-A999-35DF5954E111}" xr6:coauthVersionLast="47" xr6:coauthVersionMax="47" xr10:uidLastSave="{00000000-0000-0000-0000-000000000000}"/>
  <bookViews>
    <workbookView xWindow="-120" yWindow="-120" windowWidth="29040" windowHeight="15720" tabRatio="884" firstSheet="2" activeTab="1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<sst xmlns="http://schemas.openxmlformats.org/spreadsheetml/2006/main" count="907" uniqueCount="421">
  <si>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</si>
  <si>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</si>
  <si>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</si>
  <si>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</si>
  <si>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</si>
  <si>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</si>
  <si>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</si>
  <si>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</si>
  <si>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</si>
  <si>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</si>
  <si>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</si>
  <si>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</si>
  <si>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</si>
  <si>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</si>
  <si>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</si>
  <si>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</si>
  <si>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</si>
  <si>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</si>
  <si>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</si>
  <si>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</si>
  <si>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</si>
  <si>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</si>
  <si>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</si>
  <si>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</si>
  <si>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</si>
  <si>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</si>
  <si>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</si>
  <si>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</si>
  <si>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</si>
  <si>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</si>
  <si>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</si>
  <si>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</si>
  <si>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</si>
  <si>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</si>
  <si>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</si>
  <si>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</si>
  <si>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</si>
  <si>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</si>
  <si>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</si>
  <si>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</si>
  <si>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</si>
  <si>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</si>
  <si>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</si>
  <si>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</si>
  <si>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</si>
  <si>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</si>
  <si>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</si>
  <si>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</si>
  <si>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</si>
  <si>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</si>
  <si>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</si>
  <si>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</si>
  <si>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</si>
  <si>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</si>
  <si>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</si>
  <si>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</si>
  <si>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</si>
  <si>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</si>
  <si>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</si>
  <si>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</si>
  <si>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</si>
  <si>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</si>
  <si>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</si>
  <si>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</si>
  <si>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</si>
  <si>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</si>
  <si>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</si>
  <si>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</si>
  <si>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</si>
  <si>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</si>
  <si>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</si>
  <si>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</si>
  <si>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</si>
  <si>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</si>
  <si>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</si>
  <si>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</si>
  <si>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</si>
  <si>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</si>
  <si>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</si>
  <si>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</si>
  <si>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</si>
  <si>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</si>
  <si>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</si>
  <si>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</si>
  <si>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</si>
  <si>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</si>
  <si>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</si>
  <si>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</si>
  <si>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</si>
  <si>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</si>
  <si>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</si>
  <si>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</si>
  <si>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</si>
  <si>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</si>
  <si>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</si>
  <si>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</si>
  <si>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</si>
  <si>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</si>
  <si>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</si>
  <si>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</si>
  <si>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</si>
  <si>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</si>
  <si>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</si>
  <si>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</si>
  <si>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</si>
  <si>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</si>
  <si>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</si>
  <si>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</si>
  <si>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</si>
  <si>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</si>
  <si>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</si>
  <si>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</si>
  <si>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</si>
  <si>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</si>
  <si>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</si>
  <si>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</si>
  <si>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</si>
  <si>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</si>
  <si>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</si>
  <si>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</si>
  <si>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</si>
  <si>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</si>
  <si>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</si>
  <si>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</si>
  <si>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</si>
  <si>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</si>
  <si>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</si>
  <si>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</si>
  <si>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</si>
  <si>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</si>
  <si>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</si>
  <si>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</si>
  <si>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</si>
  <si>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</si>
  <si>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</si>
  <si>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</si>
  <si>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</si>
  <si>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</si>
  <si>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</si>
  <si>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</si>
  <si>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</si>
  <si>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</si>
  <si>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</si>
  <si>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</si>
  <si>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</si>
  <si>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</si>
  <si>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</si>
  <si>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</si>
  <si>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</si>
  <si>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</si>
  <si>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</si>
  <si>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</si>
  <si>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</si>
  <si>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</si>
  <si>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</si>
  <si>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</si>
  <si>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</si>
  <si>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</si>
  <si>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</si>
  <si>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</si>
  <si>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</si>
  <si>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</si>
  <si>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</si>
  <si>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</si>
  <si>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</si>
  <si>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</si>
  <si>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</si>
  <si>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</si>
  <si>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</si>
  <si>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</si>
  <si>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</si>
  <si>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</si>
  <si>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</si>
  <si>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</si>
  <si>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</si>
  <si>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</si>
  <si>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</si>
  <si>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</si>
  <si>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</si>
  <si>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</si>
  <si>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</si>
  <si>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</si>
  <si>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</si>
  <si>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</si>
  <si>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</si>
  <si>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</si>
  <si>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</si>
  <si>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</si>
  <si>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</si>
  <si>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</si>
  <si>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</si>
  <si>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</si>
  <si>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</si>
  <si>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</si>
  <si>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</si>
  <si>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</si>
  <si>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</si>
  <si>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</si>
  <si>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</si>
  <si>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</si>
  <si>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</si>
  <si>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</si>
  <si>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</si>
  <si>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</si>
  <si>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</si>
  <si>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</si>
  <si>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</si>
  <si>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</si>
  <si>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</si>
  <si>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</si>
  <si>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</si>
  <si>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</si>
  <si>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</si>
  <si>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</si>
  <si>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</si>
  <si>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</si>
  <si>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</si>
  <si>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</si>
  <si>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</si>
  <si>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</si>
  <si>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</si>
  <si>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</si>
  <si>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</si>
  <si>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</si>
  <si>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</si>
  <si>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</si>
  <si>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</si>
  <si>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</si>
  <si>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</si>
  <si>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</si>
  <si>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</si>
  <si>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</si>
  <si>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</si>
  <si>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</si>
  <si>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</si>
  <si>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</si>
  <si>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</si>
  <si>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</si>
  <si>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</si>
  <si>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</si>
  <si>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</si>
  <si>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</si>
  <si>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</si>
  <si>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</si>
  <si>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</si>
  <si>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</si>
  <si>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</si>
  <si>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</si>
  <si>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</si>
  <si>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</si>
  <si>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</si>
  <si>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</si>
  <si>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</si>
  <si>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</si>
  <si>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</si>
  <si>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</si>
  <si>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</si>
  <si>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</si>
  <si>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</si>
  <si>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</si>
  <si>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</si>
  <si>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</si>
  <si>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</si>
  <si>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</si>
  <si>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</si>
  <si>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</si>
  <si>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</si>
  <si>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</si>
  <si>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</si>
  <si>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</si>
  <si>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</si>
  <si>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</si>
  <si>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</si>
  <si>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</si>
  <si>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</si>
  <si>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</si>
  <si>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</si>
  <si>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</si>
  <si>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</si>
  <si>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</si>
  <si>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</si>
  <si>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</si>
  <si>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</si>
  <si>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</si>
  <si>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</si>
  <si>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</si>
  <si>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</si>
  <si>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</si>
  <si>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</si>
  <si>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</si>
  <si>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</si>
  <si>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</si>
  <si>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</si>
  <si>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</si>
  <si>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</si>
  <si>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</si>
  <si>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</si>
  <si>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</si>
  <si>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</si>
  <si>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</si>
  <si>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</si>
  <si>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</si>
  <si>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</si>
  <si>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</si>
  <si>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</si>
  <si>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</si>
  <si>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</si>
  <si>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</si>
  <si>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</si>
  <si>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</si>
  <si>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</si>
  <si>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</si>
  <si>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</si>
  <si>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</si>
  <si>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</si>
  <si>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</si>
  <si>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</si>
  <si>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</si>
  <si>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</si>
  <si>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</si>
  <si>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</si>
  <si>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</si>
  <si>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</si>
  <si>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</si>
  <si>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</si>
  <si>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</si>
  <si>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</si>
  <si>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</si>
  <si>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</si>
  <si>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</si>
  <si>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</si>
  <si>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</si>
  <si>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</si>
  <si>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</si>
  <si>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</si>
  <si>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</si>
  <si>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</si>
  <si>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</si>
  <si>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</si>
  <si>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</si>
  <si>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</si>
  <si>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</si>
  <si>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</si>
  <si>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</si>
  <si>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</si>
  <si>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</si>
  <si>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</si>
  <si>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</si>
  <si>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</si>
  <si>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</si>
  <si>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</si>
  <si>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</si>
  <si>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</si>
  <si>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</si>
  <si>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</si>
  <si>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</si>
  <si>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</si>
  <si>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</si>
  <si>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</si>
  <si>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</si>
  <si>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</si>
  <si>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</si>
  <si>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</si>
  <si>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</si>
  <si>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</si>
  <si>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</si>
  <si>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</si>
  <si>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</si>
  <si>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</si>
  <si>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</si>
  <si>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</si>
  <si>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</si>
  <si>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</si>
  <si>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</si>
  <si>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</si>
  <si>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</si>
  <si>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</si>
  <si>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</si>
  <si>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</si>
  <si>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</si>
  <si>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</si>
  <si>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</si>
  <si>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</si>
  <si>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</si>
  <si>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</si>
  <si>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</si>
  <si>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</si>
  <si>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</si>
  <si>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</si>
  <si>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</si>
  <si>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</si>
  <si>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</si>
  <si>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</si>
  <si>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</si>
  <si>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</si>
  <si>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</si>
  <si>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</si>
  <si>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</si>
  <si>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</si>
  <si>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</si>
  <si>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</si>
  <si>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</si>
  <si>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</si>
  <si>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</si>
  <si>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</si>
  <si>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</si>
  <si>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</si>
  <si>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</si>
  <si>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</si>
  <si>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</si>
  <si>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</si>
  <si>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</si>
  <si>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</si>
  <si>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 not loaded:  Type: 1=maturity, 2=fecundity, 3=egg batches. MaturityOgive = 1/(1+exp((lens-a)/b)) . Fecundity = a*Length^b. BatchesOgive = c/(1+exp((lens-a)/b)). if male fishery (thus no fecundity) set fecundity parameters to length weight and do not enter any type 2 values as this will default to 1 for all sizes. Ensure your parameters have the correct sign.</t>
  </si>
  <si>
    <t>Type</t>
  </si>
  <si>
    <t>Minage</t>
  </si>
  <si>
    <t>Startseason</t>
  </si>
  <si>
    <t>Endseason</t>
  </si>
  <si>
    <t>par_a</t>
  </si>
  <si>
    <t>par_b</t>
  </si>
  <si>
    <t>par_c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</si>
</sst>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0" fontId="3" fillId="0" borderId="0" xfId="0" applyFont="1"/>
    <xf numFmtId="0" fontId="3" fillId="0" borderId="0" xfId="0" applyFont="1" applyAlignment="1">
      <alignment horizontal="right"/>
    </xf>
    <xf numFmtId="0" fontId="3" fillId="3" borderId="4" xfId="0" applyFont="1" applyFill="1" applyBorder="1"/>
    <xf numFmtId="0" fontId="3" fillId="4" borderId="4" xfId="0" applyFont="1" applyFill="1" applyBorder="1"/>
    <xf numFmtId="11" fontId="3" fillId="0" borderId="0" xfId="0" applyNumberFormat="1" applyFont="1"/>
    <xf numFmtId="0" fontId="3" fillId="2" borderId="4" xfId="0" applyFont="1" applyFill="1" applyBorder="1"/>
    <xf numFmtId="0" fontId="3" fillId="0" borderId="0" xfId="0" applyFont="1" applyAlignment="1">
      <alignment wrapText="1"/>
    </xf>
    <xf numFmtId="0" fontId="2" fillId="0" borderId="0" xfId="0" applyFont="1"/>
    <xf numFmtId="0" fontId="1" fillId="0" borderId="0" xfId="0" applyFont="1"/>
    <xf numFmtId="0" fontId="3" fillId="2" borderId="1" xfId="0" applyFont="1" applyFill="1" applyBorder="1" applyAlignment="1">
      <alignment wrapText="1"/>
    </xf>
    <xf numFmtId="0" fontId="4" fillId="0" borderId="2" xfId="0" applyFont="1" applyBorder="1"/>
    <xf numFmtId="0" fontId="4" fillId="0" borderId="3" xfId="0" applyFont="1" applyBorder="1"/>
    <xf numFmtId="0" fontId="5" fillId="2" borderId="4" xfId="0" applyFont="1" applyFill="1" applyBorder="1" applyAlignment="1">
      <alignment wrapText="1"/>
    </xf>
    <xf numFmtId="0" fontId="4" fillId="0" borderId="4" xfId="0" applyFont="1" applyBorder="1"/>
    <xf numFmtId="0" fontId="3" fillId="2" borderId="4" xfId="0" applyFont="1" applyFill="1" applyBorder="1" applyAlignment="1">
      <alignment wrapText="1"/>
    </xf>
    <xf numFmtId="0" fontId="6"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0" t="s">
        <v>0</v>
      </c>
      <c r="B1" s="11"/>
      <c r="C1" s="11"/>
      <c r="D1" s="11"/>
      <c r="E1" s="11"/>
      <c r="F1" s="11"/>
      <c r="G1" s="11"/>
      <c r="H1" s="11"/>
      <c r="I1" s="11"/>
      <c r="J1" s="11"/>
      <c r="K1" s="11"/>
      <c r="L1" s="11"/>
      <c r="M1" s="11"/>
      <c r="N1" s="11"/>
      <c r="O1" s="11"/>
      <c r="P1" s="11"/>
      <c r="Q1" s="11"/>
      <c r="R1" s="11"/>
      <c r="S1" s="11"/>
      <c r="T1" s="11"/>
      <c r="U1" s="12"/>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10" t="s">
        <v>28</v>
      </c>
      <c r="B1" s="11"/>
      <c r="C1" s="11"/>
      <c r="D1" s="11"/>
      <c r="E1" s="11"/>
      <c r="F1" s="11"/>
      <c r="G1" s="11"/>
      <c r="H1" s="11"/>
      <c r="I1" s="11"/>
      <c r="J1" s="11"/>
      <c r="K1" s="11"/>
      <c r="L1" s="11"/>
      <c r="M1" s="11"/>
      <c r="N1" s="12"/>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39</v>
      </c>
      <c r="B1" s="11"/>
      <c r="C1" s="11"/>
      <c r="D1" s="11"/>
      <c r="E1" s="11"/>
      <c r="F1" s="11"/>
      <c r="G1" s="11"/>
      <c r="H1" s="11"/>
      <c r="I1" s="11"/>
      <c r="J1" s="11"/>
      <c r="K1" s="11"/>
      <c r="L1" s="11"/>
      <c r="M1" s="11"/>
      <c r="N1" s="11"/>
      <c r="O1" s="11"/>
      <c r="P1" s="11"/>
      <c r="Q1" s="11"/>
      <c r="R1" s="11"/>
      <c r="S1" s="11"/>
      <c r="T1" s="11"/>
      <c r="U1" s="12"/>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0" t="s">
        <v>306</v>
      </c>
      <c r="B1" s="11"/>
      <c r="C1" s="11"/>
      <c r="D1" s="11"/>
      <c r="E1" s="11"/>
      <c r="F1" s="11"/>
      <c r="G1" s="11"/>
      <c r="H1" s="11"/>
      <c r="I1" s="11"/>
      <c r="J1" s="11"/>
      <c r="K1" s="11"/>
      <c r="L1" s="11"/>
      <c r="M1" s="11"/>
      <c r="N1" s="11"/>
      <c r="O1" s="11"/>
      <c r="P1" s="11"/>
      <c r="Q1" s="11"/>
      <c r="R1" s="11"/>
      <c r="S1" s="11"/>
      <c r="T1" s="11"/>
      <c r="U1" s="12"/>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208</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0" t="s">
        <v>61</v>
      </c>
      <c r="B1" s="11"/>
      <c r="C1" s="11"/>
      <c r="D1" s="11"/>
      <c r="E1" s="11"/>
      <c r="F1" s="11"/>
      <c r="G1" s="11"/>
      <c r="H1" s="11"/>
      <c r="I1" s="11"/>
      <c r="J1" s="11"/>
      <c r="K1" s="11"/>
      <c r="L1" s="11"/>
      <c r="M1" s="11"/>
      <c r="N1" s="11"/>
      <c r="O1" s="11"/>
      <c r="P1" s="11"/>
      <c r="Q1" s="11"/>
      <c r="R1" s="11"/>
      <c r="S1" s="11"/>
      <c r="T1" s="11"/>
      <c r="U1" s="12"/>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0" t="s">
        <v>72</v>
      </c>
      <c r="B1" s="11"/>
      <c r="C1" s="11"/>
      <c r="D1" s="11"/>
      <c r="E1" s="11"/>
      <c r="F1" s="11"/>
      <c r="G1" s="11"/>
      <c r="H1" s="11"/>
      <c r="I1" s="11"/>
      <c r="J1" s="11"/>
      <c r="K1" s="11"/>
      <c r="L1" s="11"/>
      <c r="M1" s="11"/>
      <c r="N1" s="11"/>
      <c r="O1" s="11"/>
      <c r="P1" s="11"/>
      <c r="Q1" s="11"/>
      <c r="R1" s="11"/>
      <c r="S1" s="11"/>
      <c r="T1" s="11"/>
      <c r="U1" s="12"/>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3" t="s">
        <v>407</v>
      </c>
      <c r="B1" s="14"/>
      <c r="C1" s="14"/>
      <c r="D1" s="14"/>
      <c r="E1" s="14"/>
      <c r="F1" s="14"/>
      <c r="G1" s="14"/>
      <c r="H1" s="14"/>
      <c r="I1" s="14"/>
      <c r="J1" s="14"/>
      <c r="K1" s="14"/>
      <c r="L1" s="14"/>
      <c r="M1" s="14"/>
      <c r="N1" s="14"/>
      <c r="O1" s="14"/>
      <c r="P1" s="14"/>
      <c r="Q1" s="14"/>
      <c r="R1" s="14"/>
      <c r="S1" s="14"/>
      <c r="T1" s="14"/>
      <c r="U1" s="14"/>
    </row>
    <row r="2" spans="1:21" x14ac:dyDescent="0.25">
      <c r="A2" s="9" t="s">
        <v>4</v>
      </c>
      <c r="B2" s="9" t="s">
        <v>6</v>
      </c>
      <c r="C2" t="s">
        <v>47</v>
      </c>
      <c r="D2" t="s">
        <v>131</v>
      </c>
      <c r="E2" t="s">
        <v>42</v>
      </c>
      <c r="F2" t="s">
        <v>132</v>
      </c>
      <c r="G2" t="s">
        <v>133</v>
      </c>
    </row>
    <row r="3" spans="1:21" x14ac:dyDescent="0.25">
      <c r="A3" s="1">
        <v>1900</v>
      </c>
      <c r="B3">
        <v>2050</v>
      </c>
      <c r="C3" s="2" t="s">
        <v>111</v>
      </c>
      <c r="D3" s="2">
        <v>1</v>
      </c>
      <c r="E3" s="2">
        <v>1</v>
      </c>
      <c r="F3" s="2">
        <v>1</v>
      </c>
      <c r="G3" s="1" t="s">
        <v>408</v>
      </c>
      <c r="H3" s="1"/>
    </row>
    <row r="4" spans="1:21" x14ac:dyDescent="0.25">
      <c r="A4" s="1">
        <v>1900</v>
      </c>
      <c r="B4">
        <v>2050</v>
      </c>
      <c r="C4" s="2" t="s">
        <v>87</v>
      </c>
      <c r="D4" s="2">
        <v>1</v>
      </c>
      <c r="E4" s="2">
        <v>1</v>
      </c>
      <c r="F4" s="1">
        <v>1</v>
      </c>
      <c r="G4" s="1" t="s">
        <v>409</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0" t="s">
        <v>410</v>
      </c>
      <c r="B1" s="11"/>
      <c r="C1" s="11"/>
      <c r="D1" s="11"/>
      <c r="E1" s="11"/>
      <c r="F1" s="11"/>
      <c r="G1" s="11"/>
      <c r="H1" s="11"/>
      <c r="I1" s="11"/>
      <c r="J1" s="11"/>
      <c r="K1" s="11"/>
      <c r="L1" s="11"/>
      <c r="M1" s="11"/>
      <c r="N1" s="11"/>
      <c r="O1" s="11"/>
      <c r="P1" s="11"/>
      <c r="Q1" s="11"/>
      <c r="R1" s="11"/>
      <c r="S1" s="11"/>
      <c r="T1" s="11"/>
      <c r="U1" s="12"/>
    </row>
    <row r="3" spans="1:41" x14ac:dyDescent="0.25">
      <c r="A3" s="1" t="s">
        <v>411</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412</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10" t="s">
        <v>139</v>
      </c>
      <c r="B1" s="11"/>
      <c r="C1" s="11"/>
      <c r="D1" s="11"/>
      <c r="E1" s="11"/>
      <c r="F1" s="11"/>
      <c r="G1" s="11"/>
      <c r="H1" s="11"/>
      <c r="I1" s="11"/>
      <c r="J1" s="11"/>
      <c r="K1" s="11"/>
      <c r="L1" s="11"/>
      <c r="M1" s="11"/>
      <c r="N1" s="11"/>
      <c r="O1" s="11"/>
      <c r="P1" s="11"/>
      <c r="Q1" s="11"/>
      <c r="R1" s="11"/>
      <c r="S1" s="11"/>
      <c r="T1" s="11"/>
      <c r="U1" s="12"/>
      <c r="V1" s="3" t="e">
        <f>1+(MAX(area!C3:C28)-1)+MAX(#REF!)*(dynamics!B9+3)</f>
        <v>#REF!</v>
      </c>
      <c r="W1" s="4">
        <f>COUNT(A3:A35)</f>
        <v>5</v>
      </c>
      <c r="X1" s="1" t="s">
        <v>140</v>
      </c>
    </row>
    <row r="2" spans="1:43" x14ac:dyDescent="0.25">
      <c r="A2" s="1" t="s">
        <v>141</v>
      </c>
      <c r="B2" s="1" t="s">
        <v>74</v>
      </c>
      <c r="C2" s="1" t="s">
        <v>125</v>
      </c>
      <c r="D2" s="1" t="s">
        <v>126</v>
      </c>
      <c r="E2" s="1" t="s">
        <v>127</v>
      </c>
      <c r="F2" s="1" t="s">
        <v>67</v>
      </c>
      <c r="H2" s="1" t="s">
        <v>142</v>
      </c>
      <c r="I2" s="1" t="s">
        <v>143</v>
      </c>
      <c r="J2" s="1" t="s">
        <v>144</v>
      </c>
      <c r="K2" s="1" t="s">
        <v>145</v>
      </c>
      <c r="L2" s="1" t="s">
        <v>146</v>
      </c>
      <c r="M2" s="1" t="s">
        <v>147</v>
      </c>
      <c r="N2" s="1" t="s">
        <v>148</v>
      </c>
      <c r="O2" s="1" t="s">
        <v>149</v>
      </c>
      <c r="P2" s="1" t="s">
        <v>150</v>
      </c>
      <c r="Q2" s="1" t="s">
        <v>151</v>
      </c>
      <c r="R2" s="1" t="s">
        <v>152</v>
      </c>
      <c r="S2" s="1" t="s">
        <v>153</v>
      </c>
      <c r="T2" s="1" t="s">
        <v>154</v>
      </c>
      <c r="U2" s="1" t="s">
        <v>155</v>
      </c>
      <c r="V2" s="1" t="s">
        <v>156</v>
      </c>
      <c r="W2" s="1" t="s">
        <v>157</v>
      </c>
      <c r="X2" s="1" t="s">
        <v>158</v>
      </c>
      <c r="Y2" s="1" t="s">
        <v>159</v>
      </c>
      <c r="Z2" s="1" t="s">
        <v>160</v>
      </c>
      <c r="AA2" s="1" t="s">
        <v>161</v>
      </c>
      <c r="AB2" s="1" t="s">
        <v>162</v>
      </c>
      <c r="AC2" s="1" t="s">
        <v>163</v>
      </c>
      <c r="AD2" s="1" t="s">
        <v>164</v>
      </c>
      <c r="AE2" s="1" t="s">
        <v>165</v>
      </c>
      <c r="AF2" s="1" t="s">
        <v>166</v>
      </c>
      <c r="AG2" s="1" t="s">
        <v>167</v>
      </c>
      <c r="AH2" s="1" t="s">
        <v>168</v>
      </c>
      <c r="AI2" s="1" t="s">
        <v>169</v>
      </c>
      <c r="AJ2" s="1" t="s">
        <v>170</v>
      </c>
      <c r="AK2" s="1" t="s">
        <v>171</v>
      </c>
      <c r="AL2" s="1" t="s">
        <v>172</v>
      </c>
      <c r="AM2" s="1" t="s">
        <v>173</v>
      </c>
      <c r="AN2" s="1" t="s">
        <v>174</v>
      </c>
      <c r="AO2" s="1" t="s">
        <v>175</v>
      </c>
      <c r="AP2" s="1" t="s">
        <v>176</v>
      </c>
      <c r="AQ2" s="1" t="s">
        <v>177</v>
      </c>
    </row>
    <row r="3" spans="1:43" x14ac:dyDescent="0.25">
      <c r="A3" s="1">
        <v>1</v>
      </c>
      <c r="B3" s="1">
        <v>-1</v>
      </c>
      <c r="C3" s="1">
        <v>1</v>
      </c>
      <c r="D3" s="1">
        <v>0</v>
      </c>
      <c r="E3" s="1">
        <v>-2</v>
      </c>
      <c r="F3" s="1" t="s">
        <v>178</v>
      </c>
    </row>
    <row r="4" spans="1:43" x14ac:dyDescent="0.25">
      <c r="A4" s="1">
        <v>1</v>
      </c>
      <c r="B4" s="1">
        <v>30</v>
      </c>
      <c r="C4" s="1">
        <v>70</v>
      </c>
      <c r="D4" s="1">
        <v>60</v>
      </c>
      <c r="E4" s="1">
        <v>3</v>
      </c>
      <c r="F4" s="1" t="s">
        <v>179</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180</v>
      </c>
    </row>
    <row r="6" spans="1:43" x14ac:dyDescent="0.25">
      <c r="A6" s="1">
        <v>1</v>
      </c>
      <c r="B6" s="1">
        <v>30</v>
      </c>
      <c r="C6" s="1">
        <v>70</v>
      </c>
      <c r="D6" s="1">
        <v>60</v>
      </c>
      <c r="E6" s="1">
        <v>3</v>
      </c>
      <c r="F6" s="1" t="s">
        <v>181</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134</v>
      </c>
      <c r="B1" s="11"/>
      <c r="C1" s="11"/>
      <c r="D1" s="11"/>
      <c r="E1" s="11"/>
      <c r="F1" s="11"/>
      <c r="G1" s="11"/>
      <c r="H1" s="11"/>
      <c r="I1" s="11"/>
      <c r="J1" s="11"/>
      <c r="K1" s="11"/>
      <c r="L1" s="11"/>
      <c r="M1" s="11"/>
      <c r="N1" s="11"/>
      <c r="O1" s="11"/>
      <c r="P1" s="11"/>
      <c r="Q1" s="11"/>
      <c r="R1" s="11"/>
      <c r="S1" s="11"/>
      <c r="T1" s="11"/>
      <c r="U1" s="12"/>
    </row>
    <row r="2" spans="1:21" x14ac:dyDescent="0.25">
      <c r="A2" s="1" t="s">
        <v>131</v>
      </c>
      <c r="B2" s="1" t="s">
        <v>106</v>
      </c>
      <c r="C2" s="1" t="s">
        <v>135</v>
      </c>
      <c r="D2" s="1" t="s">
        <v>136</v>
      </c>
      <c r="E2" s="1" t="s">
        <v>137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0" t="s">
        <v>138</v>
      </c>
      <c r="B1" s="11"/>
      <c r="C1" s="11"/>
      <c r="D1" s="11"/>
      <c r="E1" s="11"/>
      <c r="F1" s="11"/>
      <c r="G1" s="11"/>
      <c r="H1" s="11"/>
      <c r="I1" s="11"/>
      <c r="J1" s="11"/>
      <c r="K1" s="11"/>
      <c r="L1" s="11"/>
      <c r="M1" s="11"/>
      <c r="N1" s="11"/>
      <c r="O1" s="11"/>
      <c r="P1" s="11"/>
      <c r="Q1" s="11"/>
      <c r="R1" s="11"/>
      <c r="S1" s="11"/>
      <c r="T1" s="11"/>
      <c r="U1" s="12"/>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0" t="s">
        <v>183</v>
      </c>
      <c r="B1" s="11"/>
      <c r="C1" s="11"/>
      <c r="D1" s="11"/>
      <c r="E1" s="11"/>
      <c r="F1" s="11"/>
      <c r="G1" s="11"/>
      <c r="H1" s="11"/>
      <c r="I1" s="11"/>
      <c r="J1" s="11"/>
      <c r="K1" s="11"/>
      <c r="L1" s="11"/>
      <c r="M1" s="11"/>
      <c r="N1" s="11"/>
      <c r="O1" s="11"/>
      <c r="P1" s="11"/>
      <c r="Q1" s="11"/>
      <c r="R1" s="11"/>
      <c r="S1" s="12"/>
    </row>
    <row r="2" spans="1:19" x14ac:dyDescent="0.25">
      <c r="A2" s="1" t="s">
        <v>184</v>
      </c>
      <c r="B2" s="1" t="s">
        <v>185</v>
      </c>
      <c r="C2" s="1" t="s">
        <v>186</v>
      </c>
      <c r="D2" s="1" t="s">
        <v>187</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tabSelected="1"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5" t="s">
        <v>307</v>
      </c>
      <c r="B1" s="14"/>
      <c r="C1" s="14"/>
      <c r="D1" s="14"/>
      <c r="E1" s="14"/>
      <c r="F1" s="14"/>
      <c r="G1" s="14"/>
      <c r="H1" s="14"/>
      <c r="I1" s="14"/>
      <c r="J1" s="14"/>
      <c r="K1" s="14"/>
      <c r="L1" s="14"/>
      <c r="M1" s="14"/>
      <c r="N1" s="14"/>
      <c r="O1" s="14"/>
      <c r="P1" s="14"/>
      <c r="Q1" s="14"/>
      <c r="R1" s="14"/>
      <c r="S1" s="14"/>
    </row>
    <row r="2" spans="1:46" ht="15" customHeight="1" x14ac:dyDescent="0.25">
      <c r="A2" t="s">
        <v>308</v>
      </c>
      <c r="B2">
        <v>0</v>
      </c>
    </row>
    <row r="3" spans="1:46" x14ac:dyDescent="0.25">
      <c r="A3" t="s">
        <v>309</v>
      </c>
      <c r="B3">
        <v>0.95</v>
      </c>
    </row>
    <row r="4" spans="1:46" ht="15" customHeight="1" x14ac:dyDescent="0.25">
      <c r="A4" t="s">
        <v>310</v>
      </c>
      <c r="B4">
        <v>0.05</v>
      </c>
    </row>
    <row r="5" spans="1:46" ht="15" customHeight="1" x14ac:dyDescent="0.25">
      <c r="A5" t="s">
        <v>311</v>
      </c>
      <c r="B5">
        <v>2</v>
      </c>
    </row>
    <row r="6" spans="1:46" ht="15" customHeight="1" x14ac:dyDescent="0.25">
      <c r="A6" t="s">
        <v>312</v>
      </c>
      <c r="B6">
        <v>0.7</v>
      </c>
      <c r="C6">
        <v>1</v>
      </c>
    </row>
    <row r="7" spans="1:46" ht="15" customHeight="1" x14ac:dyDescent="0.25">
      <c r="A7" t="s">
        <v>313</v>
      </c>
      <c r="B7">
        <v>1</v>
      </c>
      <c r="C7">
        <v>1</v>
      </c>
    </row>
    <row r="8" spans="1:46" ht="15" customHeight="1" x14ac:dyDescent="0.25">
      <c r="A8" t="s">
        <v>314</v>
      </c>
      <c r="B8">
        <v>2</v>
      </c>
    </row>
    <row r="9" spans="1:46" ht="15" customHeight="1" x14ac:dyDescent="0.25">
      <c r="A9" t="s">
        <v>315</v>
      </c>
      <c r="B9">
        <v>1</v>
      </c>
    </row>
    <row r="11" spans="1:46" ht="15" customHeight="1" x14ac:dyDescent="0.25">
      <c r="A11" t="s">
        <v>316</v>
      </c>
    </row>
    <row r="12" spans="1:46" ht="15" customHeight="1" x14ac:dyDescent="0.25">
      <c r="A12" t="s">
        <v>189</v>
      </c>
      <c r="B12" t="s">
        <v>317</v>
      </c>
      <c r="C12" t="s">
        <v>204</v>
      </c>
      <c r="D12" t="s">
        <v>191</v>
      </c>
      <c r="E12" t="s">
        <v>318</v>
      </c>
      <c r="F12" t="s">
        <v>319</v>
      </c>
      <c r="G12" t="s">
        <v>320</v>
      </c>
      <c r="H12" t="s">
        <v>321</v>
      </c>
      <c r="I12" t="s">
        <v>322</v>
      </c>
      <c r="J12" t="s">
        <v>323</v>
      </c>
      <c r="K12" t="s">
        <v>324</v>
      </c>
      <c r="L12" t="s">
        <v>325</v>
      </c>
      <c r="M12" t="s">
        <v>326</v>
      </c>
      <c r="N12" t="s">
        <v>327</v>
      </c>
      <c r="O12" t="s">
        <v>328</v>
      </c>
      <c r="P12" t="s">
        <v>329</v>
      </c>
      <c r="Q12" t="s">
        <v>330</v>
      </c>
      <c r="R12" t="s">
        <v>331</v>
      </c>
      <c r="S12" t="s">
        <v>332</v>
      </c>
      <c r="T12" t="s">
        <v>333</v>
      </c>
      <c r="U12" t="s">
        <v>334</v>
      </c>
      <c r="V12" t="s">
        <v>335</v>
      </c>
      <c r="W12" t="s">
        <v>336</v>
      </c>
      <c r="X12" t="s">
        <v>337</v>
      </c>
      <c r="Y12" t="s">
        <v>338</v>
      </c>
      <c r="Z12" t="s">
        <v>339</v>
      </c>
      <c r="AA12" t="s">
        <v>340</v>
      </c>
      <c r="AB12" t="s">
        <v>341</v>
      </c>
      <c r="AC12" t="s">
        <v>342</v>
      </c>
      <c r="AD12" t="s">
        <v>343</v>
      </c>
      <c r="AE12" t="s">
        <v>344</v>
      </c>
      <c r="AF12" t="s">
        <v>345</v>
      </c>
      <c r="AG12" t="s">
        <v>346</v>
      </c>
      <c r="AH12" t="s">
        <v>347</v>
      </c>
      <c r="AI12" t="s">
        <v>348</v>
      </c>
      <c r="AJ12" t="s">
        <v>349</v>
      </c>
      <c r="AK12" t="s">
        <v>350</v>
      </c>
      <c r="AL12" t="s">
        <v>351</v>
      </c>
      <c r="AM12" t="s">
        <v>352</v>
      </c>
      <c r="AN12" t="s">
        <v>353</v>
      </c>
      <c r="AO12" t="s">
        <v>354</v>
      </c>
      <c r="AP12" t="s">
        <v>355</v>
      </c>
      <c r="AQ12" t="s">
        <v>356</v>
      </c>
      <c r="AR12" t="s">
        <v>357</v>
      </c>
      <c r="AS12" t="s">
        <v>358</v>
      </c>
      <c r="AT12" t="s">
        <v>359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360</v>
      </c>
    </row>
    <row r="37" spans="1:48" ht="15.75" customHeight="1" x14ac:dyDescent="0.25">
      <c r="A37" t="s">
        <v>189</v>
      </c>
      <c r="B37" t="s">
        <v>317</v>
      </c>
      <c r="C37" t="s">
        <v>361</v>
      </c>
      <c r="D37" t="s">
        <v>362</v>
      </c>
      <c r="E37" t="s">
        <v>204</v>
      </c>
      <c r="F37" t="s">
        <v>191</v>
      </c>
      <c r="G37" t="s">
        <v>318</v>
      </c>
      <c r="H37" t="s">
        <v>363</v>
      </c>
      <c r="I37" t="s">
        <v>364</v>
      </c>
      <c r="J37" t="s">
        <v>365</v>
      </c>
      <c r="K37" t="s">
        <v>366</v>
      </c>
      <c r="L37" t="s">
        <v>367</v>
      </c>
      <c r="M37" t="s">
        <v>368</v>
      </c>
      <c r="N37" t="s">
        <v>369</v>
      </c>
      <c r="O37" t="s">
        <v>370</v>
      </c>
      <c r="P37" t="s">
        <v>371</v>
      </c>
      <c r="Q37" t="s">
        <v>372</v>
      </c>
      <c r="R37" t="s">
        <v>373</v>
      </c>
      <c r="S37" t="s">
        <v>374</v>
      </c>
      <c r="T37" t="s">
        <v>375</v>
      </c>
      <c r="U37" t="s">
        <v>376</v>
      </c>
      <c r="V37" t="s">
        <v>377</v>
      </c>
      <c r="W37" t="s">
        <v>378</v>
      </c>
      <c r="X37" t="s">
        <v>379</v>
      </c>
      <c r="Y37" t="s">
        <v>380</v>
      </c>
      <c r="Z37" t="s">
        <v>381</v>
      </c>
      <c r="AA37" t="s">
        <v>382</v>
      </c>
      <c r="AB37" t="s">
        <v>383</v>
      </c>
      <c r="AC37" t="s">
        <v>384</v>
      </c>
      <c r="AD37" t="s">
        <v>385</v>
      </c>
      <c r="AE37" t="s">
        <v>386</v>
      </c>
      <c r="AF37" t="s">
        <v>387</v>
      </c>
      <c r="AG37" t="s">
        <v>388</v>
      </c>
      <c r="AH37" t="s">
        <v>389</v>
      </c>
      <c r="AI37" t="s">
        <v>390</v>
      </c>
      <c r="AJ37" t="s">
        <v>391</v>
      </c>
      <c r="AK37" t="s">
        <v>392</v>
      </c>
      <c r="AL37" t="s">
        <v>393</v>
      </c>
      <c r="AM37" t="s">
        <v>394</v>
      </c>
      <c r="AN37" t="s">
        <v>395</v>
      </c>
      <c r="AO37" t="s">
        <v>396</v>
      </c>
      <c r="AP37" t="s">
        <v>397</v>
      </c>
      <c r="AQ37" t="s">
        <v>398</v>
      </c>
      <c r="AR37" t="s">
        <v>399</v>
      </c>
      <c r="AS37" t="s">
        <v>400</v>
      </c>
      <c r="AT37" t="s">
        <v>401</v>
      </c>
      <c r="AU37" t="s">
        <v>402</v>
      </c>
      <c r="AV37" t="s">
        <v>403</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404</v>
      </c>
    </row>
    <row r="72" spans="1:48" ht="15.75" customHeight="1" x14ac:dyDescent="0.25">
      <c r="A72" t="s">
        <v>204</v>
      </c>
      <c r="B72" t="s">
        <v>42</v>
      </c>
      <c r="C72" t="s">
        <v>131</v>
      </c>
      <c r="D72" t="s">
        <v>405</v>
      </c>
      <c r="E72" t="s">
        <v>406</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188</v>
      </c>
      <c r="B1" s="11"/>
      <c r="C1" s="11"/>
      <c r="D1" s="11"/>
      <c r="E1" s="11"/>
      <c r="F1" s="11"/>
      <c r="G1" s="11"/>
      <c r="H1" s="11"/>
      <c r="I1" s="11"/>
      <c r="J1" s="11"/>
      <c r="K1" s="11"/>
      <c r="L1" s="11"/>
      <c r="M1" s="11"/>
      <c r="N1" s="11"/>
      <c r="O1" s="11"/>
      <c r="P1" s="11"/>
      <c r="Q1" s="11"/>
      <c r="R1" s="11"/>
      <c r="S1" s="11"/>
      <c r="T1" s="11"/>
      <c r="U1" s="12"/>
    </row>
    <row r="2" spans="1:21" x14ac:dyDescent="0.25">
      <c r="A2" s="1" t="s">
        <v>189</v>
      </c>
      <c r="B2" s="1" t="s">
        <v>185</v>
      </c>
      <c r="C2" s="1" t="s">
        <v>190</v>
      </c>
      <c r="D2" s="1" t="s">
        <v>191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9" sqref="C19"/>
    </sheetView>
  </sheetViews>
  <sheetFormatPr defaultColWidth="14.42578125" defaultRowHeight="15" customHeight="1" x14ac:dyDescent="0.25"/>
  <cols>
    <col min="1" max="26" width="11.42578125" customWidth="1"/>
  </cols>
  <sheetData>
    <row r="1" spans="1:21" ht="30.75" customHeight="1" x14ac:dyDescent="0.25">
      <c r="A1" s="15" t="s">
        <v>413</v>
      </c>
      <c r="B1" s="14"/>
      <c r="C1" s="14"/>
      <c r="D1" s="14"/>
      <c r="E1" s="14"/>
      <c r="F1" s="14"/>
      <c r="G1" s="14"/>
      <c r="H1" s="14"/>
      <c r="I1" s="14"/>
      <c r="J1" s="14"/>
      <c r="K1" s="14"/>
      <c r="L1" s="14"/>
      <c r="M1" s="14"/>
      <c r="N1" s="14"/>
      <c r="O1" s="14"/>
      <c r="P1" s="14"/>
      <c r="Q1" s="14"/>
      <c r="R1" s="14"/>
      <c r="S1" s="14"/>
      <c r="T1" s="14"/>
      <c r="U1" s="14"/>
    </row>
    <row r="2" spans="1:21" ht="15" customHeight="1" x14ac:dyDescent="0.25">
      <c r="A2" t="s">
        <v>414</v>
      </c>
      <c r="B2" t="s">
        <v>189</v>
      </c>
      <c r="C2" t="s">
        <v>415</v>
      </c>
      <c r="D2" t="s">
        <v>416</v>
      </c>
      <c r="E2" t="s">
        <v>417</v>
      </c>
      <c r="F2" t="s">
        <v>131</v>
      </c>
      <c r="G2" t="s">
        <v>418</v>
      </c>
      <c r="H2" t="s">
        <v>419</v>
      </c>
      <c r="I2" t="s">
        <v>420</v>
      </c>
    </row>
    <row r="3" spans="1:21" ht="15" customHeight="1" x14ac:dyDescent="0.25">
      <c r="A3">
        <v>1</v>
      </c>
      <c r="B3" t="s">
        <v>111</v>
      </c>
      <c r="C3">
        <v>1</v>
      </c>
      <c r="D3">
        <v>1970</v>
      </c>
      <c r="E3">
        <v>1980</v>
      </c>
      <c r="F3">
        <v>1</v>
      </c>
      <c r="G3">
        <v>74.12</v>
      </c>
      <c r="H3">
        <v>-4</v>
      </c>
    </row>
    <row r="4" spans="1:21" ht="15" customHeight="1" x14ac:dyDescent="0.25">
      <c r="A4">
        <v>1</v>
      </c>
      <c r="B4" t="s">
        <v>111</v>
      </c>
      <c r="C4">
        <v>1</v>
      </c>
      <c r="D4">
        <v>1981</v>
      </c>
      <c r="E4">
        <v>2050</v>
      </c>
      <c r="F4">
        <v>1</v>
      </c>
      <c r="G4">
        <v>70.12</v>
      </c>
      <c r="H4">
        <v>-4.5</v>
      </c>
    </row>
    <row r="5" spans="1:21" ht="15" customHeight="1" x14ac:dyDescent="0.25">
      <c r="A5">
        <v>2</v>
      </c>
      <c r="B5" t="s">
        <v>111</v>
      </c>
      <c r="C5">
        <v>1</v>
      </c>
      <c r="D5">
        <v>1970</v>
      </c>
      <c r="E5">
        <v>2050</v>
      </c>
      <c r="F5">
        <v>1</v>
      </c>
      <c r="G5">
        <v>1.92</v>
      </c>
      <c r="H5">
        <v>2.69</v>
      </c>
    </row>
    <row r="6" spans="1:21" ht="15.75" customHeight="1" x14ac:dyDescent="0.25">
      <c r="A6">
        <v>3</v>
      </c>
      <c r="B6" t="s">
        <v>111</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194</v>
      </c>
      <c r="B1" s="11"/>
      <c r="C1" s="11"/>
      <c r="D1" s="11"/>
      <c r="E1" s="11"/>
      <c r="F1" s="11"/>
      <c r="G1" s="11"/>
      <c r="H1" s="11"/>
      <c r="I1" s="11"/>
      <c r="J1" s="11"/>
      <c r="K1" s="11"/>
      <c r="L1" s="11"/>
      <c r="M1" s="11"/>
      <c r="N1" s="11"/>
      <c r="O1" s="11"/>
      <c r="P1" s="11"/>
      <c r="Q1" s="11"/>
      <c r="R1" s="11"/>
      <c r="S1" s="11"/>
      <c r="T1" s="11"/>
      <c r="U1" s="12"/>
    </row>
    <row r="2" spans="1:21" x14ac:dyDescent="0.25">
      <c r="A2" s="1" t="s">
        <v>47</v>
      </c>
      <c r="B2" s="1" t="s">
        <v>192</v>
      </c>
      <c r="C2" s="1" t="s">
        <v>193</v>
      </c>
    </row>
    <row r="3" spans="1:21" x14ac:dyDescent="0.25">
      <c r="A3" s="1" t="s">
        <v>195</v>
      </c>
      <c r="B3" s="5">
        <v>1.61E-6</v>
      </c>
      <c r="C3" s="1">
        <v>2.8681999999999999</v>
      </c>
    </row>
    <row r="4" spans="1:21" x14ac:dyDescent="0.25">
      <c r="A4" s="1" t="s">
        <v>196</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0" t="s">
        <v>197</v>
      </c>
      <c r="B1" s="11"/>
      <c r="C1" s="11"/>
      <c r="D1" s="11"/>
      <c r="E1" s="11"/>
      <c r="F1" s="11"/>
      <c r="G1" s="11"/>
      <c r="H1" s="11"/>
      <c r="I1" s="11"/>
      <c r="J1" s="11"/>
      <c r="K1" s="11"/>
      <c r="L1" s="11"/>
      <c r="M1" s="11"/>
      <c r="N1" s="11"/>
      <c r="O1" s="11"/>
      <c r="P1" s="11"/>
      <c r="Q1" s="11"/>
      <c r="R1" s="11"/>
      <c r="S1" s="11"/>
      <c r="T1" s="11"/>
      <c r="U1" s="12"/>
    </row>
    <row r="2" spans="1:21" x14ac:dyDescent="0.25">
      <c r="A2" s="1" t="s">
        <v>198</v>
      </c>
      <c r="B2" s="1" t="s">
        <v>199</v>
      </c>
      <c r="C2" s="1" t="s">
        <v>46</v>
      </c>
      <c r="D2" s="1" t="s">
        <v>200</v>
      </c>
    </row>
    <row r="3" spans="1:21" x14ac:dyDescent="0.25">
      <c r="A3" s="1">
        <v>1960</v>
      </c>
      <c r="B3" s="1">
        <v>1</v>
      </c>
      <c r="C3" s="1">
        <v>1</v>
      </c>
      <c r="D3" s="1">
        <v>7000000</v>
      </c>
    </row>
    <row r="4" spans="1:21" x14ac:dyDescent="0.25">
      <c r="A4" s="1">
        <v>1961</v>
      </c>
      <c r="B4" s="1">
        <v>1</v>
      </c>
      <c r="C4" s="1">
        <v>1</v>
      </c>
      <c r="D4" s="1">
        <f t="shared" ref="D4:D6" ca="1" si="0">D3+RANDBETWEEN(-1000, 200000)</f>
        <v>7157636</v>
      </c>
    </row>
    <row r="5" spans="1:21" x14ac:dyDescent="0.25">
      <c r="A5" s="1">
        <v>1962</v>
      </c>
      <c r="B5" s="1">
        <v>1</v>
      </c>
      <c r="C5" s="1">
        <v>1</v>
      </c>
      <c r="D5" s="1">
        <f t="shared" ca="1" si="0"/>
        <v>7341882</v>
      </c>
    </row>
    <row r="6" spans="1:21" x14ac:dyDescent="0.25">
      <c r="A6" s="1">
        <v>1963</v>
      </c>
      <c r="B6" s="1">
        <v>1</v>
      </c>
      <c r="C6" s="1">
        <v>1</v>
      </c>
      <c r="D6" s="1">
        <f t="shared" ca="1" si="0"/>
        <v>7381327</v>
      </c>
    </row>
    <row r="7" spans="1:21" x14ac:dyDescent="0.25">
      <c r="A7" s="1">
        <v>1964</v>
      </c>
      <c r="B7" s="1">
        <v>1</v>
      </c>
      <c r="C7" s="1">
        <v>1</v>
      </c>
      <c r="D7" s="1">
        <f ca="1">D6+RANDBETWEEN(-1000, 200000)+50000</f>
        <v>7507090</v>
      </c>
    </row>
    <row r="8" spans="1:21" x14ac:dyDescent="0.25">
      <c r="A8" s="1">
        <v>1965</v>
      </c>
      <c r="B8" s="1">
        <v>1</v>
      </c>
      <c r="C8" s="1">
        <v>1</v>
      </c>
      <c r="D8" s="1">
        <f ca="1">D7+RANDBETWEEN(-1000, 200000)+500000</f>
        <v>8031111</v>
      </c>
    </row>
    <row r="9" spans="1:21" x14ac:dyDescent="0.25">
      <c r="A9" s="1">
        <v>1966</v>
      </c>
      <c r="B9" s="1">
        <v>1</v>
      </c>
      <c r="C9" s="1">
        <v>1</v>
      </c>
      <c r="D9" s="1">
        <f t="shared" ref="D9:D15" ca="1" si="1">D8+RANDBETWEEN(-1000, 200000)</f>
        <v>8172653</v>
      </c>
    </row>
    <row r="10" spans="1:21" x14ac:dyDescent="0.25">
      <c r="A10" s="1">
        <v>1967</v>
      </c>
      <c r="B10" s="1">
        <v>1</v>
      </c>
      <c r="C10" s="1">
        <v>1</v>
      </c>
      <c r="D10" s="1">
        <f t="shared" ca="1" si="1"/>
        <v>8263044</v>
      </c>
    </row>
    <row r="11" spans="1:21" x14ac:dyDescent="0.25">
      <c r="A11" s="1">
        <v>1968</v>
      </c>
      <c r="B11" s="1">
        <v>1</v>
      </c>
      <c r="C11" s="1">
        <v>1</v>
      </c>
      <c r="D11" s="1">
        <f t="shared" ca="1" si="1"/>
        <v>8365611</v>
      </c>
    </row>
    <row r="12" spans="1:21" x14ac:dyDescent="0.25">
      <c r="A12" s="1">
        <v>1969</v>
      </c>
      <c r="B12" s="1">
        <v>1</v>
      </c>
      <c r="C12" s="1">
        <v>1</v>
      </c>
      <c r="D12" s="1">
        <f t="shared" ca="1" si="1"/>
        <v>8382206</v>
      </c>
    </row>
    <row r="13" spans="1:21" x14ac:dyDescent="0.25">
      <c r="A13" s="1">
        <v>1970</v>
      </c>
      <c r="B13" s="1">
        <v>1</v>
      </c>
      <c r="C13" s="1">
        <v>1</v>
      </c>
      <c r="D13" s="1">
        <f t="shared" ca="1" si="1"/>
        <v>8507762</v>
      </c>
    </row>
    <row r="14" spans="1:21" x14ac:dyDescent="0.25">
      <c r="A14" s="1">
        <v>1971</v>
      </c>
      <c r="B14" s="1">
        <v>1</v>
      </c>
      <c r="C14" s="1">
        <v>1</v>
      </c>
      <c r="D14" s="1">
        <f t="shared" ca="1" si="1"/>
        <v>8687260</v>
      </c>
    </row>
    <row r="15" spans="1:21" x14ac:dyDescent="0.25">
      <c r="A15" s="1">
        <v>1972</v>
      </c>
      <c r="B15" s="1">
        <v>1</v>
      </c>
      <c r="C15" s="1">
        <v>1</v>
      </c>
      <c r="D15" s="1">
        <f t="shared" ca="1" si="1"/>
        <v>8823826</v>
      </c>
    </row>
    <row r="16" spans="1:21" x14ac:dyDescent="0.25">
      <c r="A16" s="1">
        <v>1973</v>
      </c>
      <c r="B16" s="1">
        <v>1</v>
      </c>
      <c r="C16" s="1">
        <v>1</v>
      </c>
      <c r="D16" s="1">
        <f ca="1">D15+RANDBETWEEN(-1000, 200000)+1000000</f>
        <v>9936084</v>
      </c>
    </row>
    <row r="17" spans="1:4" x14ac:dyDescent="0.25">
      <c r="A17" s="1">
        <v>1974</v>
      </c>
      <c r="B17" s="1">
        <v>1</v>
      </c>
      <c r="C17" s="1">
        <v>1</v>
      </c>
      <c r="D17" s="1">
        <f ca="1">D16+RANDBETWEEN(-1000, 200000)+250000</f>
        <v>10371230</v>
      </c>
    </row>
    <row r="18" spans="1:4" x14ac:dyDescent="0.25">
      <c r="A18" s="1">
        <v>1975</v>
      </c>
      <c r="B18" s="1">
        <v>1</v>
      </c>
      <c r="C18" s="1">
        <v>1</v>
      </c>
      <c r="D18" s="1">
        <f ca="1">D17+RANDBETWEEN(-1000, 200000)</f>
        <v>10522786</v>
      </c>
    </row>
    <row r="19" spans="1:4" x14ac:dyDescent="0.25">
      <c r="A19" s="1">
        <v>1976</v>
      </c>
      <c r="B19" s="1">
        <v>1</v>
      </c>
      <c r="C19" s="1">
        <v>1</v>
      </c>
      <c r="D19" s="1">
        <f t="shared" ref="D19:D21" ca="1" si="2">D18+RANDBETWEEN(-100000, 200000)</f>
        <v>10573111</v>
      </c>
    </row>
    <row r="20" spans="1:4" x14ac:dyDescent="0.25">
      <c r="A20" s="1">
        <v>1977</v>
      </c>
      <c r="B20" s="1">
        <v>1</v>
      </c>
      <c r="C20" s="1">
        <v>1</v>
      </c>
      <c r="D20" s="1">
        <f t="shared" ca="1" si="2"/>
        <v>10634772</v>
      </c>
    </row>
    <row r="21" spans="1:4" ht="15.75" customHeight="1" x14ac:dyDescent="0.25">
      <c r="A21" s="1">
        <v>1978</v>
      </c>
      <c r="B21" s="1">
        <v>1</v>
      </c>
      <c r="C21" s="1">
        <v>1</v>
      </c>
      <c r="D21" s="1">
        <f t="shared" ca="1" si="2"/>
        <v>10814636</v>
      </c>
    </row>
    <row r="22" spans="1:4" ht="15.75" customHeight="1" x14ac:dyDescent="0.25">
      <c r="A22" s="1">
        <v>1979</v>
      </c>
      <c r="B22" s="1">
        <v>1</v>
      </c>
      <c r="C22" s="1">
        <v>1</v>
      </c>
      <c r="D22" s="1">
        <f ca="1">D21+RANDBETWEEN(-100000, 200000)-1000000</f>
        <v>9846085</v>
      </c>
    </row>
    <row r="23" spans="1:4" ht="15.75" customHeight="1" x14ac:dyDescent="0.25">
      <c r="A23" s="1">
        <v>1980</v>
      </c>
      <c r="B23" s="1">
        <v>1</v>
      </c>
      <c r="C23" s="1">
        <v>1</v>
      </c>
      <c r="D23" s="1">
        <f t="shared" ref="D23:D28" ca="1" si="3">D22+RANDBETWEEN(-100000, 200000)</f>
        <v>9809198</v>
      </c>
    </row>
    <row r="24" spans="1:4" ht="15.75" customHeight="1" x14ac:dyDescent="0.25">
      <c r="A24" s="1">
        <v>1981</v>
      </c>
      <c r="B24" s="1">
        <v>1</v>
      </c>
      <c r="C24" s="1">
        <v>1</v>
      </c>
      <c r="D24" s="1">
        <f t="shared" ca="1" si="3"/>
        <v>9930992</v>
      </c>
    </row>
    <row r="25" spans="1:4" ht="15.75" customHeight="1" x14ac:dyDescent="0.25">
      <c r="A25" s="1">
        <v>1982</v>
      </c>
      <c r="B25" s="1">
        <v>1</v>
      </c>
      <c r="C25" s="1">
        <v>1</v>
      </c>
      <c r="D25" s="1">
        <f t="shared" ca="1" si="3"/>
        <v>10039008</v>
      </c>
    </row>
    <row r="26" spans="1:4" ht="15.75" customHeight="1" x14ac:dyDescent="0.25">
      <c r="A26" s="1">
        <v>1983</v>
      </c>
      <c r="B26" s="1">
        <v>1</v>
      </c>
      <c r="C26" s="1">
        <v>1</v>
      </c>
      <c r="D26" s="1">
        <f t="shared" ca="1" si="3"/>
        <v>10016012</v>
      </c>
    </row>
    <row r="27" spans="1:4" ht="15.75" customHeight="1" x14ac:dyDescent="0.25">
      <c r="A27" s="1">
        <v>1984</v>
      </c>
      <c r="B27" s="1">
        <v>1</v>
      </c>
      <c r="C27" s="1">
        <v>1</v>
      </c>
      <c r="D27" s="1">
        <f t="shared" ca="1" si="3"/>
        <v>10164369</v>
      </c>
    </row>
    <row r="28" spans="1:4" ht="15.75" customHeight="1" x14ac:dyDescent="0.25">
      <c r="A28" s="1">
        <v>1985</v>
      </c>
      <c r="B28" s="1">
        <v>1</v>
      </c>
      <c r="C28" s="1">
        <v>1</v>
      </c>
      <c r="D28" s="1">
        <f t="shared" ca="1" si="3"/>
        <v>10089581</v>
      </c>
    </row>
    <row r="29" spans="1:4" ht="15.75" customHeight="1" x14ac:dyDescent="0.25">
      <c r="A29" s="1">
        <v>1986</v>
      </c>
      <c r="B29" s="1">
        <v>1</v>
      </c>
      <c r="C29" s="1">
        <v>1</v>
      </c>
      <c r="D29" s="1">
        <f ca="1">D28+RANDBETWEEN(-100000, 200000)+3000000</f>
        <v>13106764</v>
      </c>
    </row>
    <row r="30" spans="1:4" ht="15.75" customHeight="1" x14ac:dyDescent="0.25">
      <c r="A30" s="1">
        <v>1987</v>
      </c>
      <c r="B30" s="1">
        <v>1</v>
      </c>
      <c r="C30" s="1">
        <v>1</v>
      </c>
      <c r="D30" s="1">
        <f t="shared" ref="D30:D41" ca="1" si="4">D29+RANDBETWEEN(-100000, 200000)</f>
        <v>13011237</v>
      </c>
    </row>
    <row r="31" spans="1:4" ht="15.75" customHeight="1" x14ac:dyDescent="0.25">
      <c r="A31" s="1">
        <v>1988</v>
      </c>
      <c r="B31" s="1">
        <v>1</v>
      </c>
      <c r="C31" s="1">
        <v>1</v>
      </c>
      <c r="D31" s="1">
        <f t="shared" ca="1" si="4"/>
        <v>13160335</v>
      </c>
    </row>
    <row r="32" spans="1:4" ht="15.75" customHeight="1" x14ac:dyDescent="0.25">
      <c r="A32" s="1">
        <v>1989</v>
      </c>
      <c r="B32" s="1">
        <v>1</v>
      </c>
      <c r="C32" s="1">
        <v>1</v>
      </c>
      <c r="D32" s="1">
        <f t="shared" ca="1" si="4"/>
        <v>13149447</v>
      </c>
    </row>
    <row r="33" spans="1:4" ht="15.75" customHeight="1" x14ac:dyDescent="0.25">
      <c r="A33" s="1">
        <v>1990</v>
      </c>
      <c r="B33" s="1">
        <v>1</v>
      </c>
      <c r="C33" s="1">
        <v>1</v>
      </c>
      <c r="D33" s="1">
        <f t="shared" ca="1" si="4"/>
        <v>13335174</v>
      </c>
    </row>
    <row r="34" spans="1:4" ht="15.75" customHeight="1" x14ac:dyDescent="0.25">
      <c r="A34" s="1">
        <v>1991</v>
      </c>
      <c r="B34" s="1">
        <v>1</v>
      </c>
      <c r="C34" s="1">
        <v>1</v>
      </c>
      <c r="D34" s="1">
        <f t="shared" ca="1" si="4"/>
        <v>13258871</v>
      </c>
    </row>
    <row r="35" spans="1:4" ht="15.75" customHeight="1" x14ac:dyDescent="0.25">
      <c r="A35" s="1">
        <v>1992</v>
      </c>
      <c r="B35" s="1">
        <v>1</v>
      </c>
      <c r="C35" s="1">
        <v>1</v>
      </c>
      <c r="D35" s="1">
        <f t="shared" ca="1" si="4"/>
        <v>13435067</v>
      </c>
    </row>
    <row r="36" spans="1:4" ht="15.75" customHeight="1" x14ac:dyDescent="0.25">
      <c r="A36" s="1">
        <v>1993</v>
      </c>
      <c r="B36" s="1">
        <v>1</v>
      </c>
      <c r="C36" s="1">
        <v>1</v>
      </c>
      <c r="D36" s="1">
        <f t="shared" ca="1" si="4"/>
        <v>13481873</v>
      </c>
    </row>
    <row r="37" spans="1:4" ht="15.75" customHeight="1" x14ac:dyDescent="0.25">
      <c r="A37" s="1">
        <v>1994</v>
      </c>
      <c r="B37" s="1">
        <v>1</v>
      </c>
      <c r="C37" s="1">
        <v>1</v>
      </c>
      <c r="D37" s="1">
        <f t="shared" ca="1" si="4"/>
        <v>13581278</v>
      </c>
    </row>
    <row r="38" spans="1:4" ht="15.75" customHeight="1" x14ac:dyDescent="0.25">
      <c r="A38" s="1">
        <v>1995</v>
      </c>
      <c r="B38" s="1">
        <v>1</v>
      </c>
      <c r="C38" s="1">
        <v>1</v>
      </c>
      <c r="D38" s="1">
        <f t="shared" ca="1" si="4"/>
        <v>13670146</v>
      </c>
    </row>
    <row r="39" spans="1:4" ht="15.75" customHeight="1" x14ac:dyDescent="0.25">
      <c r="A39" s="1">
        <v>1996</v>
      </c>
      <c r="B39" s="1">
        <v>1</v>
      </c>
      <c r="C39" s="1">
        <v>1</v>
      </c>
      <c r="D39" s="1">
        <f t="shared" ca="1" si="4"/>
        <v>13622851</v>
      </c>
    </row>
    <row r="40" spans="1:4" ht="15.75" customHeight="1" x14ac:dyDescent="0.25">
      <c r="A40" s="1">
        <v>1997</v>
      </c>
      <c r="B40" s="1">
        <v>1</v>
      </c>
      <c r="C40" s="1">
        <v>1</v>
      </c>
      <c r="D40" s="1">
        <f t="shared" ca="1" si="4"/>
        <v>13694949</v>
      </c>
    </row>
    <row r="41" spans="1:4" ht="15.75" customHeight="1" x14ac:dyDescent="0.25">
      <c r="A41" s="1">
        <v>1998</v>
      </c>
      <c r="B41" s="1">
        <v>1</v>
      </c>
      <c r="C41" s="1">
        <v>1</v>
      </c>
      <c r="D41" s="1">
        <f t="shared" ca="1" si="4"/>
        <v>13718194</v>
      </c>
    </row>
    <row r="42" spans="1:4" ht="15.75" customHeight="1" x14ac:dyDescent="0.25">
      <c r="A42" s="1">
        <v>1999</v>
      </c>
      <c r="B42" s="1">
        <v>1</v>
      </c>
      <c r="C42" s="1">
        <v>1</v>
      </c>
      <c r="D42" s="6">
        <f ca="1">D41+RANDBETWEEN(-100000, 5000)</f>
        <v>13720413</v>
      </c>
    </row>
    <row r="43" spans="1:4" ht="15.75" customHeight="1" x14ac:dyDescent="0.25">
      <c r="A43" s="1">
        <v>2000</v>
      </c>
      <c r="B43" s="1">
        <v>1</v>
      </c>
      <c r="C43" s="1">
        <v>1</v>
      </c>
      <c r="D43" s="6">
        <f ca="1">D42+RANDBETWEEN(-200000, 10000)</f>
        <v>13570940</v>
      </c>
    </row>
    <row r="44" spans="1:4" ht="15.75" customHeight="1" x14ac:dyDescent="0.25">
      <c r="A44" s="1">
        <v>2001</v>
      </c>
      <c r="B44" s="1">
        <v>1</v>
      </c>
      <c r="C44" s="1">
        <v>1</v>
      </c>
      <c r="D44" s="6">
        <f t="shared" ref="D44:D47" ca="1" si="5">D43+RANDBETWEEN(-500000, 1000)</f>
        <v>13337406</v>
      </c>
    </row>
    <row r="45" spans="1:4" ht="15.75" customHeight="1" x14ac:dyDescent="0.25">
      <c r="A45" s="1">
        <v>2002</v>
      </c>
      <c r="B45" s="1">
        <v>1</v>
      </c>
      <c r="C45" s="1">
        <v>1</v>
      </c>
      <c r="D45" s="6">
        <f t="shared" ca="1" si="5"/>
        <v>13331963</v>
      </c>
    </row>
    <row r="46" spans="1:4" ht="15.75" customHeight="1" x14ac:dyDescent="0.25">
      <c r="A46" s="1">
        <v>2003</v>
      </c>
      <c r="B46" s="1">
        <v>1</v>
      </c>
      <c r="C46" s="1">
        <v>1</v>
      </c>
      <c r="D46" s="6">
        <f t="shared" ca="1" si="5"/>
        <v>13098090</v>
      </c>
    </row>
    <row r="47" spans="1:4" ht="15.75" customHeight="1" x14ac:dyDescent="0.25">
      <c r="A47" s="1">
        <v>2004</v>
      </c>
      <c r="B47" s="1">
        <v>1</v>
      </c>
      <c r="C47" s="1">
        <v>1</v>
      </c>
      <c r="D47" s="6">
        <f t="shared" ca="1" si="5"/>
        <v>13054146</v>
      </c>
    </row>
    <row r="48" spans="1:4" ht="15.75" customHeight="1" x14ac:dyDescent="0.25">
      <c r="A48" s="1">
        <v>2005</v>
      </c>
      <c r="B48" s="1">
        <v>1</v>
      </c>
      <c r="C48" s="1">
        <v>1</v>
      </c>
      <c r="D48" s="1">
        <f ca="1">D47+RANDBETWEEN(-100000, 200000)-1500000</f>
        <v>11731937</v>
      </c>
    </row>
    <row r="49" spans="1:4" ht="15.75" customHeight="1" x14ac:dyDescent="0.25">
      <c r="A49" s="1">
        <v>2006</v>
      </c>
      <c r="B49" s="1">
        <v>1</v>
      </c>
      <c r="C49" s="1">
        <v>1</v>
      </c>
      <c r="D49" s="1">
        <f ca="1">D48+RANDBETWEEN(-100000, 200000)-3000000</f>
        <v>8838701</v>
      </c>
    </row>
    <row r="50" spans="1:4" ht="15.75" customHeight="1" x14ac:dyDescent="0.25">
      <c r="A50" s="1">
        <v>2007</v>
      </c>
      <c r="B50" s="1">
        <v>1</v>
      </c>
      <c r="C50" s="1">
        <v>1</v>
      </c>
      <c r="D50" s="1">
        <f ca="1">D49+RANDBETWEEN(-100000, 200000)-1000000</f>
        <v>7777829</v>
      </c>
    </row>
    <row r="51" spans="1:4" ht="15.75" customHeight="1" x14ac:dyDescent="0.25">
      <c r="A51" s="1">
        <v>2008</v>
      </c>
      <c r="B51" s="1">
        <v>1</v>
      </c>
      <c r="C51" s="1">
        <v>1</v>
      </c>
      <c r="D51" s="1">
        <f t="shared" ref="D51:D67" ca="1" si="6">D50+RANDBETWEEN(-100000, 10000)</f>
        <v>7776374</v>
      </c>
    </row>
    <row r="52" spans="1:4" ht="15.75" customHeight="1" x14ac:dyDescent="0.25">
      <c r="A52" s="1">
        <v>2009</v>
      </c>
      <c r="B52" s="1">
        <v>1</v>
      </c>
      <c r="C52" s="1">
        <v>1</v>
      </c>
      <c r="D52" s="1">
        <f t="shared" ca="1" si="6"/>
        <v>7779919</v>
      </c>
    </row>
    <row r="53" spans="1:4" ht="15.75" customHeight="1" x14ac:dyDescent="0.25">
      <c r="A53" s="1">
        <v>2010</v>
      </c>
      <c r="B53" s="1">
        <v>1</v>
      </c>
      <c r="C53" s="1">
        <v>1</v>
      </c>
      <c r="D53" s="1">
        <f t="shared" ca="1" si="6"/>
        <v>7712978</v>
      </c>
    </row>
    <row r="54" spans="1:4" ht="15.75" customHeight="1" x14ac:dyDescent="0.25">
      <c r="A54" s="1">
        <v>2011</v>
      </c>
      <c r="B54" s="1">
        <v>1</v>
      </c>
      <c r="C54" s="1">
        <v>1</v>
      </c>
      <c r="D54" s="1">
        <f t="shared" ca="1" si="6"/>
        <v>7638219</v>
      </c>
    </row>
    <row r="55" spans="1:4" ht="15.75" customHeight="1" x14ac:dyDescent="0.25">
      <c r="A55" s="1">
        <v>2012</v>
      </c>
      <c r="B55" s="1">
        <v>1</v>
      </c>
      <c r="C55" s="1">
        <v>1</v>
      </c>
      <c r="D55" s="1">
        <f t="shared" ca="1" si="6"/>
        <v>7603661</v>
      </c>
    </row>
    <row r="56" spans="1:4" ht="15.75" customHeight="1" x14ac:dyDescent="0.25">
      <c r="A56" s="1">
        <v>2013</v>
      </c>
      <c r="B56" s="1">
        <v>1</v>
      </c>
      <c r="C56" s="1">
        <v>1</v>
      </c>
      <c r="D56" s="1">
        <f t="shared" ca="1" si="6"/>
        <v>7569057</v>
      </c>
    </row>
    <row r="57" spans="1:4" ht="15.75" customHeight="1" x14ac:dyDescent="0.25">
      <c r="A57" s="1">
        <v>2014</v>
      </c>
      <c r="B57" s="1">
        <v>1</v>
      </c>
      <c r="C57" s="1">
        <v>1</v>
      </c>
      <c r="D57" s="1">
        <f t="shared" ca="1" si="6"/>
        <v>7514457</v>
      </c>
    </row>
    <row r="58" spans="1:4" ht="15.75" customHeight="1" x14ac:dyDescent="0.25">
      <c r="A58" s="1">
        <v>2015</v>
      </c>
      <c r="B58" s="1">
        <v>1</v>
      </c>
      <c r="C58" s="1">
        <v>1</v>
      </c>
      <c r="D58" s="1">
        <f t="shared" ca="1" si="6"/>
        <v>7426310</v>
      </c>
    </row>
    <row r="59" spans="1:4" ht="15.75" customHeight="1" x14ac:dyDescent="0.25">
      <c r="A59" s="1">
        <v>2016</v>
      </c>
      <c r="B59" s="1">
        <v>1</v>
      </c>
      <c r="C59" s="1">
        <v>1</v>
      </c>
      <c r="D59" s="1">
        <f t="shared" ca="1" si="6"/>
        <v>7429876</v>
      </c>
    </row>
    <row r="60" spans="1:4" ht="15.75" customHeight="1" x14ac:dyDescent="0.25">
      <c r="A60" s="1">
        <v>2017</v>
      </c>
      <c r="B60" s="1">
        <v>1</v>
      </c>
      <c r="C60" s="1">
        <v>1</v>
      </c>
      <c r="D60" s="1">
        <f t="shared" ca="1" si="6"/>
        <v>7409818</v>
      </c>
    </row>
    <row r="61" spans="1:4" ht="15.75" customHeight="1" x14ac:dyDescent="0.25">
      <c r="A61" s="1">
        <v>2018</v>
      </c>
      <c r="B61" s="1">
        <v>1</v>
      </c>
      <c r="C61" s="1">
        <v>1</v>
      </c>
      <c r="D61" s="1">
        <f t="shared" ca="1" si="6"/>
        <v>7401923</v>
      </c>
    </row>
    <row r="62" spans="1:4" ht="15.75" customHeight="1" x14ac:dyDescent="0.25">
      <c r="A62" s="1">
        <v>2019</v>
      </c>
      <c r="B62" s="1">
        <v>1</v>
      </c>
      <c r="C62" s="1">
        <v>1</v>
      </c>
      <c r="D62" s="1">
        <f t="shared" ca="1" si="6"/>
        <v>7346312</v>
      </c>
    </row>
    <row r="63" spans="1:4" ht="15.75" customHeight="1" x14ac:dyDescent="0.25">
      <c r="A63" s="1">
        <v>2020</v>
      </c>
      <c r="B63" s="1">
        <v>1</v>
      </c>
      <c r="C63" s="1">
        <v>1</v>
      </c>
      <c r="D63" s="1">
        <f t="shared" ca="1" si="6"/>
        <v>7304822</v>
      </c>
    </row>
    <row r="64" spans="1:4" ht="15.75" customHeight="1" x14ac:dyDescent="0.25">
      <c r="A64" s="1">
        <v>2021</v>
      </c>
      <c r="B64" s="1">
        <v>1</v>
      </c>
      <c r="C64" s="1">
        <v>1</v>
      </c>
      <c r="D64" s="1">
        <f t="shared" ca="1" si="6"/>
        <v>7233720</v>
      </c>
    </row>
    <row r="65" spans="1:4" ht="15.75" customHeight="1" x14ac:dyDescent="0.25">
      <c r="A65" s="1">
        <v>2022</v>
      </c>
      <c r="B65" s="1">
        <v>1</v>
      </c>
      <c r="C65" s="1">
        <v>1</v>
      </c>
      <c r="D65" s="1">
        <f t="shared" ca="1" si="6"/>
        <v>7222131</v>
      </c>
    </row>
    <row r="66" spans="1:4" ht="15.75" customHeight="1" x14ac:dyDescent="0.25">
      <c r="A66" s="1">
        <v>2023</v>
      </c>
      <c r="B66" s="1">
        <v>1</v>
      </c>
      <c r="C66" s="1">
        <v>1</v>
      </c>
      <c r="D66" s="1">
        <f t="shared" ca="1" si="6"/>
        <v>7157607</v>
      </c>
    </row>
    <row r="67" spans="1:4" ht="15.75" customHeight="1" x14ac:dyDescent="0.25">
      <c r="A67" s="1">
        <v>2024</v>
      </c>
      <c r="B67" s="1">
        <v>1</v>
      </c>
      <c r="C67" s="1">
        <v>1</v>
      </c>
      <c r="D67" s="1">
        <f t="shared" ca="1" si="6"/>
        <v>7145639</v>
      </c>
    </row>
    <row r="68" spans="1:4" ht="15.75" customHeight="1" x14ac:dyDescent="0.25">
      <c r="A68" s="1">
        <v>1980</v>
      </c>
      <c r="B68" s="1">
        <v>1</v>
      </c>
      <c r="C68" s="1">
        <v>3</v>
      </c>
      <c r="D68" s="1">
        <f ca="1">200000+RANDBETWEEN(-1000, 30000)</f>
        <v>202828</v>
      </c>
    </row>
    <row r="69" spans="1:4" ht="15.75" customHeight="1" x14ac:dyDescent="0.25">
      <c r="A69" s="1">
        <v>1981</v>
      </c>
      <c r="B69" s="1">
        <v>1</v>
      </c>
      <c r="C69" s="1">
        <v>3</v>
      </c>
      <c r="D69" s="6">
        <f t="shared" ref="D69:D80" ca="1" si="7">D68+RANDBETWEEN(-1000, 30000)</f>
        <v>215094</v>
      </c>
    </row>
    <row r="70" spans="1:4" ht="15.75" customHeight="1" x14ac:dyDescent="0.25">
      <c r="A70" s="1">
        <v>1982</v>
      </c>
      <c r="B70" s="1">
        <v>1</v>
      </c>
      <c r="C70" s="1">
        <v>3</v>
      </c>
      <c r="D70" s="6">
        <f t="shared" ca="1" si="7"/>
        <v>241406</v>
      </c>
    </row>
    <row r="71" spans="1:4" ht="15.75" customHeight="1" x14ac:dyDescent="0.25">
      <c r="A71" s="1">
        <v>1983</v>
      </c>
      <c r="B71" s="1">
        <v>1</v>
      </c>
      <c r="C71" s="1">
        <v>3</v>
      </c>
      <c r="D71" s="6">
        <f t="shared" ca="1" si="7"/>
        <v>244365</v>
      </c>
    </row>
    <row r="72" spans="1:4" ht="15.75" customHeight="1" x14ac:dyDescent="0.25">
      <c r="A72" s="1">
        <v>1984</v>
      </c>
      <c r="B72" s="1">
        <v>1</v>
      </c>
      <c r="C72" s="1">
        <v>3</v>
      </c>
      <c r="D72" s="6">
        <f t="shared" ca="1" si="7"/>
        <v>247290</v>
      </c>
    </row>
    <row r="73" spans="1:4" ht="15.75" customHeight="1" x14ac:dyDescent="0.25">
      <c r="A73" s="1">
        <v>1985</v>
      </c>
      <c r="B73" s="1">
        <v>1</v>
      </c>
      <c r="C73" s="1">
        <v>3</v>
      </c>
      <c r="D73" s="6">
        <f t="shared" ca="1" si="7"/>
        <v>255249</v>
      </c>
    </row>
    <row r="74" spans="1:4" ht="15.75" customHeight="1" x14ac:dyDescent="0.25">
      <c r="A74" s="1">
        <v>1986</v>
      </c>
      <c r="B74" s="1">
        <v>1</v>
      </c>
      <c r="C74" s="1">
        <v>3</v>
      </c>
      <c r="D74" s="6">
        <f t="shared" ca="1" si="7"/>
        <v>258190</v>
      </c>
    </row>
    <row r="75" spans="1:4" ht="15.75" customHeight="1" x14ac:dyDescent="0.25">
      <c r="A75" s="1">
        <v>1987</v>
      </c>
      <c r="B75" s="1">
        <v>1</v>
      </c>
      <c r="C75" s="1">
        <v>3</v>
      </c>
      <c r="D75" s="6">
        <f t="shared" ca="1" si="7"/>
        <v>260045</v>
      </c>
    </row>
    <row r="76" spans="1:4" ht="15.75" customHeight="1" x14ac:dyDescent="0.25">
      <c r="A76" s="1">
        <v>1988</v>
      </c>
      <c r="B76" s="1">
        <v>1</v>
      </c>
      <c r="C76" s="1">
        <v>3</v>
      </c>
      <c r="D76" s="6">
        <f t="shared" ca="1" si="7"/>
        <v>268183</v>
      </c>
    </row>
    <row r="77" spans="1:4" ht="15.75" customHeight="1" x14ac:dyDescent="0.25">
      <c r="A77" s="1">
        <v>1989</v>
      </c>
      <c r="B77" s="1">
        <v>1</v>
      </c>
      <c r="C77" s="1">
        <v>3</v>
      </c>
      <c r="D77" s="6">
        <f t="shared" ca="1" si="7"/>
        <v>278683</v>
      </c>
    </row>
    <row r="78" spans="1:4" ht="15.75" customHeight="1" x14ac:dyDescent="0.25">
      <c r="A78" s="1">
        <v>1990</v>
      </c>
      <c r="B78" s="1">
        <v>1</v>
      </c>
      <c r="C78" s="1">
        <v>3</v>
      </c>
      <c r="D78" s="6">
        <f t="shared" ca="1" si="7"/>
        <v>297934</v>
      </c>
    </row>
    <row r="79" spans="1:4" ht="15.75" customHeight="1" x14ac:dyDescent="0.25">
      <c r="A79" s="1">
        <v>1991</v>
      </c>
      <c r="B79" s="1">
        <v>1</v>
      </c>
      <c r="C79" s="1">
        <v>3</v>
      </c>
      <c r="D79" s="6">
        <f t="shared" ca="1" si="7"/>
        <v>315312</v>
      </c>
    </row>
    <row r="80" spans="1:4" ht="15.75" customHeight="1" x14ac:dyDescent="0.25">
      <c r="A80" s="1">
        <v>1992</v>
      </c>
      <c r="B80" s="1">
        <v>1</v>
      </c>
      <c r="C80" s="1">
        <v>3</v>
      </c>
      <c r="D80" s="6">
        <f t="shared" ca="1" si="7"/>
        <v>343881</v>
      </c>
    </row>
    <row r="81" spans="1:4" ht="15.75" customHeight="1" x14ac:dyDescent="0.25">
      <c r="A81" s="1">
        <v>1993</v>
      </c>
      <c r="B81" s="1">
        <v>1</v>
      </c>
      <c r="C81" s="1">
        <v>3</v>
      </c>
      <c r="D81" s="3">
        <f t="shared" ref="D81:D90" ca="1" si="8">D80+RANDBETWEEN(-1000, 10000)</f>
        <v>343770</v>
      </c>
    </row>
    <row r="82" spans="1:4" ht="15.75" customHeight="1" x14ac:dyDescent="0.25">
      <c r="A82" s="1">
        <v>1994</v>
      </c>
      <c r="B82" s="1">
        <v>1</v>
      </c>
      <c r="C82" s="1">
        <v>3</v>
      </c>
      <c r="D82" s="3">
        <f t="shared" ca="1" si="8"/>
        <v>347499</v>
      </c>
    </row>
    <row r="83" spans="1:4" ht="15.75" customHeight="1" x14ac:dyDescent="0.25">
      <c r="A83" s="1">
        <v>1995</v>
      </c>
      <c r="B83" s="1">
        <v>1</v>
      </c>
      <c r="C83" s="1">
        <v>3</v>
      </c>
      <c r="D83" s="3">
        <f t="shared" ca="1" si="8"/>
        <v>354420</v>
      </c>
    </row>
    <row r="84" spans="1:4" ht="15.75" customHeight="1" x14ac:dyDescent="0.25">
      <c r="A84" s="1">
        <v>1996</v>
      </c>
      <c r="B84" s="1">
        <v>1</v>
      </c>
      <c r="C84" s="1">
        <v>3</v>
      </c>
      <c r="D84" s="3">
        <f t="shared" ca="1" si="8"/>
        <v>362825</v>
      </c>
    </row>
    <row r="85" spans="1:4" ht="15.75" customHeight="1" x14ac:dyDescent="0.25">
      <c r="A85" s="1">
        <v>1997</v>
      </c>
      <c r="B85" s="1">
        <v>1</v>
      </c>
      <c r="C85" s="1">
        <v>3</v>
      </c>
      <c r="D85" s="3">
        <f t="shared" ca="1" si="8"/>
        <v>362290</v>
      </c>
    </row>
    <row r="86" spans="1:4" ht="15.75" customHeight="1" x14ac:dyDescent="0.25">
      <c r="A86" s="1">
        <v>1998</v>
      </c>
      <c r="B86" s="1">
        <v>1</v>
      </c>
      <c r="C86" s="1">
        <v>3</v>
      </c>
      <c r="D86" s="3">
        <f t="shared" ca="1" si="8"/>
        <v>366356</v>
      </c>
    </row>
    <row r="87" spans="1:4" ht="15.75" customHeight="1" x14ac:dyDescent="0.25">
      <c r="A87" s="1">
        <v>1999</v>
      </c>
      <c r="B87" s="1">
        <v>1</v>
      </c>
      <c r="C87" s="1">
        <v>3</v>
      </c>
      <c r="D87" s="3">
        <f t="shared" ca="1" si="8"/>
        <v>371272</v>
      </c>
    </row>
    <row r="88" spans="1:4" ht="15.75" customHeight="1" x14ac:dyDescent="0.25">
      <c r="A88" s="1">
        <v>2000</v>
      </c>
      <c r="B88" s="1">
        <v>1</v>
      </c>
      <c r="C88" s="1">
        <v>3</v>
      </c>
      <c r="D88" s="3">
        <f t="shared" ca="1" si="8"/>
        <v>371280</v>
      </c>
    </row>
    <row r="89" spans="1:4" ht="15.75" customHeight="1" x14ac:dyDescent="0.25">
      <c r="A89" s="1">
        <v>2001</v>
      </c>
      <c r="B89" s="1">
        <v>1</v>
      </c>
      <c r="C89" s="1">
        <v>3</v>
      </c>
      <c r="D89" s="3">
        <f t="shared" ca="1" si="8"/>
        <v>375439</v>
      </c>
    </row>
    <row r="90" spans="1:4" ht="15.75" customHeight="1" x14ac:dyDescent="0.25">
      <c r="A90" s="1">
        <v>2002</v>
      </c>
      <c r="B90" s="1">
        <v>1</v>
      </c>
      <c r="C90" s="1">
        <v>3</v>
      </c>
      <c r="D90" s="3">
        <f t="shared" ca="1" si="8"/>
        <v>379983</v>
      </c>
    </row>
    <row r="91" spans="1:4" ht="15.75" customHeight="1" x14ac:dyDescent="0.25">
      <c r="A91" s="1">
        <v>2003</v>
      </c>
      <c r="B91" s="1">
        <v>1</v>
      </c>
      <c r="C91" s="1">
        <v>3</v>
      </c>
      <c r="D91" s="6">
        <f t="shared" ref="D91:D112" ca="1" si="9">D90+RANDBETWEEN(-5000, 1000)</f>
        <v>376451</v>
      </c>
    </row>
    <row r="92" spans="1:4" ht="15.75" customHeight="1" x14ac:dyDescent="0.25">
      <c r="A92" s="1">
        <v>2004</v>
      </c>
      <c r="B92" s="1">
        <v>1</v>
      </c>
      <c r="C92" s="1">
        <v>3</v>
      </c>
      <c r="D92" s="6">
        <f t="shared" ca="1" si="9"/>
        <v>373174</v>
      </c>
    </row>
    <row r="93" spans="1:4" ht="15.75" customHeight="1" x14ac:dyDescent="0.25">
      <c r="A93" s="1">
        <v>2005</v>
      </c>
      <c r="B93" s="1">
        <v>1</v>
      </c>
      <c r="C93" s="1">
        <v>3</v>
      </c>
      <c r="D93" s="6">
        <f t="shared" ca="1" si="9"/>
        <v>373635</v>
      </c>
    </row>
    <row r="94" spans="1:4" ht="15.75" customHeight="1" x14ac:dyDescent="0.25">
      <c r="A94" s="1">
        <v>2006</v>
      </c>
      <c r="B94" s="1">
        <v>1</v>
      </c>
      <c r="C94" s="1">
        <v>3</v>
      </c>
      <c r="D94" s="6">
        <f t="shared" ca="1" si="9"/>
        <v>372246</v>
      </c>
    </row>
    <row r="95" spans="1:4" ht="15.75" customHeight="1" x14ac:dyDescent="0.25">
      <c r="A95" s="1">
        <v>2007</v>
      </c>
      <c r="B95" s="1">
        <v>1</v>
      </c>
      <c r="C95" s="1">
        <v>3</v>
      </c>
      <c r="D95" s="6">
        <f t="shared" ca="1" si="9"/>
        <v>372405</v>
      </c>
    </row>
    <row r="96" spans="1:4" ht="15.75" customHeight="1" x14ac:dyDescent="0.25">
      <c r="A96" s="1">
        <v>2008</v>
      </c>
      <c r="B96" s="1">
        <v>1</v>
      </c>
      <c r="C96" s="1">
        <v>3</v>
      </c>
      <c r="D96" s="6">
        <f t="shared" ca="1" si="9"/>
        <v>367406</v>
      </c>
    </row>
    <row r="97" spans="1:4" ht="15.75" customHeight="1" x14ac:dyDescent="0.25">
      <c r="A97" s="1">
        <v>2009</v>
      </c>
      <c r="B97" s="1">
        <v>1</v>
      </c>
      <c r="C97" s="1">
        <v>3</v>
      </c>
      <c r="D97" s="6">
        <f t="shared" ca="1" si="9"/>
        <v>368161</v>
      </c>
    </row>
    <row r="98" spans="1:4" ht="15.75" customHeight="1" x14ac:dyDescent="0.25">
      <c r="A98" s="1">
        <v>2010</v>
      </c>
      <c r="B98" s="1">
        <v>1</v>
      </c>
      <c r="C98" s="1">
        <v>3</v>
      </c>
      <c r="D98" s="6">
        <f t="shared" ca="1" si="9"/>
        <v>363577</v>
      </c>
    </row>
    <row r="99" spans="1:4" ht="15.75" customHeight="1" x14ac:dyDescent="0.25">
      <c r="A99" s="1">
        <v>2011</v>
      </c>
      <c r="B99" s="1">
        <v>1</v>
      </c>
      <c r="C99" s="1">
        <v>3</v>
      </c>
      <c r="D99" s="6">
        <f t="shared" ca="1" si="9"/>
        <v>358698</v>
      </c>
    </row>
    <row r="100" spans="1:4" ht="15.75" customHeight="1" x14ac:dyDescent="0.25">
      <c r="A100" s="1">
        <v>2012</v>
      </c>
      <c r="B100" s="1">
        <v>1</v>
      </c>
      <c r="C100" s="1">
        <v>3</v>
      </c>
      <c r="D100" s="6">
        <f t="shared" ca="1" si="9"/>
        <v>359257</v>
      </c>
    </row>
    <row r="101" spans="1:4" ht="15.75" customHeight="1" x14ac:dyDescent="0.25">
      <c r="A101" s="1">
        <v>2013</v>
      </c>
      <c r="B101" s="1">
        <v>1</v>
      </c>
      <c r="C101" s="1">
        <v>3</v>
      </c>
      <c r="D101" s="6">
        <f t="shared" ca="1" si="9"/>
        <v>358630</v>
      </c>
    </row>
    <row r="102" spans="1:4" ht="15.75" customHeight="1" x14ac:dyDescent="0.25">
      <c r="A102" s="1">
        <v>2014</v>
      </c>
      <c r="B102" s="1">
        <v>1</v>
      </c>
      <c r="C102" s="1">
        <v>3</v>
      </c>
      <c r="D102" s="6">
        <f t="shared" ca="1" si="9"/>
        <v>355157</v>
      </c>
    </row>
    <row r="103" spans="1:4" ht="15.75" customHeight="1" x14ac:dyDescent="0.25">
      <c r="A103" s="1">
        <v>2015</v>
      </c>
      <c r="B103" s="1">
        <v>1</v>
      </c>
      <c r="C103" s="1">
        <v>3</v>
      </c>
      <c r="D103" s="6">
        <f t="shared" ca="1" si="9"/>
        <v>351335</v>
      </c>
    </row>
    <row r="104" spans="1:4" ht="15.75" customHeight="1" x14ac:dyDescent="0.25">
      <c r="A104" s="1">
        <v>2016</v>
      </c>
      <c r="B104" s="1">
        <v>1</v>
      </c>
      <c r="C104" s="1">
        <v>3</v>
      </c>
      <c r="D104" s="6">
        <f t="shared" ca="1" si="9"/>
        <v>349986</v>
      </c>
    </row>
    <row r="105" spans="1:4" ht="15.75" customHeight="1" x14ac:dyDescent="0.25">
      <c r="A105" s="1">
        <v>2017</v>
      </c>
      <c r="B105" s="1">
        <v>1</v>
      </c>
      <c r="C105" s="1">
        <v>3</v>
      </c>
      <c r="D105" s="6">
        <f t="shared" ca="1" si="9"/>
        <v>346495</v>
      </c>
    </row>
    <row r="106" spans="1:4" ht="15.75" customHeight="1" x14ac:dyDescent="0.25">
      <c r="A106" s="1">
        <v>2018</v>
      </c>
      <c r="B106" s="1">
        <v>1</v>
      </c>
      <c r="C106" s="1">
        <v>3</v>
      </c>
      <c r="D106" s="6">
        <f t="shared" ca="1" si="9"/>
        <v>343152</v>
      </c>
    </row>
    <row r="107" spans="1:4" ht="15.75" customHeight="1" x14ac:dyDescent="0.25">
      <c r="A107" s="1">
        <v>2019</v>
      </c>
      <c r="B107" s="1">
        <v>1</v>
      </c>
      <c r="C107" s="1">
        <v>3</v>
      </c>
      <c r="D107" s="6">
        <f t="shared" ca="1" si="9"/>
        <v>340491</v>
      </c>
    </row>
    <row r="108" spans="1:4" ht="15.75" customHeight="1" x14ac:dyDescent="0.25">
      <c r="A108" s="1">
        <v>2020</v>
      </c>
      <c r="B108" s="1">
        <v>1</v>
      </c>
      <c r="C108" s="1">
        <v>3</v>
      </c>
      <c r="D108" s="6">
        <f t="shared" ca="1" si="9"/>
        <v>335950</v>
      </c>
    </row>
    <row r="109" spans="1:4" ht="15.75" customHeight="1" x14ac:dyDescent="0.25">
      <c r="A109" s="1">
        <v>2021</v>
      </c>
      <c r="B109" s="1">
        <v>1</v>
      </c>
      <c r="C109" s="1">
        <v>3</v>
      </c>
      <c r="D109" s="6">
        <f t="shared" ca="1" si="9"/>
        <v>334747</v>
      </c>
    </row>
    <row r="110" spans="1:4" ht="15.75" customHeight="1" x14ac:dyDescent="0.25">
      <c r="A110" s="1">
        <v>2022</v>
      </c>
      <c r="B110" s="1">
        <v>1</v>
      </c>
      <c r="C110" s="1">
        <v>3</v>
      </c>
      <c r="D110" s="6">
        <f t="shared" ca="1" si="9"/>
        <v>332335</v>
      </c>
    </row>
    <row r="111" spans="1:4" ht="15.75" customHeight="1" x14ac:dyDescent="0.25">
      <c r="A111" s="1">
        <v>2023</v>
      </c>
      <c r="B111" s="1">
        <v>1</v>
      </c>
      <c r="C111" s="1">
        <v>3</v>
      </c>
      <c r="D111" s="6">
        <f t="shared" ca="1" si="9"/>
        <v>332702</v>
      </c>
    </row>
    <row r="112" spans="1:4" ht="15.75" customHeight="1" x14ac:dyDescent="0.25">
      <c r="A112" s="1">
        <v>2024</v>
      </c>
      <c r="B112" s="1">
        <v>1</v>
      </c>
      <c r="C112" s="1">
        <v>3</v>
      </c>
      <c r="D112" s="6">
        <f t="shared" ca="1" si="9"/>
        <v>332286</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0" t="s">
        <v>201</v>
      </c>
      <c r="B1" s="11"/>
      <c r="C1" s="11"/>
      <c r="D1" s="11"/>
      <c r="E1" s="11"/>
      <c r="F1" s="11"/>
      <c r="G1" s="11"/>
      <c r="H1" s="11"/>
      <c r="I1" s="11"/>
      <c r="J1" s="11"/>
      <c r="K1" s="11"/>
      <c r="L1" s="11"/>
      <c r="M1" s="11"/>
      <c r="N1" s="11"/>
      <c r="O1" s="11"/>
      <c r="P1" s="11"/>
      <c r="Q1" s="11"/>
      <c r="R1" s="11"/>
      <c r="S1" s="11"/>
      <c r="T1" s="11"/>
      <c r="U1" s="12"/>
    </row>
    <row r="2" spans="1:21" x14ac:dyDescent="0.25">
      <c r="A2" s="1" t="s">
        <v>202</v>
      </c>
      <c r="B2" s="1" t="s">
        <v>203</v>
      </c>
      <c r="C2" s="1" t="s">
        <v>189</v>
      </c>
      <c r="D2" s="1" t="s">
        <v>204</v>
      </c>
      <c r="E2" s="1" t="s">
        <v>205</v>
      </c>
      <c r="F2" s="1" t="s">
        <v>206</v>
      </c>
      <c r="G2" s="1" t="s">
        <v>207</v>
      </c>
    </row>
    <row r="3" spans="1:21" x14ac:dyDescent="0.25">
      <c r="A3" s="1">
        <v>0</v>
      </c>
      <c r="B3" s="1">
        <v>1</v>
      </c>
      <c r="C3" s="1" t="s">
        <v>208</v>
      </c>
      <c r="D3" s="1">
        <v>1960</v>
      </c>
      <c r="E3" s="1">
        <v>1</v>
      </c>
      <c r="F3" s="1">
        <v>0.42715553489211999</v>
      </c>
      <c r="G3" s="1">
        <v>0.13781544979354199</v>
      </c>
    </row>
    <row r="4" spans="1:21" x14ac:dyDescent="0.25">
      <c r="A4" s="1">
        <v>0</v>
      </c>
      <c r="B4" s="1">
        <v>1</v>
      </c>
      <c r="C4" s="1" t="s">
        <v>208</v>
      </c>
      <c r="D4" s="1">
        <v>1961</v>
      </c>
      <c r="E4" s="1">
        <v>1</v>
      </c>
      <c r="F4" s="1">
        <v>0.60846668656264302</v>
      </c>
      <c r="G4" s="1">
        <v>0.13519110136513901</v>
      </c>
    </row>
    <row r="5" spans="1:21" x14ac:dyDescent="0.25">
      <c r="A5" s="1">
        <v>0</v>
      </c>
      <c r="B5" s="1">
        <v>1</v>
      </c>
      <c r="C5" s="1" t="s">
        <v>208</v>
      </c>
      <c r="D5" s="1">
        <v>1962</v>
      </c>
      <c r="E5" s="1">
        <v>1</v>
      </c>
      <c r="F5" s="1">
        <v>0.27151724249213599</v>
      </c>
      <c r="G5" s="1">
        <v>0.28829155393706701</v>
      </c>
    </row>
    <row r="6" spans="1:21" x14ac:dyDescent="0.25">
      <c r="A6" s="1">
        <v>0</v>
      </c>
      <c r="B6" s="1">
        <v>1</v>
      </c>
      <c r="C6" s="1" t="s">
        <v>208</v>
      </c>
      <c r="D6" s="1">
        <v>1963</v>
      </c>
      <c r="E6" s="1">
        <v>1</v>
      </c>
      <c r="F6" s="1">
        <v>0.30894434208472199</v>
      </c>
      <c r="G6" s="1">
        <v>0.19956389441769801</v>
      </c>
    </row>
    <row r="7" spans="1:21" x14ac:dyDescent="0.25">
      <c r="A7" s="1">
        <v>0</v>
      </c>
      <c r="B7" s="1">
        <v>1</v>
      </c>
      <c r="C7" s="1" t="s">
        <v>208</v>
      </c>
      <c r="D7" s="1">
        <v>1964</v>
      </c>
      <c r="E7" s="1">
        <v>1</v>
      </c>
      <c r="F7" s="1">
        <v>0.42208881111156599</v>
      </c>
      <c r="G7" s="1">
        <v>0.121277764357951</v>
      </c>
    </row>
    <row r="8" spans="1:21" x14ac:dyDescent="0.25">
      <c r="A8" s="1">
        <v>0</v>
      </c>
      <c r="B8" s="1">
        <v>1</v>
      </c>
      <c r="C8" s="1" t="s">
        <v>208</v>
      </c>
      <c r="D8" s="1">
        <v>1965</v>
      </c>
      <c r="E8" s="1">
        <v>1</v>
      </c>
      <c r="F8" s="1">
        <v>0.25209887455632402</v>
      </c>
      <c r="G8" s="1">
        <v>0.156202254295742</v>
      </c>
    </row>
    <row r="9" spans="1:21" x14ac:dyDescent="0.25">
      <c r="A9" s="1">
        <v>0</v>
      </c>
      <c r="B9" s="1">
        <v>1</v>
      </c>
      <c r="C9" s="1" t="s">
        <v>208</v>
      </c>
      <c r="D9" s="1">
        <v>1966</v>
      </c>
      <c r="E9" s="1">
        <v>1</v>
      </c>
      <c r="F9" s="1">
        <v>0.25893957861136402</v>
      </c>
      <c r="G9" s="1">
        <v>0.13966010035649301</v>
      </c>
    </row>
    <row r="10" spans="1:21" x14ac:dyDescent="0.25">
      <c r="A10" s="1">
        <v>0</v>
      </c>
      <c r="B10" s="1">
        <v>1</v>
      </c>
      <c r="C10" s="1" t="s">
        <v>208</v>
      </c>
      <c r="D10" s="1">
        <v>1967</v>
      </c>
      <c r="E10" s="1">
        <v>1</v>
      </c>
      <c r="F10" s="1">
        <v>0.190567660370771</v>
      </c>
      <c r="G10" s="1">
        <v>0.19916068930574601</v>
      </c>
    </row>
    <row r="11" spans="1:21" x14ac:dyDescent="0.25">
      <c r="A11" s="1">
        <v>0</v>
      </c>
      <c r="B11" s="1">
        <v>1</v>
      </c>
      <c r="C11" s="1" t="s">
        <v>208</v>
      </c>
      <c r="D11" s="1">
        <v>1968</v>
      </c>
      <c r="E11" s="1">
        <v>1</v>
      </c>
      <c r="F11" s="1">
        <v>3.4070374153251398E-2</v>
      </c>
      <c r="G11" s="1">
        <v>0.678265370202627</v>
      </c>
    </row>
    <row r="12" spans="1:21" x14ac:dyDescent="0.25">
      <c r="A12" s="1">
        <v>0</v>
      </c>
      <c r="B12" s="1">
        <v>1</v>
      </c>
      <c r="C12" s="1" t="s">
        <v>208</v>
      </c>
      <c r="D12" s="1">
        <v>1969</v>
      </c>
      <c r="E12" s="1">
        <v>1</v>
      </c>
      <c r="F12" s="1">
        <v>0.311513938315297</v>
      </c>
      <c r="G12" s="1">
        <v>0.105445402388682</v>
      </c>
    </row>
    <row r="13" spans="1:21" x14ac:dyDescent="0.25">
      <c r="A13" s="1">
        <v>0</v>
      </c>
      <c r="B13" s="1">
        <v>1</v>
      </c>
      <c r="C13" s="1" t="s">
        <v>208</v>
      </c>
      <c r="D13" s="1">
        <v>1970</v>
      </c>
      <c r="E13" s="1">
        <v>1</v>
      </c>
      <c r="F13" s="1">
        <v>1.6309238399999999</v>
      </c>
      <c r="G13" s="1">
        <v>0.105282913678278</v>
      </c>
    </row>
    <row r="14" spans="1:21" x14ac:dyDescent="0.25">
      <c r="A14" s="1">
        <v>0</v>
      </c>
      <c r="B14" s="1">
        <v>1</v>
      </c>
      <c r="C14" s="1" t="s">
        <v>208</v>
      </c>
      <c r="D14" s="1">
        <v>1971</v>
      </c>
      <c r="E14" s="1">
        <v>1</v>
      </c>
      <c r="F14" s="1">
        <v>1.4897862599999998</v>
      </c>
      <c r="G14" s="1">
        <v>0.13898731496998901</v>
      </c>
    </row>
    <row r="15" spans="1:21" x14ac:dyDescent="0.25">
      <c r="A15" s="1">
        <v>0</v>
      </c>
      <c r="B15" s="1">
        <v>1</v>
      </c>
      <c r="C15" s="1" t="s">
        <v>208</v>
      </c>
      <c r="D15" s="1">
        <v>1972</v>
      </c>
      <c r="E15" s="1">
        <v>1</v>
      </c>
      <c r="F15" s="1">
        <v>1.0394508599999996</v>
      </c>
      <c r="G15" s="1">
        <v>0.28145656391721702</v>
      </c>
    </row>
    <row r="16" spans="1:21" x14ac:dyDescent="0.25">
      <c r="A16" s="1">
        <v>0</v>
      </c>
      <c r="B16" s="1">
        <v>1</v>
      </c>
      <c r="C16" s="1" t="s">
        <v>208</v>
      </c>
      <c r="D16" s="1">
        <v>1973</v>
      </c>
      <c r="E16" s="1">
        <v>1</v>
      </c>
      <c r="F16" s="1">
        <v>1.3988766399999997</v>
      </c>
      <c r="G16" s="1">
        <v>0.34327038609194999</v>
      </c>
    </row>
    <row r="17" spans="1:7" x14ac:dyDescent="0.25">
      <c r="A17" s="1">
        <v>0</v>
      </c>
      <c r="B17" s="1">
        <v>1</v>
      </c>
      <c r="C17" s="1" t="s">
        <v>208</v>
      </c>
      <c r="D17" s="1">
        <v>1974</v>
      </c>
      <c r="E17" s="1">
        <v>1</v>
      </c>
      <c r="F17" s="1">
        <v>1.7895168899999998</v>
      </c>
      <c r="G17" s="1">
        <v>5.73714976830954E-2</v>
      </c>
    </row>
    <row r="18" spans="1:7" x14ac:dyDescent="0.25">
      <c r="A18" s="1">
        <v>0</v>
      </c>
      <c r="B18" s="1">
        <v>1</v>
      </c>
      <c r="C18" s="1" t="s">
        <v>208</v>
      </c>
      <c r="D18" s="1">
        <v>1975</v>
      </c>
      <c r="E18" s="1">
        <v>1</v>
      </c>
      <c r="F18" s="1">
        <v>1.9392752699999998</v>
      </c>
      <c r="G18" s="1">
        <v>6.3059031628240197E-2</v>
      </c>
    </row>
    <row r="19" spans="1:7" x14ac:dyDescent="0.25">
      <c r="A19" s="1">
        <v>0</v>
      </c>
      <c r="B19" s="1">
        <v>1</v>
      </c>
      <c r="C19" s="1" t="s">
        <v>208</v>
      </c>
      <c r="D19" s="1">
        <v>1976</v>
      </c>
      <c r="E19" s="1">
        <v>1</v>
      </c>
      <c r="F19" s="1">
        <v>1.7035243499999999</v>
      </c>
      <c r="G19" s="1">
        <v>4.98105833524463E-2</v>
      </c>
    </row>
    <row r="20" spans="1:7" x14ac:dyDescent="0.25">
      <c r="A20" s="1">
        <v>0</v>
      </c>
      <c r="B20" s="1">
        <v>1</v>
      </c>
      <c r="C20" s="1" t="s">
        <v>208</v>
      </c>
      <c r="D20" s="1">
        <v>1977</v>
      </c>
      <c r="E20" s="1">
        <v>1</v>
      </c>
      <c r="F20" s="1">
        <v>1.43163153</v>
      </c>
      <c r="G20" s="1">
        <v>3.9461338436437801E-2</v>
      </c>
    </row>
    <row r="21" spans="1:7" ht="15.75" customHeight="1" x14ac:dyDescent="0.25">
      <c r="A21" s="1">
        <v>0</v>
      </c>
      <c r="B21" s="1">
        <v>1</v>
      </c>
      <c r="C21" s="1" t="s">
        <v>208</v>
      </c>
      <c r="D21" s="1">
        <v>1978</v>
      </c>
      <c r="E21" s="1">
        <v>1</v>
      </c>
      <c r="F21" s="1">
        <v>1.1938930200000002</v>
      </c>
      <c r="G21" s="1">
        <v>3.9034571785991901E-2</v>
      </c>
    </row>
    <row r="22" spans="1:7" ht="15.75" customHeight="1" x14ac:dyDescent="0.25">
      <c r="A22" s="1">
        <v>0</v>
      </c>
      <c r="B22" s="1">
        <v>1</v>
      </c>
      <c r="C22" s="1" t="s">
        <v>208</v>
      </c>
      <c r="D22" s="1">
        <v>1979</v>
      </c>
      <c r="E22" s="1">
        <v>1</v>
      </c>
      <c r="F22" s="1">
        <v>1.20540728</v>
      </c>
      <c r="G22" s="1">
        <v>3.6976973168407298E-2</v>
      </c>
    </row>
    <row r="23" spans="1:7" ht="15.75" customHeight="1" x14ac:dyDescent="0.25">
      <c r="A23" s="1">
        <v>0</v>
      </c>
      <c r="B23" s="1">
        <v>1</v>
      </c>
      <c r="C23" s="1" t="s">
        <v>208</v>
      </c>
      <c r="D23" s="1">
        <v>1980</v>
      </c>
      <c r="E23" s="1">
        <v>1</v>
      </c>
      <c r="F23" s="1">
        <v>1.2575484000000001</v>
      </c>
      <c r="G23" s="1">
        <v>3.62608536937747E-2</v>
      </c>
    </row>
    <row r="24" spans="1:7" ht="15.75" customHeight="1" x14ac:dyDescent="0.25">
      <c r="A24" s="1">
        <v>0</v>
      </c>
      <c r="B24" s="1">
        <v>1</v>
      </c>
      <c r="C24" s="1" t="s">
        <v>208</v>
      </c>
      <c r="D24" s="1">
        <v>1981</v>
      </c>
      <c r="E24" s="1">
        <v>1</v>
      </c>
      <c r="F24" s="1">
        <v>0.99791734000000021</v>
      </c>
      <c r="G24" s="1">
        <v>3.6455751062585001E-2</v>
      </c>
    </row>
    <row r="25" spans="1:7" ht="15.75" customHeight="1" x14ac:dyDescent="0.25">
      <c r="A25" s="1">
        <v>0</v>
      </c>
      <c r="B25" s="1">
        <v>1</v>
      </c>
      <c r="C25" s="1" t="s">
        <v>208</v>
      </c>
      <c r="D25" s="1">
        <v>1982</v>
      </c>
      <c r="E25" s="1">
        <v>1</v>
      </c>
      <c r="F25" s="1">
        <v>0.65160909000000011</v>
      </c>
      <c r="G25" s="1">
        <v>3.8212015336421101E-2</v>
      </c>
    </row>
    <row r="26" spans="1:7" ht="15.75" customHeight="1" x14ac:dyDescent="0.25">
      <c r="A26" s="1">
        <v>0</v>
      </c>
      <c r="B26" s="1">
        <v>1</v>
      </c>
      <c r="C26" s="1" t="s">
        <v>208</v>
      </c>
      <c r="D26" s="1">
        <v>1983</v>
      </c>
      <c r="E26" s="1">
        <v>1</v>
      </c>
      <c r="F26" s="1">
        <v>0.76561920000000017</v>
      </c>
      <c r="G26" s="1">
        <v>3.6664491079729397E-2</v>
      </c>
    </row>
    <row r="27" spans="1:7" ht="15.75" customHeight="1" x14ac:dyDescent="0.25">
      <c r="A27" s="1">
        <v>0</v>
      </c>
      <c r="B27" s="1">
        <v>1</v>
      </c>
      <c r="C27" s="1" t="s">
        <v>208</v>
      </c>
      <c r="D27" s="1">
        <v>1984</v>
      </c>
      <c r="E27" s="1">
        <v>1</v>
      </c>
      <c r="F27" s="1">
        <v>0.89206080000000021</v>
      </c>
      <c r="G27" s="1">
        <v>3.52570136358141E-2</v>
      </c>
    </row>
    <row r="28" spans="1:7" ht="15.75" customHeight="1" x14ac:dyDescent="0.25">
      <c r="A28" s="1">
        <v>0</v>
      </c>
      <c r="B28" s="1">
        <v>1</v>
      </c>
      <c r="C28" s="1" t="s">
        <v>208</v>
      </c>
      <c r="D28" s="1">
        <v>1985</v>
      </c>
      <c r="E28" s="1">
        <v>1</v>
      </c>
      <c r="F28" s="1">
        <v>0.61523578000000012</v>
      </c>
      <c r="G28" s="1">
        <v>3.6754413042365097E-2</v>
      </c>
    </row>
    <row r="29" spans="1:7" ht="15.75" customHeight="1" x14ac:dyDescent="0.25">
      <c r="A29" s="1">
        <v>0</v>
      </c>
      <c r="B29" s="1">
        <v>1</v>
      </c>
      <c r="C29" s="1" t="s">
        <v>208</v>
      </c>
      <c r="D29" s="1">
        <v>1986</v>
      </c>
      <c r="E29" s="1">
        <v>1</v>
      </c>
      <c r="F29" s="1">
        <v>0.42026160000000012</v>
      </c>
      <c r="G29" s="1">
        <v>3.5867045574679499E-2</v>
      </c>
    </row>
    <row r="30" spans="1:7" ht="15.75" customHeight="1" x14ac:dyDescent="0.25">
      <c r="A30" s="1">
        <v>0</v>
      </c>
      <c r="B30" s="1">
        <v>1</v>
      </c>
      <c r="C30" s="1" t="s">
        <v>208</v>
      </c>
      <c r="D30" s="1">
        <v>1987</v>
      </c>
      <c r="E30" s="1">
        <v>1</v>
      </c>
      <c r="F30" s="1">
        <v>0.5028357</v>
      </c>
      <c r="G30" s="1">
        <v>3.68834621281032E-2</v>
      </c>
    </row>
    <row r="31" spans="1:7" ht="15.75" customHeight="1" x14ac:dyDescent="0.25">
      <c r="A31" s="1">
        <v>0</v>
      </c>
      <c r="B31" s="1">
        <v>1</v>
      </c>
      <c r="C31" s="1" t="s">
        <v>208</v>
      </c>
      <c r="D31" s="1">
        <v>1988</v>
      </c>
      <c r="E31" s="1">
        <v>1</v>
      </c>
      <c r="F31" s="1">
        <v>0.27189001000000007</v>
      </c>
      <c r="G31" s="1">
        <v>3.4814045365903899E-2</v>
      </c>
    </row>
    <row r="32" spans="1:7" ht="15.75" customHeight="1" x14ac:dyDescent="0.25">
      <c r="A32" s="1">
        <v>0</v>
      </c>
      <c r="B32" s="1">
        <v>1</v>
      </c>
      <c r="C32" s="1" t="s">
        <v>208</v>
      </c>
      <c r="D32" s="1">
        <v>1989</v>
      </c>
      <c r="E32" s="1">
        <v>1</v>
      </c>
      <c r="F32" s="1">
        <v>0.18319680000000005</v>
      </c>
      <c r="G32" s="1">
        <v>6.4158715969505301E-2</v>
      </c>
    </row>
    <row r="33" spans="1:7" ht="15.75" customHeight="1" x14ac:dyDescent="0.25">
      <c r="A33" s="1">
        <v>0</v>
      </c>
      <c r="B33" s="1">
        <v>1</v>
      </c>
      <c r="C33" s="1" t="s">
        <v>208</v>
      </c>
      <c r="D33" s="1">
        <v>1990</v>
      </c>
      <c r="E33" s="1">
        <v>1</v>
      </c>
      <c r="F33" s="1">
        <v>0.42192593000000006</v>
      </c>
      <c r="G33" s="1">
        <v>6.0715890152875797E-2</v>
      </c>
    </row>
    <row r="34" spans="1:7" ht="15.75" customHeight="1" x14ac:dyDescent="0.25">
      <c r="A34" s="1">
        <v>0</v>
      </c>
      <c r="B34" s="1">
        <v>1</v>
      </c>
      <c r="C34" s="1" t="s">
        <v>208</v>
      </c>
      <c r="D34" s="1">
        <v>1991</v>
      </c>
      <c r="E34" s="1">
        <v>1</v>
      </c>
      <c r="F34" s="1">
        <v>0.49748436000000007</v>
      </c>
      <c r="G34" s="1">
        <v>7.9180828054307401E-2</v>
      </c>
    </row>
    <row r="35" spans="1:7" ht="15.75" customHeight="1" x14ac:dyDescent="0.25">
      <c r="A35" s="1">
        <v>0</v>
      </c>
      <c r="B35" s="1">
        <v>1</v>
      </c>
      <c r="C35" s="1" t="s">
        <v>208</v>
      </c>
      <c r="D35" s="1">
        <v>1992</v>
      </c>
      <c r="E35" s="1">
        <v>1</v>
      </c>
      <c r="F35" s="1">
        <v>0.61414336000000003</v>
      </c>
      <c r="G35" s="1">
        <v>6.9196408335781306E-2</v>
      </c>
    </row>
    <row r="36" spans="1:7" ht="15.75" customHeight="1" x14ac:dyDescent="0.25">
      <c r="A36" s="1">
        <v>0</v>
      </c>
      <c r="B36" s="1">
        <v>1</v>
      </c>
      <c r="C36" s="1" t="s">
        <v>208</v>
      </c>
      <c r="D36" s="1">
        <v>1993</v>
      </c>
      <c r="E36" s="1">
        <v>1</v>
      </c>
      <c r="F36" s="1">
        <v>0.56436158000000003</v>
      </c>
      <c r="G36" s="1">
        <v>6.6871695365603306E-2</v>
      </c>
    </row>
    <row r="37" spans="1:7" ht="15.75" customHeight="1" x14ac:dyDescent="0.25">
      <c r="A37" s="1">
        <v>0</v>
      </c>
      <c r="B37" s="1">
        <v>1</v>
      </c>
      <c r="C37" s="1" t="s">
        <v>208</v>
      </c>
      <c r="D37" s="1">
        <v>1994</v>
      </c>
      <c r="E37" s="1">
        <v>1</v>
      </c>
      <c r="F37" s="1">
        <v>0.29769142000000004</v>
      </c>
      <c r="G37" s="1">
        <v>6.0484186873481303E-2</v>
      </c>
    </row>
    <row r="38" spans="1:7" ht="15.75" customHeight="1" x14ac:dyDescent="0.25">
      <c r="A38" s="1">
        <v>0</v>
      </c>
      <c r="B38" s="1">
        <v>1</v>
      </c>
      <c r="C38" s="1" t="s">
        <v>208</v>
      </c>
      <c r="D38" s="1">
        <v>1995</v>
      </c>
      <c r="E38" s="1">
        <v>1</v>
      </c>
      <c r="F38" s="1">
        <v>0.31855290000000003</v>
      </c>
      <c r="G38" s="1">
        <v>6.4066071664348898E-2</v>
      </c>
    </row>
    <row r="39" spans="1:7" ht="15.75" customHeight="1" x14ac:dyDescent="0.25">
      <c r="A39" s="1">
        <v>0</v>
      </c>
      <c r="B39" s="1">
        <v>1</v>
      </c>
      <c r="C39" s="1" t="s">
        <v>208</v>
      </c>
      <c r="D39" s="1">
        <v>1996</v>
      </c>
      <c r="E39" s="1">
        <v>1</v>
      </c>
      <c r="F39" s="1">
        <v>0.17624439</v>
      </c>
      <c r="G39" s="1">
        <v>5.5072101775418901E-2</v>
      </c>
    </row>
    <row r="40" spans="1:7" ht="15.75" customHeight="1" x14ac:dyDescent="0.25">
      <c r="A40" s="1">
        <v>0</v>
      </c>
      <c r="B40" s="1">
        <v>1</v>
      </c>
      <c r="C40" s="1" t="s">
        <v>208</v>
      </c>
      <c r="D40" s="1">
        <v>1997</v>
      </c>
      <c r="E40" s="1">
        <v>1</v>
      </c>
      <c r="F40" s="1">
        <v>0.26826761999999998</v>
      </c>
      <c r="G40" s="1">
        <v>7.5441305939775799E-2</v>
      </c>
    </row>
    <row r="41" spans="1:7" ht="15.75" customHeight="1" x14ac:dyDescent="0.25">
      <c r="A41" s="1">
        <v>0</v>
      </c>
      <c r="B41" s="1">
        <v>1</v>
      </c>
      <c r="C41" s="1" t="s">
        <v>208</v>
      </c>
      <c r="D41" s="1">
        <v>1998</v>
      </c>
      <c r="E41" s="1">
        <v>1</v>
      </c>
      <c r="F41" s="1">
        <v>0.26521261799999996</v>
      </c>
      <c r="G41" s="1">
        <v>8.4727445773459198E-2</v>
      </c>
    </row>
    <row r="42" spans="1:7" ht="15.75" customHeight="1" x14ac:dyDescent="0.25">
      <c r="A42" s="1">
        <v>0</v>
      </c>
      <c r="B42" s="1">
        <v>1</v>
      </c>
      <c r="C42" s="1" t="s">
        <v>208</v>
      </c>
      <c r="D42" s="1">
        <v>1999</v>
      </c>
      <c r="E42" s="1">
        <v>1</v>
      </c>
      <c r="F42" s="1">
        <v>0.36258623400000001</v>
      </c>
      <c r="G42" s="1">
        <v>5.1622558464541002E-2</v>
      </c>
    </row>
    <row r="43" spans="1:7" ht="15.75" customHeight="1" x14ac:dyDescent="0.25">
      <c r="A43" s="1">
        <v>0</v>
      </c>
      <c r="B43" s="1">
        <v>1</v>
      </c>
      <c r="C43" s="1" t="s">
        <v>208</v>
      </c>
      <c r="D43" s="1">
        <v>2000</v>
      </c>
      <c r="E43" s="1">
        <v>1</v>
      </c>
      <c r="F43" s="1">
        <v>0.36758817199999999</v>
      </c>
      <c r="G43" s="1">
        <v>6.0917450393643803E-2</v>
      </c>
    </row>
    <row r="44" spans="1:7" ht="15.75" customHeight="1" x14ac:dyDescent="0.25">
      <c r="A44" s="1">
        <v>0</v>
      </c>
      <c r="B44" s="1">
        <v>1</v>
      </c>
      <c r="C44" s="1" t="s">
        <v>208</v>
      </c>
      <c r="D44" s="1">
        <v>2001</v>
      </c>
      <c r="E44" s="1">
        <v>1</v>
      </c>
      <c r="F44" s="1">
        <v>0.34205024699999997</v>
      </c>
      <c r="G44" s="1">
        <v>4.9260698216010999E-2</v>
      </c>
    </row>
    <row r="45" spans="1:7" ht="15.75" customHeight="1" x14ac:dyDescent="0.25">
      <c r="A45" s="1">
        <v>0</v>
      </c>
      <c r="B45" s="1">
        <v>1</v>
      </c>
      <c r="C45" s="1" t="s">
        <v>208</v>
      </c>
      <c r="D45" s="1">
        <v>2002</v>
      </c>
      <c r="E45" s="1">
        <v>1</v>
      </c>
      <c r="F45" s="1">
        <v>0.32442571799999997</v>
      </c>
      <c r="G45" s="1">
        <v>4.6924571013520003E-2</v>
      </c>
    </row>
    <row r="46" spans="1:7" ht="15.75" customHeight="1" x14ac:dyDescent="0.25">
      <c r="A46" s="1">
        <v>0</v>
      </c>
      <c r="B46" s="1">
        <v>1</v>
      </c>
      <c r="C46" s="1" t="s">
        <v>208</v>
      </c>
      <c r="D46" s="1">
        <v>2003</v>
      </c>
      <c r="E46" s="1">
        <v>1</v>
      </c>
      <c r="F46" s="1">
        <v>0.31905019000000001</v>
      </c>
      <c r="G46" s="1">
        <v>4.8371763112814298E-2</v>
      </c>
    </row>
    <row r="47" spans="1:7" ht="15.75" customHeight="1" x14ac:dyDescent="0.25">
      <c r="A47" s="1">
        <v>0</v>
      </c>
      <c r="B47" s="1">
        <v>1</v>
      </c>
      <c r="C47" s="1" t="s">
        <v>208</v>
      </c>
      <c r="D47" s="1">
        <v>2004</v>
      </c>
      <c r="E47" s="1">
        <v>1</v>
      </c>
      <c r="F47" s="1">
        <v>0.338501889</v>
      </c>
      <c r="G47" s="1">
        <v>5.7052116920408097E-2</v>
      </c>
    </row>
    <row r="48" spans="1:7" ht="15.75" customHeight="1" x14ac:dyDescent="0.25">
      <c r="A48" s="1">
        <v>0</v>
      </c>
      <c r="B48" s="1">
        <v>1</v>
      </c>
      <c r="C48" s="1" t="s">
        <v>208</v>
      </c>
      <c r="D48" s="1">
        <v>2005</v>
      </c>
      <c r="E48" s="1">
        <v>1</v>
      </c>
      <c r="F48" s="1">
        <v>0.27548532999999997</v>
      </c>
      <c r="G48" s="1">
        <v>4.78655433057407E-2</v>
      </c>
    </row>
    <row r="49" spans="1:7" ht="15.75" customHeight="1" x14ac:dyDescent="0.25">
      <c r="A49" s="1">
        <v>0</v>
      </c>
      <c r="B49" s="1">
        <v>1</v>
      </c>
      <c r="C49" s="1" t="s">
        <v>208</v>
      </c>
      <c r="D49" s="1">
        <v>2006</v>
      </c>
      <c r="E49" s="1">
        <v>1</v>
      </c>
      <c r="F49" s="1">
        <v>0.32198900999999996</v>
      </c>
      <c r="G49" s="1">
        <v>4.2053375280584997E-2</v>
      </c>
    </row>
    <row r="50" spans="1:7" ht="15.75" customHeight="1" x14ac:dyDescent="0.25">
      <c r="A50" s="1">
        <v>0</v>
      </c>
      <c r="B50" s="1">
        <v>1</v>
      </c>
      <c r="C50" s="1" t="s">
        <v>208</v>
      </c>
      <c r="D50" s="1">
        <v>2007</v>
      </c>
      <c r="E50" s="1">
        <v>1</v>
      </c>
      <c r="F50" s="1">
        <v>0.30394582399999998</v>
      </c>
      <c r="G50" s="1">
        <v>4.2968231878700802E-2</v>
      </c>
    </row>
    <row r="51" spans="1:7" ht="15.75" customHeight="1" x14ac:dyDescent="0.25">
      <c r="A51" s="1">
        <v>0</v>
      </c>
      <c r="B51" s="1">
        <v>1</v>
      </c>
      <c r="C51" s="1" t="s">
        <v>208</v>
      </c>
      <c r="D51" s="1">
        <v>2008</v>
      </c>
      <c r="E51" s="1">
        <v>1</v>
      </c>
      <c r="F51" s="1">
        <v>0.36662111199999992</v>
      </c>
      <c r="G51" s="1">
        <v>5.3626373924765401E-2</v>
      </c>
    </row>
    <row r="52" spans="1:7" ht="15.75" customHeight="1" x14ac:dyDescent="0.25">
      <c r="A52" s="1">
        <v>0</v>
      </c>
      <c r="B52" s="1">
        <v>1</v>
      </c>
      <c r="C52" s="1" t="s">
        <v>208</v>
      </c>
      <c r="D52" s="1">
        <v>2009</v>
      </c>
      <c r="E52" s="1">
        <v>1</v>
      </c>
      <c r="F52" s="1">
        <v>0.40565912699999995</v>
      </c>
      <c r="G52" s="1">
        <v>6.6333048785106194E-2</v>
      </c>
    </row>
    <row r="53" spans="1:7" ht="15.75" customHeight="1" x14ac:dyDescent="0.25">
      <c r="A53" s="1">
        <v>0</v>
      </c>
      <c r="B53" s="1">
        <v>1</v>
      </c>
      <c r="C53" s="1" t="s">
        <v>208</v>
      </c>
      <c r="D53" s="1">
        <v>2010</v>
      </c>
      <c r="E53" s="1">
        <v>1</v>
      </c>
      <c r="F53" s="1">
        <v>0.46945982499999994</v>
      </c>
      <c r="G53" s="1">
        <v>6.5099337549702901E-2</v>
      </c>
    </row>
    <row r="54" spans="1:7" ht="15.75" customHeight="1" x14ac:dyDescent="0.25">
      <c r="A54" s="1">
        <v>0</v>
      </c>
      <c r="B54" s="1">
        <v>1</v>
      </c>
      <c r="C54" s="1" t="s">
        <v>208</v>
      </c>
      <c r="D54" s="1">
        <v>2011</v>
      </c>
      <c r="E54" s="1">
        <v>1</v>
      </c>
      <c r="F54" s="1">
        <v>0.54181425699999997</v>
      </c>
      <c r="G54" s="1">
        <v>5.02528798174968E-2</v>
      </c>
    </row>
    <row r="55" spans="1:7" ht="15.75" customHeight="1" x14ac:dyDescent="0.25">
      <c r="A55" s="1">
        <v>0</v>
      </c>
      <c r="B55" s="1">
        <v>1</v>
      </c>
      <c r="C55" s="1" t="s">
        <v>208</v>
      </c>
      <c r="D55" s="1">
        <v>2012</v>
      </c>
      <c r="E55" s="1">
        <v>1</v>
      </c>
      <c r="F55" s="1">
        <v>0.57318294899999989</v>
      </c>
      <c r="G55" s="1">
        <v>4.34837041416491E-2</v>
      </c>
    </row>
    <row r="56" spans="1:7" ht="15.75" customHeight="1" x14ac:dyDescent="0.25">
      <c r="A56" s="1">
        <v>0</v>
      </c>
      <c r="B56" s="1">
        <v>1</v>
      </c>
      <c r="C56" s="1" t="s">
        <v>208</v>
      </c>
      <c r="D56" s="1">
        <v>2013</v>
      </c>
      <c r="E56" s="1">
        <v>1</v>
      </c>
      <c r="F56" s="1">
        <v>0.56916885599999989</v>
      </c>
      <c r="G56" s="1">
        <v>5.3015148030903098E-2</v>
      </c>
    </row>
    <row r="57" spans="1:7" ht="15.75" customHeight="1" x14ac:dyDescent="0.25">
      <c r="A57" s="1">
        <v>0</v>
      </c>
      <c r="B57" s="1">
        <v>1</v>
      </c>
      <c r="C57" s="1" t="s">
        <v>208</v>
      </c>
      <c r="D57" s="1">
        <v>2014</v>
      </c>
      <c r="E57" s="1">
        <v>1</v>
      </c>
      <c r="F57" s="1">
        <v>0.56412328499999986</v>
      </c>
      <c r="G57" s="1">
        <v>4.9253294793636097E-2</v>
      </c>
    </row>
    <row r="58" spans="1:7" ht="15.75" customHeight="1" x14ac:dyDescent="0.25">
      <c r="A58" s="1">
        <v>0</v>
      </c>
      <c r="B58" s="1">
        <v>1</v>
      </c>
      <c r="C58" s="1" t="s">
        <v>208</v>
      </c>
      <c r="D58" s="1">
        <v>2015</v>
      </c>
      <c r="E58" s="1">
        <v>1</v>
      </c>
      <c r="F58" s="1">
        <v>0.75433072099999976</v>
      </c>
      <c r="G58" s="1">
        <v>5.7289868369422903E-2</v>
      </c>
    </row>
    <row r="59" spans="1:7" ht="15.75" customHeight="1" x14ac:dyDescent="0.25">
      <c r="A59" s="1">
        <v>0</v>
      </c>
      <c r="B59" s="1">
        <v>1</v>
      </c>
      <c r="C59" s="1" t="s">
        <v>208</v>
      </c>
      <c r="D59" s="1">
        <v>2016</v>
      </c>
      <c r="E59" s="1">
        <v>1</v>
      </c>
      <c r="F59" s="1">
        <v>0.84750463199999992</v>
      </c>
      <c r="G59" s="1">
        <v>4.8617566921277798E-2</v>
      </c>
    </row>
    <row r="60" spans="1:7" ht="15.75" customHeight="1" x14ac:dyDescent="0.25">
      <c r="A60" s="1">
        <v>0</v>
      </c>
      <c r="B60" s="1">
        <v>1</v>
      </c>
      <c r="C60" s="1" t="s">
        <v>208</v>
      </c>
      <c r="D60" s="1">
        <v>2017</v>
      </c>
      <c r="E60" s="1">
        <v>1</v>
      </c>
      <c r="F60" s="1">
        <v>0.88810639999999974</v>
      </c>
      <c r="G60" s="1">
        <v>4.9164111142390401E-2</v>
      </c>
    </row>
    <row r="61" spans="1:7" ht="15.75" customHeight="1" x14ac:dyDescent="0.25">
      <c r="A61" s="1">
        <v>0</v>
      </c>
      <c r="B61" s="1">
        <v>1</v>
      </c>
      <c r="C61" s="1" t="s">
        <v>208</v>
      </c>
      <c r="D61" s="1">
        <v>2018</v>
      </c>
      <c r="E61" s="1">
        <v>1</v>
      </c>
      <c r="F61" s="1">
        <v>0.96063149999999975</v>
      </c>
      <c r="G61" s="1">
        <v>4.9327279438456002E-2</v>
      </c>
    </row>
    <row r="62" spans="1:7" ht="15.75" customHeight="1" x14ac:dyDescent="0.25">
      <c r="A62" s="1">
        <v>0</v>
      </c>
      <c r="B62" s="1">
        <v>1</v>
      </c>
      <c r="C62" s="1" t="s">
        <v>208</v>
      </c>
      <c r="D62" s="1">
        <v>2019</v>
      </c>
      <c r="E62" s="1">
        <v>1</v>
      </c>
      <c r="F62" s="1">
        <v>1.0720371999999998</v>
      </c>
      <c r="G62" s="1">
        <v>4.8180261015612097E-2</v>
      </c>
    </row>
    <row r="63" spans="1:7" ht="15.75" customHeight="1" x14ac:dyDescent="0.25">
      <c r="A63" s="1">
        <v>0</v>
      </c>
      <c r="B63" s="1">
        <v>1</v>
      </c>
      <c r="C63" s="1" t="s">
        <v>208</v>
      </c>
      <c r="D63" s="1">
        <v>2020</v>
      </c>
      <c r="E63" s="1">
        <v>1</v>
      </c>
      <c r="F63" s="1">
        <v>1.1498861999999999</v>
      </c>
      <c r="G63" s="1">
        <v>4.3893600594459702E-2</v>
      </c>
    </row>
    <row r="64" spans="1:7" ht="15.75" customHeight="1" x14ac:dyDescent="0.25">
      <c r="A64" s="1">
        <v>0</v>
      </c>
      <c r="B64" s="1">
        <v>1</v>
      </c>
      <c r="C64" s="1" t="s">
        <v>208</v>
      </c>
      <c r="D64" s="1">
        <v>2021</v>
      </c>
      <c r="E64" s="1">
        <v>1</v>
      </c>
      <c r="F64" s="1">
        <v>1.2459490999999998</v>
      </c>
      <c r="G64" s="1">
        <v>4.5585716128643497E-2</v>
      </c>
    </row>
    <row r="65" spans="1:7" ht="15.75" customHeight="1" x14ac:dyDescent="0.25">
      <c r="A65" s="1">
        <v>0</v>
      </c>
      <c r="B65" s="1">
        <v>1</v>
      </c>
      <c r="C65" s="1" t="s">
        <v>208</v>
      </c>
      <c r="D65" s="1">
        <v>2022</v>
      </c>
      <c r="E65" s="1">
        <v>1</v>
      </c>
      <c r="F65" s="1">
        <v>1.2434739199999998</v>
      </c>
      <c r="G65" s="1">
        <v>4.9120455316691403E-2</v>
      </c>
    </row>
    <row r="66" spans="1:7" ht="15.75" customHeight="1" x14ac:dyDescent="0.25">
      <c r="A66" s="1">
        <v>0</v>
      </c>
      <c r="B66" s="1">
        <v>1</v>
      </c>
      <c r="C66" s="1" t="s">
        <v>208</v>
      </c>
      <c r="D66" s="1">
        <v>2023</v>
      </c>
      <c r="E66" s="1">
        <v>1</v>
      </c>
      <c r="F66" s="1">
        <v>1.5280919999999996</v>
      </c>
      <c r="G66" s="1">
        <v>4.1317511140728798E-2</v>
      </c>
    </row>
    <row r="67" spans="1:7" ht="15.75" customHeight="1" x14ac:dyDescent="0.25">
      <c r="A67" s="1">
        <v>0</v>
      </c>
      <c r="B67" s="1">
        <v>1</v>
      </c>
      <c r="C67" s="1" t="s">
        <v>208</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0" t="s">
        <v>209</v>
      </c>
      <c r="B1" s="11"/>
      <c r="C1" s="11"/>
      <c r="D1" s="11"/>
      <c r="E1" s="11"/>
      <c r="F1" s="11"/>
      <c r="G1" s="11"/>
      <c r="H1" s="11"/>
      <c r="I1" s="11"/>
      <c r="J1" s="11"/>
      <c r="K1" s="11"/>
      <c r="L1" s="11"/>
      <c r="M1" s="11"/>
      <c r="N1" s="11"/>
      <c r="O1" s="11"/>
      <c r="P1" s="11"/>
      <c r="Q1" s="11"/>
      <c r="R1" s="11"/>
      <c r="S1" s="11"/>
      <c r="T1" s="11"/>
      <c r="U1" s="12"/>
    </row>
    <row r="2" spans="1:66" x14ac:dyDescent="0.25">
      <c r="A2" s="7" t="s">
        <v>203</v>
      </c>
      <c r="B2" s="1" t="s">
        <v>189</v>
      </c>
      <c r="C2" s="1" t="s">
        <v>184</v>
      </c>
      <c r="D2" s="1" t="s">
        <v>191</v>
      </c>
      <c r="E2" s="1" t="s">
        <v>210</v>
      </c>
      <c r="F2" s="1" t="s">
        <v>211</v>
      </c>
      <c r="G2" s="1" t="s">
        <v>212</v>
      </c>
      <c r="H2" s="1" t="s">
        <v>213</v>
      </c>
      <c r="I2" s="1" t="s">
        <v>214</v>
      </c>
      <c r="J2" s="1" t="s">
        <v>215</v>
      </c>
      <c r="K2" s="1" t="s">
        <v>216</v>
      </c>
      <c r="L2" s="1" t="s">
        <v>217</v>
      </c>
      <c r="M2" s="1" t="s">
        <v>218</v>
      </c>
      <c r="N2" s="1" t="s">
        <v>219</v>
      </c>
      <c r="O2" s="1" t="s">
        <v>220</v>
      </c>
      <c r="P2" s="1" t="s">
        <v>221</v>
      </c>
      <c r="Q2" s="1" t="s">
        <v>222</v>
      </c>
      <c r="R2" s="1" t="s">
        <v>223</v>
      </c>
      <c r="S2" s="1" t="s">
        <v>224</v>
      </c>
      <c r="T2" s="1" t="s">
        <v>225</v>
      </c>
      <c r="U2" s="1" t="s">
        <v>226</v>
      </c>
      <c r="V2" s="1" t="s">
        <v>227</v>
      </c>
      <c r="W2" s="1" t="s">
        <v>228</v>
      </c>
      <c r="X2" s="1" t="s">
        <v>229</v>
      </c>
      <c r="Y2" s="1" t="s">
        <v>230</v>
      </c>
      <c r="Z2" s="1" t="s">
        <v>231</v>
      </c>
      <c r="AA2" s="1" t="s">
        <v>232</v>
      </c>
      <c r="AB2" s="1" t="s">
        <v>233</v>
      </c>
      <c r="AC2" s="1" t="s">
        <v>234</v>
      </c>
      <c r="AD2" s="1" t="s">
        <v>235</v>
      </c>
      <c r="AE2" s="1" t="s">
        <v>236</v>
      </c>
      <c r="AF2" s="1" t="s">
        <v>237</v>
      </c>
      <c r="AG2" s="1" t="s">
        <v>238</v>
      </c>
      <c r="AH2" s="1" t="s">
        <v>239</v>
      </c>
      <c r="AI2" s="1" t="s">
        <v>240</v>
      </c>
      <c r="AJ2" s="1" t="s">
        <v>241</v>
      </c>
      <c r="AK2" s="1" t="s">
        <v>242</v>
      </c>
      <c r="AL2" s="1" t="s">
        <v>243</v>
      </c>
      <c r="AM2" s="1" t="s">
        <v>244</v>
      </c>
      <c r="AN2" s="1" t="s">
        <v>245</v>
      </c>
      <c r="AO2" s="1" t="s">
        <v>246</v>
      </c>
      <c r="AP2" s="1" t="s">
        <v>247</v>
      </c>
      <c r="AQ2" s="1" t="s">
        <v>248</v>
      </c>
      <c r="AR2" s="1" t="s">
        <v>249</v>
      </c>
      <c r="AS2" s="1" t="s">
        <v>250</v>
      </c>
      <c r="AT2" s="1" t="s">
        <v>251</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0" t="s">
        <v>123</v>
      </c>
      <c r="B1" s="11"/>
      <c r="C1" s="11"/>
      <c r="D1" s="11"/>
      <c r="E1" s="11"/>
      <c r="F1" s="11"/>
      <c r="G1" s="11"/>
      <c r="H1" s="11"/>
      <c r="I1" s="11"/>
      <c r="J1" s="11"/>
      <c r="K1" s="11"/>
      <c r="L1" s="11"/>
      <c r="M1" s="11"/>
      <c r="N1" s="11"/>
      <c r="O1" s="11"/>
      <c r="P1" s="11"/>
      <c r="Q1" s="11"/>
      <c r="R1" s="11"/>
      <c r="S1" s="11"/>
      <c r="T1" s="11"/>
      <c r="U1" s="12"/>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10" t="s">
        <v>252</v>
      </c>
      <c r="B1" s="11"/>
      <c r="C1" s="11"/>
      <c r="D1" s="11"/>
      <c r="E1" s="11"/>
      <c r="F1" s="11"/>
      <c r="G1" s="11"/>
      <c r="H1" s="11"/>
      <c r="I1" s="11"/>
      <c r="J1" s="11"/>
      <c r="K1" s="11"/>
      <c r="L1" s="11"/>
      <c r="M1" s="11"/>
      <c r="N1" s="11"/>
      <c r="O1" s="11"/>
      <c r="P1" s="11"/>
      <c r="Q1" s="11"/>
      <c r="R1" s="11"/>
      <c r="S1" s="11"/>
      <c r="T1" s="12"/>
    </row>
    <row r="2" spans="1:20" x14ac:dyDescent="0.25">
      <c r="A2" s="1" t="s">
        <v>106</v>
      </c>
      <c r="B2" s="1" t="s">
        <v>131</v>
      </c>
      <c r="C2" s="1" t="s">
        <v>42</v>
      </c>
      <c r="D2" s="1" t="s">
        <v>253</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10" t="s">
        <v>99</v>
      </c>
      <c r="B1" s="11"/>
      <c r="C1" s="11"/>
      <c r="D1" s="11"/>
      <c r="E1" s="11"/>
      <c r="F1" s="11"/>
      <c r="G1" s="11"/>
      <c r="H1" s="11"/>
      <c r="I1" s="11"/>
      <c r="J1" s="11"/>
      <c r="K1" s="11"/>
      <c r="L1" s="11"/>
      <c r="M1" s="11"/>
      <c r="N1" s="11"/>
      <c r="O1" s="11"/>
      <c r="P1" s="11"/>
      <c r="Q1" s="11"/>
      <c r="R1" s="11"/>
      <c r="S1" s="11"/>
      <c r="T1" s="11"/>
      <c r="U1" s="11"/>
      <c r="V1" s="11"/>
      <c r="W1" s="12"/>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3" t="s">
        <v>298</v>
      </c>
      <c r="B1" s="16"/>
      <c r="C1" s="16"/>
      <c r="D1" s="16"/>
      <c r="E1" s="16"/>
      <c r="F1" s="16"/>
      <c r="G1" s="16"/>
      <c r="H1" s="16"/>
      <c r="I1" s="16"/>
      <c r="J1" s="16"/>
      <c r="K1" s="16"/>
      <c r="L1" s="16"/>
      <c r="M1" s="16"/>
      <c r="N1" s="16"/>
      <c r="O1" s="16"/>
      <c r="P1" s="16"/>
      <c r="Q1" s="16"/>
      <c r="R1" s="16"/>
      <c r="S1" s="16"/>
      <c r="T1" s="16"/>
      <c r="U1" s="16"/>
      <c r="V1" s="16"/>
      <c r="W1" s="16"/>
    </row>
    <row r="2" spans="1:83" ht="15" customHeight="1" x14ac:dyDescent="0.25">
      <c r="A2" t="s">
        <v>299</v>
      </c>
      <c r="B2" t="s">
        <v>300</v>
      </c>
      <c r="C2" t="s">
        <v>203</v>
      </c>
      <c r="D2" t="s">
        <v>189</v>
      </c>
      <c r="E2" t="s">
        <v>301</v>
      </c>
      <c r="F2" t="s">
        <v>185</v>
      </c>
      <c r="G2" t="s">
        <v>48</v>
      </c>
      <c r="H2" s="8" t="s">
        <v>254</v>
      </c>
      <c r="I2" s="8" t="s">
        <v>302</v>
      </c>
      <c r="J2" s="8" t="s">
        <v>303</v>
      </c>
      <c r="K2" s="1" t="s">
        <v>256</v>
      </c>
      <c r="L2" s="1" t="s">
        <v>257</v>
      </c>
      <c r="M2" s="1" t="s">
        <v>258</v>
      </c>
      <c r="N2" s="1" t="s">
        <v>259</v>
      </c>
      <c r="O2" s="1" t="s">
        <v>260</v>
      </c>
      <c r="P2" s="1" t="s">
        <v>261</v>
      </c>
      <c r="Q2" s="1" t="s">
        <v>262</v>
      </c>
      <c r="R2" s="1" t="s">
        <v>263</v>
      </c>
      <c r="S2" s="1" t="s">
        <v>264</v>
      </c>
      <c r="T2" s="1" t="s">
        <v>265</v>
      </c>
      <c r="U2" s="1" t="s">
        <v>266</v>
      </c>
      <c r="V2" s="1" t="s">
        <v>267</v>
      </c>
      <c r="W2" s="1" t="s">
        <v>268</v>
      </c>
      <c r="X2" s="1" t="s">
        <v>269</v>
      </c>
      <c r="Y2" s="1" t="s">
        <v>270</v>
      </c>
      <c r="Z2" s="1" t="s">
        <v>271</v>
      </c>
      <c r="AA2" s="1" t="s">
        <v>272</v>
      </c>
      <c r="AB2" s="1" t="s">
        <v>273</v>
      </c>
      <c r="AC2" s="1" t="s">
        <v>274</v>
      </c>
      <c r="AD2" s="1" t="s">
        <v>275</v>
      </c>
      <c r="AE2" s="1" t="s">
        <v>276</v>
      </c>
      <c r="AF2" s="1" t="s">
        <v>277</v>
      </c>
      <c r="AG2" s="1" t="s">
        <v>278</v>
      </c>
      <c r="AH2" s="1" t="s">
        <v>279</v>
      </c>
      <c r="AI2" s="1" t="s">
        <v>280</v>
      </c>
      <c r="AJ2" s="1" t="s">
        <v>281</v>
      </c>
      <c r="AK2" s="1" t="s">
        <v>282</v>
      </c>
      <c r="AL2" s="1" t="s">
        <v>283</v>
      </c>
      <c r="AM2" s="1" t="s">
        <v>284</v>
      </c>
      <c r="AN2" s="1" t="s">
        <v>285</v>
      </c>
      <c r="AO2" s="1" t="s">
        <v>286</v>
      </c>
      <c r="AP2" s="1" t="s">
        <v>287</v>
      </c>
      <c r="AQ2" s="1" t="s">
        <v>288</v>
      </c>
      <c r="AR2" s="1" t="s">
        <v>289</v>
      </c>
      <c r="AS2" s="1" t="s">
        <v>290</v>
      </c>
      <c r="AT2" s="1" t="s">
        <v>291</v>
      </c>
      <c r="AU2" s="1" t="s">
        <v>292</v>
      </c>
      <c r="AV2" s="1" t="s">
        <v>293</v>
      </c>
      <c r="AW2" s="1" t="s">
        <v>294</v>
      </c>
      <c r="AX2" s="1" t="s">
        <v>295</v>
      </c>
      <c r="AY2" s="1" t="s">
        <v>296</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297</v>
      </c>
      <c r="B3" t="s">
        <v>297</v>
      </c>
      <c r="C3">
        <v>1</v>
      </c>
      <c r="D3" t="s">
        <v>297</v>
      </c>
      <c r="E3" t="s">
        <v>297</v>
      </c>
      <c r="F3" t="s">
        <v>297</v>
      </c>
      <c r="G3" t="s">
        <v>304</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297</v>
      </c>
      <c r="B4" t="s">
        <v>297</v>
      </c>
      <c r="C4">
        <v>3</v>
      </c>
      <c r="D4" t="s">
        <v>297</v>
      </c>
      <c r="E4" t="s">
        <v>297</v>
      </c>
      <c r="F4" t="s">
        <v>297</v>
      </c>
      <c r="G4" t="s">
        <v>305</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297</v>
      </c>
      <c r="B5" t="s">
        <v>297</v>
      </c>
      <c r="C5" t="s">
        <v>297</v>
      </c>
      <c r="D5" t="s">
        <v>297</v>
      </c>
      <c r="E5" t="s">
        <v>297</v>
      </c>
      <c r="F5" t="s">
        <v>297</v>
      </c>
      <c r="G5" t="s">
        <v>255</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2026-02-20T07:29:25Z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