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nd\IMuLT\inst\extdata\"/>
    </mc:Choice>
  </mc:AlternateContent>
  <xr:revisionPtr revIDLastSave="0" documentId="13_ncr:1_{866AA35F-44BE-4F59-B266-501598FFE7F8}" xr6:coauthVersionLast="47" xr6:coauthVersionMax="47" xr10:uidLastSave="{00000000-0000-0000-0000-000000000000}"/>
  <bookViews>
    <workbookView xWindow="-120" yWindow="-120" windowWidth="29040" windowHeight="15720" tabRatio="884" activeTab="6"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IsWhite" sheetId="15" r:id="rId13"/>
    <sheet name="maturity" sheetId="16" r:id="rId14"/>
    <sheet name="lengthweight" sheetId="17" r:id="rId15"/>
    <sheet name="Catch" sheetId="18" r:id="rId16"/>
    <sheet name="CPUE" sheetId="19" r:id="rId17"/>
    <sheet name="LengthFreq" sheetId="20" r:id="rId18"/>
    <sheet name="EfficiencyCreep" sheetId="8" r:id="rId19"/>
    <sheet name="HighGrading" sheetId="21" r:id="rId20"/>
    <sheet name="Selectivity" sheetId="7" r:id="rId21"/>
    <sheet name="Retention" sheetId="25" r:id="rId22"/>
    <sheet name="Sheet2" sheetId="26" r:id="rId2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D68" i="18" l="1"/>
  <c r="D69" i="18" s="1"/>
  <c r="D70" i="18" s="1"/>
  <c r="D71" i="18" s="1"/>
  <c r="D72" i="18" s="1"/>
  <c r="D73" i="18" s="1"/>
  <c r="D74" i="18" s="1"/>
  <c r="D75" i="18" s="1"/>
  <c r="D76" i="18" s="1"/>
  <c r="D77" i="18" s="1"/>
  <c r="D78" i="18" s="1"/>
  <c r="D79" i="18" s="1"/>
  <c r="D80" i="18" s="1"/>
  <c r="D81" i="18" s="1"/>
  <c r="D82" i="18" s="1"/>
  <c r="D83" i="18" s="1"/>
  <c r="D84" i="18" s="1"/>
  <c r="D85" i="18" s="1"/>
  <c r="D86" i="18" s="1"/>
  <c r="D87" i="18" s="1"/>
  <c r="D88" i="18" s="1"/>
  <c r="D89" i="18" s="1"/>
  <c r="D90" i="18" s="1"/>
  <c r="D91" i="18" s="1"/>
  <c r="D92" i="18" s="1"/>
  <c r="D93" i="18" s="1"/>
  <c r="D94" i="18" s="1"/>
  <c r="D95" i="18" s="1"/>
  <c r="D96" i="18" s="1"/>
  <c r="D97" i="18" s="1"/>
  <c r="D98" i="18" s="1"/>
  <c r="D99" i="18" s="1"/>
  <c r="D100" i="18" s="1"/>
  <c r="D101" i="18" s="1"/>
  <c r="D102" i="18" s="1"/>
  <c r="D103" i="18" s="1"/>
  <c r="D104" i="18" s="1"/>
  <c r="D105" i="18" s="1"/>
  <c r="D106" i="18" s="1"/>
  <c r="D107" i="18" s="1"/>
  <c r="D108" i="18" s="1"/>
  <c r="D109" i="18" s="1"/>
  <c r="D110" i="18" s="1"/>
  <c r="D111" i="18" s="1"/>
  <c r="D112" i="18" s="1"/>
  <c r="D4" i="18"/>
  <c r="D5" i="18" s="1"/>
  <c r="D6" i="18" s="1"/>
  <c r="D7" i="18" s="1"/>
  <c r="D8" i="18" s="1"/>
  <c r="D9" i="18" s="1"/>
  <c r="D10" i="18" s="1"/>
  <c r="D11" i="18" s="1"/>
  <c r="D12" i="18" s="1"/>
  <c r="D13" i="18" s="1"/>
  <c r="D14" i="18" s="1"/>
  <c r="D15" i="18" s="1"/>
  <c r="D16" i="18" s="1"/>
  <c r="D17" i="18" s="1"/>
  <c r="D18" i="18" s="1"/>
  <c r="D19" i="18" s="1"/>
  <c r="D20" i="18" s="1"/>
  <c r="D21" i="18" s="1"/>
  <c r="D22" i="18" s="1"/>
  <c r="D23" i="18" s="1"/>
  <c r="D24" i="18" s="1"/>
  <c r="D25" i="18" s="1"/>
  <c r="D26" i="18" s="1"/>
  <c r="D27" i="18" s="1"/>
  <c r="D28" i="18" s="1"/>
  <c r="D29" i="18" s="1"/>
  <c r="D30" i="18" s="1"/>
  <c r="D31" i="18" s="1"/>
  <c r="D32" i="18" s="1"/>
  <c r="D33" i="18" s="1"/>
  <c r="D34" i="18" s="1"/>
  <c r="D35" i="18" s="1"/>
  <c r="D36" i="18" s="1"/>
  <c r="D37" i="18" s="1"/>
  <c r="D38" i="18" s="1"/>
  <c r="D39" i="18" s="1"/>
  <c r="D40" i="18" s="1"/>
  <c r="D41" i="18" s="1"/>
  <c r="D42" i="18" s="1"/>
  <c r="D43" i="18" s="1"/>
  <c r="D44" i="18" s="1"/>
  <c r="D45" i="18" s="1"/>
  <c r="D46" i="18" s="1"/>
  <c r="D47" i="18" s="1"/>
  <c r="D48" i="18" s="1"/>
  <c r="D49" i="18" s="1"/>
  <c r="D50" i="18" s="1"/>
  <c r="D51" i="18" s="1"/>
  <c r="D52" i="18" s="1"/>
  <c r="D53" i="18" s="1"/>
  <c r="D54" i="18" s="1"/>
  <c r="D55" i="18" s="1"/>
  <c r="D56" i="18" s="1"/>
  <c r="D57" i="18" s="1"/>
  <c r="D58" i="18" s="1"/>
  <c r="D59" i="18" s="1"/>
  <c r="D60" i="18" s="1"/>
  <c r="D61" i="18" s="1"/>
  <c r="D62" i="18" s="1"/>
  <c r="D63" i="18" s="1"/>
  <c r="D64" i="18" s="1"/>
  <c r="D65" i="18" s="1"/>
  <c r="D66" i="18" s="1"/>
  <c r="D67" i="18" s="1"/>
  <c r="W1" i="13"/>
  <c r="V1" i="13"/>
  <c r="D4" i="9"/>
  <c r="C4" i="9"/>
  <c r="E3" i="9"/>
  <c r="C3" i="9"/>
  <c r="K25" i="7"/>
  <c r="K24" i="7"/>
  <c r="K23" i="7"/>
  <c r="K21" i="7"/>
  <c r="K20" i="7"/>
  <c r="K19" i="7"/>
  <c r="K17" i="7"/>
  <c r="K16" i="7"/>
  <c r="K15" i="7"/>
  <c r="K13" i="7"/>
  <c r="K12" i="7"/>
  <c r="K11" i="7"/>
  <c r="K9" i="7"/>
  <c r="K8" i="7"/>
  <c r="K7" i="7"/>
  <c r="K5" i="7"/>
  <c r="K4" i="7"/>
  <c r="K3" i="7"/>
</calcChain>
</file>

<file path=xl/sharedStrings.xml><?xml version="1.0" encoding="utf-8"?>
<sst xmlns="http://schemas.openxmlformats.org/spreadsheetml/2006/main" count="791" uniqueCount="320">
  <si>
    <t>## Used to set up global dynamics of model</t>
  </si>
  <si>
    <t>object</t>
  </si>
  <si>
    <t>value</t>
  </si>
  <si>
    <t>comments</t>
  </si>
  <si>
    <t>startseason</t>
  </si>
  <si>
    <t># first season/year</t>
  </si>
  <si>
    <t>endseason</t>
  </si>
  <si>
    <t>projectedseason</t>
  </si>
  <si>
    <t># number of years</t>
  </si>
  <si>
    <t>projectedcatch</t>
  </si>
  <si>
    <t># in t not KG</t>
  </si>
  <si>
    <t>ages</t>
  </si>
  <si>
    <t># max age, if one age = 1, if two age = 2</t>
  </si>
  <si>
    <t>agemat</t>
  </si>
  <si>
    <t># Age when maturity is attained (starts at age 1)</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</si>
  <si>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</si>
  <si>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</si>
  <si>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</si>
  <si>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</si>
  <si>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</si>
  <si>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</si>
  <si>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</si>
  <si>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</si>
  <si>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</si>
  <si>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</si>
  <si>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</si>
  <si>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</si>
  <si>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Maximum burnin period for all areas</t>
  </si>
  <si>
    <t>## not loaded: Recruit area refers to size composition of recruits.  The same areacode number will receive recruits of the same size classses. Target/limit and thresholds are in proportions</t>
  </si>
  <si>
    <t>Name</t>
  </si>
  <si>
    <t>ManageZone</t>
  </si>
  <si>
    <t>AreaCode</t>
  </si>
  <si>
    <t>recruitarea</t>
  </si>
  <si>
    <t>burn_in</t>
  </si>
  <si>
    <t>biomass target</t>
  </si>
  <si>
    <t>biomass threshold</t>
  </si>
  <si>
    <t>biomass limit</t>
  </si>
  <si>
    <t>SouthCoast</t>
  </si>
  <si>
    <t>A</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</si>
  <si>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</si>
  <si>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</si>
  <si>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</si>
  <si>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</si>
  <si>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</si>
  <si>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</si>
  <si>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</si>
  <si>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</si>
  <si>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</si>
  <si>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</si>
  <si>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</si>
  <si>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</si>
  <si>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</si>
  <si>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</si>
  <si>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</si>
  <si>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</si>
  <si>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</si>
  <si>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initialN</t>
  </si>
  <si>
    <t>initialPen</t>
  </si>
  <si>
    <t>individual</t>
  </si>
  <si>
    <t>survey</t>
  </si>
  <si>
    <t>comm_monitor</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</si>
  <si>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</si>
  <si>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</si>
  <si>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</si>
  <si>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</si>
  <si>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</si>
  <si>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</si>
  <si>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</si>
  <si>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</si>
  <si>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com_catch</t>
  </si>
  <si>
    <t>com_measure</t>
  </si>
  <si>
    <t>rec</t>
  </si>
  <si>
    <t>## Link parameters to have common parameter. M must match number of areas and ages. Priors, 0 = none, 1 = normal, 2 = gamma (not yet implemented)</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</si>
  <si>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</si>
  <si>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</si>
  <si>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</si>
  <si>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</si>
  <si>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</si>
  <si>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</si>
  <si>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</si>
  <si>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</si>
  <si>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</si>
  <si>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</si>
  <si>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</si>
  <si>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</si>
  <si>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</si>
  <si>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</si>
  <si>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</si>
  <si>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area1</t>
  </si>
  <si>
    <t>Multiplier for age 1</t>
  </si>
  <si>
    <t>WhiteScaleM</t>
  </si>
  <si>
    <t>RedQ</t>
  </si>
  <si>
    <t>RedScaleQ</t>
  </si>
  <si>
    <t>Sigma</t>
  </si>
  <si>
    <t>SigmaR</t>
  </si>
  <si>
    <t>Rintro</t>
  </si>
  <si>
    <t>Rintro1</t>
  </si>
  <si>
    <t>Initial</t>
  </si>
  <si>
    <t>Iniial F at start of model</t>
  </si>
  <si>
    <t>## Parameters for logistic curve to describe retention in pots.  Sex = F, M or B (both).  YearLink aligns years (decimals in table to right allow for multiple version of that to be applied).  Parlink allows parameters to be linked. Form must be either logistic or doublelogistic. If doublelogistic inflect1 must be &lt; inflect2, slope 1 and 2 must be +ive and -ive, respectively</t>
  </si>
  <si>
    <t>yearlink</t>
  </si>
  <si>
    <t>lwr</t>
  </si>
  <si>
    <t>upr</t>
  </si>
  <si>
    <t>par</t>
  </si>
  <si>
    <t>phase</t>
  </si>
  <si>
    <t>parlink</t>
  </si>
  <si>
    <t>season</t>
  </si>
  <si>
    <t>fleet1</t>
  </si>
  <si>
    <t>fleet2</t>
  </si>
  <si>
    <t>fleet3</t>
  </si>
  <si>
    <t>fleet4</t>
  </si>
  <si>
    <t>F</t>
  </si>
  <si>
    <t>inflect1</t>
  </si>
  <si>
    <t>doublelogistic</t>
  </si>
  <si>
    <t>Fgap0</t>
  </si>
  <si>
    <t>slope1</t>
  </si>
  <si>
    <t>inflect2</t>
  </si>
  <si>
    <t>slope2</t>
  </si>
  <si>
    <t>Mgap0</t>
  </si>
  <si>
    <t>Fgap54</t>
  </si>
  <si>
    <t>Mgap54</t>
  </si>
  <si>
    <t>Fgap55</t>
  </si>
  <si>
    <t>Mgap55</t>
  </si>
  <si>
    <t>## Setting up parameters for efficiency creep.  Number pars poduced is  nyears/temporal cover, with efficiency compounded year on year. Pointer need to match numbers in fleet tab. If in fleet tab you have multiple pointers, then they must also exist here.</t>
  </si>
  <si>
    <t>pointer</t>
  </si>
  <si>
    <t>upper</t>
  </si>
  <si>
    <t>est</t>
  </si>
  <si>
    <t>Phase</t>
  </si>
  <si>
    <t>prior</t>
  </si>
  <si>
    <t>priorsd</t>
  </si>
  <si>
    <t>temporal.cover</t>
  </si>
  <si>
    <t>## Any value &gt; 0 will apply a STM in that timestep. The STM will be compounded by the grow number to allow for monthly STMs to represent longer periods of growth, e.g. grow = 6 represents six months of growth. Season 999 applies to all seasons.  Put in a specific season and only this season will have that unique moulting schedule/growth.  All timesteps and areas not listed will default to no growth. Matrix define what matrix to use for that case (sex/area/tstep) as reported in next tab (sizetransmat)</t>
  </si>
  <si>
    <t>area</t>
  </si>
  <si>
    <t>grow</t>
  </si>
  <si>
    <t>matrix</t>
  </si>
  <si>
    <t>redone</t>
  </si>
  <si>
    <t>STM_s1_l1_ts1</t>
  </si>
  <si>
    <t>STM_s2_l1_ts1</t>
  </si>
  <si>
    <t>## Add all size trans matrices below with a "#label" before each STM.  They should be sorted by sex and then growth area then timestep (Fem area1 ts 1, Fem area1 ts 2, Fem area2 ts1 , Mal area1 ts 1, ….).  Each STM should be a square of length-bin dimentions with columns summing to 1.</t>
  </si>
  <si>
    <t># Matrix # s1_l1_ts1</t>
  </si>
  <si>
    <t># Matrix # s2_l1_ts1</t>
  </si>
  <si>
    <t>## not loaded: Leave blank if there is not post-larval recruitment data. If there is no Puerulus data delete everything from row 3 down (leave the headers).</t>
  </si>
  <si>
    <t>mn</t>
  </si>
  <si>
    <t>se</t>
  </si>
  <si>
    <t>cv</t>
  </si>
  <si>
    <t>## not loaded: Leave blanck in not post-larval data. Density dependent parameter (b) in relationship Rec = a*Puerulus^b.  Required for every area of the model.  If there is no Puerulus data delete everything from row 3 down (leave the headers).</t>
  </si>
  <si>
    <t>## not loaded: Use parameters: 1 = Yes, 0 = No and use pre-specifyed dist.  Number of parameters must = 1(sexsplit)+(#Areas-1)+#RecruitAreas*#Sex*2Par.  Relative contribution by area for # areas -1 (last area is remainder).  Add pre specified in order of sex 1 area 1, sex 2 area 1, sex 1 area 2 .... Does not need to be aligned with Inflection parameter, but makes it easy to track</t>
  </si>
  <si>
    <t>These numbers should match</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</si>
  <si>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</si>
  <si>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</si>
  <si>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</si>
  <si>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</si>
  <si>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</si>
  <si>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</si>
  <si>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</si>
  <si>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</si>
  <si>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</si>
  <si>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</si>
  <si>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</si>
  <si>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</si>
  <si>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</si>
  <si>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</si>
  <si>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</si>
  <si>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</si>
  <si>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</si>
  <si>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</si>
  <si>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</si>
  <si>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</si>
  <si>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</si>
  <si>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</si>
  <si>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</si>
  <si>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</si>
  <si>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</si>
  <si>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</si>
  <si>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</si>
  <si>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</si>
  <si>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</si>
  <si>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</si>
  <si>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</si>
  <si>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</si>
  <si>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</si>
  <si>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</si>
  <si>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</si>
  <si>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</si>
  <si>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</si>
  <si>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</si>
  <si>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A1 Inflect Sex 1: Recruit area 1, sex 1</t>
  </si>
  <si>
    <t>A1 Slope Sex 1</t>
  </si>
  <si>
    <t>A1 Inflect Sex 2</t>
  </si>
  <si>
    <t>A1 Slope Sex 2</t>
  </si>
  <si>
    <t>## not loaded:  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Priors not used yet. Leave blank if no migration exists but leave headers on row 3.</t>
  </si>
  <si>
    <t>Season</t>
  </si>
  <si>
    <t>Age</t>
  </si>
  <si>
    <t>Source</t>
  </si>
  <si>
    <t>Dest</t>
  </si>
  <si>
    <t>## not loaded:  This links with migration and the different catchability and M they experience during this life stage.  Leave blank if you have no need for this (headers remain on row 2). Age starts at 1</t>
  </si>
  <si>
    <t>Sex</t>
  </si>
  <si>
    <t>Area</t>
  </si>
  <si>
    <t>Tstep</t>
  </si>
  <si>
    <t>## not loaded:  MaturityOgive = 1/(1+exp((lens-a)/b)) . Fecundity = a*Length^b. if male only (and no fecundity) set parameters to length weight and double breeding to be super large. One for each model area. Check your parameters have the correct sign.</t>
  </si>
  <si>
    <t>cat</t>
  </si>
  <si>
    <t>a</t>
  </si>
  <si>
    <t>b</t>
  </si>
  <si>
    <t>age</t>
  </si>
  <si>
    <t>mature</t>
  </si>
  <si>
    <t>dspawn</t>
  </si>
  <si>
    <t>fecundity</t>
  </si>
  <si>
    <t>## not loaded:  equation W = a*Length^b. This must be in KG.</t>
  </si>
  <si>
    <t>female</t>
  </si>
  <si>
    <t>male</t>
  </si>
  <si>
    <t>## not loaded:  Catch should be in KG.  Fleet starts at 1 and should match those under fleet tab.  Recreational and indigenous should  be combined.</t>
  </si>
  <si>
    <t>year</t>
  </si>
  <si>
    <t>step</t>
  </si>
  <si>
    <t>catch</t>
  </si>
  <si>
    <t xml:space="preserve">## not loaded: Should be pre standardised for everything sensible.  CpueInd starts at 0, fleet at 1, sex at C (combined sexes), F (female), M (male), timestep at 1. </t>
  </si>
  <si>
    <t>CpueInd</t>
  </si>
  <si>
    <t>Fleet</t>
  </si>
  <si>
    <t>Year</t>
  </si>
  <si>
    <t>Step</t>
  </si>
  <si>
    <t>Index</t>
  </si>
  <si>
    <t>CV</t>
  </si>
  <si>
    <t>C</t>
  </si>
  <si>
    <t>## not loaded: numb refers to how many samples the data was derived from.  Fleet must match fleetcopde tab. Sex (C, F or M). Timestep starts at 1</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</si>
  <si>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</si>
  <si>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</si>
  <si>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</si>
  <si>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</si>
  <si>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</si>
  <si>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</si>
  <si>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</si>
  <si>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</si>
  <si>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</si>
  <si>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</si>
  <si>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</si>
  <si>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</si>
  <si>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</si>
  <si>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</si>
  <si>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</si>
  <si>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</si>
  <si>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</si>
  <si>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</si>
  <si>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</si>
  <si>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</si>
  <si>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</si>
  <si>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</si>
  <si>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</si>
  <si>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</si>
  <si>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</si>
  <si>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</si>
  <si>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</si>
  <si>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</si>
  <si>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</si>
  <si>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</si>
  <si>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</si>
  <si>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</si>
  <si>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</si>
  <si>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</si>
  <si>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</si>
  <si>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</si>
  <si>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</si>
  <si>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</si>
  <si>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</si>
  <si>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</si>
  <si>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</si>
  <si>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</si>
  <si>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 not loaded: oldarea 99 represents all areas in model.  All timesteps in years not listed get no high-grading.</t>
  </si>
  <si>
    <t>prop</t>
  </si>
  <si>
    <t>pos</t>
  </si>
  <si>
    <t>Survey</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</si>
  <si>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</si>
  <si>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</si>
  <si>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</si>
  <si>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</si>
  <si>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</si>
  <si>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</si>
  <si>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</si>
  <si>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</si>
  <si>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</si>
  <si>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</si>
  <si>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</si>
  <si>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</si>
  <si>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</si>
  <si>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</si>
  <si>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</si>
  <si>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</si>
  <si>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</si>
  <si>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</si>
  <si>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</si>
  <si>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</si>
  <si>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</si>
  <si>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</si>
  <si>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</si>
  <si>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</si>
  <si>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</si>
  <si>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</si>
  <si>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</si>
  <si>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</si>
  <si>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</si>
  <si>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</si>
  <si>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</si>
  <si>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</si>
  <si>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</si>
  <si>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</si>
  <si>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</si>
  <si>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</si>
  <si>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</si>
  <si>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</si>
  <si>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</si>
  <si>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</si>
  <si>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</si>
  <si>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</si>
  <si>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Requires Lb values must have the same length as length bins.</t>
  </si>
  <si>
    <t>StartSeason</t>
  </si>
  <si>
    <t>EndSeason</t>
  </si>
  <si>
    <t>TimeStep</t>
  </si>
  <si>
    <t>UseArea</t>
  </si>
  <si>
    <t>IsConstantLegal</t>
  </si>
  <si>
    <t>MLL comm</t>
  </si>
  <si>
    <t>MLL rec</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</si>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</sst>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s>
  <fills count="5">
    <fill>
      <patternFill patternType="none"/>
    </fill>
    <fill>
      <patternFill patternType="gray125"/>
    </fill>
    <fill>
      <patternFill patternType="solid">
        <fgColor rgb="FFFFFF00"/>
        <bgColor rgb="FFFFFF00"/>
      </patternFill>
    </fill>
    <fill>
      <patternFill patternType="solid">
        <fgColor rgb="FF92D050"/>
        <bgColor rgb="FF92D050"/>
      </patternFill>
    </fill>
    <fill>
      <patternFill patternType="solid">
        <fgColor rgb="FFFFC000"/>
        <bgColor rgb="FFFFC0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14">
    <xf numFmtId="0" fontId="0" fillId="0" borderId="0" xfId="0"/>
    <xf numFmtId="0" fontId="2" fillId="0" borderId="0" xfId="0" applyFont="1"/>
    <xf numFmtId="0" fontId="2" fillId="0" borderId="0" xfId="0" applyFont="1" applyAlignment="1">
      <alignment horizontal="right"/>
    </xf>
    <xf numFmtId="0" fontId="2" fillId="3" borderId="4" xfId="0" applyFont="1" applyFill="1" applyBorder="1"/>
    <xf numFmtId="0" fontId="2" fillId="4" borderId="4" xfId="0" applyFont="1" applyFill="1" applyBorder="1"/>
    <xf numFmtId="11" fontId="2" fillId="0" borderId="0" xfId="0" applyNumberFormat="1" applyFont="1"/>
    <xf numFmtId="0" fontId="2" fillId="2" borderId="4" xfId="0" applyFont="1" applyFill="1" applyBorder="1"/>
    <xf numFmtId="0" fontId="2" fillId="0" borderId="0" xfId="0" applyFont="1" applyAlignment="1">
      <alignment wrapText="1"/>
    </xf>
    <xf numFmtId="0" fontId="1" fillId="0" borderId="0" xfId="0" applyFont="1"/>
    <xf numFmtId="0" fontId="2" fillId="2" borderId="1" xfId="0" applyFont="1" applyFill="1" applyBorder="1" applyAlignment="1">
      <alignment wrapText="1"/>
    </xf>
    <xf numFmtId="0" fontId="3" fillId="0" borderId="2" xfId="0" applyFont="1" applyBorder="1"/>
    <xf numFmtId="0" fontId="3" fillId="0" borderId="3" xfId="0" applyFont="1" applyBorder="1"/>
    <xf numFmtId="0" fontId="4" fillId="2" borderId="4" xfId="0" applyFont="1" applyFill="1" applyBorder="1" applyAlignment="1">
      <alignment wrapText="1"/>
    </xf>
    <xf numFmtId="0" fontId="5" fillId="0" borderId="4"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workbookViewId="0">
      <selection activeCell="C28" sqref="C28"/>
    </sheetView>
  </sheetViews>
  <sheetFormatPr defaultColWidth="14.42578125" defaultRowHeight="15" customHeight="1" x14ac:dyDescent="0.25"/>
  <cols>
    <col min="1" max="1" width="18.7109375" customWidth="1"/>
    <col min="2" max="26" width="11.42578125" customWidth="1"/>
  </cols>
  <sheetData>
    <row r="1" spans="1:21" ht="15" customHeight="1" x14ac:dyDescent="0.25">
      <c r="A1" s="9" t="s">
        <v>0</v>
      </c>
      <c r="B1" s="10"/>
      <c r="C1" s="10"/>
      <c r="D1" s="10"/>
      <c r="E1" s="10"/>
      <c r="F1" s="10"/>
      <c r="G1" s="10"/>
      <c r="H1" s="10"/>
      <c r="I1" s="10"/>
      <c r="J1" s="10"/>
      <c r="K1" s="10"/>
      <c r="L1" s="10"/>
      <c r="M1" s="10"/>
      <c r="N1" s="10"/>
      <c r="O1" s="10"/>
      <c r="P1" s="10"/>
      <c r="Q1" s="10"/>
      <c r="R1" s="10"/>
      <c r="S1" s="10"/>
      <c r="T1" s="10"/>
      <c r="U1" s="11"/>
    </row>
    <row r="2" spans="1:21" x14ac:dyDescent="0.25">
      <c r="A2" s="1" t="s">
        <v>1</v>
      </c>
      <c r="B2" s="1" t="s">
        <v>2</v>
      </c>
      <c r="C2" s="1" t="s">
        <v>3</v>
      </c>
    </row>
    <row r="3" spans="1:21" x14ac:dyDescent="0.25">
      <c r="A3" s="1" t="s">
        <v>4</v>
      </c>
      <c r="B3" s="1">
        <v>1970</v>
      </c>
      <c r="C3" s="1" t="s">
        <v>5</v>
      </c>
    </row>
    <row r="4" spans="1:21" x14ac:dyDescent="0.25">
      <c r="A4" s="1" t="s">
        <v>6</v>
      </c>
      <c r="B4" s="1">
        <v>2024</v>
      </c>
    </row>
    <row r="5" spans="1:21" x14ac:dyDescent="0.25">
      <c r="A5" s="1" t="s">
        <v>7</v>
      </c>
      <c r="B5" s="1">
        <v>10</v>
      </c>
      <c r="C5" s="1" t="s">
        <v>8</v>
      </c>
    </row>
    <row r="6" spans="1:21" x14ac:dyDescent="0.25">
      <c r="A6" s="1" t="s">
        <v>9</v>
      </c>
      <c r="B6" s="1">
        <v>7000</v>
      </c>
      <c r="C6" s="1" t="s">
        <v>10</v>
      </c>
    </row>
    <row r="7" spans="1:21" x14ac:dyDescent="0.25">
      <c r="A7" s="1" t="s">
        <v>11</v>
      </c>
      <c r="B7" s="1">
        <v>1</v>
      </c>
      <c r="C7" s="1" t="s">
        <v>12</v>
      </c>
    </row>
    <row r="8" spans="1:21" x14ac:dyDescent="0.25">
      <c r="A8" s="1" t="s">
        <v>13</v>
      </c>
      <c r="B8" s="1">
        <v>1</v>
      </c>
      <c r="C8" s="1" t="s">
        <v>14</v>
      </c>
    </row>
    <row r="9" spans="1:21" x14ac:dyDescent="0.25">
      <c r="A9" s="1" t="s">
        <v>15</v>
      </c>
      <c r="B9" s="2">
        <v>2</v>
      </c>
      <c r="C9" s="1" t="s">
        <v>16</v>
      </c>
    </row>
    <row r="10" spans="1:21" x14ac:dyDescent="0.25">
      <c r="A10" s="1" t="s">
        <v>17</v>
      </c>
      <c r="B10" s="1">
        <v>51</v>
      </c>
      <c r="C10" s="1" t="s">
        <v>18</v>
      </c>
    </row>
    <row r="11" spans="1:21" x14ac:dyDescent="0.25">
      <c r="A11" s="1" t="s">
        <v>19</v>
      </c>
      <c r="B11" s="1">
        <v>131</v>
      </c>
      <c r="C11" s="1" t="s">
        <v>20</v>
      </c>
    </row>
    <row r="12" spans="1:21" x14ac:dyDescent="0.25">
      <c r="A12" s="1" t="s">
        <v>21</v>
      </c>
      <c r="B12" s="1">
        <v>2</v>
      </c>
      <c r="C12" s="1" t="s">
        <v>22</v>
      </c>
    </row>
    <row r="13" spans="1:21" x14ac:dyDescent="0.25">
      <c r="A13" s="1" t="s">
        <v>23</v>
      </c>
      <c r="B13" s="1">
        <v>2</v>
      </c>
    </row>
    <row r="14" spans="1:21" x14ac:dyDescent="0.25">
      <c r="A14" s="1" t="s">
        <v>24</v>
      </c>
      <c r="B14" s="1">
        <v>1</v>
      </c>
      <c r="C14" s="1" t="s">
        <v>25</v>
      </c>
    </row>
    <row r="15" spans="1:21" x14ac:dyDescent="0.25">
      <c r="A15" s="1" t="s">
        <v>26</v>
      </c>
      <c r="B15" s="1">
        <v>10</v>
      </c>
      <c r="C15" s="1" t="s">
        <v>27</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sqref="A1:N1"/>
    </sheetView>
  </sheetViews>
  <sheetFormatPr defaultColWidth="14.42578125" defaultRowHeight="15" customHeight="1" x14ac:dyDescent="0.25"/>
  <cols>
    <col min="1" max="1" width="19.5703125" customWidth="1"/>
    <col min="2" max="2" width="13.140625" customWidth="1"/>
    <col min="3" max="24" width="11.42578125" customWidth="1"/>
  </cols>
  <sheetData>
    <row r="1" spans="1:14" ht="15.75" customHeight="1" x14ac:dyDescent="0.25">
      <c r="A1" s="9" t="s">
        <v>28</v>
      </c>
      <c r="B1" s="10"/>
      <c r="C1" s="10"/>
      <c r="D1" s="10"/>
      <c r="E1" s="10"/>
      <c r="F1" s="10"/>
      <c r="G1" s="10"/>
      <c r="H1" s="10"/>
      <c r="I1" s="10"/>
      <c r="J1" s="10"/>
      <c r="K1" s="10"/>
      <c r="L1" s="10"/>
      <c r="M1" s="10"/>
      <c r="N1" s="11"/>
    </row>
    <row r="2" spans="1:14" x14ac:dyDescent="0.25">
      <c r="A2" s="1" t="s">
        <v>29</v>
      </c>
      <c r="B2" s="1" t="s">
        <v>30</v>
      </c>
      <c r="C2" s="1" t="s">
        <v>31</v>
      </c>
      <c r="D2" s="1" t="s">
        <v>32</v>
      </c>
      <c r="E2" s="1" t="s">
        <v>33</v>
      </c>
      <c r="F2" s="1" t="s">
        <v>23</v>
      </c>
      <c r="G2" s="1" t="s">
        <v>34</v>
      </c>
      <c r="H2" s="1" t="s">
        <v>35</v>
      </c>
      <c r="I2" s="1" t="s">
        <v>36</v>
      </c>
    </row>
    <row r="3" spans="1:14" x14ac:dyDescent="0.25">
      <c r="A3" s="1" t="s">
        <v>37</v>
      </c>
      <c r="B3" s="1" t="s">
        <v>38</v>
      </c>
      <c r="C3" s="1">
        <v>1</v>
      </c>
      <c r="D3" s="1">
        <v>1</v>
      </c>
      <c r="E3" s="1">
        <v>3</v>
      </c>
      <c r="F3" s="1">
        <v>2</v>
      </c>
      <c r="G3" s="1">
        <v>0.42</v>
      </c>
      <c r="H3" s="1">
        <v>0.35</v>
      </c>
      <c r="I3" s="1">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9" t="s">
        <v>39</v>
      </c>
      <c r="B1" s="10"/>
      <c r="C1" s="10"/>
      <c r="D1" s="10"/>
      <c r="E1" s="10"/>
      <c r="F1" s="10"/>
      <c r="G1" s="10"/>
      <c r="H1" s="10"/>
      <c r="I1" s="10"/>
      <c r="J1" s="10"/>
      <c r="K1" s="10"/>
      <c r="L1" s="10"/>
      <c r="M1" s="10"/>
      <c r="N1" s="10"/>
      <c r="O1" s="10"/>
      <c r="P1" s="10"/>
      <c r="Q1" s="10"/>
      <c r="R1" s="10"/>
      <c r="S1" s="10"/>
      <c r="T1" s="10"/>
      <c r="U1" s="11"/>
    </row>
    <row r="2" spans="1:21" x14ac:dyDescent="0.25">
      <c r="A2" s="1" t="s">
        <v>40</v>
      </c>
      <c r="B2" s="1" t="s">
        <v>41</v>
      </c>
      <c r="C2" s="1" t="s">
        <v>42</v>
      </c>
      <c r="D2" s="1" t="s">
        <v>43</v>
      </c>
    </row>
    <row r="3" spans="1:21" x14ac:dyDescent="0.25">
      <c r="A3" s="1">
        <v>1</v>
      </c>
      <c r="B3" s="1">
        <v>0</v>
      </c>
      <c r="C3" s="1">
        <v>1</v>
      </c>
      <c r="D3" s="1">
        <v>1</v>
      </c>
    </row>
    <row r="4" spans="1:21" x14ac:dyDescent="0.25">
      <c r="A4" s="1">
        <v>1</v>
      </c>
      <c r="B4" s="1">
        <v>1</v>
      </c>
      <c r="C4" s="1">
        <v>1</v>
      </c>
      <c r="D4" s="1">
        <v>0</v>
      </c>
    </row>
    <row r="5" spans="1:21" x14ac:dyDescent="0.25">
      <c r="A5" s="1">
        <v>2</v>
      </c>
      <c r="B5" s="1">
        <v>0</v>
      </c>
      <c r="C5" s="1">
        <v>1</v>
      </c>
      <c r="D5" s="1">
        <v>0</v>
      </c>
    </row>
    <row r="6" spans="1:21" x14ac:dyDescent="0.25">
      <c r="A6" s="1">
        <v>2</v>
      </c>
      <c r="B6" s="1">
        <v>1</v>
      </c>
      <c r="C6" s="1">
        <v>1</v>
      </c>
      <c r="D6" s="1">
        <v>0</v>
      </c>
    </row>
    <row r="7" spans="1:21" x14ac:dyDescent="0.25">
      <c r="A7" s="1">
        <v>3</v>
      </c>
      <c r="B7" s="1">
        <v>0</v>
      </c>
      <c r="C7" s="1">
        <v>1</v>
      </c>
      <c r="D7" s="1">
        <v>0</v>
      </c>
    </row>
    <row r="8" spans="1:21" x14ac:dyDescent="0.25">
      <c r="A8" s="1">
        <v>3</v>
      </c>
      <c r="B8" s="1">
        <v>1</v>
      </c>
      <c r="C8" s="1">
        <v>1</v>
      </c>
      <c r="D8" s="1">
        <v>0</v>
      </c>
    </row>
    <row r="9" spans="1:21" x14ac:dyDescent="0.25">
      <c r="A9" s="1">
        <v>4</v>
      </c>
      <c r="B9" s="1">
        <v>0</v>
      </c>
      <c r="C9" s="1">
        <v>1</v>
      </c>
      <c r="D9" s="1">
        <v>0</v>
      </c>
    </row>
    <row r="10" spans="1:21" x14ac:dyDescent="0.25">
      <c r="A10" s="1">
        <v>4</v>
      </c>
      <c r="B10" s="1">
        <v>1</v>
      </c>
      <c r="C10" s="1">
        <v>1</v>
      </c>
      <c r="D10" s="1">
        <v>0</v>
      </c>
    </row>
    <row r="11" spans="1:21" x14ac:dyDescent="0.25">
      <c r="A11" s="1">
        <v>5</v>
      </c>
      <c r="B11" s="1">
        <v>0</v>
      </c>
      <c r="C11" s="1">
        <v>1</v>
      </c>
      <c r="D11" s="1">
        <v>0</v>
      </c>
    </row>
    <row r="12" spans="1:21" x14ac:dyDescent="0.25">
      <c r="A12" s="1">
        <v>5</v>
      </c>
      <c r="B12" s="1">
        <v>1</v>
      </c>
      <c r="C12" s="1">
        <v>1</v>
      </c>
      <c r="D12" s="1">
        <v>0</v>
      </c>
    </row>
    <row r="13" spans="1:21" x14ac:dyDescent="0.25">
      <c r="A13" s="1">
        <v>6</v>
      </c>
      <c r="B13" s="1">
        <v>0</v>
      </c>
      <c r="C13" s="1">
        <v>1</v>
      </c>
      <c r="D13" s="1">
        <v>0</v>
      </c>
    </row>
    <row r="14" spans="1:21" x14ac:dyDescent="0.25">
      <c r="A14" s="1">
        <v>6</v>
      </c>
      <c r="B14" s="1">
        <v>1</v>
      </c>
      <c r="C14" s="1">
        <v>1</v>
      </c>
      <c r="D14" s="1">
        <v>0</v>
      </c>
    </row>
    <row r="15" spans="1:21" x14ac:dyDescent="0.25">
      <c r="A15" s="1">
        <v>7</v>
      </c>
      <c r="B15" s="1">
        <v>0</v>
      </c>
      <c r="C15" s="1">
        <v>1</v>
      </c>
      <c r="D15" s="1">
        <v>0</v>
      </c>
    </row>
    <row r="16" spans="1:21" x14ac:dyDescent="0.25">
      <c r="A16" s="1">
        <v>7</v>
      </c>
      <c r="B16" s="1">
        <v>1</v>
      </c>
      <c r="C16" s="1">
        <v>1</v>
      </c>
      <c r="D16" s="1">
        <v>0</v>
      </c>
    </row>
    <row r="17" spans="1:4" x14ac:dyDescent="0.25">
      <c r="A17" s="1">
        <v>8</v>
      </c>
      <c r="B17" s="1">
        <v>0</v>
      </c>
      <c r="C17" s="1">
        <v>1</v>
      </c>
      <c r="D17" s="1">
        <v>0</v>
      </c>
    </row>
    <row r="18" spans="1:4" x14ac:dyDescent="0.25">
      <c r="A18" s="1">
        <v>8</v>
      </c>
      <c r="B18" s="1">
        <v>1</v>
      </c>
      <c r="C18" s="1">
        <v>1</v>
      </c>
      <c r="D18" s="1">
        <v>0</v>
      </c>
    </row>
    <row r="19" spans="1:4" x14ac:dyDescent="0.25">
      <c r="A19" s="1">
        <v>9</v>
      </c>
      <c r="B19" s="1">
        <v>0</v>
      </c>
      <c r="C19" s="1">
        <v>1</v>
      </c>
      <c r="D19" s="1">
        <v>0</v>
      </c>
    </row>
    <row r="20" spans="1:4" x14ac:dyDescent="0.25">
      <c r="A20" s="1">
        <v>9</v>
      </c>
      <c r="B20" s="1">
        <v>1</v>
      </c>
      <c r="C20" s="1">
        <v>1</v>
      </c>
      <c r="D20" s="1">
        <v>0</v>
      </c>
    </row>
    <row r="21" spans="1:4" ht="15.75" customHeight="1" x14ac:dyDescent="0.25">
      <c r="A21" s="1">
        <v>10</v>
      </c>
      <c r="B21" s="1">
        <v>0</v>
      </c>
      <c r="C21" s="1">
        <v>1</v>
      </c>
      <c r="D21" s="1">
        <v>0</v>
      </c>
    </row>
    <row r="22" spans="1:4" ht="15.75" customHeight="1" x14ac:dyDescent="0.25">
      <c r="A22" s="1">
        <v>10</v>
      </c>
      <c r="B22" s="1">
        <v>1</v>
      </c>
      <c r="C22" s="1">
        <v>1</v>
      </c>
      <c r="D22" s="1">
        <v>0</v>
      </c>
    </row>
    <row r="23" spans="1:4" ht="15.75" customHeight="1" x14ac:dyDescent="0.25">
      <c r="A23" s="1">
        <v>11</v>
      </c>
      <c r="B23" s="1">
        <v>0</v>
      </c>
      <c r="C23" s="1">
        <v>1</v>
      </c>
      <c r="D23" s="1">
        <v>0</v>
      </c>
    </row>
    <row r="24" spans="1:4" ht="15.75" customHeight="1" x14ac:dyDescent="0.25">
      <c r="A24" s="1">
        <v>11</v>
      </c>
      <c r="B24" s="1">
        <v>1</v>
      </c>
      <c r="C24" s="1">
        <v>1</v>
      </c>
      <c r="D24" s="1">
        <v>0</v>
      </c>
    </row>
    <row r="25" spans="1:4" ht="15.75" customHeight="1" x14ac:dyDescent="0.25">
      <c r="A25" s="1">
        <v>12</v>
      </c>
      <c r="B25" s="1">
        <v>0</v>
      </c>
      <c r="C25" s="1">
        <v>1</v>
      </c>
      <c r="D25" s="1">
        <v>0</v>
      </c>
    </row>
    <row r="26" spans="1:4" ht="15.75" customHeight="1" x14ac:dyDescent="0.25">
      <c r="A26" s="1">
        <v>12</v>
      </c>
      <c r="B26" s="1">
        <v>1</v>
      </c>
      <c r="C26" s="1">
        <v>1</v>
      </c>
      <c r="D26" s="1">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K9" sqref="K9"/>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9" t="s">
        <v>319</v>
      </c>
      <c r="B1" s="10"/>
      <c r="C1" s="10"/>
      <c r="D1" s="10"/>
      <c r="E1" s="10"/>
      <c r="F1" s="10"/>
      <c r="G1" s="10"/>
      <c r="H1" s="10"/>
      <c r="I1" s="10"/>
      <c r="J1" s="10"/>
      <c r="K1" s="10"/>
      <c r="L1" s="10"/>
      <c r="M1" s="10"/>
      <c r="N1" s="10"/>
      <c r="O1" s="10"/>
      <c r="P1" s="10"/>
      <c r="Q1" s="10"/>
      <c r="R1" s="10"/>
      <c r="S1" s="10"/>
      <c r="T1" s="10"/>
      <c r="U1" s="11"/>
    </row>
    <row r="2" spans="1:21" x14ac:dyDescent="0.25">
      <c r="A2" s="1" t="s">
        <v>44</v>
      </c>
      <c r="B2" s="1" t="s">
        <v>45</v>
      </c>
      <c r="C2" s="1" t="s">
        <v>2</v>
      </c>
      <c r="D2" s="1" t="s">
        <v>46</v>
      </c>
      <c r="E2" s="1" t="s">
        <v>42</v>
      </c>
      <c r="F2" s="1" t="s">
        <v>47</v>
      </c>
      <c r="G2" s="1" t="s">
        <v>48</v>
      </c>
    </row>
    <row r="3" spans="1:21" x14ac:dyDescent="0.25">
      <c r="A3" s="1" t="s">
        <v>49</v>
      </c>
      <c r="B3" s="1" t="s">
        <v>50</v>
      </c>
      <c r="C3" s="1">
        <v>1</v>
      </c>
    </row>
    <row r="4" spans="1:21" x14ac:dyDescent="0.25">
      <c r="A4" s="1" t="s">
        <v>49</v>
      </c>
      <c r="B4" s="1" t="s">
        <v>51</v>
      </c>
      <c r="C4" s="1">
        <v>1</v>
      </c>
    </row>
    <row r="5" spans="1:21" x14ac:dyDescent="0.25">
      <c r="A5" s="1" t="s">
        <v>49</v>
      </c>
      <c r="B5" s="1" t="s">
        <v>52</v>
      </c>
      <c r="C5" s="1">
        <v>0.25</v>
      </c>
    </row>
    <row r="6" spans="1:21" x14ac:dyDescent="0.25">
      <c r="A6" s="1" t="s">
        <v>49</v>
      </c>
      <c r="B6" s="1" t="s">
        <v>53</v>
      </c>
      <c r="C6" s="1">
        <v>1</v>
      </c>
    </row>
    <row r="7" spans="1:21" x14ac:dyDescent="0.25">
      <c r="A7" s="1" t="s">
        <v>49</v>
      </c>
      <c r="B7" s="1" t="s">
        <v>54</v>
      </c>
      <c r="C7" s="1">
        <v>0</v>
      </c>
      <c r="D7" s="1"/>
      <c r="E7" s="1"/>
      <c r="F7" s="1"/>
      <c r="G7" s="1"/>
      <c r="H7" s="1"/>
      <c r="I7" s="1"/>
    </row>
    <row r="8" spans="1:21" x14ac:dyDescent="0.25">
      <c r="A8" s="1" t="s">
        <v>49</v>
      </c>
      <c r="B8" s="1" t="s">
        <v>55</v>
      </c>
      <c r="C8" s="1">
        <v>0</v>
      </c>
      <c r="D8" s="1"/>
      <c r="E8" s="1"/>
      <c r="F8" s="1"/>
      <c r="G8" s="1"/>
      <c r="H8" s="1"/>
      <c r="I8" s="1"/>
    </row>
    <row r="9" spans="1:21" x14ac:dyDescent="0.25">
      <c r="A9" s="1" t="s">
        <v>49</v>
      </c>
      <c r="B9" s="1" t="s">
        <v>56</v>
      </c>
      <c r="C9" s="1">
        <v>0</v>
      </c>
      <c r="D9" s="1"/>
      <c r="E9" s="1"/>
      <c r="F9" s="1"/>
      <c r="G9" s="1"/>
      <c r="H9" s="1"/>
      <c r="I9" s="1"/>
    </row>
    <row r="10" spans="1:21" x14ac:dyDescent="0.25">
      <c r="A10" s="1" t="s">
        <v>49</v>
      </c>
      <c r="B10" s="1" t="s">
        <v>57</v>
      </c>
      <c r="C10" s="1">
        <v>0</v>
      </c>
      <c r="D10" s="1"/>
      <c r="E10" s="1"/>
      <c r="F10" s="1"/>
      <c r="G10" s="1"/>
      <c r="H10" s="1"/>
      <c r="I10" s="1"/>
    </row>
    <row r="11" spans="1:21" x14ac:dyDescent="0.25">
      <c r="A11" s="1" t="s">
        <v>58</v>
      </c>
      <c r="B11" s="1" t="s">
        <v>50</v>
      </c>
      <c r="C11" s="1">
        <v>5</v>
      </c>
      <c r="D11" s="1">
        <v>4</v>
      </c>
      <c r="E11" s="1">
        <v>-1</v>
      </c>
      <c r="F11" s="1" t="s">
        <v>221</v>
      </c>
      <c r="G11" s="1" t="s">
        <v>59</v>
      </c>
    </row>
    <row r="12" spans="1:21" x14ac:dyDescent="0.25">
      <c r="A12" s="1" t="s">
        <v>58</v>
      </c>
      <c r="B12" s="1" t="s">
        <v>52</v>
      </c>
      <c r="C12" s="1">
        <v>1</v>
      </c>
      <c r="D12" s="1">
        <v>2</v>
      </c>
      <c r="E12" s="1">
        <v>-1</v>
      </c>
      <c r="F12" s="1" t="s">
        <v>111</v>
      </c>
      <c r="G12" s="1" t="s">
        <v>60</v>
      </c>
    </row>
    <row r="13" spans="1:21" x14ac:dyDescent="0.25">
      <c r="A13" s="1" t="s">
        <v>58</v>
      </c>
      <c r="B13" s="1" t="s">
        <v>52</v>
      </c>
      <c r="C13" s="1">
        <v>1</v>
      </c>
      <c r="D13" s="1">
        <v>2</v>
      </c>
      <c r="E13" s="1">
        <v>-1</v>
      </c>
      <c r="F13" s="1" t="s">
        <v>87</v>
      </c>
      <c r="G13" s="1" t="s">
        <v>60</v>
      </c>
    </row>
    <row r="14" spans="1:21" x14ac:dyDescent="0.25">
      <c r="A14" s="1" t="s">
        <v>58</v>
      </c>
      <c r="B14" s="1" t="s">
        <v>52</v>
      </c>
      <c r="C14" s="1">
        <v>1</v>
      </c>
      <c r="D14" s="1">
        <v>4</v>
      </c>
      <c r="E14" s="1">
        <v>-1</v>
      </c>
      <c r="F14" s="1" t="s">
        <v>111</v>
      </c>
      <c r="G14" s="1" t="s">
        <v>59</v>
      </c>
    </row>
    <row r="15" spans="1:21" x14ac:dyDescent="0.25">
      <c r="A15" s="1" t="s">
        <v>58</v>
      </c>
      <c r="B15" s="1" t="s">
        <v>52</v>
      </c>
      <c r="C15" s="1">
        <v>1</v>
      </c>
      <c r="D15" s="1">
        <v>4</v>
      </c>
      <c r="E15" s="1">
        <v>-1</v>
      </c>
      <c r="F15" s="1" t="s">
        <v>87</v>
      </c>
      <c r="G15" s="1" t="s">
        <v>59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sqref="A1:U1"/>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9" t="s">
        <v>61</v>
      </c>
      <c r="B1" s="10"/>
      <c r="C1" s="10"/>
      <c r="D1" s="10"/>
      <c r="E1" s="10"/>
      <c r="F1" s="10"/>
      <c r="G1" s="10"/>
      <c r="H1" s="10"/>
      <c r="I1" s="10"/>
      <c r="J1" s="10"/>
      <c r="K1" s="10"/>
      <c r="L1" s="10"/>
      <c r="M1" s="10"/>
      <c r="N1" s="10"/>
      <c r="O1" s="10"/>
      <c r="P1" s="10"/>
      <c r="Q1" s="10"/>
      <c r="R1" s="10"/>
      <c r="S1" s="10"/>
      <c r="T1" s="10"/>
      <c r="U1" s="11"/>
    </row>
    <row r="2" spans="1:21" x14ac:dyDescent="0.25">
      <c r="A2" s="1" t="s">
        <v>62</v>
      </c>
      <c r="B2" s="1" t="s">
        <v>46</v>
      </c>
      <c r="C2" s="1" t="s">
        <v>63</v>
      </c>
      <c r="D2" s="1" t="s">
        <v>64</v>
      </c>
      <c r="E2" s="1" t="s">
        <v>65</v>
      </c>
      <c r="F2" s="1" t="s">
        <v>66</v>
      </c>
      <c r="G2" s="1" t="s">
        <v>67</v>
      </c>
    </row>
    <row r="3" spans="1:21" x14ac:dyDescent="0.25">
      <c r="A3" s="1">
        <v>1</v>
      </c>
      <c r="B3" s="1">
        <v>1</v>
      </c>
      <c r="C3" s="1" t="s">
        <v>68</v>
      </c>
      <c r="D3" s="1">
        <v>0</v>
      </c>
      <c r="E3" s="1">
        <v>1</v>
      </c>
      <c r="F3" s="1">
        <v>1</v>
      </c>
      <c r="G3" s="1" t="s">
        <v>69</v>
      </c>
    </row>
    <row r="4" spans="1:21" x14ac:dyDescent="0.25">
      <c r="A4" s="1">
        <v>1</v>
      </c>
      <c r="B4" s="1">
        <v>2</v>
      </c>
      <c r="C4" s="1" t="s">
        <v>60</v>
      </c>
      <c r="D4" s="1">
        <v>1</v>
      </c>
      <c r="E4" s="1">
        <v>1</v>
      </c>
      <c r="F4" s="1">
        <v>1</v>
      </c>
      <c r="G4" s="1" t="s">
        <v>70</v>
      </c>
    </row>
    <row r="5" spans="1:21" x14ac:dyDescent="0.25">
      <c r="A5" s="1">
        <v>1</v>
      </c>
      <c r="B5" s="1">
        <v>3</v>
      </c>
      <c r="C5" s="1" t="s">
        <v>71</v>
      </c>
      <c r="D5" s="1">
        <v>0</v>
      </c>
      <c r="E5" s="1">
        <v>2</v>
      </c>
      <c r="F5" s="1">
        <v>1</v>
      </c>
      <c r="G5" s="1" t="s">
        <v>71</v>
      </c>
    </row>
    <row r="6" spans="1:21" x14ac:dyDescent="0.25">
      <c r="A6" s="1">
        <v>1</v>
      </c>
      <c r="B6" s="1">
        <v>4</v>
      </c>
      <c r="C6" s="1" t="s">
        <v>59</v>
      </c>
      <c r="D6" s="1">
        <v>1</v>
      </c>
      <c r="E6" s="1">
        <v>3</v>
      </c>
      <c r="F6" s="1">
        <v>0</v>
      </c>
      <c r="G6" s="1" t="s">
        <v>59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1000"/>
  <sheetViews>
    <sheetView workbookViewId="0">
      <selection sqref="A1:U1"/>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15" customHeight="1" x14ac:dyDescent="0.25">
      <c r="A1" s="9" t="s">
        <v>72</v>
      </c>
      <c r="B1" s="10"/>
      <c r="C1" s="10"/>
      <c r="D1" s="10"/>
      <c r="E1" s="10"/>
      <c r="F1" s="10"/>
      <c r="G1" s="10"/>
      <c r="H1" s="10"/>
      <c r="I1" s="10"/>
      <c r="J1" s="10"/>
      <c r="K1" s="10"/>
      <c r="L1" s="10"/>
      <c r="M1" s="10"/>
      <c r="N1" s="10"/>
      <c r="O1" s="10"/>
      <c r="P1" s="10"/>
      <c r="Q1" s="10"/>
      <c r="R1" s="10"/>
      <c r="S1" s="10"/>
      <c r="T1" s="10"/>
      <c r="U1" s="11"/>
    </row>
    <row r="2" spans="1:21" x14ac:dyDescent="0.25">
      <c r="A2" s="1" t="s">
        <v>73</v>
      </c>
      <c r="B2" s="1" t="s">
        <v>74</v>
      </c>
      <c r="C2" s="1" t="s">
        <v>75</v>
      </c>
      <c r="D2" s="1" t="s">
        <v>76</v>
      </c>
      <c r="E2" s="1" t="s">
        <v>77</v>
      </c>
      <c r="F2" s="1" t="s">
        <v>78</v>
      </c>
      <c r="G2" s="1" t="s">
        <v>79</v>
      </c>
      <c r="H2" s="1" t="s">
        <v>80</v>
      </c>
      <c r="I2" s="1" t="s">
        <v>81</v>
      </c>
      <c r="J2" s="1" t="s">
        <v>82</v>
      </c>
      <c r="K2" s="1" t="s">
        <v>83</v>
      </c>
    </row>
    <row r="3" spans="1:21" x14ac:dyDescent="0.25">
      <c r="A3" s="1" t="s">
        <v>84</v>
      </c>
      <c r="B3" s="1">
        <v>1</v>
      </c>
      <c r="C3" s="1">
        <v>25</v>
      </c>
      <c r="D3" s="1">
        <v>10.5</v>
      </c>
      <c r="E3" s="1">
        <v>1</v>
      </c>
      <c r="F3" s="1">
        <v>0</v>
      </c>
      <c r="G3" s="1">
        <v>0</v>
      </c>
      <c r="H3" s="1">
        <v>7.5</v>
      </c>
      <c r="I3" s="1">
        <v>0.1</v>
      </c>
      <c r="J3" s="1" t="s">
        <v>85</v>
      </c>
      <c r="K3" s="1" t="s">
        <v>86</v>
      </c>
    </row>
    <row r="4" spans="1:21" x14ac:dyDescent="0.25">
      <c r="A4" s="1" t="s">
        <v>87</v>
      </c>
      <c r="B4" s="1">
        <v>0.05</v>
      </c>
      <c r="C4" s="1">
        <v>0.2</v>
      </c>
      <c r="D4" s="1">
        <v>0.08</v>
      </c>
      <c r="E4" s="1">
        <v>-1</v>
      </c>
      <c r="F4" s="1">
        <v>0</v>
      </c>
      <c r="G4" s="1">
        <v>0</v>
      </c>
      <c r="H4" s="1">
        <v>0.13</v>
      </c>
      <c r="I4" s="1">
        <v>0.01</v>
      </c>
      <c r="J4" s="1" t="s">
        <v>85</v>
      </c>
      <c r="K4" s="1" t="s">
        <v>88</v>
      </c>
    </row>
    <row r="5" spans="1:21" x14ac:dyDescent="0.25">
      <c r="A5" s="1" t="s">
        <v>87</v>
      </c>
      <c r="B5" s="1">
        <v>0</v>
      </c>
      <c r="C5" s="1">
        <v>10</v>
      </c>
      <c r="D5" s="1">
        <v>1</v>
      </c>
      <c r="E5" s="1">
        <v>-1</v>
      </c>
      <c r="F5" s="1">
        <v>0</v>
      </c>
      <c r="G5" s="1">
        <v>0</v>
      </c>
      <c r="H5" s="1">
        <v>0.1</v>
      </c>
      <c r="I5" s="1">
        <v>0.01</v>
      </c>
      <c r="J5" s="1" t="s">
        <v>85</v>
      </c>
      <c r="K5" s="1" t="s">
        <v>89</v>
      </c>
    </row>
    <row r="6" spans="1:21" x14ac:dyDescent="0.25">
      <c r="A6" s="1" t="s">
        <v>87</v>
      </c>
      <c r="B6" s="1">
        <v>1</v>
      </c>
      <c r="C6" s="1">
        <v>5</v>
      </c>
      <c r="D6" s="1">
        <v>3</v>
      </c>
      <c r="E6" s="1">
        <v>-1</v>
      </c>
      <c r="F6" s="1">
        <v>0</v>
      </c>
      <c r="G6" s="1">
        <v>0</v>
      </c>
      <c r="H6" s="1">
        <v>0.1</v>
      </c>
      <c r="I6" s="1">
        <v>0.01</v>
      </c>
      <c r="J6" s="1" t="s">
        <v>85</v>
      </c>
      <c r="K6" s="1" t="s">
        <v>90</v>
      </c>
    </row>
    <row r="7" spans="1:21" x14ac:dyDescent="0.25">
      <c r="A7" s="1" t="s">
        <v>91</v>
      </c>
      <c r="B7" s="1">
        <v>0</v>
      </c>
      <c r="C7" s="1">
        <v>1</v>
      </c>
      <c r="D7" s="1">
        <v>1</v>
      </c>
      <c r="E7" s="1">
        <v>-2</v>
      </c>
      <c r="F7" s="1">
        <v>0</v>
      </c>
      <c r="G7" s="1">
        <v>0</v>
      </c>
      <c r="H7" s="1">
        <v>0.1</v>
      </c>
      <c r="I7" s="1">
        <v>0.01</v>
      </c>
      <c r="J7" s="1" t="s">
        <v>85</v>
      </c>
      <c r="K7" s="1" t="s">
        <v>92</v>
      </c>
    </row>
    <row r="8" spans="1:21" x14ac:dyDescent="0.25">
      <c r="A8" s="1" t="s">
        <v>93</v>
      </c>
      <c r="B8" s="1">
        <v>1E-3</v>
      </c>
      <c r="C8" s="1">
        <v>1</v>
      </c>
      <c r="D8" s="1">
        <v>0.5</v>
      </c>
      <c r="E8" s="1">
        <v>-1</v>
      </c>
      <c r="F8" s="1">
        <v>0</v>
      </c>
      <c r="G8" s="1">
        <v>0</v>
      </c>
      <c r="H8" s="1">
        <v>0.1</v>
      </c>
      <c r="I8" s="1">
        <v>0.01</v>
      </c>
      <c r="J8" s="1" t="s">
        <v>85</v>
      </c>
      <c r="K8" s="1" t="s">
        <v>94</v>
      </c>
    </row>
    <row r="9" spans="1:21" x14ac:dyDescent="0.25">
      <c r="A9" s="1" t="s">
        <v>95</v>
      </c>
      <c r="B9" s="1">
        <v>10</v>
      </c>
      <c r="C9" s="1">
        <v>25</v>
      </c>
      <c r="D9" s="1">
        <v>15</v>
      </c>
      <c r="E9" s="1">
        <v>-1</v>
      </c>
      <c r="F9" s="1">
        <v>0</v>
      </c>
      <c r="G9" s="1">
        <v>0</v>
      </c>
      <c r="H9" s="1">
        <v>0.1</v>
      </c>
      <c r="I9" s="1">
        <v>0.01</v>
      </c>
      <c r="J9" s="1" t="s">
        <v>85</v>
      </c>
      <c r="K9" s="1" t="s">
        <v>96</v>
      </c>
    </row>
    <row r="10" spans="1:21" x14ac:dyDescent="0.25">
      <c r="A10" s="1" t="s">
        <v>97</v>
      </c>
      <c r="B10" s="1">
        <v>-6</v>
      </c>
      <c r="C10" s="1">
        <v>1</v>
      </c>
      <c r="D10" s="1">
        <v>-0.2</v>
      </c>
      <c r="E10" s="1">
        <v>-1</v>
      </c>
      <c r="F10" s="1">
        <v>0</v>
      </c>
      <c r="G10" s="1">
        <v>0</v>
      </c>
      <c r="H10" s="1">
        <v>0.1</v>
      </c>
      <c r="I10" s="1">
        <v>0.01</v>
      </c>
      <c r="J10" s="1" t="s">
        <v>85</v>
      </c>
      <c r="K10" s="1" t="s">
        <v>98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0"/>
  <sheetViews>
    <sheetView tabSelected="1" workbookViewId="0">
      <pane ySplit="2" topLeftCell="A3" activePane="bottomLeft" state="frozen"/>
      <selection pane="bottomLeft" activeCell="B5" sqref="B5"/>
    </sheetView>
  </sheetViews>
  <sheetFormatPr defaultColWidth="14.42578125" defaultRowHeight="15" customHeight="1" x14ac:dyDescent="0.25"/>
  <cols>
    <col min="1" max="2" width="11.42578125" customWidth="1"/>
    <col min="3" max="5" width="10" customWidth="1"/>
    <col min="6" max="6" width="17.28515625" customWidth="1"/>
    <col min="7" max="8" width="10" customWidth="1"/>
    <col min="9" max="26" width="11.42578125" customWidth="1"/>
  </cols>
  <sheetData>
    <row r="1" spans="1:21" ht="33" customHeight="1" x14ac:dyDescent="0.25">
      <c r="A1" s="9" t="s">
        <v>131</v>
      </c>
      <c r="B1" s="10"/>
      <c r="C1" s="10"/>
      <c r="D1" s="10"/>
      <c r="E1" s="10"/>
      <c r="F1" s="10"/>
      <c r="G1" s="10"/>
      <c r="H1" s="10"/>
      <c r="I1" s="10"/>
      <c r="J1" s="10"/>
      <c r="K1" s="10"/>
      <c r="L1" s="10"/>
      <c r="M1" s="10"/>
      <c r="N1" s="10"/>
      <c r="O1" s="10"/>
      <c r="P1" s="10"/>
      <c r="Q1" s="10"/>
      <c r="R1" s="10"/>
      <c r="S1" s="10"/>
      <c r="T1" s="10"/>
      <c r="U1" s="11"/>
    </row>
    <row r="2" spans="1:21" x14ac:dyDescent="0.25">
      <c r="A2" s="1" t="s">
        <v>106</v>
      </c>
      <c r="B2" s="1" t="s">
        <v>47</v>
      </c>
      <c r="C2" s="1" t="s">
        <v>132</v>
      </c>
      <c r="D2" s="1" t="s">
        <v>42</v>
      </c>
      <c r="E2" s="1" t="s">
        <v>133</v>
      </c>
      <c r="F2" s="1" t="s">
        <v>134</v>
      </c>
      <c r="G2" s="1" t="s">
        <v>135</v>
      </c>
    </row>
    <row r="3" spans="1:21" x14ac:dyDescent="0.25">
      <c r="A3" s="1">
        <v>999</v>
      </c>
      <c r="B3" s="2" t="s">
        <v>111</v>
      </c>
      <c r="C3" s="2" t="str">
        <f t="shared" ref="C3:C4" si="0">MID(F3,9,1)</f>
        <v>1</v>
      </c>
      <c r="D3" s="2">
        <v>1</v>
      </c>
      <c r="E3" s="2" t="str">
        <f>RIGHT(G3,1)</f>
        <v>1</v>
      </c>
      <c r="F3" s="1" t="s">
        <v>136</v>
      </c>
      <c r="G3" s="1">
        <v>1</v>
      </c>
    </row>
    <row r="4" spans="1:21" x14ac:dyDescent="0.25">
      <c r="A4" s="1">
        <v>999</v>
      </c>
      <c r="B4" s="2" t="s">
        <v>87</v>
      </c>
      <c r="C4" s="2" t="str">
        <f t="shared" si="0"/>
        <v>1</v>
      </c>
      <c r="D4" s="2" t="str">
        <f>MID(F4,13,1)</f>
        <v>1</v>
      </c>
      <c r="E4" s="1">
        <v>1</v>
      </c>
      <c r="F4" s="1" t="s">
        <v>137</v>
      </c>
      <c r="G4" s="1">
        <v>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sqref="A1:U1"/>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9" t="s">
        <v>138</v>
      </c>
      <c r="B1" s="10"/>
      <c r="C1" s="10"/>
      <c r="D1" s="10"/>
      <c r="E1" s="10"/>
      <c r="F1" s="10"/>
      <c r="G1" s="10"/>
      <c r="H1" s="10"/>
      <c r="I1" s="10"/>
      <c r="J1" s="10"/>
      <c r="K1" s="10"/>
      <c r="L1" s="10"/>
      <c r="M1" s="10"/>
      <c r="N1" s="10"/>
      <c r="O1" s="10"/>
      <c r="P1" s="10"/>
      <c r="Q1" s="10"/>
      <c r="R1" s="10"/>
      <c r="S1" s="10"/>
      <c r="T1" s="10"/>
      <c r="U1" s="11"/>
    </row>
    <row r="3" spans="1:41" x14ac:dyDescent="0.25">
      <c r="A3" s="1" t="s">
        <v>139</v>
      </c>
    </row>
    <row r="4" spans="1:41" x14ac:dyDescent="0.25">
      <c r="A4" s="1">
        <v>1.1180500160453291E-3</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row>
    <row r="5" spans="1:41" x14ac:dyDescent="0.25">
      <c r="A5" s="1">
        <v>4.8476613707829581E-2</v>
      </c>
      <c r="B5" s="1">
        <v>1.1725585629315664E-3</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row>
    <row r="6" spans="1:41" x14ac:dyDescent="0.25">
      <c r="A6" s="1">
        <v>0.36433780145507444</v>
      </c>
      <c r="B6" s="1">
        <v>4.9933523151304192E-2</v>
      </c>
      <c r="C6" s="1">
        <v>1.249469697710062E-3</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row>
    <row r="7" spans="1:41" x14ac:dyDescent="0.25">
      <c r="A7" s="1">
        <v>0.47465395863585058</v>
      </c>
      <c r="B7" s="1">
        <v>0.36859614786487732</v>
      </c>
      <c r="C7" s="1">
        <v>5.1940707532375327E-2</v>
      </c>
      <c r="D7" s="1">
        <v>1.3592286746411475E-3</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c r="AD7" s="1">
        <v>0</v>
      </c>
      <c r="AE7" s="1">
        <v>0</v>
      </c>
      <c r="AF7" s="1">
        <v>0</v>
      </c>
      <c r="AG7" s="1">
        <v>0</v>
      </c>
      <c r="AH7" s="1">
        <v>0</v>
      </c>
      <c r="AI7" s="1">
        <v>0</v>
      </c>
      <c r="AJ7" s="1">
        <v>0</v>
      </c>
      <c r="AK7" s="1">
        <v>0</v>
      </c>
      <c r="AL7" s="1">
        <v>0</v>
      </c>
      <c r="AM7" s="1">
        <v>0</v>
      </c>
      <c r="AN7" s="1">
        <v>0</v>
      </c>
      <c r="AO7" s="1">
        <v>0</v>
      </c>
    </row>
    <row r="8" spans="1:41" x14ac:dyDescent="0.25">
      <c r="A8" s="1">
        <v>0.1071891672222422</v>
      </c>
      <c r="B8" s="1">
        <v>0.47163963038714196</v>
      </c>
      <c r="C8" s="1">
        <v>0.37427507846499025</v>
      </c>
      <c r="D8" s="1">
        <v>5.471497066074562E-2</v>
      </c>
      <c r="E8" s="1">
        <v>1.5181197450394388E-3</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row>
    <row r="9" spans="1:41" x14ac:dyDescent="0.25">
      <c r="A9" s="1">
        <v>4.1959045672628117E-3</v>
      </c>
      <c r="B9" s="1">
        <v>0.1046093983050583</v>
      </c>
      <c r="C9" s="1">
        <v>0.46749274395448176</v>
      </c>
      <c r="D9" s="1">
        <v>0.38178664185206379</v>
      </c>
      <c r="E9" s="1">
        <v>5.8563613675473469E-2</v>
      </c>
      <c r="F9" s="1">
        <v>1.7521968001875908E-3</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row>
    <row r="10" spans="1:41" x14ac:dyDescent="0.25">
      <c r="A10" s="1">
        <v>2.8470901750461252E-5</v>
      </c>
      <c r="B10" s="1">
        <v>4.0219070874687015E-3</v>
      </c>
      <c r="C10" s="1">
        <v>0.1012184667804443</v>
      </c>
      <c r="D10" s="1">
        <v>0.46178115208658604</v>
      </c>
      <c r="E10" s="1">
        <v>0.39160715748626812</v>
      </c>
      <c r="F10" s="1">
        <v>6.3923017444076316E-2</v>
      </c>
      <c r="G10" s="1">
        <v>2.1041977536124115E-3</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row>
    <row r="11" spans="1:41" x14ac:dyDescent="0.25">
      <c r="A11" s="1">
        <v>3.348711695647974E-8</v>
      </c>
      <c r="B11" s="1">
        <v>2.6803670990472522E-5</v>
      </c>
      <c r="C11" s="1">
        <v>3.7987923091482591E-3</v>
      </c>
      <c r="D11" s="1">
        <v>9.6817216482859805E-2</v>
      </c>
      <c r="E11" s="1">
        <v>0.45391474466381893</v>
      </c>
      <c r="F11" s="1">
        <v>0.40423374714773253</v>
      </c>
      <c r="G11" s="1">
        <v>7.1410010013569294E-2</v>
      </c>
      <c r="H11" s="1">
        <v>2.6456972404927275E-3</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row>
    <row r="12" spans="1:41" x14ac:dyDescent="0.25">
      <c r="A12" s="1">
        <v>6.8273978469391306E-12</v>
      </c>
      <c r="B12" s="1">
        <v>3.096402710529956E-8</v>
      </c>
      <c r="C12" s="1">
        <v>2.4713386498494263E-5</v>
      </c>
      <c r="D12" s="1">
        <v>3.518599993116506E-3</v>
      </c>
      <c r="E12" s="1">
        <v>9.1200847751428241E-2</v>
      </c>
      <c r="F12" s="1">
        <v>0.44310717571482983</v>
      </c>
      <c r="G12" s="1">
        <v>0.4200805277768595</v>
      </c>
      <c r="H12" s="1">
        <v>8.1882130237657627E-2</v>
      </c>
      <c r="I12" s="1">
        <v>3.4980153758482338E-3</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row>
    <row r="13" spans="1:41" x14ac:dyDescent="0.25">
      <c r="A13" s="1">
        <v>0</v>
      </c>
      <c r="B13" s="1">
        <v>6.2004258054924781E-12</v>
      </c>
      <c r="C13" s="1">
        <v>2.7868903901889029E-8</v>
      </c>
      <c r="D13" s="1">
        <v>2.2166040284751908E-5</v>
      </c>
      <c r="E13" s="1">
        <v>3.1763209267193439E-3</v>
      </c>
      <c r="F13" s="1">
        <v>8.4194924984594979E-2</v>
      </c>
      <c r="G13" s="1">
        <v>0.42835804069718425</v>
      </c>
      <c r="H13" s="1">
        <v>0.43927757846762072</v>
      </c>
      <c r="I13" s="1">
        <v>9.6487841707300598E-2</v>
      </c>
      <c r="J13" s="1">
        <v>4.8662801563293338E-3</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row>
    <row r="14" spans="1:41" x14ac:dyDescent="0.25">
      <c r="A14" s="1">
        <v>0</v>
      </c>
      <c r="B14" s="1">
        <v>0</v>
      </c>
      <c r="C14" s="1">
        <v>5.447640380084009E-12</v>
      </c>
      <c r="D14" s="1">
        <v>2.4205120802946864E-8</v>
      </c>
      <c r="E14" s="1">
        <v>1.9175680812549964E-5</v>
      </c>
      <c r="F14" s="1">
        <v>2.7730899771836537E-3</v>
      </c>
      <c r="G14" s="1">
        <v>7.5715049665502271E-2</v>
      </c>
      <c r="H14" s="1">
        <v>0.40849792626041648</v>
      </c>
      <c r="I14" s="1">
        <v>0.46134347803126519</v>
      </c>
      <c r="J14" s="1">
        <v>0.11665704120380281</v>
      </c>
      <c r="K14" s="1">
        <v>7.0890703030674967E-3</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row>
    <row r="15" spans="1:41" x14ac:dyDescent="0.25">
      <c r="A15" s="1">
        <v>0</v>
      </c>
      <c r="B15" s="1">
        <v>0</v>
      </c>
      <c r="C15" s="1">
        <v>0</v>
      </c>
      <c r="D15" s="1">
        <v>4.5817069334732966E-12</v>
      </c>
      <c r="E15" s="1">
        <v>2.006680007519932E-8</v>
      </c>
      <c r="F15" s="1">
        <v>1.5832260374311731E-5</v>
      </c>
      <c r="G15" s="1">
        <v>2.3198420445359959E-3</v>
      </c>
      <c r="H15" s="1">
        <v>6.584784877684334E-2</v>
      </c>
      <c r="I15" s="1">
        <v>0.38236408647595754</v>
      </c>
      <c r="J15" s="1">
        <v>0.48475882240927087</v>
      </c>
      <c r="K15" s="1">
        <v>0.14393962827432746</v>
      </c>
      <c r="L15" s="1">
        <v>1.0696195963635446E-2</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row>
    <row r="16" spans="1:41" x14ac:dyDescent="0.25">
      <c r="A16" s="1">
        <v>0</v>
      </c>
      <c r="B16" s="1">
        <v>0</v>
      </c>
      <c r="C16" s="1">
        <v>0</v>
      </c>
      <c r="D16" s="1">
        <v>0</v>
      </c>
      <c r="E16" s="1">
        <v>3.6400418028578506E-12</v>
      </c>
      <c r="F16" s="1">
        <v>1.5668333307723346E-8</v>
      </c>
      <c r="G16" s="1">
        <v>1.2320704301269434E-5</v>
      </c>
      <c r="H16" s="1">
        <v>1.8399000957681237E-3</v>
      </c>
      <c r="I16" s="1">
        <v>5.4932671347383222E-2</v>
      </c>
      <c r="J16" s="1">
        <v>0.3491736012268023</v>
      </c>
      <c r="K16" s="1">
        <v>0.50660839924026857</v>
      </c>
      <c r="L16" s="1">
        <v>0.17958455144348934</v>
      </c>
      <c r="M16" s="1">
        <v>1.6445564533687774E-2</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row>
    <row r="17" spans="1:41" x14ac:dyDescent="0.25">
      <c r="A17" s="1">
        <v>0</v>
      </c>
      <c r="B17" s="1">
        <v>0</v>
      </c>
      <c r="C17" s="1">
        <v>0</v>
      </c>
      <c r="D17" s="1">
        <v>0</v>
      </c>
      <c r="E17" s="1">
        <v>0</v>
      </c>
      <c r="F17" s="1">
        <v>2.6878411291003915E-12</v>
      </c>
      <c r="G17" s="1">
        <v>1.1342624879845714E-8</v>
      </c>
      <c r="H17" s="1">
        <v>8.9114383777549644E-6</v>
      </c>
      <c r="I17" s="1">
        <v>1.3679973599481604E-3</v>
      </c>
      <c r="J17" s="1">
        <v>4.3597139768539767E-2</v>
      </c>
      <c r="K17" s="1">
        <v>0.30907601951603758</v>
      </c>
      <c r="L17" s="1">
        <v>0.52264826508715667</v>
      </c>
      <c r="M17" s="1">
        <v>0.2238533272974553</v>
      </c>
      <c r="N17" s="1">
        <v>2.5288648612529257E-2</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row>
    <row r="18" spans="1:41" x14ac:dyDescent="0.25">
      <c r="A18" s="1">
        <v>0</v>
      </c>
      <c r="B18" s="1">
        <v>0</v>
      </c>
      <c r="C18" s="1">
        <v>0</v>
      </c>
      <c r="D18" s="1">
        <v>0</v>
      </c>
      <c r="E18" s="1">
        <v>0</v>
      </c>
      <c r="F18" s="1">
        <v>0</v>
      </c>
      <c r="G18" s="1">
        <v>1.8100581194628295E-12</v>
      </c>
      <c r="H18" s="1">
        <v>7.4817344591055092E-9</v>
      </c>
      <c r="I18" s="1">
        <v>5.9052829975865992E-6</v>
      </c>
      <c r="J18" s="1">
        <v>9.4357300896742377E-4</v>
      </c>
      <c r="K18" s="1">
        <v>3.2685802387485578E-2</v>
      </c>
      <c r="L18" s="1">
        <v>0.26366407962834537</v>
      </c>
      <c r="M18" s="1">
        <v>0.52817669818460111</v>
      </c>
      <c r="N18" s="1">
        <v>0.27533676566470389</v>
      </c>
      <c r="O18" s="1">
        <v>3.8233374310296407E-2</v>
      </c>
      <c r="P18" s="1">
        <v>0</v>
      </c>
      <c r="Q18" s="1">
        <v>0</v>
      </c>
      <c r="R18" s="1">
        <v>0</v>
      </c>
      <c r="S18" s="1">
        <v>0</v>
      </c>
      <c r="T18" s="1">
        <v>0</v>
      </c>
      <c r="U18" s="1">
        <v>0</v>
      </c>
      <c r="V18" s="1">
        <v>0</v>
      </c>
      <c r="W18" s="1">
        <v>0</v>
      </c>
      <c r="X18" s="1">
        <v>0</v>
      </c>
      <c r="Y18" s="1">
        <v>0</v>
      </c>
      <c r="Z18" s="1">
        <v>0</v>
      </c>
      <c r="AA18" s="1">
        <v>0</v>
      </c>
      <c r="AB18" s="1">
        <v>0</v>
      </c>
      <c r="AC18" s="1">
        <v>0</v>
      </c>
      <c r="AD18" s="1">
        <v>0</v>
      </c>
      <c r="AE18" s="1">
        <v>0</v>
      </c>
      <c r="AF18" s="1">
        <v>0</v>
      </c>
      <c r="AG18" s="1">
        <v>0</v>
      </c>
      <c r="AH18" s="1">
        <v>0</v>
      </c>
      <c r="AI18" s="1">
        <v>0</v>
      </c>
      <c r="AJ18" s="1">
        <v>0</v>
      </c>
      <c r="AK18" s="1">
        <v>0</v>
      </c>
      <c r="AL18" s="1">
        <v>0</v>
      </c>
      <c r="AM18" s="1">
        <v>0</v>
      </c>
      <c r="AN18" s="1">
        <v>0</v>
      </c>
      <c r="AO18" s="1">
        <v>0</v>
      </c>
    </row>
    <row r="19" spans="1:41" x14ac:dyDescent="0.25">
      <c r="A19" s="1">
        <v>0</v>
      </c>
      <c r="B19" s="1">
        <v>0</v>
      </c>
      <c r="C19" s="1">
        <v>0</v>
      </c>
      <c r="D19" s="1">
        <v>0</v>
      </c>
      <c r="E19" s="1">
        <v>0</v>
      </c>
      <c r="F19" s="1">
        <v>0</v>
      </c>
      <c r="G19" s="1">
        <v>0</v>
      </c>
      <c r="H19" s="1">
        <v>1.0888240065367553E-12</v>
      </c>
      <c r="I19" s="1">
        <v>4.418726143692298E-9</v>
      </c>
      <c r="J19" s="1">
        <v>3.5399239859335822E-6</v>
      </c>
      <c r="K19" s="1">
        <v>5.9917530625930087E-4</v>
      </c>
      <c r="L19" s="1">
        <v>2.3056497662650159E-2</v>
      </c>
      <c r="M19" s="1">
        <v>0.21602093238018491</v>
      </c>
      <c r="N19" s="1">
        <v>0.51964135519564802</v>
      </c>
      <c r="O19" s="1">
        <v>0.33080163110756</v>
      </c>
      <c r="P19" s="1">
        <v>5.6163504733345269E-2</v>
      </c>
      <c r="Q19" s="1">
        <v>0</v>
      </c>
      <c r="R19" s="1">
        <v>0</v>
      </c>
      <c r="S19" s="1">
        <v>0</v>
      </c>
      <c r="T19" s="1">
        <v>0</v>
      </c>
      <c r="U19" s="1">
        <v>0</v>
      </c>
      <c r="V19" s="1">
        <v>0</v>
      </c>
      <c r="W19" s="1">
        <v>0</v>
      </c>
      <c r="X19" s="1">
        <v>0</v>
      </c>
      <c r="Y19" s="1">
        <v>0</v>
      </c>
      <c r="Z19" s="1">
        <v>0</v>
      </c>
      <c r="AA19" s="1">
        <v>0</v>
      </c>
      <c r="AB19" s="1">
        <v>0</v>
      </c>
      <c r="AC19" s="1">
        <v>0</v>
      </c>
      <c r="AD19" s="1">
        <v>0</v>
      </c>
      <c r="AE19" s="1">
        <v>0</v>
      </c>
      <c r="AF19" s="1">
        <v>0</v>
      </c>
      <c r="AG19" s="1">
        <v>0</v>
      </c>
      <c r="AH19" s="1">
        <v>0</v>
      </c>
      <c r="AI19" s="1">
        <v>0</v>
      </c>
      <c r="AJ19" s="1">
        <v>0</v>
      </c>
      <c r="AK19" s="1">
        <v>0</v>
      </c>
      <c r="AL19" s="1">
        <v>0</v>
      </c>
      <c r="AM19" s="1">
        <v>0</v>
      </c>
      <c r="AN19" s="1">
        <v>0</v>
      </c>
      <c r="AO19" s="1">
        <v>0</v>
      </c>
    </row>
    <row r="20" spans="1:41" x14ac:dyDescent="0.25">
      <c r="A20" s="1">
        <v>0</v>
      </c>
      <c r="B20" s="1">
        <v>0</v>
      </c>
      <c r="C20" s="1">
        <v>0</v>
      </c>
      <c r="D20" s="1">
        <v>0</v>
      </c>
      <c r="E20" s="1">
        <v>0</v>
      </c>
      <c r="F20" s="1">
        <v>0</v>
      </c>
      <c r="G20" s="1">
        <v>0</v>
      </c>
      <c r="H20" s="1">
        <v>0</v>
      </c>
      <c r="I20" s="1">
        <v>5.7313162528880491E-13</v>
      </c>
      <c r="J20" s="1">
        <v>2.302042191093932E-9</v>
      </c>
      <c r="K20" s="1">
        <v>1.9039238664022043E-6</v>
      </c>
      <c r="L20" s="1">
        <v>3.4949150443267364E-4</v>
      </c>
      <c r="M20" s="1">
        <v>1.5314871271811067E-2</v>
      </c>
      <c r="N20" s="1">
        <v>0.16999812154007476</v>
      </c>
      <c r="O20" s="1">
        <v>0.49612780980328686</v>
      </c>
      <c r="P20" s="1">
        <v>0.38590307925812573</v>
      </c>
      <c r="Q20" s="1">
        <v>7.9763404213937267E-2</v>
      </c>
      <c r="R20" s="1">
        <v>0</v>
      </c>
      <c r="S20" s="1">
        <v>0</v>
      </c>
      <c r="T20" s="1">
        <v>0</v>
      </c>
      <c r="U20" s="1">
        <v>0</v>
      </c>
      <c r="V20" s="1">
        <v>0</v>
      </c>
      <c r="W20" s="1">
        <v>0</v>
      </c>
      <c r="X20" s="1">
        <v>0</v>
      </c>
      <c r="Y20" s="1">
        <v>0</v>
      </c>
      <c r="Z20" s="1">
        <v>0</v>
      </c>
      <c r="AA20" s="1">
        <v>0</v>
      </c>
      <c r="AB20" s="1">
        <v>0</v>
      </c>
      <c r="AC20" s="1">
        <v>0</v>
      </c>
      <c r="AD20" s="1">
        <v>0</v>
      </c>
      <c r="AE20" s="1">
        <v>0</v>
      </c>
      <c r="AF20" s="1">
        <v>0</v>
      </c>
      <c r="AG20" s="1">
        <v>0</v>
      </c>
      <c r="AH20" s="1">
        <v>0</v>
      </c>
      <c r="AI20" s="1">
        <v>0</v>
      </c>
      <c r="AJ20" s="1">
        <v>0</v>
      </c>
      <c r="AK20" s="1">
        <v>0</v>
      </c>
      <c r="AL20" s="1">
        <v>0</v>
      </c>
      <c r="AM20" s="1">
        <v>0</v>
      </c>
      <c r="AN20" s="1">
        <v>0</v>
      </c>
      <c r="AO20" s="1">
        <v>0</v>
      </c>
    </row>
    <row r="21" spans="1:41" ht="15.75" customHeight="1" x14ac:dyDescent="0.25">
      <c r="A21" s="1">
        <v>0</v>
      </c>
      <c r="B21" s="1">
        <v>0</v>
      </c>
      <c r="C21" s="1">
        <v>0</v>
      </c>
      <c r="D21" s="1">
        <v>0</v>
      </c>
      <c r="E21" s="1">
        <v>0</v>
      </c>
      <c r="F21" s="1">
        <v>0</v>
      </c>
      <c r="G21" s="1">
        <v>0</v>
      </c>
      <c r="H21" s="1">
        <v>0</v>
      </c>
      <c r="I21" s="1">
        <v>0</v>
      </c>
      <c r="J21" s="1">
        <v>2.5949771449029505E-13</v>
      </c>
      <c r="K21" s="1">
        <v>1.0486876776063124E-9</v>
      </c>
      <c r="L21" s="1">
        <v>9.1829204990353557E-7</v>
      </c>
      <c r="M21" s="1">
        <v>1.88205270310794E-4</v>
      </c>
      <c r="N21" s="1">
        <v>9.6401868992086037E-3</v>
      </c>
      <c r="O21" s="1">
        <v>0.12897941902377835</v>
      </c>
      <c r="P21" s="1">
        <v>0.45962453403026116</v>
      </c>
      <c r="Q21" s="1">
        <v>0.4363934571736191</v>
      </c>
      <c r="R21" s="1">
        <v>0.10963924762958933</v>
      </c>
      <c r="S21" s="1">
        <v>0</v>
      </c>
      <c r="T21" s="1">
        <v>0</v>
      </c>
      <c r="U21" s="1">
        <v>0</v>
      </c>
      <c r="V21" s="1">
        <v>0</v>
      </c>
      <c r="W21" s="1">
        <v>0</v>
      </c>
      <c r="X21" s="1">
        <v>0</v>
      </c>
      <c r="Y21" s="1">
        <v>0</v>
      </c>
      <c r="Z21" s="1">
        <v>0</v>
      </c>
      <c r="AA21" s="1">
        <v>0</v>
      </c>
      <c r="AB21" s="1">
        <v>0</v>
      </c>
      <c r="AC21" s="1">
        <v>0</v>
      </c>
      <c r="AD21" s="1">
        <v>0</v>
      </c>
      <c r="AE21" s="1">
        <v>0</v>
      </c>
      <c r="AF21" s="1">
        <v>0</v>
      </c>
      <c r="AG21" s="1">
        <v>0</v>
      </c>
      <c r="AH21" s="1">
        <v>0</v>
      </c>
      <c r="AI21" s="1">
        <v>0</v>
      </c>
      <c r="AJ21" s="1">
        <v>0</v>
      </c>
      <c r="AK21" s="1">
        <v>0</v>
      </c>
      <c r="AL21" s="1">
        <v>0</v>
      </c>
      <c r="AM21" s="1">
        <v>0</v>
      </c>
      <c r="AN21" s="1">
        <v>0</v>
      </c>
      <c r="AO21" s="1">
        <v>0</v>
      </c>
    </row>
    <row r="22" spans="1:41" ht="15.75" customHeight="1" x14ac:dyDescent="0.25">
      <c r="A22" s="1">
        <v>0</v>
      </c>
      <c r="B22" s="1">
        <v>0</v>
      </c>
      <c r="C22" s="1">
        <v>0</v>
      </c>
      <c r="D22" s="1">
        <v>0</v>
      </c>
      <c r="E22" s="1">
        <v>0</v>
      </c>
      <c r="F22" s="1">
        <v>0</v>
      </c>
      <c r="G22" s="1">
        <v>0</v>
      </c>
      <c r="H22" s="1">
        <v>0</v>
      </c>
      <c r="I22" s="1">
        <v>0</v>
      </c>
      <c r="J22" s="1">
        <v>0</v>
      </c>
      <c r="K22" s="1">
        <v>0</v>
      </c>
      <c r="L22" s="1">
        <v>4.1824036146654438E-10</v>
      </c>
      <c r="M22" s="1">
        <v>4.0091391166584419E-7</v>
      </c>
      <c r="N22" s="1">
        <v>9.4760577947692207E-5</v>
      </c>
      <c r="O22" s="1">
        <v>5.8123020691990034E-3</v>
      </c>
      <c r="P22" s="1">
        <v>9.4891885640617762E-2</v>
      </c>
      <c r="Q22" s="1">
        <v>0.41386023107432751</v>
      </c>
      <c r="R22" s="1">
        <v>0.47896652423134101</v>
      </c>
      <c r="S22" s="1">
        <v>0.14651276911681238</v>
      </c>
      <c r="T22" s="1">
        <v>0</v>
      </c>
      <c r="U22" s="1">
        <v>0</v>
      </c>
      <c r="V22" s="1">
        <v>0</v>
      </c>
      <c r="W22" s="1">
        <v>0</v>
      </c>
      <c r="X22" s="1">
        <v>0</v>
      </c>
      <c r="Y22" s="1">
        <v>0</v>
      </c>
      <c r="Z22" s="1">
        <v>0</v>
      </c>
      <c r="AA22" s="1">
        <v>0</v>
      </c>
      <c r="AB22" s="1">
        <v>0</v>
      </c>
      <c r="AC22" s="1">
        <v>0</v>
      </c>
      <c r="AD22" s="1">
        <v>0</v>
      </c>
      <c r="AE22" s="1">
        <v>0</v>
      </c>
      <c r="AF22" s="1">
        <v>0</v>
      </c>
      <c r="AG22" s="1">
        <v>0</v>
      </c>
      <c r="AH22" s="1">
        <v>0</v>
      </c>
      <c r="AI22" s="1">
        <v>0</v>
      </c>
      <c r="AJ22" s="1">
        <v>0</v>
      </c>
      <c r="AK22" s="1">
        <v>0</v>
      </c>
      <c r="AL22" s="1">
        <v>0</v>
      </c>
      <c r="AM22" s="1">
        <v>0</v>
      </c>
      <c r="AN22" s="1">
        <v>0</v>
      </c>
      <c r="AO22" s="1">
        <v>0</v>
      </c>
    </row>
    <row r="23" spans="1:41" ht="15.75" customHeight="1" x14ac:dyDescent="0.25">
      <c r="A23" s="1">
        <v>0</v>
      </c>
      <c r="B23" s="1">
        <v>0</v>
      </c>
      <c r="C23" s="1">
        <v>0</v>
      </c>
      <c r="D23" s="1">
        <v>0</v>
      </c>
      <c r="E23" s="1">
        <v>0</v>
      </c>
      <c r="F23" s="1">
        <v>0</v>
      </c>
      <c r="G23" s="1">
        <v>0</v>
      </c>
      <c r="H23" s="1">
        <v>0</v>
      </c>
      <c r="I23" s="1">
        <v>0</v>
      </c>
      <c r="J23" s="1">
        <v>0</v>
      </c>
      <c r="K23" s="1">
        <v>0</v>
      </c>
      <c r="L23" s="1">
        <v>0</v>
      </c>
      <c r="M23" s="1">
        <v>1.480373791463745E-10</v>
      </c>
      <c r="N23" s="1">
        <v>1.6146219915483304E-7</v>
      </c>
      <c r="O23" s="1">
        <v>4.54021953311545E-5</v>
      </c>
      <c r="P23" s="1">
        <v>3.3959076129792304E-3</v>
      </c>
      <c r="Q23" s="1">
        <v>6.8034637757355951E-2</v>
      </c>
      <c r="R23" s="1">
        <v>0.36269802503377935</v>
      </c>
      <c r="S23" s="1">
        <v>0.51124408026971391</v>
      </c>
      <c r="T23" s="1">
        <v>0.19118771748189489</v>
      </c>
      <c r="U23" s="1">
        <v>0</v>
      </c>
      <c r="V23" s="1">
        <v>0</v>
      </c>
      <c r="W23" s="1">
        <v>0</v>
      </c>
      <c r="X23" s="1">
        <v>0</v>
      </c>
      <c r="Y23" s="1">
        <v>0</v>
      </c>
      <c r="Z23" s="1">
        <v>0</v>
      </c>
      <c r="AA23" s="1">
        <v>0</v>
      </c>
      <c r="AB23" s="1">
        <v>0</v>
      </c>
      <c r="AC23" s="1">
        <v>0</v>
      </c>
      <c r="AD23" s="1">
        <v>0</v>
      </c>
      <c r="AE23" s="1">
        <v>0</v>
      </c>
      <c r="AF23" s="1">
        <v>0</v>
      </c>
      <c r="AG23" s="1">
        <v>0</v>
      </c>
      <c r="AH23" s="1">
        <v>0</v>
      </c>
      <c r="AI23" s="1">
        <v>0</v>
      </c>
      <c r="AJ23" s="1">
        <v>0</v>
      </c>
      <c r="AK23" s="1">
        <v>0</v>
      </c>
      <c r="AL23" s="1">
        <v>0</v>
      </c>
      <c r="AM23" s="1">
        <v>0</v>
      </c>
      <c r="AN23" s="1">
        <v>0</v>
      </c>
      <c r="AO23" s="1">
        <v>0</v>
      </c>
    </row>
    <row r="24" spans="1:41" ht="15.75" customHeight="1" x14ac:dyDescent="0.25">
      <c r="A24" s="1">
        <v>0</v>
      </c>
      <c r="B24" s="1">
        <v>0</v>
      </c>
      <c r="C24" s="1">
        <v>0</v>
      </c>
      <c r="D24" s="1">
        <v>0</v>
      </c>
      <c r="E24" s="1">
        <v>0</v>
      </c>
      <c r="F24" s="1">
        <v>0</v>
      </c>
      <c r="G24" s="1">
        <v>0</v>
      </c>
      <c r="H24" s="1">
        <v>0</v>
      </c>
      <c r="I24" s="1">
        <v>0</v>
      </c>
      <c r="J24" s="1">
        <v>0</v>
      </c>
      <c r="K24" s="1">
        <v>0</v>
      </c>
      <c r="L24" s="1">
        <v>0</v>
      </c>
      <c r="M24" s="1">
        <v>0</v>
      </c>
      <c r="N24" s="1">
        <v>4.7688640468328462E-11</v>
      </c>
      <c r="O24" s="1">
        <v>6.147611925474125E-8</v>
      </c>
      <c r="P24" s="1">
        <v>2.1066072376721096E-5</v>
      </c>
      <c r="Q24" s="1">
        <v>1.938685549762207E-3</v>
      </c>
      <c r="R24" s="1">
        <v>4.7608679542709288E-2</v>
      </c>
      <c r="S24" s="1">
        <v>0.30923028702845334</v>
      </c>
      <c r="T24" s="1">
        <v>0.53125335978516364</v>
      </c>
      <c r="U24" s="1">
        <v>0.24403865318255999</v>
      </c>
      <c r="V24" s="1">
        <v>0</v>
      </c>
      <c r="W24" s="1">
        <v>0</v>
      </c>
      <c r="X24" s="1">
        <v>0</v>
      </c>
      <c r="Y24" s="1">
        <v>0</v>
      </c>
      <c r="Z24" s="1">
        <v>0</v>
      </c>
      <c r="AA24" s="1">
        <v>0</v>
      </c>
      <c r="AB24" s="1">
        <v>0</v>
      </c>
      <c r="AC24" s="1">
        <v>0</v>
      </c>
      <c r="AD24" s="1">
        <v>0</v>
      </c>
      <c r="AE24" s="1">
        <v>0</v>
      </c>
      <c r="AF24" s="1">
        <v>0</v>
      </c>
      <c r="AG24" s="1">
        <v>0</v>
      </c>
      <c r="AH24" s="1">
        <v>0</v>
      </c>
      <c r="AI24" s="1">
        <v>0</v>
      </c>
      <c r="AJ24" s="1">
        <v>0</v>
      </c>
      <c r="AK24" s="1">
        <v>0</v>
      </c>
      <c r="AL24" s="1">
        <v>0</v>
      </c>
      <c r="AM24" s="1">
        <v>0</v>
      </c>
      <c r="AN24" s="1">
        <v>0</v>
      </c>
      <c r="AO24" s="1">
        <v>0</v>
      </c>
    </row>
    <row r="25" spans="1:41" ht="15.75" customHeight="1" x14ac:dyDescent="0.25">
      <c r="A25" s="1">
        <v>0</v>
      </c>
      <c r="B25" s="1">
        <v>0</v>
      </c>
      <c r="C25" s="1">
        <v>0</v>
      </c>
      <c r="D25" s="1">
        <v>0</v>
      </c>
      <c r="E25" s="1">
        <v>0</v>
      </c>
      <c r="F25" s="1">
        <v>0</v>
      </c>
      <c r="G25" s="1">
        <v>0</v>
      </c>
      <c r="H25" s="1">
        <v>0</v>
      </c>
      <c r="I25" s="1">
        <v>0</v>
      </c>
      <c r="J25" s="1">
        <v>0</v>
      </c>
      <c r="K25" s="1">
        <v>0</v>
      </c>
      <c r="L25" s="1">
        <v>0</v>
      </c>
      <c r="M25" s="1">
        <v>0</v>
      </c>
      <c r="N25" s="1">
        <v>0</v>
      </c>
      <c r="O25" s="1">
        <v>1.4429023860430333E-11</v>
      </c>
      <c r="P25" s="1">
        <v>2.2652294172437443E-8</v>
      </c>
      <c r="Q25" s="1">
        <v>9.5760319257506423E-6</v>
      </c>
      <c r="R25" s="1">
        <v>1.0832482528373695E-3</v>
      </c>
      <c r="S25" s="1">
        <v>3.242176625277414E-2</v>
      </c>
      <c r="T25" s="1">
        <v>0.25588469261618252</v>
      </c>
      <c r="U25" s="1">
        <v>0.53723604842002926</v>
      </c>
      <c r="V25" s="1">
        <v>0.30410526072286426</v>
      </c>
      <c r="W25" s="1">
        <v>0</v>
      </c>
      <c r="X25" s="1">
        <v>0</v>
      </c>
      <c r="Y25" s="1">
        <v>0</v>
      </c>
      <c r="Z25" s="1">
        <v>0</v>
      </c>
      <c r="AA25" s="1">
        <v>0</v>
      </c>
      <c r="AB25" s="1">
        <v>0</v>
      </c>
      <c r="AC25" s="1">
        <v>0</v>
      </c>
      <c r="AD25" s="1">
        <v>0</v>
      </c>
      <c r="AE25" s="1">
        <v>0</v>
      </c>
      <c r="AF25" s="1">
        <v>0</v>
      </c>
      <c r="AG25" s="1">
        <v>0</v>
      </c>
      <c r="AH25" s="1">
        <v>0</v>
      </c>
      <c r="AI25" s="1">
        <v>0</v>
      </c>
      <c r="AJ25" s="1">
        <v>0</v>
      </c>
      <c r="AK25" s="1">
        <v>0</v>
      </c>
      <c r="AL25" s="1">
        <v>0</v>
      </c>
      <c r="AM25" s="1">
        <v>0</v>
      </c>
      <c r="AN25" s="1">
        <v>0</v>
      </c>
      <c r="AO25" s="1">
        <v>0</v>
      </c>
    </row>
    <row r="26" spans="1:41" ht="15.75" customHeight="1" x14ac:dyDescent="0.25">
      <c r="A26" s="1">
        <v>0</v>
      </c>
      <c r="B26" s="1">
        <v>0</v>
      </c>
      <c r="C26" s="1">
        <v>0</v>
      </c>
      <c r="D26" s="1">
        <v>0</v>
      </c>
      <c r="E26" s="1">
        <v>0</v>
      </c>
      <c r="F26" s="1">
        <v>0</v>
      </c>
      <c r="G26" s="1">
        <v>0</v>
      </c>
      <c r="H26" s="1">
        <v>0</v>
      </c>
      <c r="I26" s="1">
        <v>0</v>
      </c>
      <c r="J26" s="1">
        <v>0</v>
      </c>
      <c r="K26" s="1">
        <v>0</v>
      </c>
      <c r="L26" s="1">
        <v>0</v>
      </c>
      <c r="M26" s="1">
        <v>0</v>
      </c>
      <c r="N26" s="1">
        <v>0</v>
      </c>
      <c r="O26" s="1">
        <v>0</v>
      </c>
      <c r="P26" s="1">
        <v>0</v>
      </c>
      <c r="Q26" s="1">
        <v>8.1990722411656567E-9</v>
      </c>
      <c r="R26" s="1">
        <v>4.2723888586126699E-6</v>
      </c>
      <c r="S26" s="1">
        <v>5.8924001621980381E-4</v>
      </c>
      <c r="T26" s="1">
        <v>2.1364259233016117E-2</v>
      </c>
      <c r="U26" s="1">
        <v>0.20500883994124508</v>
      </c>
      <c r="V26" s="1">
        <v>0.52837697890025503</v>
      </c>
      <c r="W26" s="1">
        <v>0.36839875910488273</v>
      </c>
      <c r="X26" s="1">
        <v>0</v>
      </c>
      <c r="Y26" s="1">
        <v>0</v>
      </c>
      <c r="Z26" s="1">
        <v>0</v>
      </c>
      <c r="AA26" s="1">
        <v>0</v>
      </c>
      <c r="AB26" s="1">
        <v>0</v>
      </c>
      <c r="AC26" s="1">
        <v>0</v>
      </c>
      <c r="AD26" s="1">
        <v>0</v>
      </c>
      <c r="AE26" s="1">
        <v>0</v>
      </c>
      <c r="AF26" s="1">
        <v>0</v>
      </c>
      <c r="AG26" s="1">
        <v>0</v>
      </c>
      <c r="AH26" s="1">
        <v>0</v>
      </c>
      <c r="AI26" s="1">
        <v>0</v>
      </c>
      <c r="AJ26" s="1">
        <v>0</v>
      </c>
      <c r="AK26" s="1">
        <v>0</v>
      </c>
      <c r="AL26" s="1">
        <v>0</v>
      </c>
      <c r="AM26" s="1">
        <v>0</v>
      </c>
      <c r="AN26" s="1">
        <v>0</v>
      </c>
      <c r="AO26" s="1">
        <v>0</v>
      </c>
    </row>
    <row r="27" spans="1:41" ht="15.75" customHeight="1" x14ac:dyDescent="0.25">
      <c r="A27" s="1">
        <v>0</v>
      </c>
      <c r="B27" s="1">
        <v>0</v>
      </c>
      <c r="C27" s="1">
        <v>0</v>
      </c>
      <c r="D27" s="1">
        <v>0</v>
      </c>
      <c r="E27" s="1">
        <v>0</v>
      </c>
      <c r="F27" s="1">
        <v>0</v>
      </c>
      <c r="G27" s="1">
        <v>0</v>
      </c>
      <c r="H27" s="1">
        <v>0</v>
      </c>
      <c r="I27" s="1">
        <v>0</v>
      </c>
      <c r="J27" s="1">
        <v>0</v>
      </c>
      <c r="K27" s="1">
        <v>0</v>
      </c>
      <c r="L27" s="1">
        <v>0</v>
      </c>
      <c r="M27" s="1">
        <v>0</v>
      </c>
      <c r="N27" s="1">
        <v>0</v>
      </c>
      <c r="O27" s="1">
        <v>0</v>
      </c>
      <c r="P27" s="1">
        <v>0</v>
      </c>
      <c r="Q27" s="1">
        <v>0</v>
      </c>
      <c r="R27" s="1">
        <v>2.9208850513744097E-9</v>
      </c>
      <c r="S27" s="1">
        <v>1.8563023343132937E-6</v>
      </c>
      <c r="T27" s="1">
        <v>3.0919487526539336E-4</v>
      </c>
      <c r="U27" s="1">
        <v>1.356066370365693E-2</v>
      </c>
      <c r="V27" s="1">
        <v>0.15913465146080125</v>
      </c>
      <c r="W27" s="1">
        <v>0.50608129358735432</v>
      </c>
      <c r="X27" s="1">
        <v>0.43224990891020154</v>
      </c>
      <c r="Y27" s="1">
        <v>0</v>
      </c>
      <c r="Z27" s="1">
        <v>0</v>
      </c>
      <c r="AA27" s="1">
        <v>0</v>
      </c>
      <c r="AB27" s="1">
        <v>0</v>
      </c>
      <c r="AC27" s="1">
        <v>0</v>
      </c>
      <c r="AD27" s="1">
        <v>0</v>
      </c>
      <c r="AE27" s="1">
        <v>0</v>
      </c>
      <c r="AF27" s="1">
        <v>0</v>
      </c>
      <c r="AG27" s="1">
        <v>0</v>
      </c>
      <c r="AH27" s="1">
        <v>0</v>
      </c>
      <c r="AI27" s="1">
        <v>0</v>
      </c>
      <c r="AJ27" s="1">
        <v>0</v>
      </c>
      <c r="AK27" s="1">
        <v>0</v>
      </c>
      <c r="AL27" s="1">
        <v>0</v>
      </c>
      <c r="AM27" s="1">
        <v>0</v>
      </c>
      <c r="AN27" s="1">
        <v>0</v>
      </c>
      <c r="AO27" s="1">
        <v>0</v>
      </c>
    </row>
    <row r="28" spans="1:41" ht="15.75" customHeight="1" x14ac:dyDescent="0.25">
      <c r="A28" s="1">
        <v>0</v>
      </c>
      <c r="B28" s="1">
        <v>0</v>
      </c>
      <c r="C28" s="1">
        <v>0</v>
      </c>
      <c r="D28" s="1">
        <v>0</v>
      </c>
      <c r="E28" s="1">
        <v>0</v>
      </c>
      <c r="F28" s="1">
        <v>0</v>
      </c>
      <c r="G28" s="1">
        <v>0</v>
      </c>
      <c r="H28" s="1">
        <v>0</v>
      </c>
      <c r="I28" s="1">
        <v>0</v>
      </c>
      <c r="J28" s="1">
        <v>0</v>
      </c>
      <c r="K28" s="1">
        <v>0</v>
      </c>
      <c r="L28" s="1">
        <v>0</v>
      </c>
      <c r="M28" s="1">
        <v>0</v>
      </c>
      <c r="N28" s="1">
        <v>0</v>
      </c>
      <c r="O28" s="1">
        <v>0</v>
      </c>
      <c r="P28" s="1">
        <v>0</v>
      </c>
      <c r="Q28" s="1">
        <v>0</v>
      </c>
      <c r="R28" s="1">
        <v>0</v>
      </c>
      <c r="S28" s="1">
        <v>1.0136921991308225E-9</v>
      </c>
      <c r="T28" s="1">
        <v>7.756711714455844E-7</v>
      </c>
      <c r="U28" s="1">
        <v>1.5548561620896625E-4</v>
      </c>
      <c r="V28" s="1">
        <v>8.3078097533458971E-3</v>
      </c>
      <c r="W28" s="1">
        <v>0.12051006654074994</v>
      </c>
      <c r="X28" s="1">
        <v>0.47447512279146253</v>
      </c>
      <c r="Y28" s="1">
        <v>0.49081880344230483</v>
      </c>
      <c r="Z28" s="1">
        <v>0</v>
      </c>
      <c r="AA28" s="1">
        <v>0</v>
      </c>
      <c r="AB28" s="1">
        <v>0</v>
      </c>
      <c r="AC28" s="1">
        <v>0</v>
      </c>
      <c r="AD28" s="1">
        <v>0</v>
      </c>
      <c r="AE28" s="1">
        <v>0</v>
      </c>
      <c r="AF28" s="1">
        <v>0</v>
      </c>
      <c r="AG28" s="1">
        <v>0</v>
      </c>
      <c r="AH28" s="1">
        <v>0</v>
      </c>
      <c r="AI28" s="1">
        <v>0</v>
      </c>
      <c r="AJ28" s="1">
        <v>0</v>
      </c>
      <c r="AK28" s="1">
        <v>0</v>
      </c>
      <c r="AL28" s="1">
        <v>0</v>
      </c>
      <c r="AM28" s="1">
        <v>0</v>
      </c>
      <c r="AN28" s="1">
        <v>0</v>
      </c>
      <c r="AO28" s="1">
        <v>0</v>
      </c>
    </row>
    <row r="29" spans="1:41" ht="15.75" customHeight="1" x14ac:dyDescent="0.25">
      <c r="A29" s="1">
        <v>0</v>
      </c>
      <c r="B29" s="1">
        <v>0</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3.3730589401614296E-10</v>
      </c>
      <c r="U29" s="1">
        <v>3.0902983359445475E-7</v>
      </c>
      <c r="V29" s="1">
        <v>7.5181198341430476E-5</v>
      </c>
      <c r="W29" s="1">
        <v>4.9742462753724062E-3</v>
      </c>
      <c r="X29" s="1">
        <v>9.0280280319876741E-2</v>
      </c>
      <c r="Y29" s="1">
        <v>0.43921233459942011</v>
      </c>
      <c r="Z29" s="1">
        <v>0.54074372379032243</v>
      </c>
      <c r="AA29" s="1">
        <v>0</v>
      </c>
      <c r="AB29" s="1">
        <v>0</v>
      </c>
      <c r="AC29" s="1">
        <v>0</v>
      </c>
      <c r="AD29" s="1">
        <v>0</v>
      </c>
      <c r="AE29" s="1">
        <v>0</v>
      </c>
      <c r="AF29" s="1">
        <v>0</v>
      </c>
      <c r="AG29" s="1">
        <v>0</v>
      </c>
      <c r="AH29" s="1">
        <v>0</v>
      </c>
      <c r="AI29" s="1">
        <v>0</v>
      </c>
      <c r="AJ29" s="1">
        <v>0</v>
      </c>
      <c r="AK29" s="1">
        <v>0</v>
      </c>
      <c r="AL29" s="1">
        <v>0</v>
      </c>
      <c r="AM29" s="1">
        <v>0</v>
      </c>
      <c r="AN29" s="1">
        <v>0</v>
      </c>
      <c r="AO29" s="1">
        <v>0</v>
      </c>
    </row>
    <row r="30" spans="1:41" ht="15.75" customHeight="1" x14ac:dyDescent="0.25">
      <c r="A30" s="1">
        <v>0</v>
      </c>
      <c r="B30" s="1">
        <v>0</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1.0646614092787798E-10</v>
      </c>
      <c r="V30" s="1">
        <v>1.1793232496360163E-7</v>
      </c>
      <c r="W30" s="1">
        <v>3.5590341580086193E-5</v>
      </c>
      <c r="X30" s="1">
        <v>2.9776473814990506E-3</v>
      </c>
      <c r="Y30" s="1">
        <v>6.8128492526058917E-2</v>
      </c>
      <c r="Z30" s="1">
        <v>0.40538508599850942</v>
      </c>
      <c r="AA30" s="1">
        <v>0.58080769163441215</v>
      </c>
      <c r="AB30" s="1">
        <v>0</v>
      </c>
      <c r="AC30" s="1">
        <v>0</v>
      </c>
      <c r="AD30" s="1">
        <v>0</v>
      </c>
      <c r="AE30" s="1">
        <v>0</v>
      </c>
      <c r="AF30" s="1">
        <v>0</v>
      </c>
      <c r="AG30" s="1">
        <v>0</v>
      </c>
      <c r="AH30" s="1">
        <v>0</v>
      </c>
      <c r="AI30" s="1">
        <v>0</v>
      </c>
      <c r="AJ30" s="1">
        <v>0</v>
      </c>
      <c r="AK30" s="1">
        <v>0</v>
      </c>
      <c r="AL30" s="1">
        <v>0</v>
      </c>
      <c r="AM30" s="1">
        <v>0</v>
      </c>
      <c r="AN30" s="1">
        <v>0</v>
      </c>
      <c r="AO30" s="1">
        <v>0</v>
      </c>
    </row>
    <row r="31" spans="1:41" ht="15.75" customHeight="1" x14ac:dyDescent="0.25">
      <c r="A31" s="1">
        <v>0</v>
      </c>
      <c r="B31" s="1">
        <v>0</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3.2066930662022026E-11</v>
      </c>
      <c r="W31" s="1">
        <v>4.4140570762897383E-8</v>
      </c>
      <c r="X31" s="1">
        <v>1.7023723220456304E-5</v>
      </c>
      <c r="Y31" s="1">
        <v>1.8318248506013735E-3</v>
      </c>
      <c r="Z31" s="1">
        <v>5.2679902476482979E-2</v>
      </c>
      <c r="AA31" s="1">
        <v>0.37614250688243783</v>
      </c>
      <c r="AB31" s="1">
        <v>0.61153112166358625</v>
      </c>
      <c r="AC31" s="1">
        <v>0</v>
      </c>
      <c r="AD31" s="1">
        <v>0</v>
      </c>
      <c r="AE31" s="1">
        <v>0</v>
      </c>
      <c r="AF31" s="1">
        <v>0</v>
      </c>
      <c r="AG31" s="1">
        <v>0</v>
      </c>
      <c r="AH31" s="1">
        <v>0</v>
      </c>
      <c r="AI31" s="1">
        <v>0</v>
      </c>
      <c r="AJ31" s="1">
        <v>0</v>
      </c>
      <c r="AK31" s="1">
        <v>0</v>
      </c>
      <c r="AL31" s="1">
        <v>0</v>
      </c>
      <c r="AM31" s="1">
        <v>0</v>
      </c>
      <c r="AN31" s="1">
        <v>0</v>
      </c>
      <c r="AO31" s="1">
        <v>0</v>
      </c>
    </row>
    <row r="32" spans="1:41" ht="15.75" customHeight="1" x14ac:dyDescent="0.25">
      <c r="A32" s="1">
        <v>0</v>
      </c>
      <c r="B32" s="1">
        <v>0</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9.4895288063971277E-12</v>
      </c>
      <c r="X32" s="1">
        <v>1.6870841625146719E-8</v>
      </c>
      <c r="Y32" s="1">
        <v>8.5376830643334396E-6</v>
      </c>
      <c r="Z32" s="1">
        <v>1.1866511736806299E-3</v>
      </c>
      <c r="AA32" s="1">
        <v>4.2225362425353852E-2</v>
      </c>
      <c r="AB32" s="1">
        <v>0.35261295151089167</v>
      </c>
      <c r="AC32" s="1">
        <v>0.63434977489616784</v>
      </c>
      <c r="AD32" s="1">
        <v>0</v>
      </c>
      <c r="AE32" s="1">
        <v>0</v>
      </c>
      <c r="AF32" s="1">
        <v>0</v>
      </c>
      <c r="AG32" s="1">
        <v>0</v>
      </c>
      <c r="AH32" s="1">
        <v>0</v>
      </c>
      <c r="AI32" s="1">
        <v>0</v>
      </c>
      <c r="AJ32" s="1">
        <v>0</v>
      </c>
      <c r="AK32" s="1">
        <v>0</v>
      </c>
      <c r="AL32" s="1">
        <v>0</v>
      </c>
      <c r="AM32" s="1">
        <v>0</v>
      </c>
      <c r="AN32" s="1">
        <v>0</v>
      </c>
      <c r="AO32" s="1">
        <v>0</v>
      </c>
    </row>
    <row r="33" spans="1:41" ht="15.75" customHeight="1" x14ac:dyDescent="0.25">
      <c r="A33" s="1">
        <v>0</v>
      </c>
      <c r="B33" s="1">
        <v>0</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2.8981433489769374E-12</v>
      </c>
      <c r="Y33" s="1">
        <v>6.8975844591493032E-9</v>
      </c>
      <c r="Z33" s="1">
        <v>4.6334245936411583E-6</v>
      </c>
      <c r="AA33" s="1">
        <v>8.2166591695260788E-4</v>
      </c>
      <c r="AB33" s="1">
        <v>3.5243487049299582E-2</v>
      </c>
      <c r="AC33" s="1">
        <v>0.33457547962978712</v>
      </c>
      <c r="AD33" s="1">
        <v>0.65093553561258377</v>
      </c>
      <c r="AE33" s="1">
        <v>0</v>
      </c>
      <c r="AF33" s="1">
        <v>0</v>
      </c>
      <c r="AG33" s="1">
        <v>0</v>
      </c>
      <c r="AH33" s="1">
        <v>0</v>
      </c>
      <c r="AI33" s="1">
        <v>0</v>
      </c>
      <c r="AJ33" s="1">
        <v>0</v>
      </c>
      <c r="AK33" s="1">
        <v>0</v>
      </c>
      <c r="AL33" s="1">
        <v>0</v>
      </c>
      <c r="AM33" s="1">
        <v>0</v>
      </c>
      <c r="AN33" s="1">
        <v>0</v>
      </c>
      <c r="AO33" s="1">
        <v>0</v>
      </c>
    </row>
    <row r="34" spans="1:41" ht="15.75" customHeight="1" x14ac:dyDescent="0.25">
      <c r="A34" s="1">
        <v>0</v>
      </c>
      <c r="B34" s="1">
        <v>0</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9.6595065365277517E-13</v>
      </c>
      <c r="Z34" s="1">
        <v>3.136043235453663E-9</v>
      </c>
      <c r="AA34" s="1">
        <v>2.7715203705681792E-6</v>
      </c>
      <c r="AB34" s="1">
        <v>6.1060506014784413E-4</v>
      </c>
      <c r="AC34" s="1">
        <v>3.0588652372373158E-2</v>
      </c>
      <c r="AD34" s="1">
        <v>0.32118517243196076</v>
      </c>
      <c r="AE34" s="1">
        <v>0.65093553561258377</v>
      </c>
      <c r="AF34" s="1">
        <v>0</v>
      </c>
      <c r="AG34" s="1">
        <v>0</v>
      </c>
      <c r="AH34" s="1">
        <v>0</v>
      </c>
      <c r="AI34" s="1">
        <v>0</v>
      </c>
      <c r="AJ34" s="1">
        <v>0</v>
      </c>
      <c r="AK34" s="1">
        <v>0</v>
      </c>
      <c r="AL34" s="1">
        <v>0</v>
      </c>
      <c r="AM34" s="1">
        <v>0</v>
      </c>
      <c r="AN34" s="1">
        <v>0</v>
      </c>
      <c r="AO34" s="1">
        <v>0</v>
      </c>
    </row>
    <row r="35" spans="1:41" ht="15.75" customHeight="1" x14ac:dyDescent="0.25">
      <c r="A35" s="1">
        <v>0</v>
      </c>
      <c r="B35" s="1">
        <v>0</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3.6792805031323338E-13</v>
      </c>
      <c r="AA35" s="1">
        <v>1.6204729762525686E-9</v>
      </c>
      <c r="AB35" s="1">
        <v>1.8337614641600792E-6</v>
      </c>
      <c r="AC35" s="1">
        <v>4.8476080079966214E-4</v>
      </c>
      <c r="AD35" s="1">
        <v>2.7470964656344792E-2</v>
      </c>
      <c r="AE35" s="1">
        <v>0.32118517243196076</v>
      </c>
      <c r="AF35" s="1">
        <v>0.65093553561258377</v>
      </c>
      <c r="AG35" s="1">
        <v>0</v>
      </c>
      <c r="AH35" s="1">
        <v>0</v>
      </c>
      <c r="AI35" s="1">
        <v>0</v>
      </c>
      <c r="AJ35" s="1">
        <v>0</v>
      </c>
      <c r="AK35" s="1">
        <v>0</v>
      </c>
      <c r="AL35" s="1">
        <v>0</v>
      </c>
      <c r="AM35" s="1">
        <v>0</v>
      </c>
      <c r="AN35" s="1">
        <v>0</v>
      </c>
      <c r="AO35" s="1">
        <v>0</v>
      </c>
    </row>
    <row r="36" spans="1:41" ht="15.75" customHeight="1" x14ac:dyDescent="0.25">
      <c r="A36" s="1">
        <v>0</v>
      </c>
      <c r="B36" s="1">
        <v>0</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9.5461048569256034E-10</v>
      </c>
      <c r="AC36" s="1">
        <v>1.3316667623264556E-6</v>
      </c>
      <c r="AD36" s="1">
        <v>4.0728015386583044E-4</v>
      </c>
      <c r="AE36" s="1">
        <v>2.7470964656344792E-2</v>
      </c>
      <c r="AF36" s="1">
        <v>0.32118517243196076</v>
      </c>
      <c r="AG36" s="1">
        <v>0.65093553561258377</v>
      </c>
      <c r="AH36" s="1">
        <v>0</v>
      </c>
      <c r="AI36" s="1">
        <v>0</v>
      </c>
      <c r="AJ36" s="1">
        <v>0</v>
      </c>
      <c r="AK36" s="1">
        <v>0</v>
      </c>
      <c r="AL36" s="1">
        <v>0</v>
      </c>
      <c r="AM36" s="1">
        <v>0</v>
      </c>
      <c r="AN36" s="1">
        <v>0</v>
      </c>
      <c r="AO36" s="1">
        <v>0</v>
      </c>
    </row>
    <row r="37" spans="1:41" ht="15.75" customHeight="1" x14ac:dyDescent="0.25">
      <c r="A37" s="1">
        <v>0</v>
      </c>
      <c r="B37" s="1">
        <v>0</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6.3410991164545808E-10</v>
      </c>
      <c r="AD37" s="1">
        <v>1.0466789779083405E-6</v>
      </c>
      <c r="AE37" s="1">
        <v>4.0728015386583044E-4</v>
      </c>
      <c r="AF37" s="1">
        <v>2.7470964656344792E-2</v>
      </c>
      <c r="AG37" s="1">
        <v>0.32118517243196076</v>
      </c>
      <c r="AH37" s="1">
        <v>0.65093553561258377</v>
      </c>
      <c r="AI37" s="1">
        <v>0</v>
      </c>
      <c r="AJ37" s="1">
        <v>0</v>
      </c>
      <c r="AK37" s="1">
        <v>0</v>
      </c>
      <c r="AL37" s="1">
        <v>0</v>
      </c>
      <c r="AM37" s="1">
        <v>0</v>
      </c>
      <c r="AN37" s="1">
        <v>0</v>
      </c>
      <c r="AO37" s="1">
        <v>0</v>
      </c>
    </row>
    <row r="38" spans="1:41" ht="15.75" customHeight="1" x14ac:dyDescent="0.25">
      <c r="A38" s="1">
        <v>0</v>
      </c>
      <c r="B38" s="1">
        <v>0</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c r="AD38" s="1">
        <v>4.6626699073896471E-10</v>
      </c>
      <c r="AE38" s="1">
        <v>1.0466789779083405E-6</v>
      </c>
      <c r="AF38" s="1">
        <v>4.0728015386583044E-4</v>
      </c>
      <c r="AG38" s="1">
        <v>2.7470964656344792E-2</v>
      </c>
      <c r="AH38" s="1">
        <v>0.32118517243196076</v>
      </c>
      <c r="AI38" s="1">
        <v>0.65093553561258377</v>
      </c>
      <c r="AJ38" s="1">
        <v>0</v>
      </c>
      <c r="AK38" s="1">
        <v>0</v>
      </c>
      <c r="AL38" s="1">
        <v>0</v>
      </c>
      <c r="AM38" s="1">
        <v>0</v>
      </c>
      <c r="AN38" s="1">
        <v>0</v>
      </c>
      <c r="AO38" s="1">
        <v>0</v>
      </c>
    </row>
    <row r="39" spans="1:41" ht="15.75" customHeight="1" x14ac:dyDescent="0.25">
      <c r="A39" s="1">
        <v>0</v>
      </c>
      <c r="B39" s="1">
        <v>0</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c r="AD39" s="1">
        <v>0</v>
      </c>
      <c r="AE39" s="1">
        <v>4.6626699073896471E-10</v>
      </c>
      <c r="AF39" s="1">
        <v>1.0466789779083405E-6</v>
      </c>
      <c r="AG39" s="1">
        <v>4.0728015386583044E-4</v>
      </c>
      <c r="AH39" s="1">
        <v>2.7470964656344792E-2</v>
      </c>
      <c r="AI39" s="1">
        <v>0.32118517243196076</v>
      </c>
      <c r="AJ39" s="1">
        <v>0.65093553561258377</v>
      </c>
      <c r="AK39" s="1">
        <v>0</v>
      </c>
      <c r="AL39" s="1">
        <v>0</v>
      </c>
      <c r="AM39" s="1">
        <v>0</v>
      </c>
      <c r="AN39" s="1">
        <v>0</v>
      </c>
      <c r="AO39" s="1">
        <v>0</v>
      </c>
    </row>
    <row r="40" spans="1:41" ht="15.75" customHeight="1" x14ac:dyDescent="0.25">
      <c r="A40" s="1">
        <v>0</v>
      </c>
      <c r="B40" s="1">
        <v>0</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0</v>
      </c>
      <c r="AA40" s="1">
        <v>0</v>
      </c>
      <c r="AB40" s="1">
        <v>0</v>
      </c>
      <c r="AC40" s="1">
        <v>0</v>
      </c>
      <c r="AD40" s="1">
        <v>0</v>
      </c>
      <c r="AE40" s="1">
        <v>0</v>
      </c>
      <c r="AF40" s="1">
        <v>4.6626699073896471E-10</v>
      </c>
      <c r="AG40" s="1">
        <v>1.0466789779083405E-6</v>
      </c>
      <c r="AH40" s="1">
        <v>4.0728015386583044E-4</v>
      </c>
      <c r="AI40" s="1">
        <v>2.7470964656344792E-2</v>
      </c>
      <c r="AJ40" s="1">
        <v>0.32118517243196076</v>
      </c>
      <c r="AK40" s="1">
        <v>0.65093553561258377</v>
      </c>
      <c r="AL40" s="1">
        <v>0</v>
      </c>
      <c r="AM40" s="1">
        <v>0</v>
      </c>
      <c r="AN40" s="1">
        <v>0</v>
      </c>
      <c r="AO40" s="1">
        <v>0</v>
      </c>
    </row>
    <row r="41" spans="1:41" ht="15.75" customHeight="1" x14ac:dyDescent="0.25">
      <c r="A41" s="1">
        <v>0</v>
      </c>
      <c r="B41" s="1">
        <v>0</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c r="AD41" s="1">
        <v>0</v>
      </c>
      <c r="AE41" s="1">
        <v>0</v>
      </c>
      <c r="AF41" s="1">
        <v>0</v>
      </c>
      <c r="AG41" s="1">
        <v>4.6626699073896471E-10</v>
      </c>
      <c r="AH41" s="1">
        <v>1.0466789779083405E-6</v>
      </c>
      <c r="AI41" s="1">
        <v>4.0728015386583044E-4</v>
      </c>
      <c r="AJ41" s="1">
        <v>2.7470964656344792E-2</v>
      </c>
      <c r="AK41" s="1">
        <v>0.32118517243196076</v>
      </c>
      <c r="AL41" s="1">
        <v>0.65093553561258377</v>
      </c>
      <c r="AM41" s="1">
        <v>0</v>
      </c>
      <c r="AN41" s="1">
        <v>0</v>
      </c>
      <c r="AO41" s="1">
        <v>0</v>
      </c>
    </row>
    <row r="42" spans="1:41" ht="15.75" customHeight="1" x14ac:dyDescent="0.25">
      <c r="A42" s="1">
        <v>0</v>
      </c>
      <c r="B42" s="1">
        <v>0</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c r="AD42" s="1">
        <v>0</v>
      </c>
      <c r="AE42" s="1">
        <v>0</v>
      </c>
      <c r="AF42" s="1">
        <v>0</v>
      </c>
      <c r="AG42" s="1">
        <v>0</v>
      </c>
      <c r="AH42" s="1">
        <v>4.6626699073896471E-10</v>
      </c>
      <c r="AI42" s="1">
        <v>1.0466789779083405E-6</v>
      </c>
      <c r="AJ42" s="1">
        <v>4.0728015386583044E-4</v>
      </c>
      <c r="AK42" s="1">
        <v>2.7470964656344792E-2</v>
      </c>
      <c r="AL42" s="1">
        <v>0.32118517243196076</v>
      </c>
      <c r="AM42" s="1">
        <v>0.65093553561258377</v>
      </c>
      <c r="AN42" s="1">
        <v>0</v>
      </c>
      <c r="AO42" s="1">
        <v>0</v>
      </c>
    </row>
    <row r="43" spans="1:41" ht="15.75" customHeight="1" x14ac:dyDescent="0.25">
      <c r="A43" s="1">
        <v>0</v>
      </c>
      <c r="B43" s="1">
        <v>0</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c r="AD43" s="1">
        <v>0</v>
      </c>
      <c r="AE43" s="1">
        <v>0</v>
      </c>
      <c r="AF43" s="1">
        <v>0</v>
      </c>
      <c r="AG43" s="1">
        <v>0</v>
      </c>
      <c r="AH43" s="1">
        <v>0</v>
      </c>
      <c r="AI43" s="1">
        <v>4.6626699073896471E-10</v>
      </c>
      <c r="AJ43" s="1">
        <v>1.0466789779083405E-6</v>
      </c>
      <c r="AK43" s="1">
        <v>4.0728015386583044E-4</v>
      </c>
      <c r="AL43" s="1">
        <v>2.7470964656344792E-2</v>
      </c>
      <c r="AM43" s="1">
        <v>0.32118517243196076</v>
      </c>
      <c r="AN43" s="1">
        <v>0.65093553561258377</v>
      </c>
      <c r="AO43" s="1">
        <v>0</v>
      </c>
    </row>
    <row r="44" spans="1:41" ht="15.75" customHeight="1" x14ac:dyDescent="0.25">
      <c r="A44" s="1">
        <v>0</v>
      </c>
      <c r="B44" s="1">
        <v>0</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c r="AD44" s="1">
        <v>0</v>
      </c>
      <c r="AE44" s="1">
        <v>0</v>
      </c>
      <c r="AF44" s="1">
        <v>0</v>
      </c>
      <c r="AG44" s="1">
        <v>0</v>
      </c>
      <c r="AH44" s="1">
        <v>0</v>
      </c>
      <c r="AI44" s="1">
        <v>0</v>
      </c>
      <c r="AJ44" s="1">
        <v>4.6626691396767228E-10</v>
      </c>
      <c r="AK44" s="1">
        <v>1.0471452448479468E-6</v>
      </c>
      <c r="AL44" s="1">
        <v>4.0832729911066679E-4</v>
      </c>
      <c r="AM44" s="1">
        <v>2.7879291955455465E-2</v>
      </c>
      <c r="AN44" s="1">
        <v>0.34906446438741623</v>
      </c>
      <c r="AO44" s="1">
        <v>1</v>
      </c>
    </row>
    <row r="45" spans="1:41" ht="15.75" customHeight="1" x14ac:dyDescent="0.25"/>
    <row r="46" spans="1:41" ht="15.75" customHeight="1" x14ac:dyDescent="0.25">
      <c r="A46" s="1" t="s">
        <v>140</v>
      </c>
    </row>
    <row r="47" spans="1:41" ht="15.75" customHeight="1" x14ac:dyDescent="0.25">
      <c r="A47" s="1">
        <v>0.15307271504047792</v>
      </c>
      <c r="B47" s="1">
        <v>0</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0</v>
      </c>
      <c r="V47" s="1">
        <v>0</v>
      </c>
      <c r="W47" s="1">
        <v>0</v>
      </c>
      <c r="X47" s="1">
        <v>0</v>
      </c>
      <c r="Y47" s="1">
        <v>0</v>
      </c>
      <c r="Z47" s="1">
        <v>0</v>
      </c>
      <c r="AA47" s="1">
        <v>0</v>
      </c>
      <c r="AB47" s="1">
        <v>0</v>
      </c>
      <c r="AC47" s="1">
        <v>0</v>
      </c>
      <c r="AD47" s="1">
        <v>0</v>
      </c>
      <c r="AE47" s="1">
        <v>0</v>
      </c>
      <c r="AF47" s="1">
        <v>0</v>
      </c>
      <c r="AG47" s="1">
        <v>0</v>
      </c>
      <c r="AH47" s="1">
        <v>0</v>
      </c>
      <c r="AI47" s="1">
        <v>0</v>
      </c>
      <c r="AJ47" s="1">
        <v>0</v>
      </c>
      <c r="AK47" s="1">
        <v>0</v>
      </c>
      <c r="AL47" s="1">
        <v>0</v>
      </c>
      <c r="AM47" s="1">
        <v>0</v>
      </c>
      <c r="AN47" s="1">
        <v>0</v>
      </c>
      <c r="AO47" s="1">
        <v>0</v>
      </c>
    </row>
    <row r="48" spans="1:41" ht="15.75" customHeight="1" x14ac:dyDescent="0.25">
      <c r="A48" s="1">
        <v>0.19948096340392329</v>
      </c>
      <c r="B48" s="1">
        <v>0.15307271509291839</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c r="AD48" s="1">
        <v>0</v>
      </c>
      <c r="AE48" s="1">
        <v>0</v>
      </c>
      <c r="AF48" s="1">
        <v>0</v>
      </c>
      <c r="AG48" s="1">
        <v>0</v>
      </c>
      <c r="AH48" s="1">
        <v>0</v>
      </c>
      <c r="AI48" s="1">
        <v>0</v>
      </c>
      <c r="AJ48" s="1">
        <v>0</v>
      </c>
      <c r="AK48" s="1">
        <v>0</v>
      </c>
      <c r="AL48" s="1">
        <v>0</v>
      </c>
      <c r="AM48" s="1">
        <v>0</v>
      </c>
      <c r="AN48" s="1">
        <v>0</v>
      </c>
      <c r="AO48" s="1">
        <v>0</v>
      </c>
    </row>
    <row r="49" spans="1:41" ht="15.75" customHeight="1" x14ac:dyDescent="0.25">
      <c r="A49" s="1">
        <v>0.21152541059593205</v>
      </c>
      <c r="B49" s="1">
        <v>0.1994809634436186</v>
      </c>
      <c r="C49" s="1">
        <v>0.15307271524709687</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c r="AD49" s="1">
        <v>0</v>
      </c>
      <c r="AE49" s="1">
        <v>0</v>
      </c>
      <c r="AF49" s="1">
        <v>0</v>
      </c>
      <c r="AG49" s="1">
        <v>0</v>
      </c>
      <c r="AH49" s="1">
        <v>0</v>
      </c>
      <c r="AI49" s="1">
        <v>0</v>
      </c>
      <c r="AJ49" s="1">
        <v>0</v>
      </c>
      <c r="AK49" s="1">
        <v>0</v>
      </c>
      <c r="AL49" s="1">
        <v>0</v>
      </c>
      <c r="AM49" s="1">
        <v>0</v>
      </c>
      <c r="AN49" s="1">
        <v>0</v>
      </c>
      <c r="AO49" s="1">
        <v>0</v>
      </c>
    </row>
    <row r="50" spans="1:41" ht="15.75" customHeight="1" x14ac:dyDescent="0.25">
      <c r="A50" s="1">
        <v>0.18250764220815685</v>
      </c>
      <c r="B50" s="1">
        <v>0.21152541060765206</v>
      </c>
      <c r="C50" s="1">
        <v>0.19948096356032591</v>
      </c>
      <c r="D50" s="1">
        <v>0.15307271570039199</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c r="AD50" s="1">
        <v>0</v>
      </c>
      <c r="AE50" s="1">
        <v>0</v>
      </c>
      <c r="AF50" s="1">
        <v>0</v>
      </c>
      <c r="AG50" s="1">
        <v>0</v>
      </c>
      <c r="AH50" s="1">
        <v>0</v>
      </c>
      <c r="AI50" s="1">
        <v>0</v>
      </c>
      <c r="AJ50" s="1">
        <v>0</v>
      </c>
      <c r="AK50" s="1">
        <v>0</v>
      </c>
      <c r="AL50" s="1">
        <v>0</v>
      </c>
      <c r="AM50" s="1">
        <v>0</v>
      </c>
      <c r="AN50" s="1">
        <v>0</v>
      </c>
      <c r="AO50" s="1">
        <v>0</v>
      </c>
    </row>
    <row r="51" spans="1:41" ht="15.75" customHeight="1" x14ac:dyDescent="0.25">
      <c r="A51" s="1">
        <v>0.12813181570527035</v>
      </c>
      <c r="B51" s="1">
        <v>0.18250764219206145</v>
      </c>
      <c r="C51" s="1">
        <v>0.21152541064210784</v>
      </c>
      <c r="D51" s="1">
        <v>0.19948096390345563</v>
      </c>
      <c r="E51" s="1">
        <v>0.15307271703311062</v>
      </c>
      <c r="F51" s="1">
        <v>0</v>
      </c>
      <c r="G51" s="1">
        <v>0</v>
      </c>
      <c r="H51" s="1">
        <v>0</v>
      </c>
      <c r="I51" s="1">
        <v>0</v>
      </c>
      <c r="J51" s="1">
        <v>0</v>
      </c>
      <c r="K51" s="1">
        <v>0</v>
      </c>
      <c r="L51" s="1">
        <v>0</v>
      </c>
      <c r="M51" s="1">
        <v>0</v>
      </c>
      <c r="N51" s="1">
        <v>0</v>
      </c>
      <c r="O51" s="1">
        <v>0</v>
      </c>
      <c r="P51" s="1">
        <v>0</v>
      </c>
      <c r="Q51" s="1">
        <v>0</v>
      </c>
      <c r="R51" s="1">
        <v>0</v>
      </c>
      <c r="S51" s="1">
        <v>0</v>
      </c>
      <c r="T51" s="1">
        <v>0</v>
      </c>
      <c r="U51" s="1">
        <v>0</v>
      </c>
      <c r="V51" s="1">
        <v>0</v>
      </c>
      <c r="W51" s="1">
        <v>0</v>
      </c>
      <c r="X51" s="1">
        <v>0</v>
      </c>
      <c r="Y51" s="1">
        <v>0</v>
      </c>
      <c r="Z51" s="1">
        <v>0</v>
      </c>
      <c r="AA51" s="1">
        <v>0</v>
      </c>
      <c r="AB51" s="1">
        <v>0</v>
      </c>
      <c r="AC51" s="1">
        <v>0</v>
      </c>
      <c r="AD51" s="1">
        <v>0</v>
      </c>
      <c r="AE51" s="1">
        <v>0</v>
      </c>
      <c r="AF51" s="1">
        <v>0</v>
      </c>
      <c r="AG51" s="1">
        <v>0</v>
      </c>
      <c r="AH51" s="1">
        <v>0</v>
      </c>
      <c r="AI51" s="1">
        <v>0</v>
      </c>
      <c r="AJ51" s="1">
        <v>0</v>
      </c>
      <c r="AK51" s="1">
        <v>0</v>
      </c>
      <c r="AL51" s="1">
        <v>0</v>
      </c>
      <c r="AM51" s="1">
        <v>0</v>
      </c>
      <c r="AN51" s="1">
        <v>0</v>
      </c>
      <c r="AO51" s="1">
        <v>0</v>
      </c>
    </row>
    <row r="52" spans="1:41" ht="15.75" customHeight="1" x14ac:dyDescent="0.25">
      <c r="A52" s="1">
        <v>7.3196501552975551E-2</v>
      </c>
      <c r="B52" s="1">
        <v>0.1281318156755723</v>
      </c>
      <c r="C52" s="1">
        <v>0.18250764214474241</v>
      </c>
      <c r="D52" s="1">
        <v>0.21152541074340905</v>
      </c>
      <c r="E52" s="1">
        <v>0.19948096491227754</v>
      </c>
      <c r="F52" s="1">
        <v>0.15307272095139335</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c r="AD52" s="1">
        <v>0</v>
      </c>
      <c r="AE52" s="1">
        <v>0</v>
      </c>
      <c r="AF52" s="1">
        <v>0</v>
      </c>
      <c r="AG52" s="1">
        <v>0</v>
      </c>
      <c r="AH52" s="1">
        <v>0</v>
      </c>
      <c r="AI52" s="1">
        <v>0</v>
      </c>
      <c r="AJ52" s="1">
        <v>0</v>
      </c>
      <c r="AK52" s="1">
        <v>0</v>
      </c>
      <c r="AL52" s="1">
        <v>0</v>
      </c>
      <c r="AM52" s="1">
        <v>0</v>
      </c>
      <c r="AN52" s="1">
        <v>0</v>
      </c>
      <c r="AO52" s="1">
        <v>0</v>
      </c>
    </row>
    <row r="53" spans="1:41" ht="15.75" customHeight="1" x14ac:dyDescent="0.25">
      <c r="A53" s="1">
        <v>3.4023664427293203E-2</v>
      </c>
      <c r="B53" s="1">
        <v>7.3196501525499988E-2</v>
      </c>
      <c r="C53" s="1">
        <v>0.12813181558825784</v>
      </c>
      <c r="D53" s="1">
        <v>0.18250764200561834</v>
      </c>
      <c r="E53" s="1">
        <v>0.21152541104124289</v>
      </c>
      <c r="F53" s="1">
        <v>0.19948096787828329</v>
      </c>
      <c r="G53" s="1">
        <v>0.15307273247141556</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c r="AD53" s="1">
        <v>0</v>
      </c>
      <c r="AE53" s="1">
        <v>0</v>
      </c>
      <c r="AF53" s="1">
        <v>0</v>
      </c>
      <c r="AG53" s="1">
        <v>0</v>
      </c>
      <c r="AH53" s="1">
        <v>0</v>
      </c>
      <c r="AI53" s="1">
        <v>0</v>
      </c>
      <c r="AJ53" s="1">
        <v>0</v>
      </c>
      <c r="AK53" s="1">
        <v>0</v>
      </c>
      <c r="AL53" s="1">
        <v>0</v>
      </c>
      <c r="AM53" s="1">
        <v>0</v>
      </c>
      <c r="AN53" s="1">
        <v>0</v>
      </c>
      <c r="AO53" s="1">
        <v>0</v>
      </c>
    </row>
    <row r="54" spans="1:41" ht="15.75" customHeight="1" x14ac:dyDescent="0.25">
      <c r="A54" s="1">
        <v>1.2868539689936006E-2</v>
      </c>
      <c r="B54" s="1">
        <v>3.4023664409636438E-2</v>
      </c>
      <c r="C54" s="1">
        <v>7.3196501444719578E-2</v>
      </c>
      <c r="D54" s="1">
        <v>0.12813181533154785</v>
      </c>
      <c r="E54" s="1">
        <v>0.18250764159658728</v>
      </c>
      <c r="F54" s="1">
        <v>0.21152541191689531</v>
      </c>
      <c r="G54" s="1">
        <v>0.19948097659854347</v>
      </c>
      <c r="H54" s="1">
        <v>0.15307276634107997</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c r="AD54" s="1">
        <v>0</v>
      </c>
      <c r="AE54" s="1">
        <v>0</v>
      </c>
      <c r="AF54" s="1">
        <v>0</v>
      </c>
      <c r="AG54" s="1">
        <v>0</v>
      </c>
      <c r="AH54" s="1">
        <v>0</v>
      </c>
      <c r="AI54" s="1">
        <v>0</v>
      </c>
      <c r="AJ54" s="1">
        <v>0</v>
      </c>
      <c r="AK54" s="1">
        <v>0</v>
      </c>
      <c r="AL54" s="1">
        <v>0</v>
      </c>
      <c r="AM54" s="1">
        <v>0</v>
      </c>
      <c r="AN54" s="1">
        <v>0</v>
      </c>
      <c r="AO54" s="1">
        <v>0</v>
      </c>
    </row>
    <row r="55" spans="1:41" ht="15.75" customHeight="1" x14ac:dyDescent="0.25">
      <c r="A55" s="1">
        <v>3.9603618148931225E-3</v>
      </c>
      <c r="B55" s="1">
        <v>1.2868539681409958E-2</v>
      </c>
      <c r="C55" s="1">
        <v>3.4023664357723839E-2</v>
      </c>
      <c r="D55" s="1">
        <v>7.3196501207220391E-2</v>
      </c>
      <c r="E55" s="1">
        <v>0.12813181457680217</v>
      </c>
      <c r="F55" s="1">
        <v>0.18250764039400674</v>
      </c>
      <c r="G55" s="1">
        <v>0.2115254144913721</v>
      </c>
      <c r="H55" s="1">
        <v>0.19948100223671036</v>
      </c>
      <c r="I55" s="1">
        <v>0.15307286592036362</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c r="AD55" s="1">
        <v>0</v>
      </c>
      <c r="AE55" s="1">
        <v>0</v>
      </c>
      <c r="AF55" s="1">
        <v>0</v>
      </c>
      <c r="AG55" s="1">
        <v>0</v>
      </c>
      <c r="AH55" s="1">
        <v>0</v>
      </c>
      <c r="AI55" s="1">
        <v>0</v>
      </c>
      <c r="AJ55" s="1">
        <v>0</v>
      </c>
      <c r="AK55" s="1">
        <v>0</v>
      </c>
      <c r="AL55" s="1">
        <v>0</v>
      </c>
      <c r="AM55" s="1">
        <v>0</v>
      </c>
      <c r="AN55" s="1">
        <v>0</v>
      </c>
      <c r="AO55" s="1">
        <v>0</v>
      </c>
    </row>
    <row r="56" spans="1:41" ht="15.75" customHeight="1" x14ac:dyDescent="0.25">
      <c r="A56" s="1">
        <v>9.9174011551712436E-4</v>
      </c>
      <c r="B56" s="1">
        <v>3.9603618117005105E-3</v>
      </c>
      <c r="C56" s="1">
        <v>1.2868539656342803E-2</v>
      </c>
      <c r="D56" s="1">
        <v>3.4023664205097698E-2</v>
      </c>
      <c r="E56" s="1">
        <v>7.3196500508955778E-2</v>
      </c>
      <c r="F56" s="1">
        <v>0.1281318123577995</v>
      </c>
      <c r="G56" s="1">
        <v>0.1825076368583339</v>
      </c>
      <c r="H56" s="1">
        <v>0.21152542206051136</v>
      </c>
      <c r="I56" s="1">
        <v>0.19948107761476716</v>
      </c>
      <c r="J56" s="1">
        <v>0.15307315869164967</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c r="AD56" s="1">
        <v>0</v>
      </c>
      <c r="AE56" s="1">
        <v>0</v>
      </c>
      <c r="AF56" s="1">
        <v>0</v>
      </c>
      <c r="AG56" s="1">
        <v>0</v>
      </c>
      <c r="AH56" s="1">
        <v>0</v>
      </c>
      <c r="AI56" s="1">
        <v>0</v>
      </c>
      <c r="AJ56" s="1">
        <v>0</v>
      </c>
      <c r="AK56" s="1">
        <v>0</v>
      </c>
      <c r="AL56" s="1">
        <v>0</v>
      </c>
      <c r="AM56" s="1">
        <v>0</v>
      </c>
      <c r="AN56" s="1">
        <v>0</v>
      </c>
      <c r="AO56" s="1">
        <v>0</v>
      </c>
    </row>
    <row r="57" spans="1:41" ht="15.75" customHeight="1" x14ac:dyDescent="0.25">
      <c r="A57" s="1">
        <v>2.0207766494642317E-4</v>
      </c>
      <c r="B57" s="1">
        <v>9.9174011457523891E-4</v>
      </c>
      <c r="C57" s="1">
        <v>3.9603618023140268E-3</v>
      </c>
      <c r="D57" s="1">
        <v>1.2868539582643597E-2</v>
      </c>
      <c r="E57" s="1">
        <v>3.4023663756366652E-2</v>
      </c>
      <c r="F57" s="1">
        <v>7.3196498456010894E-2</v>
      </c>
      <c r="G57" s="1">
        <v>0.12813180583378012</v>
      </c>
      <c r="H57" s="1">
        <v>0.18250762646321184</v>
      </c>
      <c r="I57" s="1">
        <v>0.21152544431429179</v>
      </c>
      <c r="J57" s="1">
        <v>0.19948129923222427</v>
      </c>
      <c r="K57" s="1">
        <v>0.15307401947116053</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c r="AD57" s="1">
        <v>0</v>
      </c>
      <c r="AE57" s="1">
        <v>0</v>
      </c>
      <c r="AF57" s="1">
        <v>0</v>
      </c>
      <c r="AG57" s="1">
        <v>0</v>
      </c>
      <c r="AH57" s="1">
        <v>0</v>
      </c>
      <c r="AI57" s="1">
        <v>0</v>
      </c>
      <c r="AJ57" s="1">
        <v>0</v>
      </c>
      <c r="AK57" s="1">
        <v>0</v>
      </c>
      <c r="AL57" s="1">
        <v>0</v>
      </c>
      <c r="AM57" s="1">
        <v>0</v>
      </c>
      <c r="AN57" s="1">
        <v>0</v>
      </c>
      <c r="AO57" s="1">
        <v>0</v>
      </c>
    </row>
    <row r="58" spans="1:41" ht="15.75" customHeight="1" x14ac:dyDescent="0.25">
      <c r="A58" s="1">
        <v>3.3503961979542276E-5</v>
      </c>
      <c r="B58" s="1">
        <v>2.0207766472548697E-4</v>
      </c>
      <c r="C58" s="1">
        <v>9.917401118060287E-4</v>
      </c>
      <c r="D58" s="1">
        <v>3.960361774717128E-3</v>
      </c>
      <c r="E58" s="1">
        <v>1.2868539365963147E-2</v>
      </c>
      <c r="F58" s="1">
        <v>3.4023662437066567E-2</v>
      </c>
      <c r="G58" s="1">
        <v>7.3196492420212339E-2</v>
      </c>
      <c r="H58" s="1">
        <v>0.12813178665270805</v>
      </c>
      <c r="I58" s="1">
        <v>0.18250759590077328</v>
      </c>
      <c r="J58" s="1">
        <v>0.21152550974193449</v>
      </c>
      <c r="K58" s="1">
        <v>0.19948195080972267</v>
      </c>
      <c r="L58" s="1">
        <v>0.15307655032236198</v>
      </c>
      <c r="M58" s="1">
        <v>0</v>
      </c>
      <c r="N58" s="1">
        <v>0</v>
      </c>
      <c r="O58" s="1">
        <v>0</v>
      </c>
      <c r="P58" s="1">
        <v>0</v>
      </c>
      <c r="Q58" s="1">
        <v>0</v>
      </c>
      <c r="R58" s="1">
        <v>0</v>
      </c>
      <c r="S58" s="1">
        <v>0</v>
      </c>
      <c r="T58" s="1">
        <v>0</v>
      </c>
      <c r="U58" s="1">
        <v>0</v>
      </c>
      <c r="V58" s="1">
        <v>0</v>
      </c>
      <c r="W58" s="1">
        <v>0</v>
      </c>
      <c r="X58" s="1">
        <v>0</v>
      </c>
      <c r="Y58" s="1">
        <v>0</v>
      </c>
      <c r="Z58" s="1">
        <v>0</v>
      </c>
      <c r="AA58" s="1">
        <v>0</v>
      </c>
      <c r="AB58" s="1">
        <v>0</v>
      </c>
      <c r="AC58" s="1">
        <v>0</v>
      </c>
      <c r="AD58" s="1">
        <v>0</v>
      </c>
      <c r="AE58" s="1">
        <v>0</v>
      </c>
      <c r="AF58" s="1">
        <v>0</v>
      </c>
      <c r="AG58" s="1">
        <v>0</v>
      </c>
      <c r="AH58" s="1">
        <v>0</v>
      </c>
      <c r="AI58" s="1">
        <v>0</v>
      </c>
      <c r="AJ58" s="1">
        <v>0</v>
      </c>
      <c r="AK58" s="1">
        <v>0</v>
      </c>
      <c r="AL58" s="1">
        <v>0</v>
      </c>
      <c r="AM58" s="1">
        <v>0</v>
      </c>
      <c r="AN58" s="1">
        <v>0</v>
      </c>
      <c r="AO58" s="1">
        <v>0</v>
      </c>
    </row>
    <row r="59" spans="1:41" ht="15.75" customHeight="1" x14ac:dyDescent="0.25">
      <c r="A59" s="1">
        <v>4.5199271749011552E-6</v>
      </c>
      <c r="B59" s="1">
        <v>3.3503961938100769E-5</v>
      </c>
      <c r="C59" s="1">
        <v>2.0207766407592053E-4</v>
      </c>
      <c r="D59" s="1">
        <v>9.917401036643621E-4</v>
      </c>
      <c r="E59" s="1">
        <v>3.9603616935803823E-3</v>
      </c>
      <c r="F59" s="1">
        <v>1.2868538728907888E-2</v>
      </c>
      <c r="G59" s="1">
        <v>3.4023658558235026E-2</v>
      </c>
      <c r="H59" s="1">
        <v>7.3196474674547721E-2</v>
      </c>
      <c r="I59" s="1">
        <v>0.12813173025896979</v>
      </c>
      <c r="J59" s="1">
        <v>0.18250750604452767</v>
      </c>
      <c r="K59" s="1">
        <v>0.21152570210369023</v>
      </c>
      <c r="L59" s="1">
        <v>0.19948386655105252</v>
      </c>
      <c r="M59" s="1">
        <v>0.15308399203603226</v>
      </c>
      <c r="N59" s="1">
        <v>0</v>
      </c>
      <c r="O59" s="1">
        <v>0</v>
      </c>
      <c r="P59" s="1">
        <v>0</v>
      </c>
      <c r="Q59" s="1">
        <v>0</v>
      </c>
      <c r="R59" s="1">
        <v>0</v>
      </c>
      <c r="S59" s="1">
        <v>0</v>
      </c>
      <c r="T59" s="1">
        <v>0</v>
      </c>
      <c r="U59" s="1">
        <v>0</v>
      </c>
      <c r="V59" s="1">
        <v>0</v>
      </c>
      <c r="W59" s="1">
        <v>0</v>
      </c>
      <c r="X59" s="1">
        <v>0</v>
      </c>
      <c r="Y59" s="1">
        <v>0</v>
      </c>
      <c r="Z59" s="1">
        <v>0</v>
      </c>
      <c r="AA59" s="1">
        <v>0</v>
      </c>
      <c r="AB59" s="1">
        <v>0</v>
      </c>
      <c r="AC59" s="1">
        <v>0</v>
      </c>
      <c r="AD59" s="1">
        <v>0</v>
      </c>
      <c r="AE59" s="1">
        <v>0</v>
      </c>
      <c r="AF59" s="1">
        <v>0</v>
      </c>
      <c r="AG59" s="1">
        <v>0</v>
      </c>
      <c r="AH59" s="1">
        <v>0</v>
      </c>
      <c r="AI59" s="1">
        <v>0</v>
      </c>
      <c r="AJ59" s="1">
        <v>0</v>
      </c>
      <c r="AK59" s="1">
        <v>0</v>
      </c>
      <c r="AL59" s="1">
        <v>0</v>
      </c>
      <c r="AM59" s="1">
        <v>0</v>
      </c>
      <c r="AN59" s="1">
        <v>0</v>
      </c>
      <c r="AO59" s="1">
        <v>0</v>
      </c>
    </row>
    <row r="60" spans="1:41" ht="15.75" customHeight="1" x14ac:dyDescent="0.25">
      <c r="A60" s="1">
        <v>4.9616271564944776E-7</v>
      </c>
      <c r="B60" s="1">
        <v>4.5199271686613701E-6</v>
      </c>
      <c r="C60" s="1">
        <v>3.3503961816260081E-5</v>
      </c>
      <c r="D60" s="1">
        <v>2.0207766216615033E-4</v>
      </c>
      <c r="E60" s="1">
        <v>9.9174007972731661E-4</v>
      </c>
      <c r="F60" s="1">
        <v>3.9603614550328447E-3</v>
      </c>
      <c r="G60" s="1">
        <v>1.2868536855921939E-2</v>
      </c>
      <c r="H60" s="1">
        <v>3.4023647154202218E-2</v>
      </c>
      <c r="I60" s="1">
        <v>7.319642250102304E-2</v>
      </c>
      <c r="J60" s="1">
        <v>0.12813156445680787</v>
      </c>
      <c r="K60" s="1">
        <v>0.18250724185598263</v>
      </c>
      <c r="L60" s="1">
        <v>0.21152626765999863</v>
      </c>
      <c r="M60" s="1">
        <v>0.19948949944716274</v>
      </c>
      <c r="N60" s="1">
        <v>0.15310587772893103</v>
      </c>
      <c r="O60" s="1">
        <v>0</v>
      </c>
      <c r="P60" s="1">
        <v>0</v>
      </c>
      <c r="Q60" s="1">
        <v>0</v>
      </c>
      <c r="R60" s="1">
        <v>0</v>
      </c>
      <c r="S60" s="1">
        <v>0</v>
      </c>
      <c r="T60" s="1">
        <v>0</v>
      </c>
      <c r="U60" s="1">
        <v>0</v>
      </c>
      <c r="V60" s="1">
        <v>0</v>
      </c>
      <c r="W60" s="1">
        <v>0</v>
      </c>
      <c r="X60" s="1">
        <v>0</v>
      </c>
      <c r="Y60" s="1">
        <v>0</v>
      </c>
      <c r="Z60" s="1">
        <v>0</v>
      </c>
      <c r="AA60" s="1">
        <v>0</v>
      </c>
      <c r="AB60" s="1">
        <v>0</v>
      </c>
      <c r="AC60" s="1">
        <v>0</v>
      </c>
      <c r="AD60" s="1">
        <v>0</v>
      </c>
      <c r="AE60" s="1">
        <v>0</v>
      </c>
      <c r="AF60" s="1">
        <v>0</v>
      </c>
      <c r="AG60" s="1">
        <v>0</v>
      </c>
      <c r="AH60" s="1">
        <v>0</v>
      </c>
      <c r="AI60" s="1">
        <v>0</v>
      </c>
      <c r="AJ60" s="1">
        <v>0</v>
      </c>
      <c r="AK60" s="1">
        <v>0</v>
      </c>
      <c r="AL60" s="1">
        <v>0</v>
      </c>
      <c r="AM60" s="1">
        <v>0</v>
      </c>
      <c r="AN60" s="1">
        <v>0</v>
      </c>
      <c r="AO60" s="1">
        <v>0</v>
      </c>
    </row>
    <row r="61" spans="1:41" ht="15.75" customHeight="1" x14ac:dyDescent="0.25">
      <c r="A61" s="1">
        <v>4.431739581531823E-8</v>
      </c>
      <c r="B61" s="1">
        <v>4.9616271489324936E-7</v>
      </c>
      <c r="C61" s="1">
        <v>4.5199271503160248E-6</v>
      </c>
      <c r="D61" s="1">
        <v>3.350396145804011E-5</v>
      </c>
      <c r="E61" s="1">
        <v>2.0207765655129805E-4</v>
      </c>
      <c r="F61" s="1">
        <v>9.9174000935077652E-4</v>
      </c>
      <c r="G61" s="1">
        <v>3.9603607536868295E-3</v>
      </c>
      <c r="H61" s="1">
        <v>1.2868531349214599E-2</v>
      </c>
      <c r="I61" s="1">
        <v>3.4023613625539288E-2</v>
      </c>
      <c r="J61" s="1">
        <v>7.3196269106777206E-2</v>
      </c>
      <c r="K61" s="1">
        <v>0.12813107698097861</v>
      </c>
      <c r="L61" s="1">
        <v>0.18250646508072299</v>
      </c>
      <c r="M61" s="1">
        <v>0.21152793042365811</v>
      </c>
      <c r="N61" s="1">
        <v>0.19950606421493744</v>
      </c>
      <c r="O61" s="1">
        <v>0.15317025112461807</v>
      </c>
      <c r="P61" s="1">
        <v>0</v>
      </c>
      <c r="Q61" s="1">
        <v>0</v>
      </c>
      <c r="R61" s="1">
        <v>0</v>
      </c>
      <c r="S61" s="1">
        <v>0</v>
      </c>
      <c r="T61" s="1">
        <v>0</v>
      </c>
      <c r="U61" s="1">
        <v>0</v>
      </c>
      <c r="V61" s="1">
        <v>0</v>
      </c>
      <c r="W61" s="1">
        <v>0</v>
      </c>
      <c r="X61" s="1">
        <v>0</v>
      </c>
      <c r="Y61" s="1">
        <v>0</v>
      </c>
      <c r="Z61" s="1">
        <v>0</v>
      </c>
      <c r="AA61" s="1">
        <v>0</v>
      </c>
      <c r="AB61" s="1">
        <v>0</v>
      </c>
      <c r="AC61" s="1">
        <v>0</v>
      </c>
      <c r="AD61" s="1">
        <v>0</v>
      </c>
      <c r="AE61" s="1">
        <v>0</v>
      </c>
      <c r="AF61" s="1">
        <v>0</v>
      </c>
      <c r="AG61" s="1">
        <v>0</v>
      </c>
      <c r="AH61" s="1">
        <v>0</v>
      </c>
      <c r="AI61" s="1">
        <v>0</v>
      </c>
      <c r="AJ61" s="1">
        <v>0</v>
      </c>
      <c r="AK61" s="1">
        <v>0</v>
      </c>
      <c r="AL61" s="1">
        <v>0</v>
      </c>
      <c r="AM61" s="1">
        <v>0</v>
      </c>
      <c r="AN61" s="1">
        <v>0</v>
      </c>
      <c r="AO61" s="1">
        <v>0</v>
      </c>
    </row>
    <row r="62" spans="1:41" ht="15.75" customHeight="1" x14ac:dyDescent="0.25">
      <c r="A62" s="1">
        <v>3.2209334892436401E-9</v>
      </c>
      <c r="B62" s="1">
        <v>4.4317395741410714E-8</v>
      </c>
      <c r="C62" s="1">
        <v>4.9616271266997739E-7</v>
      </c>
      <c r="D62" s="1">
        <v>4.5199270963794154E-6</v>
      </c>
      <c r="E62" s="1">
        <v>3.350396040484902E-5</v>
      </c>
      <c r="F62" s="1">
        <v>2.020776400432509E-4</v>
      </c>
      <c r="G62" s="1">
        <v>9.9173980243894987E-4</v>
      </c>
      <c r="H62" s="1">
        <v>3.9603586916815373E-3</v>
      </c>
      <c r="I62" s="1">
        <v>1.2868515159108548E-2</v>
      </c>
      <c r="J62" s="1">
        <v>3.4023515048714911E-2</v>
      </c>
      <c r="K62" s="1">
        <v>7.3195818112762781E-2</v>
      </c>
      <c r="L62" s="1">
        <v>0.12812964371700911</v>
      </c>
      <c r="M62" s="1">
        <v>0.18250418094739515</v>
      </c>
      <c r="N62" s="1">
        <v>0.21153281881420166</v>
      </c>
      <c r="O62" s="1">
        <v>0.19955477579850883</v>
      </c>
      <c r="P62" s="1">
        <v>0.15335920160619601</v>
      </c>
      <c r="Q62" s="1">
        <v>0</v>
      </c>
      <c r="R62" s="1">
        <v>0</v>
      </c>
      <c r="S62" s="1">
        <v>0</v>
      </c>
      <c r="T62" s="1">
        <v>0</v>
      </c>
      <c r="U62" s="1">
        <v>0</v>
      </c>
      <c r="V62" s="1">
        <v>0</v>
      </c>
      <c r="W62" s="1">
        <v>0</v>
      </c>
      <c r="X62" s="1">
        <v>0</v>
      </c>
      <c r="Y62" s="1">
        <v>0</v>
      </c>
      <c r="Z62" s="1">
        <v>0</v>
      </c>
      <c r="AA62" s="1">
        <v>0</v>
      </c>
      <c r="AB62" s="1">
        <v>0</v>
      </c>
      <c r="AC62" s="1">
        <v>0</v>
      </c>
      <c r="AD62" s="1">
        <v>0</v>
      </c>
      <c r="AE62" s="1">
        <v>0</v>
      </c>
      <c r="AF62" s="1">
        <v>0</v>
      </c>
      <c r="AG62" s="1">
        <v>0</v>
      </c>
      <c r="AH62" s="1">
        <v>0</v>
      </c>
      <c r="AI62" s="1">
        <v>0</v>
      </c>
      <c r="AJ62" s="1">
        <v>0</v>
      </c>
      <c r="AK62" s="1">
        <v>0</v>
      </c>
      <c r="AL62" s="1">
        <v>0</v>
      </c>
      <c r="AM62" s="1">
        <v>0</v>
      </c>
      <c r="AN62" s="1">
        <v>0</v>
      </c>
      <c r="AO62" s="1">
        <v>0</v>
      </c>
    </row>
    <row r="63" spans="1:41" ht="15.75" customHeight="1" x14ac:dyDescent="0.25">
      <c r="A63" s="1">
        <v>1.9047882330932558E-10</v>
      </c>
      <c r="B63" s="1">
        <v>3.2209334834096362E-9</v>
      </c>
      <c r="C63" s="1">
        <v>4.4317395524117838E-8</v>
      </c>
      <c r="D63" s="1">
        <v>4.9616270613339894E-7</v>
      </c>
      <c r="E63" s="1">
        <v>4.5199269378021803E-6</v>
      </c>
      <c r="F63" s="1">
        <v>3.350395730839571E-5</v>
      </c>
      <c r="G63" s="1">
        <v>2.0207759150846986E-4</v>
      </c>
      <c r="H63" s="1">
        <v>9.9173919410406718E-4</v>
      </c>
      <c r="I63" s="1">
        <v>3.9603526292425126E-3</v>
      </c>
      <c r="J63" s="1">
        <v>1.2868467558993572E-2</v>
      </c>
      <c r="K63" s="1">
        <v>3.4023225223862794E-2</v>
      </c>
      <c r="L63" s="1">
        <v>7.3194492122355764E-2</v>
      </c>
      <c r="M63" s="1">
        <v>0.12812542939379426</v>
      </c>
      <c r="N63" s="1">
        <v>0.18249746253311863</v>
      </c>
      <c r="O63" s="1">
        <v>0.21154718246515786</v>
      </c>
      <c r="P63" s="1">
        <v>0.19969765941847459</v>
      </c>
      <c r="Q63" s="1">
        <v>0.15391157965149213</v>
      </c>
      <c r="R63" s="1">
        <v>0</v>
      </c>
      <c r="S63" s="1">
        <v>0</v>
      </c>
      <c r="T63" s="1">
        <v>0</v>
      </c>
      <c r="U63" s="1">
        <v>0</v>
      </c>
      <c r="V63" s="1">
        <v>0</v>
      </c>
      <c r="W63" s="1">
        <v>0</v>
      </c>
      <c r="X63" s="1">
        <v>0</v>
      </c>
      <c r="Y63" s="1">
        <v>0</v>
      </c>
      <c r="Z63" s="1">
        <v>0</v>
      </c>
      <c r="AA63" s="1">
        <v>0</v>
      </c>
      <c r="AB63" s="1">
        <v>0</v>
      </c>
      <c r="AC63" s="1">
        <v>0</v>
      </c>
      <c r="AD63" s="1">
        <v>0</v>
      </c>
      <c r="AE63" s="1">
        <v>0</v>
      </c>
      <c r="AF63" s="1">
        <v>0</v>
      </c>
      <c r="AG63" s="1">
        <v>0</v>
      </c>
      <c r="AH63" s="1">
        <v>0</v>
      </c>
      <c r="AI63" s="1">
        <v>0</v>
      </c>
      <c r="AJ63" s="1">
        <v>0</v>
      </c>
      <c r="AK63" s="1">
        <v>0</v>
      </c>
      <c r="AL63" s="1">
        <v>0</v>
      </c>
      <c r="AM63" s="1">
        <v>0</v>
      </c>
      <c r="AN63" s="1">
        <v>0</v>
      </c>
      <c r="AO63" s="1">
        <v>0</v>
      </c>
    </row>
    <row r="64" spans="1:41" ht="15.75" customHeight="1" x14ac:dyDescent="0.25">
      <c r="A64" s="1">
        <v>0</v>
      </c>
      <c r="B64" s="1">
        <v>1.9047882293696488E-10</v>
      </c>
      <c r="C64" s="1">
        <v>3.2209334662573E-9</v>
      </c>
      <c r="D64" s="1">
        <v>4.4317394885262031E-8</v>
      </c>
      <c r="E64" s="1">
        <v>4.9616268691540859E-7</v>
      </c>
      <c r="F64" s="1">
        <v>4.5199264715742821E-6</v>
      </c>
      <c r="G64" s="1">
        <v>3.3503948204612959E-5</v>
      </c>
      <c r="H64" s="1">
        <v>2.0207744881290966E-4</v>
      </c>
      <c r="I64" s="1">
        <v>9.917374055575304E-4</v>
      </c>
      <c r="J64" s="1">
        <v>3.960334805231878E-3</v>
      </c>
      <c r="K64" s="1">
        <v>1.2868327610577086E-2</v>
      </c>
      <c r="L64" s="1">
        <v>3.4022373100346857E-2</v>
      </c>
      <c r="M64" s="1">
        <v>7.3190593315083069E-2</v>
      </c>
      <c r="N64" s="1">
        <v>0.12811303568182414</v>
      </c>
      <c r="O64" s="1">
        <v>0.18247769359693358</v>
      </c>
      <c r="P64" s="1">
        <v>0.21158921558814506</v>
      </c>
      <c r="Q64" s="1">
        <v>0.2001145462247215</v>
      </c>
      <c r="R64" s="1">
        <v>0.15551426429829038</v>
      </c>
      <c r="S64" s="1">
        <v>0</v>
      </c>
      <c r="T64" s="1">
        <v>0</v>
      </c>
      <c r="U64" s="1">
        <v>0</v>
      </c>
      <c r="V64" s="1">
        <v>0</v>
      </c>
      <c r="W64" s="1">
        <v>0</v>
      </c>
      <c r="X64" s="1">
        <v>0</v>
      </c>
      <c r="Y64" s="1">
        <v>0</v>
      </c>
      <c r="Z64" s="1">
        <v>0</v>
      </c>
      <c r="AA64" s="1">
        <v>0</v>
      </c>
      <c r="AB64" s="1">
        <v>0</v>
      </c>
      <c r="AC64" s="1">
        <v>0</v>
      </c>
      <c r="AD64" s="1">
        <v>0</v>
      </c>
      <c r="AE64" s="1">
        <v>0</v>
      </c>
      <c r="AF64" s="1">
        <v>0</v>
      </c>
      <c r="AG64" s="1">
        <v>0</v>
      </c>
      <c r="AH64" s="1">
        <v>0</v>
      </c>
      <c r="AI64" s="1">
        <v>0</v>
      </c>
      <c r="AJ64" s="1">
        <v>0</v>
      </c>
      <c r="AK64" s="1">
        <v>0</v>
      </c>
      <c r="AL64" s="1">
        <v>0</v>
      </c>
      <c r="AM64" s="1">
        <v>0</v>
      </c>
      <c r="AN64" s="1">
        <v>0</v>
      </c>
      <c r="AO64" s="1">
        <v>0</v>
      </c>
    </row>
    <row r="65" spans="1:41" ht="15.75" customHeight="1" x14ac:dyDescent="0.25">
      <c r="A65" s="1">
        <v>0</v>
      </c>
      <c r="B65" s="1">
        <v>0</v>
      </c>
      <c r="C65" s="1">
        <v>1.9047882184219977E-10</v>
      </c>
      <c r="D65" s="1">
        <v>3.2209334158282427E-9</v>
      </c>
      <c r="E65" s="1">
        <v>4.4317393006982875E-8</v>
      </c>
      <c r="F65" s="1">
        <v>4.9616263041322595E-7</v>
      </c>
      <c r="G65" s="1">
        <v>4.5199251008327322E-6</v>
      </c>
      <c r="H65" s="1">
        <v>3.3503921438873649E-5</v>
      </c>
      <c r="I65" s="1">
        <v>2.0207702927819662E-4</v>
      </c>
      <c r="J65" s="1">
        <v>9.9173214710399386E-4</v>
      </c>
      <c r="K65" s="1">
        <v>3.9602824012061845E-3</v>
      </c>
      <c r="L65" s="1">
        <v>1.2867916145930511E-2</v>
      </c>
      <c r="M65" s="1">
        <v>3.4019867648459733E-2</v>
      </c>
      <c r="N65" s="1">
        <v>7.3179128287006373E-2</v>
      </c>
      <c r="O65" s="1">
        <v>0.12807658489159135</v>
      </c>
      <c r="P65" s="1">
        <v>0.18241960056161258</v>
      </c>
      <c r="Q65" s="1">
        <v>0.21171100774021934</v>
      </c>
      <c r="R65" s="1">
        <v>0.20131722906276273</v>
      </c>
      <c r="S65" s="1">
        <v>0.16005174879241205</v>
      </c>
      <c r="T65" s="1">
        <v>0</v>
      </c>
      <c r="U65" s="1">
        <v>0</v>
      </c>
      <c r="V65" s="1">
        <v>0</v>
      </c>
      <c r="W65" s="1">
        <v>0</v>
      </c>
      <c r="X65" s="1">
        <v>0</v>
      </c>
      <c r="Y65" s="1">
        <v>0</v>
      </c>
      <c r="Z65" s="1">
        <v>0</v>
      </c>
      <c r="AA65" s="1">
        <v>0</v>
      </c>
      <c r="AB65" s="1">
        <v>0</v>
      </c>
      <c r="AC65" s="1">
        <v>0</v>
      </c>
      <c r="AD65" s="1">
        <v>0</v>
      </c>
      <c r="AE65" s="1">
        <v>0</v>
      </c>
      <c r="AF65" s="1">
        <v>0</v>
      </c>
      <c r="AG65" s="1">
        <v>0</v>
      </c>
      <c r="AH65" s="1">
        <v>0</v>
      </c>
      <c r="AI65" s="1">
        <v>0</v>
      </c>
      <c r="AJ65" s="1">
        <v>0</v>
      </c>
      <c r="AK65" s="1">
        <v>0</v>
      </c>
      <c r="AL65" s="1">
        <v>0</v>
      </c>
      <c r="AM65" s="1">
        <v>0</v>
      </c>
      <c r="AN65" s="1">
        <v>0</v>
      </c>
      <c r="AO65" s="1">
        <v>0</v>
      </c>
    </row>
    <row r="66" spans="1:41" ht="15.75" customHeight="1" x14ac:dyDescent="0.25">
      <c r="A66" s="1">
        <v>0</v>
      </c>
      <c r="B66" s="1">
        <v>0</v>
      </c>
      <c r="C66" s="1">
        <v>0</v>
      </c>
      <c r="D66" s="1">
        <v>1.9047881862351543E-10</v>
      </c>
      <c r="E66" s="1">
        <v>3.2209332675633847E-9</v>
      </c>
      <c r="F66" s="1">
        <v>4.4317387484714214E-8</v>
      </c>
      <c r="G66" s="1">
        <v>4.9616246429298129E-7</v>
      </c>
      <c r="H66" s="1">
        <v>4.5199210707597463E-6</v>
      </c>
      <c r="I66" s="1">
        <v>3.3503842745783641E-5</v>
      </c>
      <c r="J66" s="1">
        <v>2.0207579581712145E-4</v>
      </c>
      <c r="K66" s="1">
        <v>9.9171668685385473E-4</v>
      </c>
      <c r="L66" s="1">
        <v>3.9601283280669775E-3</v>
      </c>
      <c r="M66" s="1">
        <v>1.2866706358647971E-2</v>
      </c>
      <c r="N66" s="1">
        <v>3.4012500383592381E-2</v>
      </c>
      <c r="O66" s="1">
        <v>7.314541571714421E-2</v>
      </c>
      <c r="P66" s="1">
        <v>0.127969622963403</v>
      </c>
      <c r="Q66" s="1">
        <v>0.18224920327249927</v>
      </c>
      <c r="R66" s="1">
        <v>0.21205527299036792</v>
      </c>
      <c r="S66" s="1">
        <v>0.20466731155916942</v>
      </c>
      <c r="T66" s="1">
        <v>0.17203269112135222</v>
      </c>
      <c r="U66" s="1">
        <v>0</v>
      </c>
      <c r="V66" s="1">
        <v>0</v>
      </c>
      <c r="W66" s="1">
        <v>0</v>
      </c>
      <c r="X66" s="1">
        <v>0</v>
      </c>
      <c r="Y66" s="1">
        <v>0</v>
      </c>
      <c r="Z66" s="1">
        <v>0</v>
      </c>
      <c r="AA66" s="1">
        <v>0</v>
      </c>
      <c r="AB66" s="1">
        <v>0</v>
      </c>
      <c r="AC66" s="1">
        <v>0</v>
      </c>
      <c r="AD66" s="1">
        <v>0</v>
      </c>
      <c r="AE66" s="1">
        <v>0</v>
      </c>
      <c r="AF66" s="1">
        <v>0</v>
      </c>
      <c r="AG66" s="1">
        <v>0</v>
      </c>
      <c r="AH66" s="1">
        <v>0</v>
      </c>
      <c r="AI66" s="1">
        <v>0</v>
      </c>
      <c r="AJ66" s="1">
        <v>0</v>
      </c>
      <c r="AK66" s="1">
        <v>0</v>
      </c>
      <c r="AL66" s="1">
        <v>0</v>
      </c>
      <c r="AM66" s="1">
        <v>0</v>
      </c>
      <c r="AN66" s="1">
        <v>0</v>
      </c>
      <c r="AO66" s="1">
        <v>0</v>
      </c>
    </row>
    <row r="67" spans="1:41" ht="15.75" customHeight="1" x14ac:dyDescent="0.25">
      <c r="A67" s="1">
        <v>0</v>
      </c>
      <c r="B67" s="1">
        <v>0</v>
      </c>
      <c r="C67" s="1">
        <v>0</v>
      </c>
      <c r="D67" s="1">
        <v>0</v>
      </c>
      <c r="E67" s="1">
        <v>1.9047880916036592E-10</v>
      </c>
      <c r="F67" s="1">
        <v>3.2209328316546428E-9</v>
      </c>
      <c r="G67" s="1">
        <v>4.4317371248870941E-8</v>
      </c>
      <c r="H67" s="1">
        <v>4.9616197588824315E-7</v>
      </c>
      <c r="I67" s="1">
        <v>4.5199092220738692E-6</v>
      </c>
      <c r="J67" s="1">
        <v>3.3503611382785843E-5</v>
      </c>
      <c r="K67" s="1">
        <v>2.0207216935457032E-4</v>
      </c>
      <c r="L67" s="1">
        <v>9.916712323823876E-4</v>
      </c>
      <c r="M67" s="1">
        <v>3.9596753295467928E-3</v>
      </c>
      <c r="N67" s="1">
        <v>1.2863149156347863E-2</v>
      </c>
      <c r="O67" s="1">
        <v>3.3990840556867151E-2</v>
      </c>
      <c r="P67" s="1">
        <v>7.3046548225717392E-2</v>
      </c>
      <c r="Q67" s="1">
        <v>0.12765718265917139</v>
      </c>
      <c r="R67" s="1">
        <v>0.18175008650259047</v>
      </c>
      <c r="S67" s="1">
        <v>0.21295800221621347</v>
      </c>
      <c r="T67" s="1">
        <v>0.21313376966830716</v>
      </c>
      <c r="U67" s="1">
        <v>0.17203269112135222</v>
      </c>
      <c r="V67" s="1">
        <v>0</v>
      </c>
      <c r="W67" s="1">
        <v>0</v>
      </c>
      <c r="X67" s="1">
        <v>0</v>
      </c>
      <c r="Y67" s="1">
        <v>0</v>
      </c>
      <c r="Z67" s="1">
        <v>0</v>
      </c>
      <c r="AA67" s="1">
        <v>0</v>
      </c>
      <c r="AB67" s="1">
        <v>0</v>
      </c>
      <c r="AC67" s="1">
        <v>0</v>
      </c>
      <c r="AD67" s="1">
        <v>0</v>
      </c>
      <c r="AE67" s="1">
        <v>0</v>
      </c>
      <c r="AF67" s="1">
        <v>0</v>
      </c>
      <c r="AG67" s="1">
        <v>0</v>
      </c>
      <c r="AH67" s="1">
        <v>0</v>
      </c>
      <c r="AI67" s="1">
        <v>0</v>
      </c>
      <c r="AJ67" s="1">
        <v>0</v>
      </c>
      <c r="AK67" s="1">
        <v>0</v>
      </c>
      <c r="AL67" s="1">
        <v>0</v>
      </c>
      <c r="AM67" s="1">
        <v>0</v>
      </c>
      <c r="AN67" s="1">
        <v>0</v>
      </c>
      <c r="AO67" s="1">
        <v>0</v>
      </c>
    </row>
    <row r="68" spans="1:41" ht="15.75" customHeight="1" x14ac:dyDescent="0.25">
      <c r="A68" s="1">
        <v>0</v>
      </c>
      <c r="B68" s="1">
        <v>0</v>
      </c>
      <c r="C68" s="1">
        <v>0</v>
      </c>
      <c r="D68" s="1">
        <v>0</v>
      </c>
      <c r="E68" s="1">
        <v>0</v>
      </c>
      <c r="F68" s="1">
        <v>1.9047878133806376E-10</v>
      </c>
      <c r="G68" s="1">
        <v>3.2209315500534082E-9</v>
      </c>
      <c r="H68" s="1">
        <v>4.4317323514398741E-8</v>
      </c>
      <c r="I68" s="1">
        <v>4.9616053994572204E-7</v>
      </c>
      <c r="J68" s="1">
        <v>4.5198743861569253E-6</v>
      </c>
      <c r="K68" s="1">
        <v>3.3502931160380646E-5</v>
      </c>
      <c r="L68" s="1">
        <v>2.0206150729382976E-4</v>
      </c>
      <c r="M68" s="1">
        <v>9.915375912824501E-4</v>
      </c>
      <c r="N68" s="1">
        <v>3.9583434136050248E-3</v>
      </c>
      <c r="O68" s="1">
        <v>1.2852692412164102E-2</v>
      </c>
      <c r="P68" s="1">
        <v>3.3927348861502622E-2</v>
      </c>
      <c r="Q68" s="1">
        <v>7.2758257688452788E-2</v>
      </c>
      <c r="R68" s="1">
        <v>0.1267528095130703</v>
      </c>
      <c r="S68" s="1">
        <v>0.18030047097388124</v>
      </c>
      <c r="T68" s="1">
        <v>0.21485772236255804</v>
      </c>
      <c r="U68" s="1">
        <v>0.21313376966830716</v>
      </c>
      <c r="V68" s="1">
        <v>0.17203269112135222</v>
      </c>
      <c r="W68" s="1">
        <v>0</v>
      </c>
      <c r="X68" s="1">
        <v>0</v>
      </c>
      <c r="Y68" s="1">
        <v>0</v>
      </c>
      <c r="Z68" s="1">
        <v>0</v>
      </c>
      <c r="AA68" s="1">
        <v>0</v>
      </c>
      <c r="AB68" s="1">
        <v>0</v>
      </c>
      <c r="AC68" s="1">
        <v>0</v>
      </c>
      <c r="AD68" s="1">
        <v>0</v>
      </c>
      <c r="AE68" s="1">
        <v>0</v>
      </c>
      <c r="AF68" s="1">
        <v>0</v>
      </c>
      <c r="AG68" s="1">
        <v>0</v>
      </c>
      <c r="AH68" s="1">
        <v>0</v>
      </c>
      <c r="AI68" s="1">
        <v>0</v>
      </c>
      <c r="AJ68" s="1">
        <v>0</v>
      </c>
      <c r="AK68" s="1">
        <v>0</v>
      </c>
      <c r="AL68" s="1">
        <v>0</v>
      </c>
      <c r="AM68" s="1">
        <v>0</v>
      </c>
      <c r="AN68" s="1">
        <v>0</v>
      </c>
      <c r="AO68" s="1">
        <v>0</v>
      </c>
    </row>
    <row r="69" spans="1:41" ht="15.75" customHeight="1" x14ac:dyDescent="0.25">
      <c r="A69" s="1">
        <v>0</v>
      </c>
      <c r="B69" s="1">
        <v>0</v>
      </c>
      <c r="C69" s="1">
        <v>0</v>
      </c>
      <c r="D69" s="1">
        <v>0</v>
      </c>
      <c r="E69" s="1">
        <v>0</v>
      </c>
      <c r="F69" s="1">
        <v>0</v>
      </c>
      <c r="G69" s="1">
        <v>1.9047869953861708E-10</v>
      </c>
      <c r="H69" s="1">
        <v>3.2209277820598555E-9</v>
      </c>
      <c r="I69" s="1">
        <v>4.4317183171890528E-8</v>
      </c>
      <c r="J69" s="1">
        <v>4.9615631818243719E-7</v>
      </c>
      <c r="K69" s="1">
        <v>4.519771966441491E-6</v>
      </c>
      <c r="L69" s="1">
        <v>3.350093126730592E-5</v>
      </c>
      <c r="M69" s="1">
        <v>2.0203016012748889E-4</v>
      </c>
      <c r="N69" s="1">
        <v>9.9114467394874166E-4</v>
      </c>
      <c r="O69" s="1">
        <v>3.9544286337425865E-3</v>
      </c>
      <c r="P69" s="1">
        <v>1.2822053027255777E-2</v>
      </c>
      <c r="Q69" s="1">
        <v>3.374246016566259E-2</v>
      </c>
      <c r="R69" s="1">
        <v>7.1927999325256717E-2</v>
      </c>
      <c r="S69" s="1">
        <v>0.12421017578913099</v>
      </c>
      <c r="T69" s="1">
        <v>0.17624105624197287</v>
      </c>
      <c r="U69" s="1">
        <v>0.21485772236255804</v>
      </c>
      <c r="V69" s="1">
        <v>0.21313376966830716</v>
      </c>
      <c r="W69" s="1">
        <v>0.17203269112135222</v>
      </c>
      <c r="X69" s="1">
        <v>0</v>
      </c>
      <c r="Y69" s="1">
        <v>0</v>
      </c>
      <c r="Z69" s="1">
        <v>0</v>
      </c>
      <c r="AA69" s="1">
        <v>0</v>
      </c>
      <c r="AB69" s="1">
        <v>0</v>
      </c>
      <c r="AC69" s="1">
        <v>0</v>
      </c>
      <c r="AD69" s="1">
        <v>0</v>
      </c>
      <c r="AE69" s="1">
        <v>0</v>
      </c>
      <c r="AF69" s="1">
        <v>0</v>
      </c>
      <c r="AG69" s="1">
        <v>0</v>
      </c>
      <c r="AH69" s="1">
        <v>0</v>
      </c>
      <c r="AI69" s="1">
        <v>0</v>
      </c>
      <c r="AJ69" s="1">
        <v>0</v>
      </c>
      <c r="AK69" s="1">
        <v>0</v>
      </c>
      <c r="AL69" s="1">
        <v>0</v>
      </c>
      <c r="AM69" s="1">
        <v>0</v>
      </c>
      <c r="AN69" s="1">
        <v>0</v>
      </c>
      <c r="AO69" s="1">
        <v>0</v>
      </c>
    </row>
    <row r="70" spans="1:41" ht="15.75" customHeight="1" x14ac:dyDescent="0.25">
      <c r="A70" s="1">
        <v>0</v>
      </c>
      <c r="B70" s="1">
        <v>0</v>
      </c>
      <c r="C70" s="1">
        <v>0</v>
      </c>
      <c r="D70" s="1">
        <v>0</v>
      </c>
      <c r="E70" s="1">
        <v>0</v>
      </c>
      <c r="F70" s="1">
        <v>0</v>
      </c>
      <c r="G70" s="1">
        <v>0</v>
      </c>
      <c r="H70" s="1">
        <v>1.9047845904276867E-10</v>
      </c>
      <c r="I70" s="1">
        <v>3.2209167039113093E-9</v>
      </c>
      <c r="J70" s="1">
        <v>4.4316770556125753E-8</v>
      </c>
      <c r="K70" s="1">
        <v>4.9614390596169868E-7</v>
      </c>
      <c r="L70" s="1">
        <v>4.51947084802567E-6</v>
      </c>
      <c r="M70" s="1">
        <v>3.3495051532968089E-5</v>
      </c>
      <c r="N70" s="1">
        <v>2.019380004535389E-4</v>
      </c>
      <c r="O70" s="1">
        <v>9.899899553083237E-4</v>
      </c>
      <c r="P70" s="1">
        <v>3.9429623561023216E-3</v>
      </c>
      <c r="Q70" s="1">
        <v>1.2732937728348872E-2</v>
      </c>
      <c r="R70" s="1">
        <v>3.3212057783408647E-2</v>
      </c>
      <c r="S70" s="1">
        <v>6.9626555345414731E-2</v>
      </c>
      <c r="T70" s="1">
        <v>0.11763068453883135</v>
      </c>
      <c r="U70" s="1">
        <v>0.17624105624197287</v>
      </c>
      <c r="V70" s="1">
        <v>0.21485772236255804</v>
      </c>
      <c r="W70" s="1">
        <v>0.21313376966830716</v>
      </c>
      <c r="X70" s="1">
        <v>0.17203269112135222</v>
      </c>
      <c r="Y70" s="1">
        <v>0</v>
      </c>
      <c r="Z70" s="1">
        <v>0</v>
      </c>
      <c r="AA70" s="1">
        <v>0</v>
      </c>
      <c r="AB70" s="1">
        <v>0</v>
      </c>
      <c r="AC70" s="1">
        <v>0</v>
      </c>
      <c r="AD70" s="1">
        <v>0</v>
      </c>
      <c r="AE70" s="1">
        <v>0</v>
      </c>
      <c r="AF70" s="1">
        <v>0</v>
      </c>
      <c r="AG70" s="1">
        <v>0</v>
      </c>
      <c r="AH70" s="1">
        <v>0</v>
      </c>
      <c r="AI70" s="1">
        <v>0</v>
      </c>
      <c r="AJ70" s="1">
        <v>0</v>
      </c>
      <c r="AK70" s="1">
        <v>0</v>
      </c>
      <c r="AL70" s="1">
        <v>0</v>
      </c>
      <c r="AM70" s="1">
        <v>0</v>
      </c>
      <c r="AN70" s="1">
        <v>0</v>
      </c>
      <c r="AO70" s="1">
        <v>0</v>
      </c>
    </row>
    <row r="71" spans="1:41" ht="15.75" customHeight="1" x14ac:dyDescent="0.25">
      <c r="A71" s="1">
        <v>0</v>
      </c>
      <c r="B71" s="1">
        <v>0</v>
      </c>
      <c r="C71" s="1">
        <v>0</v>
      </c>
      <c r="D71" s="1">
        <v>0</v>
      </c>
      <c r="E71" s="1">
        <v>0</v>
      </c>
      <c r="F71" s="1">
        <v>0</v>
      </c>
      <c r="G71" s="1">
        <v>0</v>
      </c>
      <c r="H71" s="1">
        <v>0</v>
      </c>
      <c r="I71" s="1">
        <v>1.9047775196931462E-10</v>
      </c>
      <c r="J71" s="1">
        <v>3.2208841334786966E-9</v>
      </c>
      <c r="K71" s="1">
        <v>4.4315557444610035E-8</v>
      </c>
      <c r="L71" s="1">
        <v>4.9610741366772941E-7</v>
      </c>
      <c r="M71" s="1">
        <v>4.518585565088378E-6</v>
      </c>
      <c r="N71" s="1">
        <v>3.347776602733784E-5</v>
      </c>
      <c r="O71" s="1">
        <v>2.0166719244769292E-4</v>
      </c>
      <c r="P71" s="1">
        <v>9.8660908690424449E-4</v>
      </c>
      <c r="Q71" s="1">
        <v>3.9096502184271338E-3</v>
      </c>
      <c r="R71" s="1">
        <v>1.2478173134901783E-2</v>
      </c>
      <c r="S71" s="1">
        <v>3.1757774535023833E-2</v>
      </c>
      <c r="T71" s="1">
        <v>6.3883923334490555E-2</v>
      </c>
      <c r="U71" s="1">
        <v>0.11763068453883135</v>
      </c>
      <c r="V71" s="1">
        <v>0.17624105624197287</v>
      </c>
      <c r="W71" s="1">
        <v>0.21485772236255804</v>
      </c>
      <c r="X71" s="1">
        <v>0.21313376966830716</v>
      </c>
      <c r="Y71" s="1">
        <v>0.17203269112135222</v>
      </c>
      <c r="Z71" s="1">
        <v>0</v>
      </c>
      <c r="AA71" s="1">
        <v>0</v>
      </c>
      <c r="AB71" s="1">
        <v>0</v>
      </c>
      <c r="AC71" s="1">
        <v>0</v>
      </c>
      <c r="AD71" s="1">
        <v>0</v>
      </c>
      <c r="AE71" s="1">
        <v>0</v>
      </c>
      <c r="AF71" s="1">
        <v>0</v>
      </c>
      <c r="AG71" s="1">
        <v>0</v>
      </c>
      <c r="AH71" s="1">
        <v>0</v>
      </c>
      <c r="AI71" s="1">
        <v>0</v>
      </c>
      <c r="AJ71" s="1">
        <v>0</v>
      </c>
      <c r="AK71" s="1">
        <v>0</v>
      </c>
      <c r="AL71" s="1">
        <v>0</v>
      </c>
      <c r="AM71" s="1">
        <v>0</v>
      </c>
      <c r="AN71" s="1">
        <v>0</v>
      </c>
      <c r="AO71" s="1">
        <v>0</v>
      </c>
    </row>
    <row r="72" spans="1:41" ht="15.75" customHeight="1" x14ac:dyDescent="0.25">
      <c r="A72" s="1">
        <v>0</v>
      </c>
      <c r="B72" s="1">
        <v>0</v>
      </c>
      <c r="C72" s="1">
        <v>0</v>
      </c>
      <c r="D72" s="1">
        <v>0</v>
      </c>
      <c r="E72" s="1">
        <v>0</v>
      </c>
      <c r="F72" s="1">
        <v>0</v>
      </c>
      <c r="G72" s="1">
        <v>0</v>
      </c>
      <c r="H72" s="1">
        <v>0</v>
      </c>
      <c r="I72" s="1">
        <v>0</v>
      </c>
      <c r="J72" s="1">
        <v>1.9047567313135315E-10</v>
      </c>
      <c r="K72" s="1">
        <v>3.2207883748902438E-9</v>
      </c>
      <c r="L72" s="1">
        <v>4.4311990878055188E-8</v>
      </c>
      <c r="M72" s="1">
        <v>4.9600012846337544E-7</v>
      </c>
      <c r="N72" s="1">
        <v>4.5159830791501889E-6</v>
      </c>
      <c r="O72" s="1">
        <v>3.3426979447114465E-5</v>
      </c>
      <c r="P72" s="1">
        <v>2.0087459281247576E-4</v>
      </c>
      <c r="Q72" s="1">
        <v>9.7679766291435812E-4</v>
      </c>
      <c r="R72" s="1">
        <v>3.8147286192479965E-3</v>
      </c>
      <c r="S72" s="1">
        <v>1.1786439479255836E-2</v>
      </c>
      <c r="T72" s="1">
        <v>2.8230589912495378E-2</v>
      </c>
      <c r="U72" s="1">
        <v>6.3883923334490555E-2</v>
      </c>
      <c r="V72" s="1">
        <v>0.11763068453883135</v>
      </c>
      <c r="W72" s="1">
        <v>0.17624105624197287</v>
      </c>
      <c r="X72" s="1">
        <v>0.21485772236255804</v>
      </c>
      <c r="Y72" s="1">
        <v>0.21313376966830716</v>
      </c>
      <c r="Z72" s="1">
        <v>0.17203269112135222</v>
      </c>
      <c r="AA72" s="1">
        <v>0</v>
      </c>
      <c r="AB72" s="1">
        <v>0</v>
      </c>
      <c r="AC72" s="1">
        <v>0</v>
      </c>
      <c r="AD72" s="1">
        <v>0</v>
      </c>
      <c r="AE72" s="1">
        <v>0</v>
      </c>
      <c r="AF72" s="1">
        <v>0</v>
      </c>
      <c r="AG72" s="1">
        <v>0</v>
      </c>
      <c r="AH72" s="1">
        <v>0</v>
      </c>
      <c r="AI72" s="1">
        <v>0</v>
      </c>
      <c r="AJ72" s="1">
        <v>0</v>
      </c>
      <c r="AK72" s="1">
        <v>0</v>
      </c>
      <c r="AL72" s="1">
        <v>0</v>
      </c>
      <c r="AM72" s="1">
        <v>0</v>
      </c>
      <c r="AN72" s="1">
        <v>0</v>
      </c>
      <c r="AO72" s="1">
        <v>0</v>
      </c>
    </row>
    <row r="73" spans="1:41" ht="15.75" customHeight="1" x14ac:dyDescent="0.25">
      <c r="A73" s="1">
        <v>0</v>
      </c>
      <c r="B73" s="1">
        <v>0</v>
      </c>
      <c r="C73" s="1">
        <v>0</v>
      </c>
      <c r="D73" s="1">
        <v>0</v>
      </c>
      <c r="E73" s="1">
        <v>0</v>
      </c>
      <c r="F73" s="1">
        <v>0</v>
      </c>
      <c r="G73" s="1">
        <v>0</v>
      </c>
      <c r="H73" s="1">
        <v>0</v>
      </c>
      <c r="I73" s="1">
        <v>0</v>
      </c>
      <c r="J73" s="1">
        <v>0</v>
      </c>
      <c r="K73" s="1">
        <v>1.9046956126078059E-10</v>
      </c>
      <c r="L73" s="1">
        <v>3.2205068444991243E-9</v>
      </c>
      <c r="M73" s="1">
        <v>4.4301505528271407E-8</v>
      </c>
      <c r="N73" s="1">
        <v>4.956847528072506E-7</v>
      </c>
      <c r="O73" s="1">
        <v>4.5083376460968752E-6</v>
      </c>
      <c r="P73" s="1">
        <v>3.3278391436081216E-5</v>
      </c>
      <c r="Q73" s="1">
        <v>1.9857690488844817E-4</v>
      </c>
      <c r="R73" s="1">
        <v>9.4892897118315552E-4</v>
      </c>
      <c r="S73" s="1">
        <v>3.5593657574139216E-3</v>
      </c>
      <c r="T73" s="1">
        <v>1.0150927943548013E-2</v>
      </c>
      <c r="U73" s="1">
        <v>2.8230589912495378E-2</v>
      </c>
      <c r="V73" s="1">
        <v>6.3883923334490555E-2</v>
      </c>
      <c r="W73" s="1">
        <v>0.11763068453883135</v>
      </c>
      <c r="X73" s="1">
        <v>0.17624105624197287</v>
      </c>
      <c r="Y73" s="1">
        <v>0.21485772236255804</v>
      </c>
      <c r="Z73" s="1">
        <v>0.21313376966830716</v>
      </c>
      <c r="AA73" s="1">
        <v>0.17203269112135222</v>
      </c>
      <c r="AB73" s="1">
        <v>0</v>
      </c>
      <c r="AC73" s="1">
        <v>0</v>
      </c>
      <c r="AD73" s="1">
        <v>0</v>
      </c>
      <c r="AE73" s="1">
        <v>0</v>
      </c>
      <c r="AF73" s="1">
        <v>0</v>
      </c>
      <c r="AG73" s="1">
        <v>0</v>
      </c>
      <c r="AH73" s="1">
        <v>0</v>
      </c>
      <c r="AI73" s="1">
        <v>0</v>
      </c>
      <c r="AJ73" s="1">
        <v>0</v>
      </c>
      <c r="AK73" s="1">
        <v>0</v>
      </c>
      <c r="AL73" s="1">
        <v>0</v>
      </c>
      <c r="AM73" s="1">
        <v>0</v>
      </c>
      <c r="AN73" s="1">
        <v>0</v>
      </c>
      <c r="AO73" s="1">
        <v>0</v>
      </c>
    </row>
    <row r="74" spans="1:41" ht="15.75" customHeight="1" x14ac:dyDescent="0.25">
      <c r="A74" s="1">
        <v>0</v>
      </c>
      <c r="B74" s="1">
        <v>0</v>
      </c>
      <c r="C74" s="1">
        <v>0</v>
      </c>
      <c r="D74" s="1">
        <v>0</v>
      </c>
      <c r="E74" s="1">
        <v>0</v>
      </c>
      <c r="F74" s="1">
        <v>0</v>
      </c>
      <c r="G74" s="1">
        <v>0</v>
      </c>
      <c r="H74" s="1">
        <v>0</v>
      </c>
      <c r="I74" s="1">
        <v>0</v>
      </c>
      <c r="J74" s="1">
        <v>0</v>
      </c>
      <c r="K74" s="1">
        <v>0</v>
      </c>
      <c r="L74" s="1">
        <v>1.9045159243722264E-10</v>
      </c>
      <c r="M74" s="1">
        <v>3.2196791847796306E-9</v>
      </c>
      <c r="N74" s="1">
        <v>4.4270684055681086E-8</v>
      </c>
      <c r="O74" s="1">
        <v>4.9475837307943019E-7</v>
      </c>
      <c r="P74" s="1">
        <v>4.4859771825574302E-6</v>
      </c>
      <c r="Q74" s="1">
        <v>3.2848102015902651E-5</v>
      </c>
      <c r="R74" s="1">
        <v>1.9207072802752205E-4</v>
      </c>
      <c r="S74" s="1">
        <v>8.7462124744190357E-4</v>
      </c>
      <c r="T74" s="1">
        <v>2.9699487464474256E-3</v>
      </c>
      <c r="U74" s="1">
        <v>1.0150927943548013E-2</v>
      </c>
      <c r="V74" s="1">
        <v>2.8230589912495378E-2</v>
      </c>
      <c r="W74" s="1">
        <v>6.3883923334490555E-2</v>
      </c>
      <c r="X74" s="1">
        <v>0.11763068453883135</v>
      </c>
      <c r="Y74" s="1">
        <v>0.17624105624197287</v>
      </c>
      <c r="Z74" s="1">
        <v>0.21485772236255804</v>
      </c>
      <c r="AA74" s="1">
        <v>0.21313376966830716</v>
      </c>
      <c r="AB74" s="1">
        <v>0.17203269112135222</v>
      </c>
      <c r="AC74" s="1">
        <v>0</v>
      </c>
      <c r="AD74" s="1">
        <v>0</v>
      </c>
      <c r="AE74" s="1">
        <v>0</v>
      </c>
      <c r="AF74" s="1">
        <v>0</v>
      </c>
      <c r="AG74" s="1">
        <v>0</v>
      </c>
      <c r="AH74" s="1">
        <v>0</v>
      </c>
      <c r="AI74" s="1">
        <v>0</v>
      </c>
      <c r="AJ74" s="1">
        <v>0</v>
      </c>
      <c r="AK74" s="1">
        <v>0</v>
      </c>
      <c r="AL74" s="1">
        <v>0</v>
      </c>
      <c r="AM74" s="1">
        <v>0</v>
      </c>
      <c r="AN74" s="1">
        <v>0</v>
      </c>
      <c r="AO74" s="1">
        <v>0</v>
      </c>
    </row>
    <row r="75" spans="1:41" ht="15.75" customHeight="1" x14ac:dyDescent="0.25">
      <c r="A75" s="1">
        <v>0</v>
      </c>
      <c r="B75" s="1">
        <v>0</v>
      </c>
      <c r="C75" s="1">
        <v>0</v>
      </c>
      <c r="D75" s="1">
        <v>0</v>
      </c>
      <c r="E75" s="1">
        <v>0</v>
      </c>
      <c r="F75" s="1">
        <v>0</v>
      </c>
      <c r="G75" s="1">
        <v>0</v>
      </c>
      <c r="H75" s="1">
        <v>0</v>
      </c>
      <c r="I75" s="1">
        <v>0</v>
      </c>
      <c r="J75" s="1">
        <v>0</v>
      </c>
      <c r="K75" s="1">
        <v>0</v>
      </c>
      <c r="L75" s="1">
        <v>0</v>
      </c>
      <c r="M75" s="1">
        <v>1.9039876735958327E-10</v>
      </c>
      <c r="N75" s="1">
        <v>3.2172463955846343E-9</v>
      </c>
      <c r="O75" s="1">
        <v>4.4180160478782079E-8</v>
      </c>
      <c r="P75" s="1">
        <v>4.9204997351794691E-7</v>
      </c>
      <c r="Q75" s="1">
        <v>4.4212924476229874E-6</v>
      </c>
      <c r="R75" s="1">
        <v>3.1633414868956091E-5</v>
      </c>
      <c r="S75" s="1">
        <v>1.7487384021012273E-4</v>
      </c>
      <c r="T75" s="1">
        <v>7.0704911385745077E-4</v>
      </c>
      <c r="U75" s="1">
        <v>2.9699487464474256E-3</v>
      </c>
      <c r="V75" s="1">
        <v>1.0150927943548013E-2</v>
      </c>
      <c r="W75" s="1">
        <v>2.8230589912495378E-2</v>
      </c>
      <c r="X75" s="1">
        <v>6.3883923334490555E-2</v>
      </c>
      <c r="Y75" s="1">
        <v>0.11763068453883135</v>
      </c>
      <c r="Z75" s="1">
        <v>0.17624105624197287</v>
      </c>
      <c r="AA75" s="1">
        <v>0.21485772236255804</v>
      </c>
      <c r="AB75" s="1">
        <v>0.21313376966830716</v>
      </c>
      <c r="AC75" s="1">
        <v>0.17203269112135222</v>
      </c>
      <c r="AD75" s="1">
        <v>0</v>
      </c>
      <c r="AE75" s="1">
        <v>0</v>
      </c>
      <c r="AF75" s="1">
        <v>0</v>
      </c>
      <c r="AG75" s="1">
        <v>0</v>
      </c>
      <c r="AH75" s="1">
        <v>0</v>
      </c>
      <c r="AI75" s="1">
        <v>0</v>
      </c>
      <c r="AJ75" s="1">
        <v>0</v>
      </c>
      <c r="AK75" s="1">
        <v>0</v>
      </c>
      <c r="AL75" s="1">
        <v>0</v>
      </c>
      <c r="AM75" s="1">
        <v>0</v>
      </c>
      <c r="AN75" s="1">
        <v>0</v>
      </c>
      <c r="AO75" s="1">
        <v>0</v>
      </c>
    </row>
    <row r="76" spans="1:41" ht="15.75" customHeight="1" x14ac:dyDescent="0.25">
      <c r="A76" s="1">
        <v>0</v>
      </c>
      <c r="B76" s="1">
        <v>0</v>
      </c>
      <c r="C76" s="1">
        <v>0</v>
      </c>
      <c r="D76" s="1">
        <v>0</v>
      </c>
      <c r="E76" s="1">
        <v>0</v>
      </c>
      <c r="F76" s="1">
        <v>0</v>
      </c>
      <c r="G76" s="1">
        <v>0</v>
      </c>
      <c r="H76" s="1">
        <v>0</v>
      </c>
      <c r="I76" s="1">
        <v>0</v>
      </c>
      <c r="J76" s="1">
        <v>0</v>
      </c>
      <c r="K76" s="1">
        <v>0</v>
      </c>
      <c r="L76" s="1">
        <v>0</v>
      </c>
      <c r="M76" s="1">
        <v>0</v>
      </c>
      <c r="N76" s="1">
        <v>1.9024350182822966E-10</v>
      </c>
      <c r="O76" s="1">
        <v>3.2101020829615573E-9</v>
      </c>
      <c r="P76" s="1">
        <v>4.391559622133606E-8</v>
      </c>
      <c r="Q76" s="1">
        <v>4.8422323187856984E-7</v>
      </c>
      <c r="R76" s="1">
        <v>4.2392437616524845E-6</v>
      </c>
      <c r="S76" s="1">
        <v>2.8450315631691516E-5</v>
      </c>
      <c r="T76" s="1">
        <v>1.3696437753092281E-4</v>
      </c>
      <c r="U76" s="1">
        <v>7.0704911385745077E-4</v>
      </c>
      <c r="V76" s="1">
        <v>2.9699487464474256E-3</v>
      </c>
      <c r="W76" s="1">
        <v>1.0150927943548013E-2</v>
      </c>
      <c r="X76" s="1">
        <v>2.8230589912495378E-2</v>
      </c>
      <c r="Y76" s="1">
        <v>6.3883923334490555E-2</v>
      </c>
      <c r="Z76" s="1">
        <v>0.11763068453883135</v>
      </c>
      <c r="AA76" s="1">
        <v>0.17624105624197287</v>
      </c>
      <c r="AB76" s="1">
        <v>0.21485772236255804</v>
      </c>
      <c r="AC76" s="1">
        <v>0.21313376966830716</v>
      </c>
      <c r="AD76" s="1">
        <v>0.17203269112135222</v>
      </c>
      <c r="AE76" s="1">
        <v>0</v>
      </c>
      <c r="AF76" s="1">
        <v>0</v>
      </c>
      <c r="AG76" s="1">
        <v>0</v>
      </c>
      <c r="AH76" s="1">
        <v>0</v>
      </c>
      <c r="AI76" s="1">
        <v>0</v>
      </c>
      <c r="AJ76" s="1">
        <v>0</v>
      </c>
      <c r="AK76" s="1">
        <v>0</v>
      </c>
      <c r="AL76" s="1">
        <v>0</v>
      </c>
      <c r="AM76" s="1">
        <v>0</v>
      </c>
      <c r="AN76" s="1">
        <v>0</v>
      </c>
      <c r="AO76" s="1">
        <v>0</v>
      </c>
    </row>
    <row r="77" spans="1:41" ht="15.75" customHeight="1" x14ac:dyDescent="0.25">
      <c r="A77" s="1">
        <v>0</v>
      </c>
      <c r="B77" s="1">
        <v>0</v>
      </c>
      <c r="C77" s="1">
        <v>0</v>
      </c>
      <c r="D77" s="1">
        <v>0</v>
      </c>
      <c r="E77" s="1">
        <v>0</v>
      </c>
      <c r="F77" s="1">
        <v>0</v>
      </c>
      <c r="G77" s="1">
        <v>0</v>
      </c>
      <c r="H77" s="1">
        <v>0</v>
      </c>
      <c r="I77" s="1">
        <v>0</v>
      </c>
      <c r="J77" s="1">
        <v>0</v>
      </c>
      <c r="K77" s="1">
        <v>0</v>
      </c>
      <c r="L77" s="1">
        <v>0</v>
      </c>
      <c r="M77" s="1">
        <v>0</v>
      </c>
      <c r="N77" s="1">
        <v>0</v>
      </c>
      <c r="O77" s="1">
        <v>1.8978759212410052E-10</v>
      </c>
      <c r="P77" s="1">
        <v>3.1892294952843256E-9</v>
      </c>
      <c r="Q77" s="1">
        <v>4.3151850025498603E-8</v>
      </c>
      <c r="R77" s="1">
        <v>4.6226192174683514E-7</v>
      </c>
      <c r="S77" s="1">
        <v>3.7662292211385192E-6</v>
      </c>
      <c r="T77" s="1">
        <v>2.1588531015541564E-5</v>
      </c>
      <c r="U77" s="1">
        <v>1.3696437753092281E-4</v>
      </c>
      <c r="V77" s="1">
        <v>7.0704911385745077E-4</v>
      </c>
      <c r="W77" s="1">
        <v>2.9699487464474256E-3</v>
      </c>
      <c r="X77" s="1">
        <v>1.0150927943548013E-2</v>
      </c>
      <c r="Y77" s="1">
        <v>2.8230589912495378E-2</v>
      </c>
      <c r="Z77" s="1">
        <v>6.3883923334490555E-2</v>
      </c>
      <c r="AA77" s="1">
        <v>0.11763068453883135</v>
      </c>
      <c r="AB77" s="1">
        <v>0.17624105624197287</v>
      </c>
      <c r="AC77" s="1">
        <v>0.21485772236255804</v>
      </c>
      <c r="AD77" s="1">
        <v>0.21313376966830716</v>
      </c>
      <c r="AE77" s="1">
        <v>0.17203269112135222</v>
      </c>
      <c r="AF77" s="1">
        <v>0</v>
      </c>
      <c r="AG77" s="1">
        <v>0</v>
      </c>
      <c r="AH77" s="1">
        <v>0</v>
      </c>
      <c r="AI77" s="1">
        <v>0</v>
      </c>
      <c r="AJ77" s="1">
        <v>0</v>
      </c>
      <c r="AK77" s="1">
        <v>0</v>
      </c>
      <c r="AL77" s="1">
        <v>0</v>
      </c>
      <c r="AM77" s="1">
        <v>0</v>
      </c>
      <c r="AN77" s="1">
        <v>0</v>
      </c>
      <c r="AO77" s="1">
        <v>0</v>
      </c>
    </row>
    <row r="78" spans="1:41" ht="15.75" customHeight="1" x14ac:dyDescent="0.25">
      <c r="A78" s="1">
        <v>0</v>
      </c>
      <c r="B78" s="1">
        <v>0</v>
      </c>
      <c r="C78" s="1">
        <v>0</v>
      </c>
      <c r="D78" s="1">
        <v>0</v>
      </c>
      <c r="E78" s="1">
        <v>0</v>
      </c>
      <c r="F78" s="1">
        <v>0</v>
      </c>
      <c r="G78" s="1">
        <v>0</v>
      </c>
      <c r="H78" s="1">
        <v>0</v>
      </c>
      <c r="I78" s="1">
        <v>0</v>
      </c>
      <c r="J78" s="1">
        <v>0</v>
      </c>
      <c r="K78" s="1">
        <v>0</v>
      </c>
      <c r="L78" s="1">
        <v>0</v>
      </c>
      <c r="M78" s="1">
        <v>0</v>
      </c>
      <c r="N78" s="1">
        <v>0</v>
      </c>
      <c r="O78" s="1">
        <v>0</v>
      </c>
      <c r="P78" s="1">
        <v>1.8845609101081354E-10</v>
      </c>
      <c r="Q78" s="1">
        <v>3.1290365452826972E-9</v>
      </c>
      <c r="R78" s="1">
        <v>4.1015241136844586E-8</v>
      </c>
      <c r="S78" s="1">
        <v>4.0568021379914339E-7</v>
      </c>
      <c r="T78" s="1">
        <v>2.7688279723574842E-6</v>
      </c>
      <c r="U78" s="1">
        <v>2.1588531015541564E-5</v>
      </c>
      <c r="V78" s="1">
        <v>1.3696437753092281E-4</v>
      </c>
      <c r="W78" s="1">
        <v>7.0704911385745077E-4</v>
      </c>
      <c r="X78" s="1">
        <v>2.9699487464474256E-3</v>
      </c>
      <c r="Y78" s="1">
        <v>1.0150927943548013E-2</v>
      </c>
      <c r="Z78" s="1">
        <v>2.8230589912495378E-2</v>
      </c>
      <c r="AA78" s="1">
        <v>6.3883923334490555E-2</v>
      </c>
      <c r="AB78" s="1">
        <v>0.11763068453883135</v>
      </c>
      <c r="AC78" s="1">
        <v>0.17624105624197287</v>
      </c>
      <c r="AD78" s="1">
        <v>0.21485772236255804</v>
      </c>
      <c r="AE78" s="1">
        <v>0.21313376966830716</v>
      </c>
      <c r="AF78" s="1">
        <v>0.17203269112135222</v>
      </c>
      <c r="AG78" s="1">
        <v>0</v>
      </c>
      <c r="AH78" s="1">
        <v>0</v>
      </c>
      <c r="AI78" s="1">
        <v>0</v>
      </c>
      <c r="AJ78" s="1">
        <v>0</v>
      </c>
      <c r="AK78" s="1">
        <v>0</v>
      </c>
      <c r="AL78" s="1">
        <v>0</v>
      </c>
      <c r="AM78" s="1">
        <v>0</v>
      </c>
      <c r="AN78" s="1">
        <v>0</v>
      </c>
      <c r="AO78" s="1">
        <v>0</v>
      </c>
    </row>
    <row r="79" spans="1:41" ht="15.75" customHeight="1" x14ac:dyDescent="0.25">
      <c r="A79" s="1">
        <v>0</v>
      </c>
      <c r="B79" s="1">
        <v>0</v>
      </c>
      <c r="C79" s="1">
        <v>0</v>
      </c>
      <c r="D79" s="1">
        <v>0</v>
      </c>
      <c r="E79" s="1">
        <v>0</v>
      </c>
      <c r="F79" s="1">
        <v>0</v>
      </c>
      <c r="G79" s="1">
        <v>0</v>
      </c>
      <c r="H79" s="1">
        <v>0</v>
      </c>
      <c r="I79" s="1">
        <v>0</v>
      </c>
      <c r="J79" s="1">
        <v>0</v>
      </c>
      <c r="K79" s="1">
        <v>0</v>
      </c>
      <c r="L79" s="1">
        <v>0</v>
      </c>
      <c r="M79" s="1">
        <v>0</v>
      </c>
      <c r="N79" s="1">
        <v>0</v>
      </c>
      <c r="O79" s="1">
        <v>0</v>
      </c>
      <c r="P79" s="1">
        <v>0</v>
      </c>
      <c r="Q79" s="1">
        <v>1.8462022218666017E-10</v>
      </c>
      <c r="R79" s="1">
        <v>2.9611461030172454E-9</v>
      </c>
      <c r="S79" s="1">
        <v>3.5556444131159121E-8</v>
      </c>
      <c r="T79" s="1">
        <v>2.8895237854877025E-7</v>
      </c>
      <c r="U79" s="1">
        <v>2.7688279723574842E-6</v>
      </c>
      <c r="V79" s="1">
        <v>2.1588531015541564E-5</v>
      </c>
      <c r="W79" s="1">
        <v>1.3696437753092281E-4</v>
      </c>
      <c r="X79" s="1">
        <v>7.0704911385745077E-4</v>
      </c>
      <c r="Y79" s="1">
        <v>2.9699487464474256E-3</v>
      </c>
      <c r="Z79" s="1">
        <v>1.0150927943548013E-2</v>
      </c>
      <c r="AA79" s="1">
        <v>2.8230589912495378E-2</v>
      </c>
      <c r="AB79" s="1">
        <v>6.3883923334490555E-2</v>
      </c>
      <c r="AC79" s="1">
        <v>0.11763068453883135</v>
      </c>
      <c r="AD79" s="1">
        <v>0.17624105624197287</v>
      </c>
      <c r="AE79" s="1">
        <v>0.21485772236255804</v>
      </c>
      <c r="AF79" s="1">
        <v>0.21313376966830716</v>
      </c>
      <c r="AG79" s="1">
        <v>0.17203269112135222</v>
      </c>
      <c r="AH79" s="1">
        <v>0</v>
      </c>
      <c r="AI79" s="1">
        <v>0</v>
      </c>
      <c r="AJ79" s="1">
        <v>0</v>
      </c>
      <c r="AK79" s="1">
        <v>0</v>
      </c>
      <c r="AL79" s="1">
        <v>0</v>
      </c>
      <c r="AM79" s="1">
        <v>0</v>
      </c>
      <c r="AN79" s="1">
        <v>0</v>
      </c>
      <c r="AO79" s="1">
        <v>0</v>
      </c>
    </row>
    <row r="80" spans="1:41" ht="15.75" customHeight="1" x14ac:dyDescent="0.25">
      <c r="A80" s="1">
        <v>0</v>
      </c>
      <c r="B80" s="1">
        <v>0</v>
      </c>
      <c r="C80" s="1">
        <v>0</v>
      </c>
      <c r="D80" s="1">
        <v>0</v>
      </c>
      <c r="E80" s="1">
        <v>0</v>
      </c>
      <c r="F80" s="1">
        <v>0</v>
      </c>
      <c r="G80" s="1">
        <v>0</v>
      </c>
      <c r="H80" s="1">
        <v>0</v>
      </c>
      <c r="I80" s="1">
        <v>0</v>
      </c>
      <c r="J80" s="1">
        <v>0</v>
      </c>
      <c r="K80" s="1">
        <v>0</v>
      </c>
      <c r="L80" s="1">
        <v>0</v>
      </c>
      <c r="M80" s="1">
        <v>0</v>
      </c>
      <c r="N80" s="1">
        <v>0</v>
      </c>
      <c r="O80" s="1">
        <v>0</v>
      </c>
      <c r="P80" s="1">
        <v>0</v>
      </c>
      <c r="Q80" s="1">
        <v>0</v>
      </c>
      <c r="R80" s="1">
        <v>1.7395295910086342E-10</v>
      </c>
      <c r="S80" s="1">
        <v>2.535772199403849E-9</v>
      </c>
      <c r="T80" s="1">
        <v>2.4536577896099145E-8</v>
      </c>
      <c r="U80" s="1">
        <v>2.8895237854877025E-7</v>
      </c>
      <c r="V80" s="1">
        <v>2.7688279723574842E-6</v>
      </c>
      <c r="W80" s="1">
        <v>2.1588531015541564E-5</v>
      </c>
      <c r="X80" s="1">
        <v>1.3696437753092281E-4</v>
      </c>
      <c r="Y80" s="1">
        <v>7.0704911385745077E-4</v>
      </c>
      <c r="Z80" s="1">
        <v>2.9699487464474256E-3</v>
      </c>
      <c r="AA80" s="1">
        <v>1.0150927943548013E-2</v>
      </c>
      <c r="AB80" s="1">
        <v>2.8230589912495378E-2</v>
      </c>
      <c r="AC80" s="1">
        <v>6.3883923334490555E-2</v>
      </c>
      <c r="AD80" s="1">
        <v>0.11763068453883135</v>
      </c>
      <c r="AE80" s="1">
        <v>0.17624105624197287</v>
      </c>
      <c r="AF80" s="1">
        <v>0.21485772236255804</v>
      </c>
      <c r="AG80" s="1">
        <v>0.21313376966830716</v>
      </c>
      <c r="AH80" s="1">
        <v>0.17203269112135222</v>
      </c>
      <c r="AI80" s="1">
        <v>0</v>
      </c>
      <c r="AJ80" s="1">
        <v>0</v>
      </c>
      <c r="AK80" s="1">
        <v>0</v>
      </c>
      <c r="AL80" s="1">
        <v>0</v>
      </c>
      <c r="AM80" s="1">
        <v>0</v>
      </c>
      <c r="AN80" s="1">
        <v>0</v>
      </c>
      <c r="AO80" s="1">
        <v>0</v>
      </c>
    </row>
    <row r="81" spans="1:41" ht="15.75" customHeight="1" x14ac:dyDescent="0.25">
      <c r="A81" s="1">
        <v>0</v>
      </c>
      <c r="B81" s="1">
        <v>0</v>
      </c>
      <c r="C81" s="1">
        <v>0</v>
      </c>
      <c r="D81" s="1">
        <v>0</v>
      </c>
      <c r="E81" s="1">
        <v>0</v>
      </c>
      <c r="F81" s="1">
        <v>0</v>
      </c>
      <c r="G81" s="1">
        <v>0</v>
      </c>
      <c r="H81" s="1">
        <v>0</v>
      </c>
      <c r="I81" s="1">
        <v>0</v>
      </c>
      <c r="J81" s="1">
        <v>0</v>
      </c>
      <c r="K81" s="1">
        <v>0</v>
      </c>
      <c r="L81" s="1">
        <v>0</v>
      </c>
      <c r="M81" s="1">
        <v>0</v>
      </c>
      <c r="N81" s="1">
        <v>0</v>
      </c>
      <c r="O81" s="1">
        <v>0</v>
      </c>
      <c r="P81" s="1">
        <v>0</v>
      </c>
      <c r="Q81" s="1">
        <v>0</v>
      </c>
      <c r="R81" s="1">
        <v>0</v>
      </c>
      <c r="S81" s="1">
        <v>1.4714976341560116E-10</v>
      </c>
      <c r="T81" s="1">
        <v>1.6953490524096953E-9</v>
      </c>
      <c r="U81" s="1">
        <v>2.4536577896099145E-8</v>
      </c>
      <c r="V81" s="1">
        <v>2.8895237854877025E-7</v>
      </c>
      <c r="W81" s="1">
        <v>2.7688279723574842E-6</v>
      </c>
      <c r="X81" s="1">
        <v>2.1588531015541564E-5</v>
      </c>
      <c r="Y81" s="1">
        <v>1.3696437753092281E-4</v>
      </c>
      <c r="Z81" s="1">
        <v>7.0704911385745077E-4</v>
      </c>
      <c r="AA81" s="1">
        <v>2.9699487464474256E-3</v>
      </c>
      <c r="AB81" s="1">
        <v>1.0150927943548013E-2</v>
      </c>
      <c r="AC81" s="1">
        <v>2.8230589912495378E-2</v>
      </c>
      <c r="AD81" s="1">
        <v>6.3883923334490555E-2</v>
      </c>
      <c r="AE81" s="1">
        <v>0.11763068453883135</v>
      </c>
      <c r="AF81" s="1">
        <v>0.17624105624197287</v>
      </c>
      <c r="AG81" s="1">
        <v>0.21485772236255804</v>
      </c>
      <c r="AH81" s="1">
        <v>0.21313376966830716</v>
      </c>
      <c r="AI81" s="1">
        <v>0.17203269112135222</v>
      </c>
      <c r="AJ81" s="1">
        <v>0</v>
      </c>
      <c r="AK81" s="1">
        <v>0</v>
      </c>
      <c r="AL81" s="1">
        <v>0</v>
      </c>
      <c r="AM81" s="1">
        <v>0</v>
      </c>
      <c r="AN81" s="1">
        <v>0</v>
      </c>
      <c r="AO81" s="1">
        <v>0</v>
      </c>
    </row>
    <row r="82" spans="1:41" ht="15.75" customHeight="1" x14ac:dyDescent="0.25">
      <c r="A82" s="1">
        <v>0</v>
      </c>
      <c r="B82" s="1">
        <v>0</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9.5315094328274586E-11</v>
      </c>
      <c r="U82" s="1">
        <v>1.6953490524096953E-9</v>
      </c>
      <c r="V82" s="1">
        <v>2.4536577896099145E-8</v>
      </c>
      <c r="W82" s="1">
        <v>2.8895237854877025E-7</v>
      </c>
      <c r="X82" s="1">
        <v>2.7688279723574842E-6</v>
      </c>
      <c r="Y82" s="1">
        <v>2.1588531015541564E-5</v>
      </c>
      <c r="Z82" s="1">
        <v>1.3696437753092281E-4</v>
      </c>
      <c r="AA82" s="1">
        <v>7.0704911385745077E-4</v>
      </c>
      <c r="AB82" s="1">
        <v>2.9699487464474256E-3</v>
      </c>
      <c r="AC82" s="1">
        <v>1.0150927943548013E-2</v>
      </c>
      <c r="AD82" s="1">
        <v>2.8230589912495378E-2</v>
      </c>
      <c r="AE82" s="1">
        <v>6.3883923334490555E-2</v>
      </c>
      <c r="AF82" s="1">
        <v>0.11763068453883135</v>
      </c>
      <c r="AG82" s="1">
        <v>0.17624105624197287</v>
      </c>
      <c r="AH82" s="1">
        <v>0.21485772236255804</v>
      </c>
      <c r="AI82" s="1">
        <v>0.21313376966830716</v>
      </c>
      <c r="AJ82" s="1">
        <v>0.17203269112135222</v>
      </c>
      <c r="AK82" s="1">
        <v>0</v>
      </c>
      <c r="AL82" s="1">
        <v>0</v>
      </c>
      <c r="AM82" s="1">
        <v>0</v>
      </c>
      <c r="AN82" s="1">
        <v>0</v>
      </c>
      <c r="AO82" s="1">
        <v>0</v>
      </c>
    </row>
    <row r="83" spans="1:41" ht="15.75" customHeight="1" x14ac:dyDescent="0.25">
      <c r="A83" s="1">
        <v>0</v>
      </c>
      <c r="B83" s="1">
        <v>0</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9.5315094328274586E-11</v>
      </c>
      <c r="V83" s="1">
        <v>1.6953490524096953E-9</v>
      </c>
      <c r="W83" s="1">
        <v>2.4536577896099145E-8</v>
      </c>
      <c r="X83" s="1">
        <v>2.8895237854877025E-7</v>
      </c>
      <c r="Y83" s="1">
        <v>2.7688279723574842E-6</v>
      </c>
      <c r="Z83" s="1">
        <v>2.1588531015541564E-5</v>
      </c>
      <c r="AA83" s="1">
        <v>1.3696437753092281E-4</v>
      </c>
      <c r="AB83" s="1">
        <v>7.0704911385745077E-4</v>
      </c>
      <c r="AC83" s="1">
        <v>2.9699487464474256E-3</v>
      </c>
      <c r="AD83" s="1">
        <v>1.0150927943548013E-2</v>
      </c>
      <c r="AE83" s="1">
        <v>2.8230589912495378E-2</v>
      </c>
      <c r="AF83" s="1">
        <v>6.3883923334490555E-2</v>
      </c>
      <c r="AG83" s="1">
        <v>0.11763068453883135</v>
      </c>
      <c r="AH83" s="1">
        <v>0.17624105624197287</v>
      </c>
      <c r="AI83" s="1">
        <v>0.21485772236255804</v>
      </c>
      <c r="AJ83" s="1">
        <v>0.21313376966830716</v>
      </c>
      <c r="AK83" s="1">
        <v>0.17203269112135222</v>
      </c>
      <c r="AL83" s="1">
        <v>0</v>
      </c>
      <c r="AM83" s="1">
        <v>0</v>
      </c>
      <c r="AN83" s="1">
        <v>0</v>
      </c>
      <c r="AO83" s="1">
        <v>0</v>
      </c>
    </row>
    <row r="84" spans="1:41" ht="15.75" customHeight="1" x14ac:dyDescent="0.25">
      <c r="A84" s="1">
        <v>0</v>
      </c>
      <c r="B84" s="1">
        <v>0</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9.5315094328274586E-11</v>
      </c>
      <c r="W84" s="1">
        <v>1.6953490524096953E-9</v>
      </c>
      <c r="X84" s="1">
        <v>2.4536577896099145E-8</v>
      </c>
      <c r="Y84" s="1">
        <v>2.8895237854877025E-7</v>
      </c>
      <c r="Z84" s="1">
        <v>2.7688279723574842E-6</v>
      </c>
      <c r="AA84" s="1">
        <v>2.1588531015541564E-5</v>
      </c>
      <c r="AB84" s="1">
        <v>1.3696437753092281E-4</v>
      </c>
      <c r="AC84" s="1">
        <v>7.0704911385745077E-4</v>
      </c>
      <c r="AD84" s="1">
        <v>2.9699487464474256E-3</v>
      </c>
      <c r="AE84" s="1">
        <v>1.0150927943548013E-2</v>
      </c>
      <c r="AF84" s="1">
        <v>2.8230589912495378E-2</v>
      </c>
      <c r="AG84" s="1">
        <v>6.3883923334490555E-2</v>
      </c>
      <c r="AH84" s="1">
        <v>0.11763068453883135</v>
      </c>
      <c r="AI84" s="1">
        <v>0.17624105624197287</v>
      </c>
      <c r="AJ84" s="1">
        <v>0.21485772236255804</v>
      </c>
      <c r="AK84" s="1">
        <v>0.21313376966830716</v>
      </c>
      <c r="AL84" s="1">
        <v>0.17203269112135222</v>
      </c>
      <c r="AM84" s="1">
        <v>0</v>
      </c>
      <c r="AN84" s="1">
        <v>0</v>
      </c>
      <c r="AO84" s="1">
        <v>0</v>
      </c>
    </row>
    <row r="85" spans="1:41" ht="15.75" customHeight="1" x14ac:dyDescent="0.25">
      <c r="A85" s="1">
        <v>0</v>
      </c>
      <c r="B85" s="1">
        <v>0</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9.5315094328274586E-11</v>
      </c>
      <c r="X85" s="1">
        <v>1.6953490524096953E-9</v>
      </c>
      <c r="Y85" s="1">
        <v>2.4536577896099145E-8</v>
      </c>
      <c r="Z85" s="1">
        <v>2.8895237854877025E-7</v>
      </c>
      <c r="AA85" s="1">
        <v>2.7688279723574842E-6</v>
      </c>
      <c r="AB85" s="1">
        <v>2.1588531015541564E-5</v>
      </c>
      <c r="AC85" s="1">
        <v>1.3696437753092281E-4</v>
      </c>
      <c r="AD85" s="1">
        <v>7.0704911385745077E-4</v>
      </c>
      <c r="AE85" s="1">
        <v>2.9699487464474256E-3</v>
      </c>
      <c r="AF85" s="1">
        <v>1.0150927943548013E-2</v>
      </c>
      <c r="AG85" s="1">
        <v>2.8230589912495378E-2</v>
      </c>
      <c r="AH85" s="1">
        <v>6.3883923334490555E-2</v>
      </c>
      <c r="AI85" s="1">
        <v>0.11763068453883135</v>
      </c>
      <c r="AJ85" s="1">
        <v>0.17624105624197287</v>
      </c>
      <c r="AK85" s="1">
        <v>0.21485772236255804</v>
      </c>
      <c r="AL85" s="1">
        <v>0.21313376966830716</v>
      </c>
      <c r="AM85" s="1">
        <v>0.17203269112135222</v>
      </c>
      <c r="AN85" s="1">
        <v>0</v>
      </c>
      <c r="AO85" s="1">
        <v>0</v>
      </c>
    </row>
    <row r="86" spans="1:41" ht="15.75" customHeight="1" x14ac:dyDescent="0.25">
      <c r="A86" s="1">
        <v>0</v>
      </c>
      <c r="B86" s="1">
        <v>0</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9.5315094328274586E-11</v>
      </c>
      <c r="Y86" s="1">
        <v>1.6953490524096953E-9</v>
      </c>
      <c r="Z86" s="1">
        <v>2.4536577896099145E-8</v>
      </c>
      <c r="AA86" s="1">
        <v>2.8895237854877025E-7</v>
      </c>
      <c r="AB86" s="1">
        <v>2.7688279723574842E-6</v>
      </c>
      <c r="AC86" s="1">
        <v>2.1588531015541564E-5</v>
      </c>
      <c r="AD86" s="1">
        <v>1.3696437753092281E-4</v>
      </c>
      <c r="AE86" s="1">
        <v>7.0704911385745077E-4</v>
      </c>
      <c r="AF86" s="1">
        <v>2.9699487464474256E-3</v>
      </c>
      <c r="AG86" s="1">
        <v>1.0150927943548013E-2</v>
      </c>
      <c r="AH86" s="1">
        <v>2.8230589912495378E-2</v>
      </c>
      <c r="AI86" s="1">
        <v>6.3883923334490555E-2</v>
      </c>
      <c r="AJ86" s="1">
        <v>0.11763068453883135</v>
      </c>
      <c r="AK86" s="1">
        <v>0.17624105624197287</v>
      </c>
      <c r="AL86" s="1">
        <v>0.21485772236255804</v>
      </c>
      <c r="AM86" s="1">
        <v>0.21313376966830716</v>
      </c>
      <c r="AN86" s="1">
        <v>0.17203269112135222</v>
      </c>
      <c r="AO86" s="1">
        <v>0</v>
      </c>
    </row>
    <row r="87" spans="1:41" ht="15.75" customHeight="1" x14ac:dyDescent="0.25">
      <c r="A87" s="1">
        <v>0</v>
      </c>
      <c r="B87" s="1">
        <v>0</v>
      </c>
      <c r="C87" s="1">
        <v>0</v>
      </c>
      <c r="D87" s="1">
        <v>0</v>
      </c>
      <c r="E87" s="1">
        <v>0</v>
      </c>
      <c r="F87" s="1">
        <v>0</v>
      </c>
      <c r="G87" s="1">
        <v>0</v>
      </c>
      <c r="H87" s="1">
        <v>0</v>
      </c>
      <c r="I87" s="1">
        <v>0</v>
      </c>
      <c r="J87" s="1">
        <v>0</v>
      </c>
      <c r="K87" s="1">
        <v>0</v>
      </c>
      <c r="L87" s="1">
        <v>0</v>
      </c>
      <c r="M87" s="1">
        <v>0</v>
      </c>
      <c r="N87" s="1">
        <v>0</v>
      </c>
      <c r="O87" s="1">
        <v>0</v>
      </c>
      <c r="P87" s="1">
        <v>0</v>
      </c>
      <c r="Q87" s="1">
        <v>0</v>
      </c>
      <c r="R87" s="1">
        <v>0</v>
      </c>
      <c r="S87" s="1">
        <v>0</v>
      </c>
      <c r="T87" s="1">
        <v>0</v>
      </c>
      <c r="U87" s="1">
        <v>0</v>
      </c>
      <c r="V87" s="1">
        <v>0</v>
      </c>
      <c r="W87" s="1">
        <v>0</v>
      </c>
      <c r="X87" s="1">
        <v>0</v>
      </c>
      <c r="Y87" s="1">
        <v>9.5315311199328789E-11</v>
      </c>
      <c r="Z87" s="1">
        <v>1.7906643945408973E-9</v>
      </c>
      <c r="AA87" s="1">
        <v>2.6327242275137053E-8</v>
      </c>
      <c r="AB87" s="1">
        <v>3.1527962085498018E-7</v>
      </c>
      <c r="AC87" s="1">
        <v>3.0841075931986595E-6</v>
      </c>
      <c r="AD87" s="1">
        <v>2.4672638608724817E-5</v>
      </c>
      <c r="AE87" s="1">
        <v>1.6163701613969295E-4</v>
      </c>
      <c r="AF87" s="1">
        <v>8.6868612999713157E-4</v>
      </c>
      <c r="AG87" s="1">
        <v>3.8386348764445355E-3</v>
      </c>
      <c r="AH87" s="1">
        <v>1.3989562819992529E-2</v>
      </c>
      <c r="AI87" s="1">
        <v>4.2220152732487914E-2</v>
      </c>
      <c r="AJ87" s="1">
        <v>0.10610407606697847</v>
      </c>
      <c r="AK87" s="1">
        <v>0.22373476060580977</v>
      </c>
      <c r="AL87" s="1">
        <v>0.39997581684778261</v>
      </c>
      <c r="AM87" s="1">
        <v>0.61483353921034056</v>
      </c>
      <c r="AN87" s="1">
        <v>0.82796730887864778</v>
      </c>
      <c r="AO87" s="1">
        <v>1</v>
      </c>
    </row>
    <row r="88" spans="1:41" ht="15.75" customHeight="1" x14ac:dyDescent="0.25"/>
    <row r="89" spans="1:41" ht="15.75" customHeight="1" x14ac:dyDescent="0.25"/>
    <row r="90" spans="1:41" ht="15.75" customHeight="1" x14ac:dyDescent="0.25"/>
    <row r="91" spans="1:41" ht="15.75" customHeight="1" x14ac:dyDescent="0.25"/>
    <row r="92" spans="1:41" ht="15.75" customHeight="1" x14ac:dyDescent="0.25"/>
    <row r="93" spans="1:41" ht="15.75" customHeight="1" x14ac:dyDescent="0.25"/>
    <row r="94" spans="1:41" ht="15.75" customHeight="1" x14ac:dyDescent="0.25"/>
    <row r="95" spans="1:41" ht="15.75" customHeight="1" x14ac:dyDescent="0.25"/>
    <row r="96" spans="1:41"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Q1000"/>
  <sheetViews>
    <sheetView workbookViewId="0">
      <selection sqref="A1:U1"/>
    </sheetView>
  </sheetViews>
  <sheetFormatPr defaultColWidth="14.42578125" defaultRowHeight="15" customHeight="1" x14ac:dyDescent="0.25"/>
  <cols>
    <col min="1" max="1" width="15" customWidth="1"/>
    <col min="2" max="5" width="11.42578125" customWidth="1"/>
    <col min="6" max="6" width="33.5703125" customWidth="1"/>
    <col min="7" max="7" width="11.42578125" customWidth="1"/>
    <col min="8" max="8" width="12.140625" customWidth="1"/>
    <col min="9" max="43" width="11.42578125" customWidth="1"/>
  </cols>
  <sheetData>
    <row r="1" spans="1:43" ht="30" customHeight="1" x14ac:dyDescent="0.25">
      <c r="A1" s="9" t="s">
        <v>146</v>
      </c>
      <c r="B1" s="10"/>
      <c r="C1" s="10"/>
      <c r="D1" s="10"/>
      <c r="E1" s="10"/>
      <c r="F1" s="10"/>
      <c r="G1" s="10"/>
      <c r="H1" s="10"/>
      <c r="I1" s="10"/>
      <c r="J1" s="10"/>
      <c r="K1" s="10"/>
      <c r="L1" s="10"/>
      <c r="M1" s="10"/>
      <c r="N1" s="10"/>
      <c r="O1" s="10"/>
      <c r="P1" s="10"/>
      <c r="Q1" s="10"/>
      <c r="R1" s="10"/>
      <c r="S1" s="10"/>
      <c r="T1" s="10"/>
      <c r="U1" s="11"/>
      <c r="V1" s="3" t="e">
        <f>1+(MAX(area!C3:C28)-1)+MAX(#REF!)*(dynamics!B9+3)</f>
        <v>#REF!</v>
      </c>
      <c r="W1" s="4">
        <f>COUNT(A3:A35)</f>
        <v>5</v>
      </c>
      <c r="X1" s="1" t="s">
        <v>147</v>
      </c>
    </row>
    <row r="2" spans="1:43" x14ac:dyDescent="0.25">
      <c r="A2" s="1" t="s">
        <v>148</v>
      </c>
      <c r="B2" s="1" t="s">
        <v>74</v>
      </c>
      <c r="C2" s="1" t="s">
        <v>125</v>
      </c>
      <c r="D2" s="1" t="s">
        <v>126</v>
      </c>
      <c r="E2" s="1" t="s">
        <v>127</v>
      </c>
      <c r="F2" s="1" t="s">
        <v>67</v>
      </c>
      <c r="H2" s="1" t="s">
        <v>149</v>
      </c>
      <c r="I2" s="1" t="s">
        <v>150</v>
      </c>
      <c r="J2" s="1" t="s">
        <v>151</v>
      </c>
      <c r="K2" s="1" t="s">
        <v>152</v>
      </c>
      <c r="L2" s="1" t="s">
        <v>153</v>
      </c>
      <c r="M2" s="1" t="s">
        <v>154</v>
      </c>
      <c r="N2" s="1" t="s">
        <v>155</v>
      </c>
      <c r="O2" s="1" t="s">
        <v>156</v>
      </c>
      <c r="P2" s="1" t="s">
        <v>157</v>
      </c>
      <c r="Q2" s="1" t="s">
        <v>158</v>
      </c>
      <c r="R2" s="1" t="s">
        <v>159</v>
      </c>
      <c r="S2" s="1" t="s">
        <v>160</v>
      </c>
      <c r="T2" s="1" t="s">
        <v>161</v>
      </c>
      <c r="U2" s="1" t="s">
        <v>162</v>
      </c>
      <c r="V2" s="1" t="s">
        <v>163</v>
      </c>
      <c r="W2" s="1" t="s">
        <v>164</v>
      </c>
      <c r="X2" s="1" t="s">
        <v>165</v>
      </c>
      <c r="Y2" s="1" t="s">
        <v>166</v>
      </c>
      <c r="Z2" s="1" t="s">
        <v>167</v>
      </c>
      <c r="AA2" s="1" t="s">
        <v>168</v>
      </c>
      <c r="AB2" s="1" t="s">
        <v>169</v>
      </c>
      <c r="AC2" s="1" t="s">
        <v>170</v>
      </c>
      <c r="AD2" s="1" t="s">
        <v>171</v>
      </c>
      <c r="AE2" s="1" t="s">
        <v>172</v>
      </c>
      <c r="AF2" s="1" t="s">
        <v>173</v>
      </c>
      <c r="AG2" s="1" t="s">
        <v>174</v>
      </c>
      <c r="AH2" s="1" t="s">
        <v>175</v>
      </c>
      <c r="AI2" s="1" t="s">
        <v>176</v>
      </c>
      <c r="AJ2" s="1" t="s">
        <v>177</v>
      </c>
      <c r="AK2" s="1" t="s">
        <v>178</v>
      </c>
      <c r="AL2" s="1" t="s">
        <v>179</v>
      </c>
      <c r="AM2" s="1" t="s">
        <v>180</v>
      </c>
      <c r="AN2" s="1" t="s">
        <v>181</v>
      </c>
      <c r="AO2" s="1" t="s">
        <v>182</v>
      </c>
      <c r="AP2" s="1" t="s">
        <v>183</v>
      </c>
      <c r="AQ2" s="1" t="s">
        <v>184</v>
      </c>
    </row>
    <row r="3" spans="1:43" x14ac:dyDescent="0.25">
      <c r="A3" s="1">
        <v>1</v>
      </c>
      <c r="B3" s="1">
        <v>-1</v>
      </c>
      <c r="C3" s="1">
        <v>1</v>
      </c>
      <c r="D3" s="1">
        <v>0</v>
      </c>
      <c r="E3" s="1">
        <v>-2</v>
      </c>
      <c r="F3" s="1" t="s">
        <v>185</v>
      </c>
    </row>
    <row r="4" spans="1:43" x14ac:dyDescent="0.25">
      <c r="A4" s="1">
        <v>1</v>
      </c>
      <c r="B4" s="1">
        <v>30</v>
      </c>
      <c r="C4" s="1">
        <v>70</v>
      </c>
      <c r="D4" s="1">
        <v>60</v>
      </c>
      <c r="E4" s="1">
        <v>3</v>
      </c>
      <c r="F4" s="1" t="s">
        <v>186</v>
      </c>
      <c r="H4" s="1">
        <v>1.1985823336539199E-3</v>
      </c>
      <c r="I4" s="1">
        <v>2.9955482619746301E-3</v>
      </c>
      <c r="J4" s="1">
        <v>8.4808117793318E-3</v>
      </c>
      <c r="K4" s="1">
        <v>2.0501756353299601E-2</v>
      </c>
      <c r="L4" s="1">
        <v>4.2320374559578697E-2</v>
      </c>
      <c r="M4" s="1">
        <v>7.4597280277718406E-2</v>
      </c>
      <c r="N4" s="1">
        <v>0.112284472094438</v>
      </c>
      <c r="O4" s="1">
        <v>0.14432633580026699</v>
      </c>
      <c r="P4" s="1">
        <v>0.15841793087765099</v>
      </c>
      <c r="Q4" s="1">
        <v>0.14849004173396299</v>
      </c>
      <c r="R4" s="1">
        <v>0.118856683579757</v>
      </c>
      <c r="S4" s="1">
        <v>8.1241867441214602E-2</v>
      </c>
      <c r="T4" s="1">
        <v>4.7419900907974398E-2</v>
      </c>
      <c r="U4" s="1">
        <v>2.3635134136526001E-2</v>
      </c>
      <c r="V4" s="1">
        <v>1.00591733358729E-2</v>
      </c>
      <c r="W4" s="1">
        <v>3.65562298871958E-3</v>
      </c>
      <c r="X4" s="1">
        <v>1.1343357384749899E-3</v>
      </c>
      <c r="Y4" s="1">
        <v>3.0052972348915098E-4</v>
      </c>
      <c r="Z4" s="5">
        <v>6.7980097010256202E-5</v>
      </c>
      <c r="AA4" s="5">
        <v>1.3128230712311499E-5</v>
      </c>
      <c r="AB4" s="5">
        <v>2.1644174259538599E-6</v>
      </c>
      <c r="AC4" s="5">
        <v>3.0462500133499001E-7</v>
      </c>
      <c r="AD4" s="5">
        <v>3.6598072794546998E-8</v>
      </c>
      <c r="AE4" s="5">
        <v>3.7531577845584302E-9</v>
      </c>
      <c r="AF4" s="5">
        <v>3.2851754649953999E-10</v>
      </c>
      <c r="AG4" s="5">
        <v>2.4542701204666199E-11</v>
      </c>
      <c r="AH4" s="5">
        <v>1.5647483309067001E-12</v>
      </c>
      <c r="AI4" s="5">
        <v>8.5154105988749494E-14</v>
      </c>
      <c r="AJ4" s="5">
        <v>3.9968028886505604E-15</v>
      </c>
      <c r="AK4" s="5">
        <v>1.11022302462516E-16</v>
      </c>
      <c r="AL4" s="1">
        <v>0</v>
      </c>
      <c r="AM4" s="1">
        <v>0</v>
      </c>
      <c r="AN4" s="1">
        <v>0</v>
      </c>
      <c r="AO4" s="1">
        <v>0</v>
      </c>
      <c r="AP4" s="1">
        <v>0</v>
      </c>
      <c r="AQ4" s="1">
        <v>0</v>
      </c>
    </row>
    <row r="5" spans="1:43" x14ac:dyDescent="0.25">
      <c r="A5" s="1">
        <v>1</v>
      </c>
      <c r="B5" s="1">
        <v>0.5</v>
      </c>
      <c r="C5" s="1">
        <v>10</v>
      </c>
      <c r="D5" s="1">
        <v>0.50800000000000001</v>
      </c>
      <c r="E5" s="1">
        <v>3</v>
      </c>
      <c r="F5" s="1" t="s">
        <v>187</v>
      </c>
    </row>
    <row r="6" spans="1:43" x14ac:dyDescent="0.25">
      <c r="A6" s="1">
        <v>1</v>
      </c>
      <c r="B6" s="1">
        <v>30</v>
      </c>
      <c r="C6" s="1">
        <v>70</v>
      </c>
      <c r="D6" s="1">
        <v>60</v>
      </c>
      <c r="E6" s="1">
        <v>3</v>
      </c>
      <c r="F6" s="1" t="s">
        <v>188</v>
      </c>
      <c r="H6" s="1">
        <v>1.1985823336539199E-3</v>
      </c>
      <c r="I6" s="1">
        <v>2.9955482619746301E-3</v>
      </c>
      <c r="J6" s="1">
        <v>8.4808117793318E-3</v>
      </c>
      <c r="K6" s="1">
        <v>2.0501756353299601E-2</v>
      </c>
      <c r="L6" s="1">
        <v>4.2320374559578697E-2</v>
      </c>
      <c r="M6" s="1">
        <v>7.4597280277718406E-2</v>
      </c>
      <c r="N6" s="1">
        <v>0.112284472094438</v>
      </c>
      <c r="O6" s="1">
        <v>0.14432633580026699</v>
      </c>
      <c r="P6" s="1">
        <v>0.15841793087765099</v>
      </c>
      <c r="Q6" s="1">
        <v>0.14849004173396299</v>
      </c>
      <c r="R6" s="1">
        <v>0.118856683579757</v>
      </c>
      <c r="S6" s="1">
        <v>8.1241867441214602E-2</v>
      </c>
      <c r="T6" s="1">
        <v>4.7419900907974398E-2</v>
      </c>
      <c r="U6" s="1">
        <v>2.3635134136526001E-2</v>
      </c>
      <c r="V6" s="1">
        <v>1.00591733358729E-2</v>
      </c>
      <c r="W6" s="1">
        <v>3.65562298871958E-3</v>
      </c>
      <c r="X6" s="1">
        <v>1.1343357384749899E-3</v>
      </c>
      <c r="Y6" s="1">
        <v>3.0052972348915098E-4</v>
      </c>
      <c r="Z6" s="5">
        <v>6.7980097010256202E-5</v>
      </c>
      <c r="AA6" s="5">
        <v>1.3128230712311499E-5</v>
      </c>
      <c r="AB6" s="5">
        <v>2.1644174259538599E-6</v>
      </c>
      <c r="AC6" s="5">
        <v>3.0462500133499001E-7</v>
      </c>
      <c r="AD6" s="5">
        <v>3.6598072794546998E-8</v>
      </c>
      <c r="AE6" s="5">
        <v>3.7531577845584302E-9</v>
      </c>
      <c r="AF6" s="5">
        <v>3.2851754649953999E-10</v>
      </c>
      <c r="AG6" s="5">
        <v>2.4542701204666199E-11</v>
      </c>
      <c r="AH6" s="5">
        <v>1.5647483309067001E-12</v>
      </c>
      <c r="AI6" s="5">
        <v>8.5154105988749494E-14</v>
      </c>
      <c r="AJ6" s="5">
        <v>3.9968028886505604E-15</v>
      </c>
      <c r="AK6" s="5">
        <v>1.11022302462516E-16</v>
      </c>
      <c r="AL6" s="1">
        <v>0</v>
      </c>
      <c r="AM6" s="1">
        <v>0</v>
      </c>
      <c r="AN6" s="1">
        <v>0</v>
      </c>
      <c r="AO6" s="1">
        <v>0</v>
      </c>
      <c r="AP6" s="1">
        <v>0</v>
      </c>
      <c r="AQ6" s="1">
        <v>0</v>
      </c>
    </row>
    <row r="7" spans="1:43" x14ac:dyDescent="0.25">
      <c r="A7" s="1">
        <v>1</v>
      </c>
      <c r="B7" s="1">
        <v>0.5</v>
      </c>
      <c r="C7" s="1">
        <v>10</v>
      </c>
      <c r="D7" s="1">
        <v>0.50800000000000001</v>
      </c>
      <c r="E7" s="1">
        <v>3</v>
      </c>
      <c r="F7" s="1" t="s">
        <v>189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9" t="s">
        <v>141</v>
      </c>
      <c r="B1" s="10"/>
      <c r="C1" s="10"/>
      <c r="D1" s="10"/>
      <c r="E1" s="10"/>
      <c r="F1" s="10"/>
      <c r="G1" s="10"/>
      <c r="H1" s="10"/>
      <c r="I1" s="10"/>
      <c r="J1" s="10"/>
      <c r="K1" s="10"/>
      <c r="L1" s="10"/>
      <c r="M1" s="10"/>
      <c r="N1" s="10"/>
      <c r="O1" s="10"/>
      <c r="P1" s="10"/>
      <c r="Q1" s="10"/>
      <c r="R1" s="10"/>
      <c r="S1" s="10"/>
      <c r="T1" s="10"/>
      <c r="U1" s="11"/>
    </row>
    <row r="2" spans="1:21" x14ac:dyDescent="0.25">
      <c r="A2" s="1" t="s">
        <v>132</v>
      </c>
      <c r="B2" s="1" t="s">
        <v>106</v>
      </c>
      <c r="C2" s="1" t="s">
        <v>142</v>
      </c>
      <c r="D2" s="1" t="s">
        <v>143</v>
      </c>
      <c r="E2" s="1" t="s">
        <v>144</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11" spans="1:21" x14ac:dyDescent="0.25">
      <c r="A11" s="1"/>
      <c r="B11" s="1"/>
      <c r="C11" s="1"/>
      <c r="D11" s="1"/>
      <c r="E11" s="1"/>
    </row>
    <row r="12" spans="1:21" x14ac:dyDescent="0.25">
      <c r="A12" s="1"/>
      <c r="B12" s="1"/>
      <c r="C12" s="1"/>
      <c r="D12" s="1"/>
      <c r="E12" s="1"/>
    </row>
    <row r="13" spans="1:21" x14ac:dyDescent="0.25">
      <c r="A13" s="1"/>
      <c r="B13" s="1"/>
      <c r="C13" s="1"/>
      <c r="D13" s="1"/>
      <c r="E13" s="1"/>
    </row>
    <row r="14" spans="1:21" x14ac:dyDescent="0.25">
      <c r="A14" s="1"/>
      <c r="B14" s="1"/>
      <c r="C14" s="1"/>
      <c r="D14" s="1"/>
      <c r="E14" s="1"/>
    </row>
    <row r="15" spans="1:21" x14ac:dyDescent="0.25">
      <c r="A15" s="1"/>
      <c r="B15" s="1"/>
      <c r="C15" s="1"/>
      <c r="D15" s="1"/>
      <c r="E15" s="1"/>
    </row>
    <row r="16" spans="1:21" x14ac:dyDescent="0.25">
      <c r="A16" s="1"/>
      <c r="B16" s="1"/>
      <c r="C16" s="1"/>
      <c r="D16" s="1"/>
      <c r="E16" s="1"/>
    </row>
    <row r="17" spans="1:5" x14ac:dyDescent="0.25">
      <c r="A17" s="1"/>
      <c r="B17" s="1"/>
      <c r="C17" s="1"/>
      <c r="D17" s="1"/>
      <c r="E17" s="1"/>
    </row>
    <row r="18" spans="1:5" x14ac:dyDescent="0.25">
      <c r="A18" s="1"/>
      <c r="B18" s="1"/>
      <c r="C18" s="1"/>
      <c r="D18" s="1"/>
      <c r="E18" s="1"/>
    </row>
    <row r="19" spans="1:5" x14ac:dyDescent="0.25">
      <c r="A19" s="1"/>
      <c r="B19" s="1"/>
      <c r="C19" s="1"/>
      <c r="D19" s="1"/>
      <c r="E19" s="1"/>
    </row>
    <row r="20" spans="1:5" x14ac:dyDescent="0.25">
      <c r="A20" s="1"/>
      <c r="B20" s="1"/>
      <c r="C20" s="1"/>
      <c r="D20" s="1"/>
      <c r="E20" s="1"/>
    </row>
    <row r="21" spans="1:5" ht="15.75" customHeight="1" x14ac:dyDescent="0.25">
      <c r="A21" s="1"/>
      <c r="B21" s="1"/>
      <c r="C21" s="1"/>
      <c r="D21" s="1"/>
      <c r="E21" s="1"/>
    </row>
    <row r="22" spans="1:5" ht="15.75" customHeight="1" x14ac:dyDescent="0.25">
      <c r="A22" s="1"/>
      <c r="B22" s="1"/>
      <c r="C22" s="1"/>
      <c r="D22" s="1"/>
      <c r="E22" s="1"/>
    </row>
    <row r="23" spans="1:5" ht="15.75" customHeight="1" x14ac:dyDescent="0.25">
      <c r="A23" s="1"/>
      <c r="B23" s="1"/>
      <c r="C23" s="1"/>
      <c r="D23" s="1"/>
      <c r="E23" s="1"/>
    </row>
    <row r="24" spans="1:5" ht="15.75" customHeight="1" x14ac:dyDescent="0.25">
      <c r="A24" s="1"/>
      <c r="B24" s="1"/>
      <c r="C24" s="1"/>
      <c r="D24" s="1"/>
      <c r="E24" s="1"/>
    </row>
    <row r="25" spans="1:5" ht="15.75" customHeight="1" x14ac:dyDescent="0.25">
      <c r="A25" s="1"/>
      <c r="B25" s="1"/>
      <c r="C25" s="1"/>
      <c r="D25" s="1"/>
      <c r="E25" s="1"/>
    </row>
    <row r="26" spans="1:5" ht="15.75" customHeight="1" x14ac:dyDescent="0.25">
      <c r="A26" s="1"/>
      <c r="B26" s="1"/>
      <c r="C26" s="1"/>
      <c r="D26" s="1"/>
      <c r="E26" s="1"/>
    </row>
    <row r="27" spans="1:5" ht="15.75" customHeight="1" x14ac:dyDescent="0.25">
      <c r="A27" s="1"/>
      <c r="B27" s="1"/>
      <c r="C27" s="1"/>
      <c r="D27" s="1"/>
      <c r="E27" s="1"/>
    </row>
    <row r="28" spans="1:5" ht="15.75" customHeight="1" x14ac:dyDescent="0.25">
      <c r="A28" s="1"/>
      <c r="B28" s="1"/>
      <c r="C28" s="1"/>
      <c r="D28" s="1"/>
      <c r="E28" s="1"/>
    </row>
    <row r="29" spans="1:5" ht="15.75" customHeight="1" x14ac:dyDescent="0.25">
      <c r="A29" s="1"/>
      <c r="B29" s="1"/>
      <c r="C29" s="1"/>
      <c r="D29" s="1"/>
      <c r="E29" s="1"/>
    </row>
    <row r="30" spans="1:5" ht="15.75" customHeight="1" x14ac:dyDescent="0.25">
      <c r="A30" s="1"/>
      <c r="B30" s="1"/>
      <c r="C30" s="1"/>
      <c r="D30" s="1"/>
      <c r="E30" s="1"/>
    </row>
    <row r="31" spans="1:5" ht="15.75" customHeight="1" x14ac:dyDescent="0.25">
      <c r="A31" s="1"/>
      <c r="B31" s="1"/>
      <c r="C31" s="1"/>
      <c r="D31" s="1"/>
      <c r="E31" s="1"/>
    </row>
    <row r="32" spans="1:5" ht="15.75" customHeight="1" x14ac:dyDescent="0.25">
      <c r="A32" s="1"/>
      <c r="B32" s="1"/>
      <c r="C32" s="1"/>
      <c r="D32" s="1"/>
      <c r="E32" s="1"/>
    </row>
    <row r="33" spans="1:5" ht="15.75" customHeight="1" x14ac:dyDescent="0.25">
      <c r="A33" s="1"/>
      <c r="B33" s="1"/>
      <c r="C33" s="1"/>
      <c r="D33" s="1"/>
      <c r="E33" s="1"/>
    </row>
    <row r="34" spans="1:5" ht="15.75" customHeight="1" x14ac:dyDescent="0.25">
      <c r="A34" s="1"/>
      <c r="B34" s="1"/>
      <c r="C34" s="1"/>
      <c r="D34" s="1"/>
      <c r="E34" s="1"/>
    </row>
    <row r="35" spans="1:5" ht="15.75" customHeight="1" x14ac:dyDescent="0.25">
      <c r="A35" s="1"/>
      <c r="B35" s="1"/>
      <c r="C35" s="1"/>
      <c r="D35" s="1"/>
      <c r="E35" s="1"/>
    </row>
    <row r="36" spans="1:5" ht="15.75" customHeight="1" x14ac:dyDescent="0.25">
      <c r="A36" s="1"/>
      <c r="B36" s="1"/>
      <c r="C36" s="1"/>
      <c r="D36" s="1"/>
      <c r="E36" s="1"/>
    </row>
    <row r="37" spans="1:5" ht="15.75" customHeight="1" x14ac:dyDescent="0.25">
      <c r="A37" s="1"/>
      <c r="B37" s="1"/>
      <c r="C37" s="1"/>
      <c r="D37" s="1"/>
      <c r="E37" s="1"/>
    </row>
    <row r="38" spans="1:5" ht="15.75" customHeight="1" x14ac:dyDescent="0.25">
      <c r="A38" s="1"/>
      <c r="B38" s="1"/>
      <c r="C38" s="1"/>
      <c r="D38" s="1"/>
      <c r="E38" s="1"/>
    </row>
    <row r="39" spans="1:5" ht="15.75" customHeight="1" x14ac:dyDescent="0.25">
      <c r="A39" s="1"/>
      <c r="B39" s="1"/>
      <c r="C39" s="1"/>
      <c r="D39" s="1"/>
      <c r="E39" s="1"/>
    </row>
    <row r="40" spans="1:5" ht="15.75" customHeight="1" x14ac:dyDescent="0.25">
      <c r="A40" s="1"/>
      <c r="B40" s="1"/>
      <c r="C40" s="1"/>
      <c r="D40" s="1"/>
      <c r="E40" s="1"/>
    </row>
    <row r="41" spans="1:5" ht="15.75" customHeight="1" x14ac:dyDescent="0.25">
      <c r="A41" s="1"/>
      <c r="B41" s="1"/>
      <c r="C41" s="1"/>
      <c r="D41" s="1"/>
      <c r="E41" s="1"/>
    </row>
    <row r="42" spans="1:5" ht="15.75" customHeight="1" x14ac:dyDescent="0.25">
      <c r="A42" s="1"/>
      <c r="B42" s="1"/>
      <c r="C42" s="1"/>
      <c r="D42" s="1"/>
      <c r="E42" s="1"/>
    </row>
    <row r="43" spans="1:5" ht="15.75" customHeight="1" x14ac:dyDescent="0.25">
      <c r="A43" s="1"/>
      <c r="B43" s="1"/>
      <c r="C43" s="1"/>
      <c r="D43" s="1"/>
      <c r="E43" s="1"/>
    </row>
    <row r="44" spans="1:5" ht="15.75" customHeight="1" x14ac:dyDescent="0.25">
      <c r="A44" s="1"/>
      <c r="B44" s="1"/>
      <c r="C44" s="1"/>
      <c r="D44" s="1"/>
      <c r="E44" s="1"/>
    </row>
    <row r="45" spans="1:5" ht="15.75" customHeight="1" x14ac:dyDescent="0.25">
      <c r="A45" s="1"/>
      <c r="B45" s="1"/>
      <c r="C45" s="1"/>
      <c r="D45" s="1"/>
      <c r="E45" s="1"/>
    </row>
    <row r="46" spans="1:5" ht="15.75" customHeight="1" x14ac:dyDescent="0.25">
      <c r="A46" s="1"/>
      <c r="B46" s="1"/>
      <c r="C46" s="1"/>
      <c r="D46" s="1"/>
      <c r="E46" s="1"/>
    </row>
    <row r="47" spans="1:5" ht="15.75" customHeight="1" x14ac:dyDescent="0.25">
      <c r="A47" s="1"/>
      <c r="B47" s="1"/>
      <c r="C47" s="1"/>
      <c r="D47" s="1"/>
      <c r="E47" s="1"/>
    </row>
    <row r="48" spans="1:5" ht="15.75" customHeight="1" x14ac:dyDescent="0.25">
      <c r="A48" s="1"/>
      <c r="B48" s="1"/>
      <c r="C48" s="1"/>
      <c r="D48" s="1"/>
      <c r="E48" s="1"/>
    </row>
    <row r="49" spans="1:5" ht="15.75" customHeight="1" x14ac:dyDescent="0.25">
      <c r="A49" s="1"/>
      <c r="B49" s="1"/>
      <c r="C49" s="1"/>
      <c r="D49" s="1"/>
      <c r="E49" s="1"/>
    </row>
    <row r="50" spans="1:5" ht="15.75" customHeight="1" x14ac:dyDescent="0.25">
      <c r="A50" s="1"/>
      <c r="B50" s="1"/>
      <c r="C50" s="1"/>
      <c r="D50" s="1"/>
      <c r="E50" s="1"/>
    </row>
    <row r="51" spans="1:5" ht="15.75" customHeight="1" x14ac:dyDescent="0.25">
      <c r="A51" s="1"/>
      <c r="B51" s="1"/>
      <c r="C51" s="1"/>
      <c r="D51" s="1"/>
      <c r="E51" s="1"/>
    </row>
    <row r="52" spans="1:5" ht="15.75" customHeight="1" x14ac:dyDescent="0.25">
      <c r="A52" s="1"/>
      <c r="B52" s="1"/>
      <c r="C52" s="1"/>
      <c r="D52" s="1"/>
      <c r="E52" s="1"/>
    </row>
    <row r="53" spans="1:5" ht="15.75" customHeight="1" x14ac:dyDescent="0.25">
      <c r="A53" s="1"/>
      <c r="B53" s="1"/>
      <c r="C53" s="1"/>
      <c r="D53" s="1"/>
      <c r="E53" s="1"/>
    </row>
    <row r="54" spans="1:5" ht="15.75" customHeight="1" x14ac:dyDescent="0.25">
      <c r="A54" s="1"/>
      <c r="B54" s="1"/>
      <c r="C54" s="1"/>
      <c r="D54" s="1"/>
      <c r="E54" s="1"/>
    </row>
    <row r="55" spans="1:5" ht="15.75" customHeight="1" x14ac:dyDescent="0.25">
      <c r="A55" s="1"/>
      <c r="B55" s="1"/>
      <c r="C55" s="1"/>
      <c r="D55" s="1"/>
      <c r="E55" s="1"/>
    </row>
    <row r="56" spans="1:5" ht="15.75" customHeight="1" x14ac:dyDescent="0.25">
      <c r="A56" s="1"/>
      <c r="B56" s="1"/>
      <c r="C56" s="1"/>
      <c r="D56" s="1"/>
      <c r="E56" s="1"/>
    </row>
    <row r="57" spans="1:5" ht="15.75" customHeight="1" x14ac:dyDescent="0.25">
      <c r="A57" s="1"/>
      <c r="B57" s="1"/>
      <c r="C57" s="1"/>
      <c r="D57" s="1"/>
      <c r="E57" s="1"/>
    </row>
    <row r="58" spans="1:5" ht="15.75" customHeight="1" x14ac:dyDescent="0.25">
      <c r="A58" s="1"/>
      <c r="B58" s="1"/>
      <c r="C58" s="1"/>
      <c r="D58" s="1"/>
      <c r="E58" s="1"/>
    </row>
    <row r="59" spans="1:5" ht="15.75" customHeight="1" x14ac:dyDescent="0.25">
      <c r="A59" s="1"/>
      <c r="B59" s="1"/>
      <c r="C59" s="1"/>
      <c r="D59" s="1"/>
      <c r="E59" s="1"/>
    </row>
    <row r="60" spans="1:5" ht="15.75" customHeight="1" x14ac:dyDescent="0.25">
      <c r="A60" s="1"/>
      <c r="B60" s="1"/>
      <c r="C60" s="1"/>
      <c r="D60" s="1"/>
      <c r="E60" s="1"/>
    </row>
    <row r="61" spans="1:5" ht="15.75" customHeight="1" x14ac:dyDescent="0.25">
      <c r="A61" s="1"/>
      <c r="B61" s="1"/>
      <c r="C61" s="1"/>
      <c r="D61" s="1"/>
      <c r="E61" s="1"/>
    </row>
    <row r="62" spans="1:5" ht="15.75" customHeight="1" x14ac:dyDescent="0.25">
      <c r="A62" s="1"/>
      <c r="B62" s="1"/>
      <c r="C62" s="1"/>
      <c r="D62" s="1"/>
      <c r="E62" s="1"/>
    </row>
    <row r="63" spans="1:5" ht="15.75" customHeight="1" x14ac:dyDescent="0.25">
      <c r="A63" s="1"/>
      <c r="B63" s="1"/>
      <c r="C63" s="1"/>
      <c r="D63" s="1"/>
      <c r="E63" s="1"/>
    </row>
    <row r="64" spans="1:5" ht="15.75" customHeight="1" x14ac:dyDescent="0.25">
      <c r="A64" s="1"/>
      <c r="B64" s="1"/>
      <c r="C64" s="1"/>
      <c r="D64" s="1"/>
      <c r="E64" s="1"/>
    </row>
    <row r="65" spans="1:5" ht="15.75" customHeight="1" x14ac:dyDescent="0.25">
      <c r="A65" s="1"/>
      <c r="B65" s="1"/>
      <c r="C65" s="1"/>
      <c r="D65" s="1"/>
      <c r="E65" s="1"/>
    </row>
    <row r="66" spans="1:5" ht="15.75" customHeight="1" x14ac:dyDescent="0.25">
      <c r="A66" s="1"/>
      <c r="B66" s="1"/>
      <c r="C66" s="1"/>
      <c r="D66" s="1"/>
      <c r="E66" s="1"/>
    </row>
    <row r="67" spans="1:5" ht="15.75" customHeight="1" x14ac:dyDescent="0.25">
      <c r="A67" s="1"/>
      <c r="B67" s="1"/>
      <c r="C67" s="1"/>
      <c r="D67" s="1"/>
      <c r="E67" s="1"/>
    </row>
    <row r="68" spans="1:5" ht="15.75" customHeight="1" x14ac:dyDescent="0.25">
      <c r="A68" s="1"/>
      <c r="B68" s="1"/>
      <c r="C68" s="1"/>
      <c r="D68" s="1"/>
      <c r="E68" s="1"/>
    </row>
    <row r="69" spans="1:5" ht="15.75" customHeight="1" x14ac:dyDescent="0.25">
      <c r="A69" s="1"/>
      <c r="B69" s="1"/>
      <c r="C69" s="1"/>
      <c r="D69" s="1"/>
      <c r="E69" s="1"/>
    </row>
    <row r="70" spans="1:5" ht="15.75" customHeight="1" x14ac:dyDescent="0.25">
      <c r="A70" s="1"/>
      <c r="B70" s="1"/>
      <c r="C70" s="1"/>
      <c r="D70" s="1"/>
      <c r="E70" s="1"/>
    </row>
    <row r="71" spans="1:5" ht="15.75" customHeight="1" x14ac:dyDescent="0.25">
      <c r="A71" s="1"/>
      <c r="B71" s="1"/>
      <c r="C71" s="1"/>
      <c r="D71" s="1"/>
      <c r="E71" s="1"/>
    </row>
    <row r="72" spans="1:5" ht="15.75" customHeight="1" x14ac:dyDescent="0.25">
      <c r="A72" s="1"/>
      <c r="B72" s="1"/>
      <c r="C72" s="1"/>
      <c r="D72" s="1"/>
      <c r="E72" s="1"/>
    </row>
    <row r="73" spans="1:5" ht="15.75" customHeight="1" x14ac:dyDescent="0.25">
      <c r="A73" s="1"/>
      <c r="B73" s="1"/>
      <c r="C73" s="1"/>
      <c r="D73" s="1"/>
      <c r="E73" s="1"/>
    </row>
    <row r="74" spans="1:5" ht="15.75" customHeight="1" x14ac:dyDescent="0.25">
      <c r="A74" s="1"/>
      <c r="B74" s="1"/>
      <c r="C74" s="1"/>
      <c r="D74" s="1"/>
      <c r="E74" s="1"/>
    </row>
    <row r="75" spans="1:5" ht="15.75" customHeight="1" x14ac:dyDescent="0.25">
      <c r="A75" s="1"/>
      <c r="B75" s="1"/>
      <c r="C75" s="1"/>
      <c r="D75" s="1"/>
      <c r="E75" s="1"/>
    </row>
    <row r="76" spans="1:5" ht="15.75" customHeight="1" x14ac:dyDescent="0.25">
      <c r="A76" s="1"/>
      <c r="B76" s="1"/>
      <c r="C76" s="1"/>
      <c r="D76" s="1"/>
      <c r="E76" s="1"/>
    </row>
    <row r="77" spans="1:5" ht="15.75" customHeight="1" x14ac:dyDescent="0.25">
      <c r="A77" s="1"/>
      <c r="B77" s="1"/>
      <c r="C77" s="1"/>
      <c r="D77" s="1"/>
      <c r="E77" s="1"/>
    </row>
    <row r="78" spans="1:5" ht="15.75" customHeight="1" x14ac:dyDescent="0.25">
      <c r="A78" s="1"/>
      <c r="B78" s="1"/>
      <c r="C78" s="1"/>
      <c r="D78" s="1"/>
      <c r="E78" s="1"/>
    </row>
    <row r="79" spans="1:5" ht="15.75" customHeight="1" x14ac:dyDescent="0.25">
      <c r="A79" s="1"/>
      <c r="B79" s="1"/>
      <c r="C79" s="1"/>
      <c r="D79" s="1"/>
      <c r="E79" s="1"/>
    </row>
    <row r="80" spans="1:5" ht="15.75" customHeight="1" x14ac:dyDescent="0.25">
      <c r="A80" s="1"/>
      <c r="B80" s="1"/>
      <c r="C80" s="1"/>
      <c r="D80" s="1"/>
      <c r="E80" s="1"/>
    </row>
    <row r="81" spans="1:5" ht="15.75" customHeight="1" x14ac:dyDescent="0.25">
      <c r="A81" s="1"/>
      <c r="B81" s="1"/>
      <c r="C81" s="1"/>
      <c r="D81" s="1"/>
      <c r="E81" s="1"/>
    </row>
    <row r="82" spans="1:5" ht="15.75" customHeight="1" x14ac:dyDescent="0.25">
      <c r="A82" s="1"/>
      <c r="B82" s="1"/>
      <c r="C82" s="1"/>
      <c r="D82" s="1"/>
      <c r="E82" s="1"/>
    </row>
    <row r="83" spans="1:5" ht="15.75" customHeight="1" x14ac:dyDescent="0.25">
      <c r="A83" s="1"/>
      <c r="B83" s="1"/>
      <c r="C83" s="1"/>
      <c r="D83" s="1"/>
      <c r="E83" s="1"/>
    </row>
    <row r="84" spans="1:5" ht="15.75" customHeight="1" x14ac:dyDescent="0.25">
      <c r="A84" s="1"/>
      <c r="B84" s="1"/>
      <c r="C84" s="1"/>
      <c r="D84" s="1"/>
      <c r="E84" s="1"/>
    </row>
    <row r="85" spans="1:5" ht="15.75" customHeight="1" x14ac:dyDescent="0.25">
      <c r="A85" s="1"/>
      <c r="B85" s="1"/>
      <c r="C85" s="1"/>
      <c r="D85" s="1"/>
      <c r="E85" s="1"/>
    </row>
    <row r="86" spans="1:5" ht="15.75" customHeight="1" x14ac:dyDescent="0.25">
      <c r="A86" s="1"/>
      <c r="B86" s="1"/>
      <c r="C86" s="1"/>
      <c r="D86" s="1"/>
      <c r="E86" s="1"/>
    </row>
    <row r="87" spans="1:5" ht="15.75" customHeight="1" x14ac:dyDescent="0.25">
      <c r="A87" s="1"/>
      <c r="B87" s="1"/>
      <c r="C87" s="1"/>
      <c r="D87" s="1"/>
      <c r="E87" s="1"/>
    </row>
    <row r="88" spans="1:5" ht="15.75" customHeight="1" x14ac:dyDescent="0.25">
      <c r="A88" s="1"/>
      <c r="B88" s="1"/>
      <c r="C88" s="1"/>
      <c r="D88" s="1"/>
      <c r="E88" s="1"/>
    </row>
    <row r="89" spans="1:5" ht="15.75" customHeight="1" x14ac:dyDescent="0.25">
      <c r="A89" s="1"/>
      <c r="B89" s="1"/>
      <c r="C89" s="1"/>
      <c r="D89" s="1"/>
      <c r="E89" s="1"/>
    </row>
    <row r="90" spans="1:5" ht="15.75" customHeight="1" x14ac:dyDescent="0.25">
      <c r="A90" s="1"/>
      <c r="B90" s="1"/>
      <c r="C90" s="1"/>
      <c r="D90" s="1"/>
      <c r="E90" s="1"/>
    </row>
    <row r="91" spans="1:5" ht="15.75" customHeight="1" x14ac:dyDescent="0.25">
      <c r="A91" s="1"/>
      <c r="B91" s="1"/>
      <c r="C91" s="1"/>
      <c r="D91" s="1"/>
      <c r="E91" s="1"/>
    </row>
    <row r="92" spans="1:5" ht="15.75" customHeight="1" x14ac:dyDescent="0.25">
      <c r="A92" s="1"/>
      <c r="B92" s="1"/>
      <c r="C92" s="1"/>
      <c r="D92" s="1"/>
      <c r="E92" s="1"/>
    </row>
    <row r="93" spans="1:5" ht="15.75" customHeight="1" x14ac:dyDescent="0.25">
      <c r="A93" s="1"/>
      <c r="B93" s="1"/>
      <c r="C93" s="1"/>
      <c r="D93" s="1"/>
      <c r="E93" s="1"/>
    </row>
    <row r="94" spans="1:5" ht="15.75" customHeight="1" x14ac:dyDescent="0.25">
      <c r="A94" s="1"/>
      <c r="B94" s="1"/>
      <c r="C94" s="1"/>
      <c r="D94" s="1"/>
      <c r="E94" s="1"/>
    </row>
    <row r="95" spans="1:5" ht="15.75" customHeight="1" x14ac:dyDescent="0.25">
      <c r="A95" s="1"/>
      <c r="B95" s="1"/>
      <c r="C95" s="1"/>
      <c r="D95" s="1"/>
      <c r="E95" s="1"/>
    </row>
    <row r="96" spans="1:5" ht="15.75" customHeight="1" x14ac:dyDescent="0.25">
      <c r="A96" s="1"/>
      <c r="B96" s="1"/>
      <c r="C96" s="1"/>
      <c r="D96" s="1"/>
      <c r="E96" s="1"/>
    </row>
    <row r="97" spans="1:5" ht="15.75" customHeight="1" x14ac:dyDescent="0.25">
      <c r="A97" s="1"/>
      <c r="B97" s="1"/>
      <c r="C97" s="1"/>
      <c r="D97" s="1"/>
      <c r="E97" s="1"/>
    </row>
    <row r="98" spans="1:5" ht="15.75" customHeight="1" x14ac:dyDescent="0.25">
      <c r="A98" s="1"/>
      <c r="B98" s="1"/>
      <c r="C98" s="1"/>
      <c r="D98" s="1"/>
      <c r="E98" s="1"/>
    </row>
    <row r="99" spans="1:5" ht="15.75" customHeight="1" x14ac:dyDescent="0.25">
      <c r="A99" s="1"/>
      <c r="B99" s="1"/>
      <c r="C99" s="1"/>
      <c r="D99" s="1"/>
      <c r="E99" s="1"/>
    </row>
    <row r="100" spans="1:5" ht="15.75" customHeight="1" x14ac:dyDescent="0.25">
      <c r="A100" s="1"/>
      <c r="B100" s="1"/>
      <c r="C100" s="1"/>
      <c r="D100" s="1"/>
      <c r="E100" s="1"/>
    </row>
    <row r="101" spans="1:5" ht="15.75" customHeight="1" x14ac:dyDescent="0.25">
      <c r="A101" s="1"/>
      <c r="B101" s="1"/>
      <c r="C101" s="1"/>
      <c r="D101" s="1"/>
      <c r="E101" s="1"/>
    </row>
    <row r="102" spans="1:5" ht="15.75" customHeight="1" x14ac:dyDescent="0.25">
      <c r="A102" s="1"/>
      <c r="B102" s="1"/>
      <c r="C102" s="1"/>
      <c r="D102" s="1"/>
      <c r="E102" s="1"/>
    </row>
    <row r="103" spans="1:5" ht="15.75" customHeight="1" x14ac:dyDescent="0.25">
      <c r="A103" s="1"/>
      <c r="B103" s="1"/>
      <c r="C103" s="1"/>
      <c r="D103" s="1"/>
      <c r="E103" s="1"/>
    </row>
    <row r="104" spans="1:5" ht="15.75" customHeight="1" x14ac:dyDescent="0.25">
      <c r="A104" s="1"/>
      <c r="B104" s="1"/>
      <c r="C104" s="1"/>
      <c r="D104" s="1"/>
      <c r="E104" s="1"/>
    </row>
    <row r="105" spans="1:5" ht="15.75" customHeight="1" x14ac:dyDescent="0.25">
      <c r="A105" s="1"/>
      <c r="B105" s="1"/>
      <c r="C105" s="1"/>
      <c r="D105" s="1"/>
      <c r="E105" s="1"/>
    </row>
    <row r="106" spans="1:5" ht="15.75" customHeight="1" x14ac:dyDescent="0.25">
      <c r="A106" s="1"/>
      <c r="B106" s="1"/>
      <c r="C106" s="1"/>
      <c r="D106" s="1"/>
      <c r="E106" s="1"/>
    </row>
    <row r="107" spans="1:5" ht="15.75" customHeight="1" x14ac:dyDescent="0.25">
      <c r="A107" s="1"/>
      <c r="B107" s="1"/>
      <c r="C107" s="1"/>
      <c r="D107" s="1"/>
      <c r="E107" s="1"/>
    </row>
    <row r="108" spans="1:5" ht="15.75" customHeight="1" x14ac:dyDescent="0.25">
      <c r="A108" s="1"/>
      <c r="B108" s="1"/>
      <c r="C108" s="1"/>
      <c r="D108" s="1"/>
      <c r="E108" s="1"/>
    </row>
    <row r="109" spans="1:5" ht="15.75" customHeight="1" x14ac:dyDescent="0.25">
      <c r="A109" s="1"/>
      <c r="B109" s="1"/>
      <c r="C109" s="1"/>
      <c r="D109" s="1"/>
      <c r="E109" s="1"/>
    </row>
    <row r="110" spans="1:5" ht="15.75" customHeight="1" x14ac:dyDescent="0.25">
      <c r="A110" s="1"/>
      <c r="B110" s="1"/>
      <c r="C110" s="1"/>
      <c r="D110" s="1"/>
      <c r="E110" s="1"/>
    </row>
    <row r="111" spans="1:5" ht="15.75" customHeight="1" x14ac:dyDescent="0.25">
      <c r="A111" s="1"/>
      <c r="B111" s="1"/>
      <c r="C111" s="1"/>
      <c r="D111" s="1"/>
      <c r="E111" s="1"/>
    </row>
    <row r="112" spans="1:5" ht="15.75" customHeight="1" x14ac:dyDescent="0.25">
      <c r="A112" s="1"/>
      <c r="B112" s="1"/>
      <c r="C112" s="1"/>
      <c r="D112" s="1"/>
      <c r="E112" s="1"/>
    </row>
    <row r="113" spans="1:5" ht="15.75" customHeight="1" x14ac:dyDescent="0.25">
      <c r="A113" s="1"/>
      <c r="B113" s="1"/>
      <c r="C113" s="1"/>
      <c r="D113" s="1"/>
      <c r="E113" s="1"/>
    </row>
    <row r="114" spans="1:5" ht="15.75" customHeight="1" x14ac:dyDescent="0.25">
      <c r="A114" s="1"/>
      <c r="B114" s="1"/>
      <c r="C114" s="1"/>
      <c r="D114" s="1"/>
      <c r="E114" s="1"/>
    </row>
    <row r="115" spans="1:5" ht="15.75" customHeight="1" x14ac:dyDescent="0.25">
      <c r="A115" s="1"/>
      <c r="B115" s="1"/>
      <c r="C115" s="1"/>
      <c r="D115" s="1"/>
      <c r="E115" s="1"/>
    </row>
    <row r="116" spans="1:5" ht="15.75" customHeight="1" x14ac:dyDescent="0.25">
      <c r="A116" s="1"/>
      <c r="B116" s="1"/>
      <c r="C116" s="1"/>
      <c r="D116" s="1"/>
      <c r="E116" s="1"/>
    </row>
    <row r="117" spans="1:5" ht="15.75" customHeight="1" x14ac:dyDescent="0.25">
      <c r="A117" s="1"/>
      <c r="B117" s="1"/>
      <c r="C117" s="1"/>
      <c r="D117" s="1"/>
      <c r="E117" s="1"/>
    </row>
    <row r="118" spans="1:5" ht="15.75" customHeight="1" x14ac:dyDescent="0.25">
      <c r="A118" s="1"/>
      <c r="B118" s="1"/>
      <c r="C118" s="1"/>
      <c r="D118" s="1"/>
      <c r="E118" s="1"/>
    </row>
    <row r="119" spans="1:5" ht="15.75" customHeight="1" x14ac:dyDescent="0.25">
      <c r="A119" s="1"/>
      <c r="B119" s="1"/>
      <c r="C119" s="1"/>
      <c r="D119" s="1"/>
      <c r="E119" s="1"/>
    </row>
    <row r="120" spans="1:5" ht="15.75" customHeight="1" x14ac:dyDescent="0.25">
      <c r="A120" s="1"/>
      <c r="B120" s="1"/>
      <c r="C120" s="1"/>
      <c r="D120" s="1"/>
      <c r="E120" s="1"/>
    </row>
    <row r="121" spans="1:5" ht="15.75" customHeight="1" x14ac:dyDescent="0.25">
      <c r="A121" s="1"/>
      <c r="B121" s="1"/>
      <c r="C121" s="1"/>
      <c r="D121" s="1"/>
      <c r="E121" s="1"/>
    </row>
    <row r="122" spans="1:5" ht="15.75" customHeight="1" x14ac:dyDescent="0.25">
      <c r="A122" s="1"/>
      <c r="B122" s="1"/>
      <c r="C122" s="1"/>
      <c r="D122" s="1"/>
      <c r="E122" s="1"/>
    </row>
    <row r="123" spans="1:5" ht="15.75" customHeight="1" x14ac:dyDescent="0.25">
      <c r="A123" s="1"/>
      <c r="B123" s="1"/>
      <c r="C123" s="1"/>
      <c r="D123" s="1"/>
      <c r="E123" s="1"/>
    </row>
    <row r="124" spans="1:5" ht="15.75" customHeight="1" x14ac:dyDescent="0.25">
      <c r="A124" s="1"/>
      <c r="B124" s="1"/>
      <c r="C124" s="1"/>
      <c r="D124" s="1"/>
      <c r="E124" s="1"/>
    </row>
    <row r="125" spans="1:5" ht="15.75" customHeight="1" x14ac:dyDescent="0.25">
      <c r="A125" s="1"/>
      <c r="B125" s="1"/>
      <c r="C125" s="1"/>
      <c r="D125" s="1"/>
      <c r="E125" s="1"/>
    </row>
    <row r="126" spans="1:5" ht="15.75" customHeight="1" x14ac:dyDescent="0.25">
      <c r="A126" s="1"/>
      <c r="B126" s="1"/>
      <c r="C126" s="1"/>
      <c r="D126" s="1"/>
      <c r="E126" s="1"/>
    </row>
    <row r="127" spans="1:5" ht="15.75" customHeight="1" x14ac:dyDescent="0.25">
      <c r="A127" s="1"/>
      <c r="B127" s="1"/>
      <c r="C127" s="1"/>
      <c r="D127" s="1"/>
      <c r="E127" s="1"/>
    </row>
    <row r="128" spans="1:5" ht="15.75" customHeight="1" x14ac:dyDescent="0.25">
      <c r="A128" s="1"/>
      <c r="B128" s="1"/>
      <c r="C128" s="1"/>
      <c r="D128" s="1"/>
      <c r="E128" s="1"/>
    </row>
    <row r="129" spans="1:5" ht="15.75" customHeight="1" x14ac:dyDescent="0.25">
      <c r="A129" s="1"/>
      <c r="B129" s="1"/>
      <c r="C129" s="1"/>
      <c r="D129" s="1"/>
      <c r="E129" s="1"/>
    </row>
    <row r="130" spans="1:5" ht="15.75" customHeight="1" x14ac:dyDescent="0.25">
      <c r="A130" s="1"/>
      <c r="B130" s="1"/>
      <c r="C130" s="1"/>
      <c r="D130" s="1"/>
      <c r="E130" s="1"/>
    </row>
    <row r="131" spans="1:5" ht="15.75" customHeight="1" x14ac:dyDescent="0.25">
      <c r="A131" s="1"/>
      <c r="B131" s="1"/>
      <c r="C131" s="1"/>
      <c r="D131" s="1"/>
      <c r="E131" s="1"/>
    </row>
    <row r="132" spans="1:5" ht="15.75" customHeight="1" x14ac:dyDescent="0.25">
      <c r="A132" s="1"/>
      <c r="B132" s="1"/>
      <c r="C132" s="1"/>
      <c r="D132" s="1"/>
      <c r="E132" s="1"/>
    </row>
    <row r="133" spans="1:5" ht="15.75" customHeight="1" x14ac:dyDescent="0.25">
      <c r="A133" s="1"/>
      <c r="B133" s="1"/>
      <c r="C133" s="1"/>
      <c r="D133" s="1"/>
      <c r="E133" s="1"/>
    </row>
    <row r="134" spans="1:5" ht="15.75" customHeight="1" x14ac:dyDescent="0.25">
      <c r="A134" s="1"/>
      <c r="B134" s="1"/>
      <c r="C134" s="1"/>
      <c r="D134" s="1"/>
      <c r="E134" s="1"/>
    </row>
    <row r="135" spans="1:5" ht="15.75" customHeight="1" x14ac:dyDescent="0.25">
      <c r="A135" s="1"/>
      <c r="B135" s="1"/>
      <c r="C135" s="1"/>
      <c r="D135" s="1"/>
      <c r="E135" s="1"/>
    </row>
    <row r="136" spans="1:5" ht="15.75" customHeight="1" x14ac:dyDescent="0.25">
      <c r="A136" s="1"/>
      <c r="B136" s="1"/>
      <c r="C136" s="1"/>
      <c r="D136" s="1"/>
      <c r="E136" s="1"/>
    </row>
    <row r="137" spans="1:5" ht="15.75" customHeight="1" x14ac:dyDescent="0.25">
      <c r="A137" s="1"/>
      <c r="B137" s="1"/>
      <c r="C137" s="1"/>
      <c r="D137" s="1"/>
      <c r="E137" s="1"/>
    </row>
    <row r="138" spans="1:5" ht="15.75" customHeight="1" x14ac:dyDescent="0.25">
      <c r="A138" s="1"/>
      <c r="B138" s="1"/>
      <c r="C138" s="1"/>
      <c r="D138" s="1"/>
      <c r="E138" s="1"/>
    </row>
    <row r="139" spans="1:5" ht="15.75" customHeight="1" x14ac:dyDescent="0.25">
      <c r="A139" s="1"/>
      <c r="B139" s="1"/>
      <c r="C139" s="1"/>
      <c r="D139" s="1"/>
      <c r="E139" s="1"/>
    </row>
    <row r="140" spans="1:5" ht="15.75" customHeight="1" x14ac:dyDescent="0.25">
      <c r="A140" s="1"/>
      <c r="B140" s="1"/>
      <c r="C140" s="1"/>
      <c r="D140" s="1"/>
      <c r="E140" s="1"/>
    </row>
    <row r="141" spans="1:5" ht="15.75" customHeight="1" x14ac:dyDescent="0.25">
      <c r="A141" s="1"/>
      <c r="B141" s="1"/>
      <c r="C141" s="1"/>
      <c r="D141" s="1"/>
      <c r="E141" s="1"/>
    </row>
    <row r="142" spans="1:5" ht="15.75" customHeight="1" x14ac:dyDescent="0.25">
      <c r="A142" s="1"/>
      <c r="B142" s="1"/>
      <c r="C142" s="1"/>
      <c r="D142" s="1"/>
      <c r="E142" s="1"/>
    </row>
    <row r="143" spans="1:5" ht="15.75" customHeight="1" x14ac:dyDescent="0.25">
      <c r="A143" s="1"/>
      <c r="B143" s="1"/>
      <c r="C143" s="1"/>
      <c r="D143" s="1"/>
      <c r="E143" s="1"/>
    </row>
    <row r="144" spans="1:5" ht="15.75" customHeight="1" x14ac:dyDescent="0.25">
      <c r="A144" s="1"/>
      <c r="B144" s="1"/>
      <c r="C144" s="1"/>
      <c r="D144" s="1"/>
      <c r="E144" s="1"/>
    </row>
    <row r="145" spans="1:5" ht="15.75" customHeight="1" x14ac:dyDescent="0.25">
      <c r="A145" s="1"/>
      <c r="B145" s="1"/>
      <c r="C145" s="1"/>
      <c r="D145" s="1"/>
      <c r="E145" s="1"/>
    </row>
    <row r="146" spans="1:5" ht="15.75" customHeight="1" x14ac:dyDescent="0.25">
      <c r="A146" s="1"/>
      <c r="B146" s="1"/>
      <c r="C146" s="1"/>
      <c r="D146" s="1"/>
      <c r="E146" s="1"/>
    </row>
    <row r="147" spans="1:5" ht="15.75" customHeight="1" x14ac:dyDescent="0.25">
      <c r="A147" s="1"/>
      <c r="B147" s="1"/>
      <c r="C147" s="1"/>
      <c r="D147" s="1"/>
      <c r="E147" s="1"/>
    </row>
    <row r="148" spans="1:5" ht="15.75" customHeight="1" x14ac:dyDescent="0.25">
      <c r="A148" s="1"/>
      <c r="B148" s="1"/>
      <c r="C148" s="1"/>
      <c r="D148" s="1"/>
      <c r="E148" s="1"/>
    </row>
    <row r="149" spans="1:5" ht="15.75" customHeight="1" x14ac:dyDescent="0.25">
      <c r="A149" s="1"/>
      <c r="B149" s="1"/>
      <c r="C149" s="1"/>
      <c r="D149" s="1"/>
      <c r="E149" s="1"/>
    </row>
    <row r="150" spans="1:5" ht="15.75" customHeight="1" x14ac:dyDescent="0.25">
      <c r="A150" s="1"/>
      <c r="B150" s="1"/>
      <c r="C150" s="1"/>
      <c r="D150" s="1"/>
      <c r="E150" s="1"/>
    </row>
    <row r="151" spans="1:5" ht="15.75" customHeight="1" x14ac:dyDescent="0.25">
      <c r="A151" s="1"/>
      <c r="B151" s="1"/>
      <c r="C151" s="1"/>
      <c r="D151" s="1"/>
      <c r="E151" s="1"/>
    </row>
    <row r="152" spans="1:5" ht="15.75" customHeight="1" x14ac:dyDescent="0.25">
      <c r="A152" s="1"/>
      <c r="B152" s="1"/>
      <c r="C152" s="1"/>
      <c r="D152" s="1"/>
      <c r="E152" s="1"/>
    </row>
    <row r="153" spans="1:5" ht="15.75" customHeight="1" x14ac:dyDescent="0.25">
      <c r="A153" s="1"/>
      <c r="B153" s="1"/>
      <c r="C153" s="1"/>
      <c r="D153" s="1"/>
      <c r="E153" s="1"/>
    </row>
    <row r="154" spans="1:5" ht="15.75" customHeight="1" x14ac:dyDescent="0.25">
      <c r="A154" s="1"/>
      <c r="B154" s="1"/>
      <c r="C154" s="1"/>
      <c r="D154" s="1"/>
      <c r="E154" s="1"/>
    </row>
    <row r="155" spans="1:5" ht="15.75" customHeight="1" x14ac:dyDescent="0.25">
      <c r="A155" s="1"/>
      <c r="B155" s="1"/>
      <c r="C155" s="1"/>
      <c r="D155" s="1"/>
      <c r="E155" s="1"/>
    </row>
    <row r="156" spans="1:5" ht="15.75" customHeight="1" x14ac:dyDescent="0.25">
      <c r="A156" s="1"/>
      <c r="B156" s="1"/>
      <c r="C156" s="1"/>
      <c r="D156" s="1"/>
      <c r="E156" s="1"/>
    </row>
    <row r="157" spans="1:5" ht="15.75" customHeight="1" x14ac:dyDescent="0.25">
      <c r="A157" s="1"/>
      <c r="B157" s="1"/>
      <c r="C157" s="1"/>
      <c r="D157" s="1"/>
      <c r="E157" s="1"/>
    </row>
    <row r="158" spans="1:5" ht="15.75" customHeight="1" x14ac:dyDescent="0.25">
      <c r="A158" s="1"/>
      <c r="B158" s="1"/>
      <c r="C158" s="1"/>
      <c r="D158" s="1"/>
      <c r="E158" s="1"/>
    </row>
    <row r="159" spans="1:5" ht="15.75" customHeight="1" x14ac:dyDescent="0.25">
      <c r="A159" s="1"/>
      <c r="B159" s="1"/>
      <c r="C159" s="1"/>
      <c r="D159" s="1"/>
      <c r="E159" s="1"/>
    </row>
    <row r="160" spans="1:5" ht="15.75" customHeight="1" x14ac:dyDescent="0.25">
      <c r="A160" s="1"/>
      <c r="B160" s="1"/>
      <c r="C160" s="1"/>
      <c r="D160" s="1"/>
      <c r="E160" s="1"/>
    </row>
    <row r="161" spans="1:5" ht="15.75" customHeight="1" x14ac:dyDescent="0.25">
      <c r="A161" s="1"/>
      <c r="B161" s="1"/>
      <c r="C161" s="1"/>
      <c r="D161" s="1"/>
      <c r="E161" s="1"/>
    </row>
    <row r="162" spans="1:5" ht="15.75" customHeight="1" x14ac:dyDescent="0.25">
      <c r="A162" s="1"/>
      <c r="B162" s="1"/>
      <c r="C162" s="1"/>
      <c r="D162" s="1"/>
      <c r="E162" s="1"/>
    </row>
    <row r="163" spans="1:5" ht="15.75" customHeight="1" x14ac:dyDescent="0.25">
      <c r="A163" s="1"/>
      <c r="B163" s="1"/>
      <c r="C163" s="1"/>
      <c r="D163" s="1"/>
      <c r="E163" s="1"/>
    </row>
    <row r="164" spans="1:5" ht="15.75" customHeight="1" x14ac:dyDescent="0.25">
      <c r="A164" s="1"/>
      <c r="B164" s="1"/>
      <c r="C164" s="1"/>
      <c r="D164" s="1"/>
      <c r="E164" s="1"/>
    </row>
    <row r="165" spans="1:5" ht="15.75" customHeight="1" x14ac:dyDescent="0.25">
      <c r="A165" s="1"/>
      <c r="B165" s="1"/>
      <c r="C165" s="1"/>
      <c r="D165" s="1"/>
      <c r="E165" s="1"/>
    </row>
    <row r="166" spans="1:5" ht="15.75" customHeight="1" x14ac:dyDescent="0.25">
      <c r="A166" s="1"/>
      <c r="B166" s="1"/>
      <c r="C166" s="1"/>
      <c r="D166" s="1"/>
      <c r="E166" s="1"/>
    </row>
    <row r="167" spans="1:5" ht="15.75" customHeight="1" x14ac:dyDescent="0.25">
      <c r="A167" s="1"/>
      <c r="B167" s="1"/>
      <c r="C167" s="1"/>
      <c r="D167" s="1"/>
      <c r="E167" s="1"/>
    </row>
    <row r="168" spans="1:5" ht="15.75" customHeight="1" x14ac:dyDescent="0.25">
      <c r="A168" s="1"/>
      <c r="B168" s="1"/>
      <c r="C168" s="1"/>
      <c r="D168" s="1"/>
      <c r="E168" s="1"/>
    </row>
    <row r="169" spans="1:5" ht="15.75" customHeight="1" x14ac:dyDescent="0.25">
      <c r="A169" s="1"/>
      <c r="B169" s="1"/>
      <c r="C169" s="1"/>
      <c r="D169" s="1"/>
      <c r="E169" s="1"/>
    </row>
    <row r="170" spans="1:5" ht="15.75" customHeight="1" x14ac:dyDescent="0.25">
      <c r="A170" s="1"/>
      <c r="B170" s="1"/>
      <c r="C170" s="1"/>
      <c r="D170" s="1"/>
      <c r="E170" s="1"/>
    </row>
    <row r="171" spans="1:5" ht="15.75" customHeight="1" x14ac:dyDescent="0.25">
      <c r="A171" s="1"/>
      <c r="B171" s="1"/>
      <c r="C171" s="1"/>
      <c r="D171" s="1"/>
      <c r="E171" s="1"/>
    </row>
    <row r="172" spans="1:5" ht="15.75" customHeight="1" x14ac:dyDescent="0.25">
      <c r="A172" s="1"/>
      <c r="B172" s="1"/>
      <c r="C172" s="1"/>
      <c r="D172" s="1"/>
      <c r="E172" s="1"/>
    </row>
    <row r="173" spans="1:5" ht="15.75" customHeight="1" x14ac:dyDescent="0.25">
      <c r="A173" s="1"/>
      <c r="B173" s="1"/>
      <c r="C173" s="1"/>
      <c r="D173" s="1"/>
      <c r="E173" s="1"/>
    </row>
    <row r="174" spans="1:5" ht="15.75" customHeight="1" x14ac:dyDescent="0.25">
      <c r="A174" s="1"/>
      <c r="B174" s="1"/>
      <c r="C174" s="1"/>
      <c r="D174" s="1"/>
      <c r="E174" s="1"/>
    </row>
    <row r="175" spans="1:5" ht="15.75" customHeight="1" x14ac:dyDescent="0.25">
      <c r="A175" s="1"/>
      <c r="B175" s="1"/>
      <c r="C175" s="1"/>
      <c r="D175" s="1"/>
      <c r="E175" s="1"/>
    </row>
    <row r="176" spans="1:5" ht="15.75" customHeight="1" x14ac:dyDescent="0.25">
      <c r="A176" s="1"/>
      <c r="B176" s="1"/>
      <c r="C176" s="1"/>
      <c r="D176" s="1"/>
      <c r="E176" s="1"/>
    </row>
    <row r="177" spans="1:5" ht="15.75" customHeight="1" x14ac:dyDescent="0.25">
      <c r="A177" s="1"/>
      <c r="B177" s="1"/>
      <c r="C177" s="1"/>
      <c r="D177" s="1"/>
      <c r="E177" s="1"/>
    </row>
    <row r="178" spans="1:5" ht="15.75" customHeight="1" x14ac:dyDescent="0.25">
      <c r="A178" s="1"/>
      <c r="B178" s="1"/>
      <c r="C178" s="1"/>
      <c r="D178" s="1"/>
      <c r="E178" s="1"/>
    </row>
    <row r="179" spans="1:5" ht="15.75" customHeight="1" x14ac:dyDescent="0.25">
      <c r="A179" s="1"/>
      <c r="B179" s="1"/>
      <c r="C179" s="1"/>
      <c r="D179" s="1"/>
      <c r="E179" s="1"/>
    </row>
    <row r="180" spans="1:5" ht="15.75" customHeight="1" x14ac:dyDescent="0.25">
      <c r="A180" s="1"/>
      <c r="B180" s="1"/>
      <c r="C180" s="1"/>
      <c r="D180" s="1"/>
      <c r="E180" s="1"/>
    </row>
    <row r="181" spans="1:5" ht="15.75" customHeight="1" x14ac:dyDescent="0.25">
      <c r="A181" s="1"/>
      <c r="B181" s="1"/>
      <c r="C181" s="1"/>
      <c r="D181" s="1"/>
      <c r="E181" s="1"/>
    </row>
    <row r="182" spans="1:5" ht="15.75" customHeight="1" x14ac:dyDescent="0.25">
      <c r="A182" s="1"/>
      <c r="B182" s="1"/>
      <c r="C182" s="1"/>
      <c r="D182" s="1"/>
      <c r="E182" s="1"/>
    </row>
    <row r="183" spans="1:5" ht="15.75" customHeight="1" x14ac:dyDescent="0.25">
      <c r="A183" s="1"/>
      <c r="B183" s="1"/>
      <c r="C183" s="1"/>
      <c r="D183" s="1"/>
      <c r="E183" s="1"/>
    </row>
    <row r="184" spans="1:5" ht="15.75" customHeight="1" x14ac:dyDescent="0.25">
      <c r="A184" s="1"/>
      <c r="B184" s="1"/>
      <c r="C184" s="1"/>
      <c r="D184" s="1"/>
      <c r="E184" s="1"/>
    </row>
    <row r="185" spans="1:5" ht="15.75" customHeight="1" x14ac:dyDescent="0.25">
      <c r="A185" s="1"/>
      <c r="B185" s="1"/>
      <c r="C185" s="1"/>
      <c r="D185" s="1"/>
      <c r="E185" s="1"/>
    </row>
    <row r="186" spans="1:5" ht="15.75" customHeight="1" x14ac:dyDescent="0.25">
      <c r="A186" s="1"/>
      <c r="B186" s="1"/>
      <c r="C186" s="1"/>
      <c r="D186" s="1"/>
      <c r="E186" s="1"/>
    </row>
    <row r="187" spans="1:5" ht="15.75" customHeight="1" x14ac:dyDescent="0.25">
      <c r="A187" s="1"/>
      <c r="B187" s="1"/>
      <c r="C187" s="1"/>
      <c r="D187" s="1"/>
      <c r="E187" s="1"/>
    </row>
    <row r="188" spans="1:5" ht="15.75" customHeight="1" x14ac:dyDescent="0.25">
      <c r="A188" s="1"/>
      <c r="B188" s="1"/>
      <c r="C188" s="1"/>
      <c r="D188" s="1"/>
      <c r="E188" s="1"/>
    </row>
    <row r="189" spans="1:5" ht="15.75" customHeight="1" x14ac:dyDescent="0.25">
      <c r="A189" s="1"/>
      <c r="B189" s="1"/>
      <c r="C189" s="1"/>
      <c r="D189" s="1"/>
      <c r="E189" s="1"/>
    </row>
    <row r="190" spans="1:5" ht="15.75" customHeight="1" x14ac:dyDescent="0.25">
      <c r="A190" s="1"/>
      <c r="B190" s="1"/>
      <c r="C190" s="1"/>
      <c r="D190" s="1"/>
      <c r="E190" s="1"/>
    </row>
    <row r="191" spans="1:5" ht="15.75" customHeight="1" x14ac:dyDescent="0.25">
      <c r="A191" s="1"/>
      <c r="B191" s="1"/>
      <c r="C191" s="1"/>
      <c r="D191" s="1"/>
      <c r="E191" s="1"/>
    </row>
    <row r="192" spans="1:5" ht="15.75" customHeight="1" x14ac:dyDescent="0.25">
      <c r="A192" s="1"/>
      <c r="B192" s="1"/>
      <c r="C192" s="1"/>
      <c r="D192" s="1"/>
      <c r="E192" s="1"/>
    </row>
    <row r="193" spans="1:5" ht="15.75" customHeight="1" x14ac:dyDescent="0.25">
      <c r="A193" s="1"/>
      <c r="B193" s="1"/>
      <c r="C193" s="1"/>
      <c r="D193" s="1"/>
      <c r="E193" s="1"/>
    </row>
    <row r="194" spans="1:5" ht="15.75" customHeight="1" x14ac:dyDescent="0.25">
      <c r="A194" s="1"/>
      <c r="B194" s="1"/>
      <c r="C194" s="1"/>
      <c r="D194" s="1"/>
      <c r="E194" s="1"/>
    </row>
    <row r="195" spans="1:5" ht="15.75" customHeight="1" x14ac:dyDescent="0.25">
      <c r="A195" s="1"/>
      <c r="B195" s="1"/>
      <c r="C195" s="1"/>
      <c r="D195" s="1"/>
      <c r="E195" s="1"/>
    </row>
    <row r="196" spans="1:5" ht="15.75" customHeight="1" x14ac:dyDescent="0.25">
      <c r="A196" s="1"/>
      <c r="B196" s="1"/>
      <c r="C196" s="1"/>
      <c r="D196" s="1"/>
      <c r="E196" s="1"/>
    </row>
    <row r="197" spans="1:5" ht="15.75" customHeight="1" x14ac:dyDescent="0.25">
      <c r="A197" s="1"/>
      <c r="B197" s="1"/>
      <c r="C197" s="1"/>
      <c r="D197" s="1"/>
      <c r="E197" s="1"/>
    </row>
    <row r="198" spans="1:5" ht="15.75" customHeight="1" x14ac:dyDescent="0.25">
      <c r="A198" s="1"/>
      <c r="B198" s="1"/>
      <c r="C198" s="1"/>
      <c r="D198" s="1"/>
      <c r="E198" s="1"/>
    </row>
    <row r="199" spans="1:5" ht="15.75" customHeight="1" x14ac:dyDescent="0.25">
      <c r="A199" s="1"/>
      <c r="B199" s="1"/>
      <c r="C199" s="1"/>
      <c r="D199" s="1"/>
      <c r="E199" s="1"/>
    </row>
    <row r="200" spans="1:5" ht="15.75" customHeight="1" x14ac:dyDescent="0.25">
      <c r="A200" s="1"/>
      <c r="B200" s="1"/>
      <c r="C200" s="1"/>
      <c r="D200" s="1"/>
      <c r="E200" s="1"/>
    </row>
    <row r="201" spans="1:5" ht="15.75" customHeight="1" x14ac:dyDescent="0.25">
      <c r="A201" s="1"/>
      <c r="B201" s="1"/>
      <c r="C201" s="1"/>
      <c r="D201" s="1"/>
      <c r="E201" s="1"/>
    </row>
    <row r="202" spans="1:5" ht="15.75" customHeight="1" x14ac:dyDescent="0.25">
      <c r="A202" s="1"/>
      <c r="B202" s="1"/>
      <c r="C202" s="1"/>
      <c r="D202" s="1"/>
      <c r="E202" s="1"/>
    </row>
    <row r="203" spans="1:5" ht="15.75" customHeight="1" x14ac:dyDescent="0.25">
      <c r="A203" s="1"/>
      <c r="B203" s="1"/>
      <c r="C203" s="1"/>
      <c r="D203" s="1"/>
      <c r="E203" s="1"/>
    </row>
    <row r="204" spans="1:5" ht="15.75" customHeight="1" x14ac:dyDescent="0.25">
      <c r="A204" s="1"/>
      <c r="B204" s="1"/>
      <c r="C204" s="1"/>
      <c r="D204" s="1"/>
      <c r="E204" s="1"/>
    </row>
    <row r="205" spans="1:5" ht="15.75" customHeight="1" x14ac:dyDescent="0.25">
      <c r="A205" s="1"/>
      <c r="B205" s="1"/>
      <c r="C205" s="1"/>
      <c r="D205" s="1"/>
      <c r="E205" s="1"/>
    </row>
    <row r="206" spans="1:5" ht="15.75" customHeight="1" x14ac:dyDescent="0.25">
      <c r="A206" s="1"/>
      <c r="B206" s="1"/>
      <c r="C206" s="1"/>
      <c r="D206" s="1"/>
      <c r="E206" s="1"/>
    </row>
    <row r="207" spans="1:5" ht="15.75" customHeight="1" x14ac:dyDescent="0.25">
      <c r="A207" s="1"/>
      <c r="B207" s="1"/>
      <c r="C207" s="1"/>
      <c r="D207" s="1"/>
      <c r="E207" s="1"/>
    </row>
    <row r="208" spans="1:5" ht="15.75" customHeight="1" x14ac:dyDescent="0.25">
      <c r="A208" s="1"/>
      <c r="B208" s="1"/>
      <c r="C208" s="1"/>
      <c r="D208" s="1"/>
      <c r="E208" s="1"/>
    </row>
    <row r="209" spans="1:5" ht="15.75" customHeight="1" x14ac:dyDescent="0.25">
      <c r="A209" s="1"/>
      <c r="B209" s="1"/>
      <c r="C209" s="1"/>
      <c r="D209" s="1"/>
      <c r="E209" s="1"/>
    </row>
    <row r="210" spans="1:5" ht="15.75" customHeight="1" x14ac:dyDescent="0.25">
      <c r="A210" s="1"/>
      <c r="B210" s="1"/>
      <c r="C210" s="1"/>
      <c r="D210" s="1"/>
      <c r="E210" s="1"/>
    </row>
    <row r="211" spans="1:5" ht="15.75" customHeight="1" x14ac:dyDescent="0.25">
      <c r="A211" s="1"/>
      <c r="B211" s="1"/>
      <c r="C211" s="1"/>
      <c r="D211" s="1"/>
      <c r="E211" s="1"/>
    </row>
    <row r="212" spans="1:5" ht="15.75" customHeight="1" x14ac:dyDescent="0.25">
      <c r="A212" s="1"/>
      <c r="B212" s="1"/>
      <c r="C212" s="1"/>
      <c r="D212" s="1"/>
      <c r="E212" s="1"/>
    </row>
    <row r="213" spans="1:5" ht="15.75" customHeight="1" x14ac:dyDescent="0.25">
      <c r="A213" s="1"/>
      <c r="B213" s="1"/>
      <c r="C213" s="1"/>
      <c r="D213" s="1"/>
      <c r="E213" s="1"/>
    </row>
    <row r="214" spans="1:5" ht="15.75" customHeight="1" x14ac:dyDescent="0.25">
      <c r="A214" s="1"/>
      <c r="B214" s="1"/>
      <c r="C214" s="1"/>
      <c r="D214" s="1"/>
      <c r="E214" s="1"/>
    </row>
    <row r="215" spans="1:5" ht="15.75" customHeight="1" x14ac:dyDescent="0.25">
      <c r="A215" s="1"/>
      <c r="B215" s="1"/>
      <c r="C215" s="1"/>
      <c r="D215" s="1"/>
      <c r="E215" s="1"/>
    </row>
    <row r="216" spans="1:5" ht="15.75" customHeight="1" x14ac:dyDescent="0.25">
      <c r="A216" s="1"/>
      <c r="B216" s="1"/>
      <c r="C216" s="1"/>
      <c r="D216" s="1"/>
      <c r="E216" s="1"/>
    </row>
    <row r="217" spans="1:5" ht="15.75" customHeight="1" x14ac:dyDescent="0.25">
      <c r="A217" s="1"/>
      <c r="B217" s="1"/>
      <c r="C217" s="1"/>
      <c r="D217" s="1"/>
      <c r="E217" s="1"/>
    </row>
    <row r="218" spans="1:5" ht="15.75" customHeight="1" x14ac:dyDescent="0.25">
      <c r="A218" s="1"/>
      <c r="B218" s="1"/>
      <c r="C218" s="1"/>
      <c r="D218" s="1"/>
      <c r="E218" s="1"/>
    </row>
    <row r="219" spans="1:5" ht="15.75" customHeight="1" x14ac:dyDescent="0.25">
      <c r="A219" s="1"/>
      <c r="B219" s="1"/>
      <c r="C219" s="1"/>
      <c r="D219" s="1"/>
      <c r="E219" s="1"/>
    </row>
    <row r="220" spans="1:5" ht="15.75" customHeight="1" x14ac:dyDescent="0.25">
      <c r="A220" s="1"/>
      <c r="B220" s="1"/>
      <c r="C220" s="1"/>
      <c r="D220" s="1"/>
      <c r="E220" s="1"/>
    </row>
    <row r="221" spans="1:5" ht="15.75" customHeight="1" x14ac:dyDescent="0.25">
      <c r="A221" s="1"/>
      <c r="B221" s="1"/>
      <c r="C221" s="1"/>
      <c r="D221" s="1"/>
      <c r="E221" s="1"/>
    </row>
    <row r="222" spans="1:5" ht="15.75" customHeight="1" x14ac:dyDescent="0.25">
      <c r="A222" s="1"/>
      <c r="B222" s="1"/>
      <c r="C222" s="1"/>
      <c r="D222" s="1"/>
      <c r="E222" s="1"/>
    </row>
    <row r="223" spans="1:5" ht="15.75" customHeight="1" x14ac:dyDescent="0.25">
      <c r="A223" s="1"/>
      <c r="B223" s="1"/>
      <c r="C223" s="1"/>
      <c r="D223" s="1"/>
      <c r="E223" s="1"/>
    </row>
    <row r="224" spans="1:5" ht="15.75" customHeight="1" x14ac:dyDescent="0.25">
      <c r="A224" s="1"/>
      <c r="B224" s="1"/>
      <c r="C224" s="1"/>
      <c r="D224" s="1"/>
      <c r="E224" s="1"/>
    </row>
    <row r="225" spans="1:5" ht="15.75" customHeight="1" x14ac:dyDescent="0.25">
      <c r="A225" s="1"/>
      <c r="B225" s="1"/>
      <c r="C225" s="1"/>
      <c r="D225" s="1"/>
      <c r="E225" s="1"/>
    </row>
    <row r="226" spans="1:5" ht="15.75" customHeight="1" x14ac:dyDescent="0.25">
      <c r="A226" s="1"/>
      <c r="B226" s="1"/>
      <c r="C226" s="1"/>
      <c r="D226" s="1"/>
      <c r="E226" s="1"/>
    </row>
    <row r="227" spans="1:5" ht="15.75" customHeight="1" x14ac:dyDescent="0.25">
      <c r="A227" s="1"/>
      <c r="B227" s="1"/>
      <c r="C227" s="1"/>
      <c r="D227" s="1"/>
      <c r="E227" s="1"/>
    </row>
    <row r="228" spans="1:5" ht="15.75" customHeight="1" x14ac:dyDescent="0.25">
      <c r="A228" s="1"/>
      <c r="B228" s="1"/>
      <c r="C228" s="1"/>
      <c r="D228" s="1"/>
      <c r="E228" s="1"/>
    </row>
    <row r="229" spans="1:5" ht="15.75" customHeight="1" x14ac:dyDescent="0.25">
      <c r="A229" s="1"/>
      <c r="B229" s="1"/>
      <c r="C229" s="1"/>
      <c r="D229" s="1"/>
      <c r="E229" s="1"/>
    </row>
    <row r="230" spans="1:5" ht="15.75" customHeight="1" x14ac:dyDescent="0.25">
      <c r="A230" s="1"/>
      <c r="B230" s="1"/>
      <c r="C230" s="1"/>
      <c r="D230" s="1"/>
      <c r="E230" s="1"/>
    </row>
    <row r="231" spans="1:5" ht="15.75" customHeight="1" x14ac:dyDescent="0.25">
      <c r="A231" s="1"/>
      <c r="B231" s="1"/>
      <c r="C231" s="1"/>
      <c r="D231" s="1"/>
      <c r="E231" s="1"/>
    </row>
    <row r="232" spans="1:5" ht="15.75" customHeight="1" x14ac:dyDescent="0.25">
      <c r="A232" s="1"/>
      <c r="B232" s="1"/>
      <c r="C232" s="1"/>
      <c r="D232" s="1"/>
      <c r="E232" s="1"/>
    </row>
    <row r="233" spans="1:5" ht="15.75" customHeight="1" x14ac:dyDescent="0.25">
      <c r="A233" s="1"/>
      <c r="B233" s="1"/>
      <c r="C233" s="1"/>
      <c r="D233" s="1"/>
      <c r="E233" s="1"/>
    </row>
    <row r="234" spans="1:5" ht="15.75" customHeight="1" x14ac:dyDescent="0.25">
      <c r="A234" s="1"/>
      <c r="B234" s="1"/>
      <c r="C234" s="1"/>
      <c r="D234" s="1"/>
      <c r="E234" s="1"/>
    </row>
    <row r="235" spans="1:5" ht="15.75" customHeight="1" x14ac:dyDescent="0.25">
      <c r="A235" s="1"/>
      <c r="B235" s="1"/>
      <c r="C235" s="1"/>
      <c r="D235" s="1"/>
      <c r="E235" s="1"/>
    </row>
    <row r="236" spans="1:5" ht="15.75" customHeight="1" x14ac:dyDescent="0.25">
      <c r="A236" s="1"/>
      <c r="B236" s="1"/>
      <c r="C236" s="1"/>
      <c r="D236" s="1"/>
      <c r="E236" s="1"/>
    </row>
    <row r="237" spans="1:5" ht="15.75" customHeight="1" x14ac:dyDescent="0.25">
      <c r="A237" s="1"/>
      <c r="B237" s="1"/>
      <c r="C237" s="1"/>
      <c r="D237" s="1"/>
      <c r="E237" s="1"/>
    </row>
    <row r="238" spans="1:5" ht="15.75" customHeight="1" x14ac:dyDescent="0.25">
      <c r="A238" s="1"/>
      <c r="B238" s="1"/>
      <c r="C238" s="1"/>
      <c r="D238" s="1"/>
      <c r="E238" s="1"/>
    </row>
    <row r="239" spans="1:5" ht="15.75" customHeight="1" x14ac:dyDescent="0.25">
      <c r="A239" s="1"/>
      <c r="B239" s="1"/>
      <c r="C239" s="1"/>
      <c r="D239" s="1"/>
      <c r="E239" s="1"/>
    </row>
    <row r="240" spans="1:5" ht="15.75" customHeight="1" x14ac:dyDescent="0.25">
      <c r="A240" s="1"/>
      <c r="B240" s="1"/>
      <c r="C240" s="1"/>
      <c r="D240" s="1"/>
      <c r="E240" s="1"/>
    </row>
    <row r="241" spans="1:5" ht="15.75" customHeight="1" x14ac:dyDescent="0.25">
      <c r="A241" s="1"/>
      <c r="B241" s="1"/>
      <c r="C241" s="1"/>
      <c r="D241" s="1"/>
      <c r="E241" s="1"/>
    </row>
    <row r="242" spans="1:5" ht="15.75" customHeight="1" x14ac:dyDescent="0.25">
      <c r="A242" s="1"/>
      <c r="B242" s="1"/>
      <c r="C242" s="1"/>
      <c r="D242" s="1"/>
      <c r="E242" s="1"/>
    </row>
    <row r="243" spans="1:5" ht="15.75" customHeight="1" x14ac:dyDescent="0.25">
      <c r="A243" s="1"/>
      <c r="B243" s="1"/>
      <c r="C243" s="1"/>
      <c r="D243" s="1"/>
      <c r="E243" s="1"/>
    </row>
    <row r="244" spans="1:5" ht="15.75" customHeight="1" x14ac:dyDescent="0.25">
      <c r="A244" s="1"/>
      <c r="B244" s="1"/>
      <c r="C244" s="1"/>
      <c r="D244" s="1"/>
      <c r="E244" s="1"/>
    </row>
    <row r="245" spans="1:5" ht="15.75" customHeight="1" x14ac:dyDescent="0.25">
      <c r="A245" s="1"/>
      <c r="B245" s="1"/>
      <c r="C245" s="1"/>
      <c r="D245" s="1"/>
      <c r="E245" s="1"/>
    </row>
    <row r="246" spans="1:5" ht="15.75" customHeight="1" x14ac:dyDescent="0.25">
      <c r="A246" s="1"/>
      <c r="B246" s="1"/>
      <c r="C246" s="1"/>
      <c r="D246" s="1"/>
      <c r="E246" s="1"/>
    </row>
    <row r="247" spans="1:5" ht="15.75" customHeight="1" x14ac:dyDescent="0.25">
      <c r="A247" s="1"/>
      <c r="B247" s="1"/>
      <c r="C247" s="1"/>
      <c r="D247" s="1"/>
      <c r="E247" s="1"/>
    </row>
    <row r="248" spans="1:5" ht="15.75" customHeight="1" x14ac:dyDescent="0.25">
      <c r="A248" s="1"/>
      <c r="B248" s="1"/>
      <c r="C248" s="1"/>
      <c r="D248" s="1"/>
      <c r="E248" s="1"/>
    </row>
    <row r="249" spans="1:5" ht="15.75" customHeight="1" x14ac:dyDescent="0.25">
      <c r="A249" s="1"/>
      <c r="B249" s="1"/>
      <c r="C249" s="1"/>
      <c r="D249" s="1"/>
      <c r="E249" s="1"/>
    </row>
    <row r="250" spans="1:5" ht="15.75" customHeight="1" x14ac:dyDescent="0.25">
      <c r="A250" s="1"/>
      <c r="B250" s="1"/>
      <c r="C250" s="1"/>
      <c r="D250" s="1"/>
      <c r="E250" s="1"/>
    </row>
    <row r="251" spans="1:5" ht="15.75" customHeight="1" x14ac:dyDescent="0.25">
      <c r="A251" s="1"/>
      <c r="B251" s="1"/>
      <c r="C251" s="1"/>
      <c r="D251" s="1"/>
      <c r="E251" s="1"/>
    </row>
    <row r="252" spans="1:5" ht="15.75" customHeight="1" x14ac:dyDescent="0.25">
      <c r="A252" s="1"/>
      <c r="B252" s="1"/>
      <c r="C252" s="1"/>
      <c r="D252" s="1"/>
      <c r="E252" s="1"/>
    </row>
    <row r="253" spans="1:5" ht="15.75" customHeight="1" x14ac:dyDescent="0.25">
      <c r="A253" s="1"/>
      <c r="B253" s="1"/>
      <c r="C253" s="1"/>
      <c r="D253" s="1"/>
      <c r="E253" s="1"/>
    </row>
    <row r="254" spans="1:5" ht="15.75" customHeight="1" x14ac:dyDescent="0.25">
      <c r="A254" s="1"/>
      <c r="B254" s="1"/>
      <c r="C254" s="1"/>
      <c r="D254" s="1"/>
      <c r="E254" s="1"/>
    </row>
    <row r="255" spans="1:5" ht="15.75" customHeight="1" x14ac:dyDescent="0.25">
      <c r="A255" s="1"/>
      <c r="B255" s="1"/>
      <c r="C255" s="1"/>
      <c r="D255" s="1"/>
      <c r="E255" s="1"/>
    </row>
    <row r="256" spans="1:5" ht="15.75" customHeight="1" x14ac:dyDescent="0.25">
      <c r="A256" s="1"/>
      <c r="B256" s="1"/>
      <c r="C256" s="1"/>
      <c r="D256" s="1"/>
      <c r="E256" s="1"/>
    </row>
    <row r="257" spans="1:5" ht="15.75" customHeight="1" x14ac:dyDescent="0.25">
      <c r="A257" s="1"/>
      <c r="B257" s="1"/>
      <c r="C257" s="1"/>
      <c r="D257" s="1"/>
      <c r="E257" s="1"/>
    </row>
    <row r="258" spans="1:5" ht="15.75" customHeight="1" x14ac:dyDescent="0.25">
      <c r="A258" s="1"/>
      <c r="B258" s="1"/>
      <c r="C258" s="1"/>
      <c r="D258" s="1"/>
      <c r="E258" s="1"/>
    </row>
    <row r="259" spans="1:5" ht="15.75" customHeight="1" x14ac:dyDescent="0.25">
      <c r="A259" s="1"/>
      <c r="B259" s="1"/>
      <c r="C259" s="1"/>
      <c r="D259" s="1"/>
      <c r="E259" s="1"/>
    </row>
    <row r="260" spans="1:5" ht="15.75" customHeight="1" x14ac:dyDescent="0.25">
      <c r="A260" s="1"/>
      <c r="B260" s="1"/>
      <c r="C260" s="1"/>
      <c r="D260" s="1"/>
      <c r="E260" s="1"/>
    </row>
    <row r="261" spans="1:5" ht="15.75" customHeight="1" x14ac:dyDescent="0.25">
      <c r="A261" s="1"/>
      <c r="B261" s="1"/>
      <c r="C261" s="1"/>
      <c r="D261" s="1"/>
      <c r="E261" s="1"/>
    </row>
    <row r="262" spans="1:5" ht="15.75" customHeight="1" x14ac:dyDescent="0.25">
      <c r="A262" s="1"/>
      <c r="B262" s="1"/>
      <c r="C262" s="1"/>
      <c r="D262" s="1"/>
      <c r="E262" s="1"/>
    </row>
    <row r="263" spans="1:5" ht="15.75" customHeight="1" x14ac:dyDescent="0.25">
      <c r="A263" s="1"/>
      <c r="B263" s="1"/>
      <c r="C263" s="1"/>
      <c r="D263" s="1"/>
      <c r="E263" s="1"/>
    </row>
    <row r="264" spans="1:5" ht="15.75" customHeight="1" x14ac:dyDescent="0.25">
      <c r="A264" s="1"/>
      <c r="B264" s="1"/>
      <c r="C264" s="1"/>
      <c r="D264" s="1"/>
      <c r="E264" s="1"/>
    </row>
    <row r="265" spans="1:5" ht="15.75" customHeight="1" x14ac:dyDescent="0.25">
      <c r="A265" s="1"/>
      <c r="B265" s="1"/>
      <c r="C265" s="1"/>
      <c r="D265" s="1"/>
      <c r="E265" s="1"/>
    </row>
    <row r="266" spans="1:5" ht="15.75" customHeight="1" x14ac:dyDescent="0.25">
      <c r="A266" s="1"/>
      <c r="B266" s="1"/>
      <c r="C266" s="1"/>
      <c r="D266" s="1"/>
      <c r="E266" s="1"/>
    </row>
    <row r="267" spans="1:5" ht="15.75" customHeight="1" x14ac:dyDescent="0.25">
      <c r="A267" s="1"/>
      <c r="B267" s="1"/>
      <c r="C267" s="1"/>
      <c r="D267" s="1"/>
      <c r="E267" s="1"/>
    </row>
    <row r="268" spans="1:5" ht="15.75" customHeight="1" x14ac:dyDescent="0.25">
      <c r="A268" s="1"/>
      <c r="B268" s="1"/>
      <c r="C268" s="1"/>
      <c r="D268" s="1"/>
      <c r="E268" s="1"/>
    </row>
    <row r="269" spans="1:5" ht="15.75" customHeight="1" x14ac:dyDescent="0.25">
      <c r="A269" s="1"/>
      <c r="B269" s="1"/>
      <c r="C269" s="1"/>
      <c r="D269" s="1"/>
      <c r="E269" s="1"/>
    </row>
    <row r="270" spans="1:5" ht="15.75" customHeight="1" x14ac:dyDescent="0.25">
      <c r="A270" s="1"/>
      <c r="B270" s="1"/>
      <c r="C270" s="1"/>
      <c r="D270" s="1"/>
      <c r="E270" s="1"/>
    </row>
    <row r="271" spans="1:5" ht="15.75" customHeight="1" x14ac:dyDescent="0.25">
      <c r="A271" s="1"/>
      <c r="B271" s="1"/>
      <c r="C271" s="1"/>
      <c r="D271" s="1"/>
      <c r="E271" s="1"/>
    </row>
    <row r="272" spans="1:5" ht="15.75" customHeight="1" x14ac:dyDescent="0.25">
      <c r="A272" s="1"/>
      <c r="B272" s="1"/>
      <c r="C272" s="1"/>
      <c r="D272" s="1"/>
      <c r="E272" s="1"/>
    </row>
    <row r="273" spans="1:5" ht="15.75" customHeight="1" x14ac:dyDescent="0.25">
      <c r="A273" s="1"/>
      <c r="B273" s="1"/>
      <c r="C273" s="1"/>
      <c r="D273" s="1"/>
      <c r="E273" s="1"/>
    </row>
    <row r="274" spans="1:5" ht="15.75" customHeight="1" x14ac:dyDescent="0.25">
      <c r="A274" s="1"/>
      <c r="B274" s="1"/>
      <c r="C274" s="1"/>
      <c r="D274" s="1"/>
      <c r="E274" s="1"/>
    </row>
    <row r="275" spans="1:5" ht="15.75" customHeight="1" x14ac:dyDescent="0.25">
      <c r="A275" s="1"/>
      <c r="B275" s="1"/>
      <c r="C275" s="1"/>
      <c r="D275" s="1"/>
      <c r="E275" s="1"/>
    </row>
    <row r="276" spans="1:5" ht="15.75" customHeight="1" x14ac:dyDescent="0.25">
      <c r="A276" s="1"/>
      <c r="B276" s="1"/>
      <c r="C276" s="1"/>
      <c r="D276" s="1"/>
      <c r="E276" s="1"/>
    </row>
    <row r="277" spans="1:5" ht="15.75" customHeight="1" x14ac:dyDescent="0.25">
      <c r="A277" s="1"/>
      <c r="B277" s="1"/>
      <c r="C277" s="1"/>
      <c r="D277" s="1"/>
      <c r="E277" s="1"/>
    </row>
    <row r="278" spans="1:5" ht="15.75" customHeight="1" x14ac:dyDescent="0.25">
      <c r="A278" s="1"/>
      <c r="B278" s="1"/>
      <c r="C278" s="1"/>
      <c r="D278" s="1"/>
      <c r="E278" s="1"/>
    </row>
    <row r="279" spans="1:5" ht="15.75" customHeight="1" x14ac:dyDescent="0.25">
      <c r="A279" s="1"/>
      <c r="B279" s="1"/>
      <c r="C279" s="1"/>
      <c r="D279" s="1"/>
      <c r="E279" s="1"/>
    </row>
    <row r="280" spans="1:5" ht="15.75" customHeight="1" x14ac:dyDescent="0.25">
      <c r="A280" s="1"/>
      <c r="B280" s="1"/>
      <c r="C280" s="1"/>
      <c r="D280" s="1"/>
      <c r="E280" s="1"/>
    </row>
    <row r="281" spans="1:5" ht="15.75" customHeight="1" x14ac:dyDescent="0.25">
      <c r="A281" s="1"/>
      <c r="B281" s="1"/>
      <c r="C281" s="1"/>
      <c r="D281" s="1"/>
      <c r="E281" s="1"/>
    </row>
    <row r="282" spans="1:5" ht="15.75" customHeight="1" x14ac:dyDescent="0.25">
      <c r="A282" s="1"/>
      <c r="B282" s="1"/>
      <c r="C282" s="1"/>
      <c r="D282" s="1"/>
      <c r="E282" s="1"/>
    </row>
    <row r="283" spans="1:5" ht="15.75" customHeight="1" x14ac:dyDescent="0.25">
      <c r="A283" s="1"/>
      <c r="B283" s="1"/>
      <c r="C283" s="1"/>
      <c r="D283" s="1"/>
      <c r="E283" s="1"/>
    </row>
    <row r="284" spans="1:5" ht="15.75" customHeight="1" x14ac:dyDescent="0.25">
      <c r="A284" s="1"/>
      <c r="B284" s="1"/>
      <c r="C284" s="1"/>
      <c r="D284" s="1"/>
      <c r="E284" s="1"/>
    </row>
    <row r="285" spans="1:5" ht="15.75" customHeight="1" x14ac:dyDescent="0.25">
      <c r="A285" s="1"/>
      <c r="B285" s="1"/>
      <c r="C285" s="1"/>
      <c r="D285" s="1"/>
      <c r="E285" s="1"/>
    </row>
    <row r="286" spans="1:5" ht="15.75" customHeight="1" x14ac:dyDescent="0.25">
      <c r="A286" s="1"/>
      <c r="B286" s="1"/>
      <c r="C286" s="1"/>
      <c r="D286" s="1"/>
      <c r="E286" s="1"/>
    </row>
    <row r="287" spans="1:5" ht="15.75" customHeight="1" x14ac:dyDescent="0.25">
      <c r="A287" s="1"/>
      <c r="B287" s="1"/>
      <c r="C287" s="1"/>
      <c r="D287" s="1"/>
      <c r="E287" s="1"/>
    </row>
    <row r="288" spans="1:5" ht="15.75" customHeight="1" x14ac:dyDescent="0.25">
      <c r="A288" s="1"/>
      <c r="B288" s="1"/>
      <c r="C288" s="1"/>
      <c r="D288" s="1"/>
      <c r="E288" s="1"/>
    </row>
    <row r="289" spans="1:5" ht="15.75" customHeight="1" x14ac:dyDescent="0.25">
      <c r="A289" s="1"/>
      <c r="B289" s="1"/>
      <c r="C289" s="1"/>
      <c r="D289" s="1"/>
      <c r="E289" s="1"/>
    </row>
    <row r="290" spans="1:5" ht="15.75" customHeight="1" x14ac:dyDescent="0.25">
      <c r="A290" s="1"/>
      <c r="B290" s="1"/>
      <c r="C290" s="1"/>
      <c r="D290" s="1"/>
      <c r="E290" s="1"/>
    </row>
    <row r="291" spans="1:5" ht="15.75" customHeight="1" x14ac:dyDescent="0.25">
      <c r="A291" s="1"/>
      <c r="B291" s="1"/>
      <c r="C291" s="1"/>
      <c r="D291" s="1"/>
      <c r="E291" s="1"/>
    </row>
    <row r="292" spans="1:5" ht="15.75" customHeight="1" x14ac:dyDescent="0.25">
      <c r="A292" s="1"/>
      <c r="B292" s="1"/>
      <c r="C292" s="1"/>
      <c r="D292" s="1"/>
      <c r="E292" s="1"/>
    </row>
    <row r="293" spans="1:5" ht="15.75" customHeight="1" x14ac:dyDescent="0.25">
      <c r="A293" s="1"/>
      <c r="B293" s="1"/>
      <c r="C293" s="1"/>
      <c r="D293" s="1"/>
      <c r="E293" s="1"/>
    </row>
    <row r="294" spans="1:5" ht="15.75" customHeight="1" x14ac:dyDescent="0.25">
      <c r="A294" s="1"/>
      <c r="B294" s="1"/>
      <c r="C294" s="1"/>
      <c r="D294" s="1"/>
      <c r="E294" s="1"/>
    </row>
    <row r="295" spans="1:5" ht="15.75" customHeight="1" x14ac:dyDescent="0.25">
      <c r="A295" s="1"/>
      <c r="B295" s="1"/>
      <c r="C295" s="1"/>
      <c r="D295" s="1"/>
      <c r="E295" s="1"/>
    </row>
    <row r="296" spans="1:5" ht="15.75" customHeight="1" x14ac:dyDescent="0.25">
      <c r="A296" s="1"/>
      <c r="B296" s="1"/>
      <c r="C296" s="1"/>
      <c r="D296" s="1"/>
      <c r="E296" s="1"/>
    </row>
    <row r="297" spans="1:5" ht="15.75" customHeight="1" x14ac:dyDescent="0.25">
      <c r="A297" s="1"/>
      <c r="B297" s="1"/>
      <c r="C297" s="1"/>
      <c r="D297" s="1"/>
      <c r="E297" s="1"/>
    </row>
    <row r="298" spans="1:5" ht="15.75" customHeight="1" x14ac:dyDescent="0.25">
      <c r="A298" s="1"/>
      <c r="B298" s="1"/>
      <c r="C298" s="1"/>
      <c r="D298" s="1"/>
      <c r="E298" s="1"/>
    </row>
    <row r="299" spans="1:5" ht="15.75" customHeight="1" x14ac:dyDescent="0.25">
      <c r="A299" s="1"/>
      <c r="B299" s="1"/>
      <c r="C299" s="1"/>
      <c r="D299" s="1"/>
      <c r="E299" s="1"/>
    </row>
    <row r="300" spans="1:5" ht="15.75" customHeight="1" x14ac:dyDescent="0.25">
      <c r="A300" s="1"/>
      <c r="B300" s="1"/>
      <c r="C300" s="1"/>
      <c r="D300" s="1"/>
      <c r="E300" s="1"/>
    </row>
    <row r="301" spans="1:5" ht="15.75" customHeight="1" x14ac:dyDescent="0.25">
      <c r="A301" s="1"/>
      <c r="B301" s="1"/>
      <c r="C301" s="1"/>
      <c r="D301" s="1"/>
      <c r="E301" s="1"/>
    </row>
    <row r="302" spans="1:5" ht="15.75" customHeight="1" x14ac:dyDescent="0.25">
      <c r="A302" s="1"/>
      <c r="B302" s="1"/>
      <c r="C302" s="1"/>
      <c r="D302" s="1"/>
      <c r="E302" s="1"/>
    </row>
    <row r="303" spans="1:5" ht="15.75" customHeight="1" x14ac:dyDescent="0.25">
      <c r="A303" s="1"/>
      <c r="B303" s="1"/>
      <c r="C303" s="1"/>
      <c r="D303" s="1"/>
      <c r="E303" s="1"/>
    </row>
    <row r="304" spans="1:5" ht="15.75" customHeight="1" x14ac:dyDescent="0.25">
      <c r="A304" s="1"/>
      <c r="B304" s="1"/>
      <c r="C304" s="1"/>
      <c r="D304" s="1"/>
      <c r="E304" s="1"/>
    </row>
    <row r="305" spans="1:5" ht="15.75" customHeight="1" x14ac:dyDescent="0.25">
      <c r="A305" s="1"/>
      <c r="B305" s="1"/>
      <c r="C305" s="1"/>
      <c r="D305" s="1"/>
      <c r="E305" s="1"/>
    </row>
    <row r="306" spans="1:5" ht="15.75" customHeight="1" x14ac:dyDescent="0.25">
      <c r="A306" s="1"/>
      <c r="B306" s="1"/>
      <c r="C306" s="1"/>
      <c r="D306" s="1"/>
      <c r="E306" s="1"/>
    </row>
    <row r="307" spans="1:5" ht="15.75" customHeight="1" x14ac:dyDescent="0.25">
      <c r="A307" s="1"/>
      <c r="B307" s="1"/>
      <c r="C307" s="1"/>
      <c r="D307" s="1"/>
      <c r="E307" s="1"/>
    </row>
    <row r="308" spans="1:5" ht="15.75" customHeight="1" x14ac:dyDescent="0.25">
      <c r="A308" s="1"/>
      <c r="B308" s="1"/>
      <c r="C308" s="1"/>
      <c r="D308" s="1"/>
      <c r="E308" s="1"/>
    </row>
    <row r="309" spans="1:5" ht="15.75" customHeight="1" x14ac:dyDescent="0.25">
      <c r="A309" s="1"/>
      <c r="B309" s="1"/>
      <c r="C309" s="1"/>
      <c r="D309" s="1"/>
      <c r="E309" s="1"/>
    </row>
    <row r="310" spans="1:5" ht="15.75" customHeight="1" x14ac:dyDescent="0.25">
      <c r="A310" s="1"/>
      <c r="B310" s="1"/>
      <c r="C310" s="1"/>
      <c r="D310" s="1"/>
      <c r="E310" s="1"/>
    </row>
    <row r="311" spans="1:5" ht="15.75" customHeight="1" x14ac:dyDescent="0.25">
      <c r="A311" s="1"/>
      <c r="B311" s="1"/>
      <c r="C311" s="1"/>
      <c r="D311" s="1"/>
      <c r="E311" s="1"/>
    </row>
    <row r="312" spans="1:5" ht="15.75" customHeight="1" x14ac:dyDescent="0.25">
      <c r="A312" s="1"/>
      <c r="B312" s="1"/>
      <c r="C312" s="1"/>
      <c r="D312" s="1"/>
      <c r="E312" s="1"/>
    </row>
    <row r="313" spans="1:5" ht="15.75" customHeight="1" x14ac:dyDescent="0.25">
      <c r="A313" s="1"/>
      <c r="B313" s="1"/>
      <c r="C313" s="1"/>
      <c r="D313" s="1"/>
      <c r="E313" s="1"/>
    </row>
    <row r="314" spans="1:5" ht="15.75" customHeight="1" x14ac:dyDescent="0.25">
      <c r="A314" s="1"/>
      <c r="B314" s="1"/>
      <c r="C314" s="1"/>
      <c r="D314" s="1"/>
      <c r="E314" s="1"/>
    </row>
    <row r="315" spans="1:5" ht="15.75" customHeight="1" x14ac:dyDescent="0.25">
      <c r="A315" s="1"/>
      <c r="B315" s="1"/>
      <c r="C315" s="1"/>
      <c r="D315" s="1"/>
      <c r="E315" s="1"/>
    </row>
    <row r="316" spans="1:5" ht="15.75" customHeight="1" x14ac:dyDescent="0.25">
      <c r="A316" s="1"/>
      <c r="B316" s="1"/>
      <c r="C316" s="1"/>
      <c r="D316" s="1"/>
      <c r="E316" s="1"/>
    </row>
    <row r="317" spans="1:5" ht="15.75" customHeight="1" x14ac:dyDescent="0.25">
      <c r="A317" s="1"/>
      <c r="B317" s="1"/>
      <c r="C317" s="1"/>
      <c r="D317" s="1"/>
      <c r="E317" s="1"/>
    </row>
    <row r="318" spans="1:5" ht="15.75" customHeight="1" x14ac:dyDescent="0.25">
      <c r="A318" s="1"/>
      <c r="B318" s="1"/>
      <c r="C318" s="1"/>
      <c r="D318" s="1"/>
      <c r="E318" s="1"/>
    </row>
    <row r="319" spans="1:5" ht="15.75" customHeight="1" x14ac:dyDescent="0.25">
      <c r="A319" s="1"/>
      <c r="B319" s="1"/>
      <c r="C319" s="1"/>
      <c r="D319" s="1"/>
      <c r="E319" s="1"/>
    </row>
    <row r="320" spans="1:5" ht="15.75" customHeight="1" x14ac:dyDescent="0.25">
      <c r="A320" s="1"/>
      <c r="B320" s="1"/>
      <c r="C320" s="1"/>
      <c r="D320" s="1"/>
      <c r="E320" s="1"/>
    </row>
    <row r="321" spans="1:5" ht="15.75" customHeight="1" x14ac:dyDescent="0.25">
      <c r="A321" s="1"/>
      <c r="B321" s="1"/>
      <c r="C321" s="1"/>
      <c r="D321" s="1"/>
      <c r="E321" s="1"/>
    </row>
    <row r="322" spans="1:5" ht="15.75" customHeight="1" x14ac:dyDescent="0.25">
      <c r="A322" s="1"/>
      <c r="B322" s="1"/>
      <c r="C322" s="1"/>
      <c r="D322" s="1"/>
      <c r="E322" s="1"/>
    </row>
    <row r="323" spans="1:5" ht="15.75" customHeight="1" x14ac:dyDescent="0.25">
      <c r="A323" s="1"/>
      <c r="B323" s="1"/>
      <c r="C323" s="1"/>
      <c r="D323" s="1"/>
      <c r="E323" s="1"/>
    </row>
    <row r="324" spans="1:5" ht="15.75" customHeight="1" x14ac:dyDescent="0.25">
      <c r="A324" s="1"/>
      <c r="B324" s="1"/>
      <c r="C324" s="1"/>
      <c r="D324" s="1"/>
      <c r="E324" s="1"/>
    </row>
    <row r="325" spans="1:5" ht="15.75" customHeight="1" x14ac:dyDescent="0.25">
      <c r="A325" s="1"/>
      <c r="B325" s="1"/>
      <c r="C325" s="1"/>
      <c r="D325" s="1"/>
      <c r="E325" s="1"/>
    </row>
    <row r="326" spans="1:5" ht="15.75" customHeight="1" x14ac:dyDescent="0.25">
      <c r="A326" s="1"/>
      <c r="B326" s="1"/>
      <c r="C326" s="1"/>
      <c r="D326" s="1"/>
      <c r="E326" s="1"/>
    </row>
    <row r="327" spans="1:5" ht="15.75" customHeight="1" x14ac:dyDescent="0.25">
      <c r="A327" s="1"/>
      <c r="B327" s="1"/>
      <c r="C327" s="1"/>
      <c r="D327" s="1"/>
      <c r="E327" s="1"/>
    </row>
    <row r="328" spans="1:5" ht="15.75" customHeight="1" x14ac:dyDescent="0.25">
      <c r="A328" s="1"/>
      <c r="B328" s="1"/>
      <c r="C328" s="1"/>
      <c r="D328" s="1"/>
      <c r="E328" s="1"/>
    </row>
    <row r="329" spans="1:5" ht="15.75" customHeight="1" x14ac:dyDescent="0.25">
      <c r="A329" s="1"/>
      <c r="B329" s="1"/>
      <c r="C329" s="1"/>
      <c r="D329" s="1"/>
      <c r="E329" s="1"/>
    </row>
    <row r="330" spans="1:5" ht="15.75" customHeight="1" x14ac:dyDescent="0.25">
      <c r="A330" s="1"/>
      <c r="B330" s="1"/>
      <c r="C330" s="1"/>
      <c r="D330" s="1"/>
      <c r="E330" s="1"/>
    </row>
    <row r="331" spans="1:5" ht="15.75" customHeight="1" x14ac:dyDescent="0.25">
      <c r="A331" s="1"/>
      <c r="B331" s="1"/>
      <c r="C331" s="1"/>
      <c r="D331" s="1"/>
      <c r="E331" s="1"/>
    </row>
    <row r="332" spans="1:5" ht="15.75" customHeight="1" x14ac:dyDescent="0.25">
      <c r="A332" s="1"/>
      <c r="B332" s="1"/>
      <c r="C332" s="1"/>
      <c r="D332" s="1"/>
      <c r="E332" s="1"/>
    </row>
    <row r="333" spans="1:5" ht="15.75" customHeight="1" x14ac:dyDescent="0.25">
      <c r="A333" s="1"/>
      <c r="B333" s="1"/>
      <c r="C333" s="1"/>
      <c r="D333" s="1"/>
      <c r="E333" s="1"/>
    </row>
    <row r="334" spans="1:5" ht="15.75" customHeight="1" x14ac:dyDescent="0.25">
      <c r="A334" s="1"/>
      <c r="B334" s="1"/>
      <c r="C334" s="1"/>
      <c r="D334" s="1"/>
      <c r="E334" s="1"/>
    </row>
    <row r="335" spans="1:5" ht="15.75" customHeight="1" x14ac:dyDescent="0.25">
      <c r="A335" s="1"/>
      <c r="B335" s="1"/>
      <c r="C335" s="1"/>
      <c r="D335" s="1"/>
      <c r="E335" s="1"/>
    </row>
    <row r="336" spans="1:5" ht="15.75" customHeight="1" x14ac:dyDescent="0.25">
      <c r="A336" s="1"/>
      <c r="B336" s="1"/>
      <c r="C336" s="1"/>
      <c r="D336" s="1"/>
      <c r="E336" s="1"/>
    </row>
    <row r="337" spans="1:5" ht="15.75" customHeight="1" x14ac:dyDescent="0.25">
      <c r="A337" s="1"/>
      <c r="B337" s="1"/>
      <c r="C337" s="1"/>
      <c r="D337" s="1"/>
      <c r="E337" s="1"/>
    </row>
    <row r="338" spans="1:5" ht="15.75" customHeight="1" x14ac:dyDescent="0.25">
      <c r="A338" s="1"/>
      <c r="B338" s="1"/>
      <c r="C338" s="1"/>
      <c r="D338" s="1"/>
      <c r="E338" s="1"/>
    </row>
    <row r="339" spans="1:5" ht="15.75" customHeight="1" x14ac:dyDescent="0.25">
      <c r="A339" s="1"/>
      <c r="B339" s="1"/>
      <c r="C339" s="1"/>
      <c r="D339" s="1"/>
      <c r="E339" s="1"/>
    </row>
    <row r="340" spans="1:5" ht="15.75" customHeight="1" x14ac:dyDescent="0.25">
      <c r="A340" s="1"/>
      <c r="B340" s="1"/>
      <c r="C340" s="1"/>
      <c r="D340" s="1"/>
      <c r="E340" s="1"/>
    </row>
    <row r="341" spans="1:5" ht="15.75" customHeight="1" x14ac:dyDescent="0.25">
      <c r="A341" s="1"/>
      <c r="B341" s="1"/>
      <c r="C341" s="1"/>
      <c r="D341" s="1"/>
      <c r="E341" s="1"/>
    </row>
    <row r="342" spans="1:5" ht="15.75" customHeight="1" x14ac:dyDescent="0.25">
      <c r="A342" s="1"/>
      <c r="B342" s="1"/>
      <c r="C342" s="1"/>
      <c r="D342" s="1"/>
      <c r="E342" s="1"/>
    </row>
    <row r="343" spans="1:5" ht="15.75" customHeight="1" x14ac:dyDescent="0.25">
      <c r="A343" s="1"/>
      <c r="B343" s="1"/>
      <c r="C343" s="1"/>
      <c r="D343" s="1"/>
      <c r="E343" s="1"/>
    </row>
    <row r="344" spans="1:5" ht="15.75" customHeight="1" x14ac:dyDescent="0.25">
      <c r="A344" s="1"/>
      <c r="B344" s="1"/>
      <c r="C344" s="1"/>
      <c r="D344" s="1"/>
      <c r="E344" s="1"/>
    </row>
    <row r="345" spans="1:5" ht="15.75" customHeight="1" x14ac:dyDescent="0.25">
      <c r="A345" s="1"/>
      <c r="B345" s="1"/>
      <c r="C345" s="1"/>
      <c r="D345" s="1"/>
      <c r="E345" s="1"/>
    </row>
    <row r="346" spans="1:5" ht="15.75" customHeight="1" x14ac:dyDescent="0.25">
      <c r="A346" s="1"/>
      <c r="B346" s="1"/>
      <c r="C346" s="1"/>
      <c r="D346" s="1"/>
      <c r="E346" s="1"/>
    </row>
    <row r="347" spans="1:5" ht="15.75" customHeight="1" x14ac:dyDescent="0.25">
      <c r="A347" s="1"/>
      <c r="B347" s="1"/>
      <c r="C347" s="1"/>
      <c r="D347" s="1"/>
      <c r="E347" s="1"/>
    </row>
    <row r="348" spans="1:5" ht="15.75" customHeight="1" x14ac:dyDescent="0.25">
      <c r="A348" s="1"/>
      <c r="B348" s="1"/>
      <c r="C348" s="1"/>
      <c r="D348" s="1"/>
      <c r="E348" s="1"/>
    </row>
    <row r="349" spans="1:5" ht="15.75" customHeight="1" x14ac:dyDescent="0.25">
      <c r="A349" s="1"/>
      <c r="B349" s="1"/>
      <c r="C349" s="1"/>
      <c r="D349" s="1"/>
      <c r="E349" s="1"/>
    </row>
    <row r="350" spans="1:5" ht="15.75" customHeight="1" x14ac:dyDescent="0.25">
      <c r="A350" s="1"/>
      <c r="B350" s="1"/>
      <c r="C350" s="1"/>
      <c r="D350" s="1"/>
      <c r="E350" s="1"/>
    </row>
    <row r="351" spans="1:5" ht="15.75" customHeight="1" x14ac:dyDescent="0.25">
      <c r="A351" s="1"/>
      <c r="B351" s="1"/>
      <c r="C351" s="1"/>
      <c r="D351" s="1"/>
      <c r="E351" s="1"/>
    </row>
    <row r="352" spans="1:5" ht="15.75" customHeight="1" x14ac:dyDescent="0.25">
      <c r="A352" s="1"/>
      <c r="B352" s="1"/>
      <c r="C352" s="1"/>
      <c r="D352" s="1"/>
      <c r="E352" s="1"/>
    </row>
    <row r="353" spans="1:5" ht="15.75" customHeight="1" x14ac:dyDescent="0.25">
      <c r="A353" s="1"/>
      <c r="B353" s="1"/>
      <c r="C353" s="1"/>
      <c r="D353" s="1"/>
      <c r="E353" s="1"/>
    </row>
    <row r="354" spans="1:5" ht="15.75" customHeight="1" x14ac:dyDescent="0.25">
      <c r="A354" s="1"/>
      <c r="B354" s="1"/>
      <c r="C354" s="1"/>
      <c r="D354" s="1"/>
      <c r="E354" s="1"/>
    </row>
    <row r="355" spans="1:5" ht="15.75" customHeight="1" x14ac:dyDescent="0.25">
      <c r="A355" s="1"/>
      <c r="B355" s="1"/>
      <c r="C355" s="1"/>
      <c r="D355" s="1"/>
      <c r="E355" s="1"/>
    </row>
    <row r="356" spans="1:5" ht="15.75" customHeight="1" x14ac:dyDescent="0.25">
      <c r="A356" s="1"/>
      <c r="B356" s="1"/>
      <c r="C356" s="1"/>
      <c r="D356" s="1"/>
      <c r="E356" s="1"/>
    </row>
    <row r="357" spans="1:5" ht="15.75" customHeight="1" x14ac:dyDescent="0.25">
      <c r="A357" s="1"/>
      <c r="B357" s="1"/>
      <c r="C357" s="1"/>
      <c r="D357" s="1"/>
      <c r="E357" s="1"/>
    </row>
    <row r="358" spans="1:5" ht="15.75" customHeight="1" x14ac:dyDescent="0.25">
      <c r="A358" s="1"/>
      <c r="B358" s="1"/>
      <c r="C358" s="1"/>
      <c r="D358" s="1"/>
      <c r="E358" s="1"/>
    </row>
    <row r="359" spans="1:5" ht="15.75" customHeight="1" x14ac:dyDescent="0.25">
      <c r="A359" s="1"/>
      <c r="B359" s="1"/>
      <c r="C359" s="1"/>
      <c r="D359" s="1"/>
      <c r="E359" s="1"/>
    </row>
    <row r="360" spans="1:5" ht="15.75" customHeight="1" x14ac:dyDescent="0.25">
      <c r="A360" s="1"/>
      <c r="B360" s="1"/>
      <c r="C360" s="1"/>
      <c r="D360" s="1"/>
      <c r="E360" s="1"/>
    </row>
    <row r="361" spans="1:5" ht="15.75" customHeight="1" x14ac:dyDescent="0.25">
      <c r="A361" s="1"/>
      <c r="B361" s="1"/>
      <c r="C361" s="1"/>
      <c r="D361" s="1"/>
      <c r="E361" s="1"/>
    </row>
    <row r="362" spans="1:5" ht="15.75" customHeight="1" x14ac:dyDescent="0.25">
      <c r="A362" s="1"/>
      <c r="B362" s="1"/>
      <c r="C362" s="1"/>
      <c r="D362" s="1"/>
      <c r="E362" s="1"/>
    </row>
    <row r="363" spans="1:5" ht="15.75" customHeight="1" x14ac:dyDescent="0.25">
      <c r="A363" s="1"/>
      <c r="B363" s="1"/>
      <c r="C363" s="1"/>
      <c r="D363" s="1"/>
      <c r="E363" s="1"/>
    </row>
    <row r="364" spans="1:5" ht="15.75" customHeight="1" x14ac:dyDescent="0.25">
      <c r="A364" s="1"/>
      <c r="B364" s="1"/>
      <c r="C364" s="1"/>
      <c r="D364" s="1"/>
      <c r="E364" s="1"/>
    </row>
    <row r="365" spans="1:5" ht="15.75" customHeight="1" x14ac:dyDescent="0.25">
      <c r="A365" s="1"/>
      <c r="B365" s="1"/>
      <c r="C365" s="1"/>
      <c r="D365" s="1"/>
      <c r="E365" s="1"/>
    </row>
    <row r="366" spans="1:5" ht="15.75" customHeight="1" x14ac:dyDescent="0.25">
      <c r="A366" s="1"/>
      <c r="B366" s="1"/>
      <c r="C366" s="1"/>
      <c r="D366" s="1"/>
      <c r="E366" s="1"/>
    </row>
    <row r="367" spans="1:5" ht="15.75" customHeight="1" x14ac:dyDescent="0.25">
      <c r="A367" s="1"/>
      <c r="B367" s="1"/>
      <c r="C367" s="1"/>
      <c r="D367" s="1"/>
      <c r="E367" s="1"/>
    </row>
    <row r="368" spans="1:5" ht="15.75" customHeight="1" x14ac:dyDescent="0.25">
      <c r="A368" s="1"/>
      <c r="B368" s="1"/>
      <c r="C368" s="1"/>
      <c r="D368" s="1"/>
      <c r="E368" s="1"/>
    </row>
    <row r="369" spans="1:5" ht="15.75" customHeight="1" x14ac:dyDescent="0.25">
      <c r="A369" s="1"/>
      <c r="B369" s="1"/>
      <c r="C369" s="1"/>
      <c r="D369" s="1"/>
      <c r="E369" s="1"/>
    </row>
    <row r="370" spans="1:5" ht="15.75" customHeight="1" x14ac:dyDescent="0.25">
      <c r="A370" s="1"/>
      <c r="B370" s="1"/>
      <c r="C370" s="1"/>
      <c r="D370" s="1"/>
      <c r="E370" s="1"/>
    </row>
    <row r="371" spans="1:5" ht="15.75" customHeight="1" x14ac:dyDescent="0.25">
      <c r="A371" s="1"/>
      <c r="B371" s="1"/>
      <c r="C371" s="1"/>
      <c r="D371" s="1"/>
      <c r="E371" s="1"/>
    </row>
    <row r="372" spans="1:5" ht="15.75" customHeight="1" x14ac:dyDescent="0.25">
      <c r="A372" s="1"/>
      <c r="B372" s="1"/>
      <c r="C372" s="1"/>
      <c r="D372" s="1"/>
      <c r="E372" s="1"/>
    </row>
    <row r="373" spans="1:5" ht="15.75" customHeight="1" x14ac:dyDescent="0.25">
      <c r="A373" s="1"/>
      <c r="B373" s="1"/>
      <c r="C373" s="1"/>
      <c r="D373" s="1"/>
      <c r="E373" s="1"/>
    </row>
    <row r="374" spans="1:5" ht="15.75" customHeight="1" x14ac:dyDescent="0.25">
      <c r="A374" s="1"/>
      <c r="B374" s="1"/>
      <c r="C374" s="1"/>
      <c r="D374" s="1"/>
      <c r="E374" s="1"/>
    </row>
    <row r="375" spans="1:5" ht="15.75" customHeight="1" x14ac:dyDescent="0.25">
      <c r="A375" s="1"/>
      <c r="B375" s="1"/>
      <c r="C375" s="1"/>
      <c r="D375" s="1"/>
      <c r="E375" s="1"/>
    </row>
    <row r="376" spans="1:5" ht="15.75" customHeight="1" x14ac:dyDescent="0.25">
      <c r="A376" s="1"/>
      <c r="B376" s="1"/>
      <c r="C376" s="1"/>
      <c r="D376" s="1"/>
      <c r="E376" s="1"/>
    </row>
    <row r="377" spans="1:5" ht="15.75" customHeight="1" x14ac:dyDescent="0.25">
      <c r="A377" s="1"/>
      <c r="B377" s="1"/>
      <c r="C377" s="1"/>
      <c r="D377" s="1"/>
      <c r="E377" s="1"/>
    </row>
    <row r="378" spans="1:5" ht="15.75" customHeight="1" x14ac:dyDescent="0.25">
      <c r="A378" s="1"/>
      <c r="B378" s="1"/>
      <c r="C378" s="1"/>
      <c r="D378" s="1"/>
      <c r="E378" s="1"/>
    </row>
    <row r="379" spans="1:5" ht="15.75" customHeight="1" x14ac:dyDescent="0.25">
      <c r="A379" s="1"/>
      <c r="B379" s="1"/>
      <c r="C379" s="1"/>
      <c r="D379" s="1"/>
      <c r="E379" s="1"/>
    </row>
    <row r="380" spans="1:5" ht="15.75" customHeight="1" x14ac:dyDescent="0.25">
      <c r="A380" s="1"/>
      <c r="B380" s="1"/>
      <c r="C380" s="1"/>
      <c r="D380" s="1"/>
      <c r="E380" s="1"/>
    </row>
    <row r="381" spans="1:5" ht="15.75" customHeight="1" x14ac:dyDescent="0.25">
      <c r="A381" s="1"/>
      <c r="B381" s="1"/>
      <c r="C381" s="1"/>
      <c r="D381" s="1"/>
      <c r="E381" s="1"/>
    </row>
    <row r="382" spans="1:5" ht="15.75" customHeight="1" x14ac:dyDescent="0.25">
      <c r="A382" s="1"/>
      <c r="B382" s="1"/>
      <c r="C382" s="1"/>
      <c r="D382" s="1"/>
      <c r="E382" s="1"/>
    </row>
    <row r="383" spans="1:5" ht="15.75" customHeight="1" x14ac:dyDescent="0.25">
      <c r="A383" s="1"/>
      <c r="B383" s="1"/>
      <c r="C383" s="1"/>
      <c r="D383" s="1"/>
      <c r="E383" s="1"/>
    </row>
    <row r="384" spans="1:5" ht="15.75" customHeight="1" x14ac:dyDescent="0.25">
      <c r="A384" s="1"/>
      <c r="B384" s="1"/>
      <c r="C384" s="1"/>
      <c r="D384" s="1"/>
      <c r="E384" s="1"/>
    </row>
    <row r="385" spans="1:5" ht="15.75" customHeight="1" x14ac:dyDescent="0.25">
      <c r="A385" s="1"/>
      <c r="B385" s="1"/>
      <c r="C385" s="1"/>
      <c r="D385" s="1"/>
      <c r="E385" s="1"/>
    </row>
    <row r="386" spans="1:5" ht="15.75" customHeight="1" x14ac:dyDescent="0.25">
      <c r="A386" s="1"/>
      <c r="B386" s="1"/>
      <c r="C386" s="1"/>
      <c r="D386" s="1"/>
      <c r="E386" s="1"/>
    </row>
    <row r="387" spans="1:5" ht="15.75" customHeight="1" x14ac:dyDescent="0.25">
      <c r="A387" s="1"/>
      <c r="B387" s="1"/>
      <c r="C387" s="1"/>
      <c r="D387" s="1"/>
      <c r="E387" s="1"/>
    </row>
    <row r="388" spans="1:5" ht="15.75" customHeight="1" x14ac:dyDescent="0.25">
      <c r="A388" s="1"/>
      <c r="B388" s="1"/>
      <c r="C388" s="1"/>
      <c r="D388" s="1"/>
      <c r="E388" s="1"/>
    </row>
    <row r="389" spans="1:5" ht="15.75" customHeight="1" x14ac:dyDescent="0.25">
      <c r="A389" s="1"/>
      <c r="B389" s="1"/>
      <c r="C389" s="1"/>
      <c r="D389" s="1"/>
      <c r="E389" s="1"/>
    </row>
    <row r="390" spans="1:5" ht="15.75" customHeight="1" x14ac:dyDescent="0.25">
      <c r="A390" s="1"/>
      <c r="B390" s="1"/>
      <c r="C390" s="1"/>
      <c r="D390" s="1"/>
      <c r="E390" s="1"/>
    </row>
    <row r="391" spans="1:5" ht="15.75" customHeight="1" x14ac:dyDescent="0.25">
      <c r="A391" s="1"/>
      <c r="B391" s="1"/>
      <c r="C391" s="1"/>
      <c r="D391" s="1"/>
      <c r="E391" s="1"/>
    </row>
    <row r="392" spans="1:5" ht="15.75" customHeight="1" x14ac:dyDescent="0.25">
      <c r="A392" s="1"/>
      <c r="B392" s="1"/>
      <c r="C392" s="1"/>
      <c r="D392" s="1"/>
      <c r="E392" s="1"/>
    </row>
    <row r="393" spans="1:5" ht="15.75" customHeight="1" x14ac:dyDescent="0.25">
      <c r="A393" s="1"/>
      <c r="B393" s="1"/>
      <c r="C393" s="1"/>
      <c r="D393" s="1"/>
      <c r="E393" s="1"/>
    </row>
    <row r="394" spans="1:5" ht="15.75" customHeight="1" x14ac:dyDescent="0.25">
      <c r="A394" s="1"/>
      <c r="B394" s="1"/>
      <c r="C394" s="1"/>
      <c r="D394" s="1"/>
      <c r="E394" s="1"/>
    </row>
    <row r="395" spans="1:5" ht="15.75" customHeight="1" x14ac:dyDescent="0.25">
      <c r="A395" s="1"/>
      <c r="B395" s="1"/>
      <c r="C395" s="1"/>
      <c r="D395" s="1"/>
      <c r="E395" s="1"/>
    </row>
    <row r="396" spans="1:5" ht="15.75" customHeight="1" x14ac:dyDescent="0.25">
      <c r="A396" s="1"/>
      <c r="B396" s="1"/>
      <c r="C396" s="1"/>
      <c r="D396" s="1"/>
      <c r="E396" s="1"/>
    </row>
    <row r="397" spans="1:5" ht="15.75" customHeight="1" x14ac:dyDescent="0.25">
      <c r="A397" s="1"/>
      <c r="B397" s="1"/>
      <c r="C397" s="1"/>
      <c r="D397" s="1"/>
      <c r="E397" s="1"/>
    </row>
    <row r="398" spans="1:5" ht="15.75" customHeight="1" x14ac:dyDescent="0.25">
      <c r="A398" s="1"/>
      <c r="B398" s="1"/>
      <c r="C398" s="1"/>
      <c r="D398" s="1"/>
      <c r="E398" s="1"/>
    </row>
    <row r="399" spans="1:5" ht="15.75" customHeight="1" x14ac:dyDescent="0.25">
      <c r="A399" s="1"/>
      <c r="B399" s="1"/>
      <c r="C399" s="1"/>
      <c r="D399" s="1"/>
      <c r="E399" s="1"/>
    </row>
    <row r="400" spans="1:5" ht="15.75" customHeight="1" x14ac:dyDescent="0.25">
      <c r="A400" s="1"/>
      <c r="B400" s="1"/>
      <c r="C400" s="1"/>
      <c r="D400" s="1"/>
      <c r="E400" s="1"/>
    </row>
    <row r="401" spans="1:5" ht="15.75" customHeight="1" x14ac:dyDescent="0.25">
      <c r="A401" s="1"/>
      <c r="B401" s="1"/>
      <c r="C401" s="1"/>
      <c r="D401" s="1"/>
      <c r="E401" s="1"/>
    </row>
    <row r="402" spans="1:5" ht="15.75" customHeight="1" x14ac:dyDescent="0.25">
      <c r="A402" s="1"/>
      <c r="B402" s="1"/>
      <c r="C402" s="1"/>
      <c r="D402" s="1"/>
      <c r="E402" s="1"/>
    </row>
    <row r="403" spans="1:5" ht="15.75" customHeight="1" x14ac:dyDescent="0.25">
      <c r="A403" s="1"/>
      <c r="B403" s="1"/>
      <c r="C403" s="1"/>
      <c r="D403" s="1"/>
      <c r="E403" s="1"/>
    </row>
    <row r="404" spans="1:5" ht="15.75" customHeight="1" x14ac:dyDescent="0.25">
      <c r="A404" s="1"/>
      <c r="B404" s="1"/>
      <c r="C404" s="1"/>
      <c r="D404" s="1"/>
      <c r="E404" s="1"/>
    </row>
    <row r="405" spans="1:5" ht="15.75" customHeight="1" x14ac:dyDescent="0.25">
      <c r="A405" s="1"/>
      <c r="B405" s="1"/>
      <c r="C405" s="1"/>
      <c r="D405" s="1"/>
      <c r="E405" s="1"/>
    </row>
    <row r="406" spans="1:5" ht="15.75" customHeight="1" x14ac:dyDescent="0.25">
      <c r="A406" s="1"/>
      <c r="B406" s="1"/>
      <c r="C406" s="1"/>
      <c r="D406" s="1"/>
      <c r="E406" s="1"/>
    </row>
    <row r="407" spans="1:5" ht="15.75" customHeight="1" x14ac:dyDescent="0.25">
      <c r="A407" s="1"/>
      <c r="B407" s="1"/>
      <c r="C407" s="1"/>
      <c r="D407" s="1"/>
      <c r="E407" s="1"/>
    </row>
    <row r="408" spans="1:5" ht="15.75" customHeight="1" x14ac:dyDescent="0.25">
      <c r="A408" s="1"/>
      <c r="B408" s="1"/>
      <c r="C408" s="1"/>
      <c r="D408" s="1"/>
      <c r="E408" s="1"/>
    </row>
    <row r="409" spans="1:5" ht="15.75" customHeight="1" x14ac:dyDescent="0.25">
      <c r="A409" s="1"/>
      <c r="B409" s="1"/>
      <c r="C409" s="1"/>
      <c r="D409" s="1"/>
      <c r="E409" s="1"/>
    </row>
    <row r="410" spans="1:5" ht="15.75" customHeight="1" x14ac:dyDescent="0.25">
      <c r="A410" s="1"/>
      <c r="B410" s="1"/>
      <c r="C410" s="1"/>
      <c r="D410" s="1"/>
      <c r="E410" s="1"/>
    </row>
    <row r="411" spans="1:5" ht="15.75" customHeight="1" x14ac:dyDescent="0.25">
      <c r="A411" s="1"/>
      <c r="B411" s="1"/>
      <c r="C411" s="1"/>
      <c r="D411" s="1"/>
      <c r="E411" s="1"/>
    </row>
    <row r="412" spans="1:5" ht="15.75" customHeight="1" x14ac:dyDescent="0.25">
      <c r="A412" s="1"/>
      <c r="B412" s="1"/>
      <c r="C412" s="1"/>
      <c r="D412" s="1"/>
      <c r="E412" s="1"/>
    </row>
    <row r="413" spans="1:5" ht="15.75" customHeight="1" x14ac:dyDescent="0.25">
      <c r="A413" s="1"/>
      <c r="B413" s="1"/>
      <c r="C413" s="1"/>
      <c r="D413" s="1"/>
      <c r="E413" s="1"/>
    </row>
    <row r="414" spans="1:5" ht="15.75" customHeight="1" x14ac:dyDescent="0.25">
      <c r="A414" s="1"/>
      <c r="B414" s="1"/>
      <c r="C414" s="1"/>
      <c r="D414" s="1"/>
      <c r="E414" s="1"/>
    </row>
    <row r="415" spans="1:5" ht="15.75" customHeight="1" x14ac:dyDescent="0.25">
      <c r="A415" s="1"/>
      <c r="B415" s="1"/>
      <c r="C415" s="1"/>
      <c r="D415" s="1"/>
      <c r="E415" s="1"/>
    </row>
    <row r="416" spans="1:5" ht="15.75" customHeight="1" x14ac:dyDescent="0.25">
      <c r="A416" s="1"/>
      <c r="B416" s="1"/>
      <c r="C416" s="1"/>
      <c r="D416" s="1"/>
      <c r="E416" s="1"/>
    </row>
    <row r="417" spans="1:5" ht="15.75" customHeight="1" x14ac:dyDescent="0.25">
      <c r="A417" s="1"/>
      <c r="B417" s="1"/>
      <c r="C417" s="1"/>
      <c r="D417" s="1"/>
      <c r="E417" s="1"/>
    </row>
    <row r="418" spans="1:5" ht="15.75" customHeight="1" x14ac:dyDescent="0.25">
      <c r="A418" s="1"/>
      <c r="B418" s="1"/>
      <c r="C418" s="1"/>
      <c r="D418" s="1"/>
      <c r="E418" s="1"/>
    </row>
    <row r="419" spans="1:5" ht="15.75" customHeight="1" x14ac:dyDescent="0.25"/>
    <row r="420" spans="1:5" ht="15.75" customHeight="1" x14ac:dyDescent="0.25"/>
    <row r="421" spans="1:5" ht="15.75" customHeight="1" x14ac:dyDescent="0.25"/>
    <row r="422" spans="1:5" ht="15.75" customHeight="1" x14ac:dyDescent="0.25"/>
    <row r="423" spans="1:5" ht="15.75" customHeight="1" x14ac:dyDescent="0.25"/>
    <row r="424" spans="1:5" ht="15.75" customHeight="1" x14ac:dyDescent="0.25"/>
    <row r="425" spans="1:5" ht="15.75" customHeight="1" x14ac:dyDescent="0.25"/>
    <row r="426" spans="1:5" ht="15.75" customHeight="1" x14ac:dyDescent="0.25"/>
    <row r="427" spans="1:5" ht="15.75" customHeight="1" x14ac:dyDescent="0.25"/>
    <row r="428" spans="1:5" ht="15.75" customHeight="1" x14ac:dyDescent="0.25"/>
    <row r="429" spans="1:5" ht="15.75" customHeight="1" x14ac:dyDescent="0.25"/>
    <row r="430" spans="1:5" ht="15.75" customHeight="1" x14ac:dyDescent="0.25"/>
    <row r="431" spans="1:5" ht="15.75" customHeight="1" x14ac:dyDescent="0.25"/>
    <row r="432" spans="1:5"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sqref="A1:U1"/>
    </sheetView>
  </sheetViews>
  <sheetFormatPr defaultColWidth="14.42578125" defaultRowHeight="15" customHeight="1" x14ac:dyDescent="0.25"/>
  <cols>
    <col min="1" max="1" width="15.5703125" customWidth="1"/>
    <col min="2" max="26" width="11.42578125" customWidth="1"/>
  </cols>
  <sheetData>
    <row r="1" spans="1:21" ht="26.25" customHeight="1" x14ac:dyDescent="0.25">
      <c r="A1" s="9" t="s">
        <v>145</v>
      </c>
      <c r="B1" s="10"/>
      <c r="C1" s="10"/>
      <c r="D1" s="10"/>
      <c r="E1" s="10"/>
      <c r="F1" s="10"/>
      <c r="G1" s="10"/>
      <c r="H1" s="10"/>
      <c r="I1" s="10"/>
      <c r="J1" s="10"/>
      <c r="K1" s="10"/>
      <c r="L1" s="10"/>
      <c r="M1" s="10"/>
      <c r="N1" s="10"/>
      <c r="O1" s="10"/>
      <c r="P1" s="10"/>
      <c r="Q1" s="10"/>
      <c r="R1" s="10"/>
      <c r="S1" s="10"/>
      <c r="T1" s="10"/>
      <c r="U1" s="11"/>
    </row>
    <row r="2" spans="1:21" x14ac:dyDescent="0.25">
      <c r="A2" s="1" t="s">
        <v>74</v>
      </c>
      <c r="B2" s="1" t="s">
        <v>125</v>
      </c>
      <c r="C2" s="1" t="s">
        <v>126</v>
      </c>
      <c r="D2" s="1" t="s">
        <v>127</v>
      </c>
      <c r="E2" s="1" t="s">
        <v>67</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33.75" customHeight="1" x14ac:dyDescent="0.25">
      <c r="A1" s="9" t="s">
        <v>190</v>
      </c>
      <c r="B1" s="10"/>
      <c r="C1" s="10"/>
      <c r="D1" s="10"/>
      <c r="E1" s="10"/>
      <c r="F1" s="10"/>
      <c r="G1" s="10"/>
      <c r="H1" s="10"/>
      <c r="I1" s="10"/>
      <c r="J1" s="10"/>
      <c r="K1" s="10"/>
      <c r="L1" s="10"/>
      <c r="M1" s="10"/>
      <c r="N1" s="10"/>
      <c r="O1" s="10"/>
      <c r="P1" s="10"/>
      <c r="Q1" s="10"/>
      <c r="R1" s="10"/>
      <c r="S1" s="11"/>
    </row>
    <row r="2" spans="1:19" x14ac:dyDescent="0.25">
      <c r="A2" s="1" t="s">
        <v>191</v>
      </c>
      <c r="B2" s="1" t="s">
        <v>192</v>
      </c>
      <c r="C2" s="1" t="s">
        <v>193</v>
      </c>
      <c r="D2" s="1" t="s">
        <v>194</v>
      </c>
      <c r="E2" s="1" t="s">
        <v>42</v>
      </c>
      <c r="F2" s="1" t="s">
        <v>124</v>
      </c>
      <c r="G2" s="1" t="s">
        <v>74</v>
      </c>
      <c r="H2" s="1" t="s">
        <v>125</v>
      </c>
      <c r="I2" s="1" t="s">
        <v>126</v>
      </c>
      <c r="J2" s="1" t="s">
        <v>127</v>
      </c>
      <c r="K2" s="1" t="s">
        <v>128</v>
      </c>
      <c r="L2" s="1" t="s">
        <v>129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9" t="s">
        <v>195</v>
      </c>
      <c r="B1" s="10"/>
      <c r="C1" s="10"/>
      <c r="D1" s="10"/>
      <c r="E1" s="10"/>
      <c r="F1" s="10"/>
      <c r="G1" s="10"/>
      <c r="H1" s="10"/>
      <c r="I1" s="10"/>
      <c r="J1" s="10"/>
      <c r="K1" s="10"/>
      <c r="L1" s="10"/>
      <c r="M1" s="10"/>
      <c r="N1" s="10"/>
      <c r="O1" s="10"/>
      <c r="P1" s="10"/>
      <c r="Q1" s="10"/>
      <c r="R1" s="10"/>
      <c r="S1" s="10"/>
      <c r="T1" s="10"/>
      <c r="U1" s="11"/>
    </row>
    <row r="2" spans="1:21" x14ac:dyDescent="0.25">
      <c r="A2" s="1" t="s">
        <v>196</v>
      </c>
      <c r="B2" s="1" t="s">
        <v>192</v>
      </c>
      <c r="C2" s="1" t="s">
        <v>197</v>
      </c>
      <c r="D2" s="1" t="s">
        <v>198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15" customHeight="1" x14ac:dyDescent="0.25">
      <c r="A1" s="9" t="s">
        <v>199</v>
      </c>
      <c r="B1" s="10"/>
      <c r="C1" s="10"/>
      <c r="D1" s="10"/>
      <c r="E1" s="10"/>
      <c r="F1" s="10"/>
      <c r="G1" s="10"/>
      <c r="H1" s="10"/>
      <c r="I1" s="10"/>
      <c r="J1" s="10"/>
      <c r="K1" s="10"/>
      <c r="L1" s="10"/>
      <c r="M1" s="10"/>
      <c r="N1" s="10"/>
      <c r="O1" s="10"/>
      <c r="P1" s="10"/>
      <c r="Q1" s="10"/>
      <c r="R1" s="10"/>
      <c r="S1" s="10"/>
      <c r="T1" s="10"/>
      <c r="U1" s="11"/>
    </row>
    <row r="2" spans="1:21" x14ac:dyDescent="0.25">
      <c r="A2" s="1" t="s">
        <v>200</v>
      </c>
      <c r="B2" s="1" t="s">
        <v>132</v>
      </c>
      <c r="C2" s="1" t="s">
        <v>201</v>
      </c>
      <c r="D2" s="1" t="s">
        <v>202</v>
      </c>
      <c r="E2" s="1" t="s">
        <v>203</v>
      </c>
    </row>
    <row r="3" spans="1:21" x14ac:dyDescent="0.25">
      <c r="A3" s="1" t="s">
        <v>204</v>
      </c>
      <c r="B3" s="1">
        <v>1</v>
      </c>
      <c r="C3" s="1">
        <v>74.1220185816358</v>
      </c>
      <c r="D3" s="1">
        <v>-3.9419668022475798</v>
      </c>
      <c r="E3" s="1">
        <v>1</v>
      </c>
    </row>
    <row r="4" spans="1:21" x14ac:dyDescent="0.25">
      <c r="A4" s="1" t="s">
        <v>205</v>
      </c>
      <c r="B4" s="1">
        <v>1</v>
      </c>
      <c r="C4" s="1">
        <v>90.4</v>
      </c>
      <c r="D4" s="1">
        <v>-3.5320999999999998</v>
      </c>
    </row>
    <row r="5" spans="1:21" x14ac:dyDescent="0.25">
      <c r="A5" s="1" t="s">
        <v>206</v>
      </c>
      <c r="C5" s="1">
        <v>1.92</v>
      </c>
      <c r="D5" s="1">
        <v>2.69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9" t="s">
        <v>207</v>
      </c>
      <c r="B1" s="10"/>
      <c r="C1" s="10"/>
      <c r="D1" s="10"/>
      <c r="E1" s="10"/>
      <c r="F1" s="10"/>
      <c r="G1" s="10"/>
      <c r="H1" s="10"/>
      <c r="I1" s="10"/>
      <c r="J1" s="10"/>
      <c r="K1" s="10"/>
      <c r="L1" s="10"/>
      <c r="M1" s="10"/>
      <c r="N1" s="10"/>
      <c r="O1" s="10"/>
      <c r="P1" s="10"/>
      <c r="Q1" s="10"/>
      <c r="R1" s="10"/>
      <c r="S1" s="10"/>
      <c r="T1" s="10"/>
      <c r="U1" s="11"/>
    </row>
    <row r="2" spans="1:21" x14ac:dyDescent="0.25">
      <c r="A2" s="1" t="s">
        <v>47</v>
      </c>
      <c r="B2" s="1" t="s">
        <v>201</v>
      </c>
      <c r="C2" s="1" t="s">
        <v>202</v>
      </c>
    </row>
    <row r="3" spans="1:21" x14ac:dyDescent="0.25">
      <c r="A3" s="1" t="s">
        <v>208</v>
      </c>
      <c r="B3" s="5">
        <v>1.61E-6</v>
      </c>
      <c r="C3" s="1">
        <v>2.8681999999999999</v>
      </c>
    </row>
    <row r="4" spans="1:21" x14ac:dyDescent="0.25">
      <c r="A4" s="1" t="s">
        <v>209</v>
      </c>
      <c r="B4" s="5">
        <v>2.5100000000000001E-6</v>
      </c>
      <c r="C4" s="1">
        <v>2.778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9" t="s">
        <v>210</v>
      </c>
      <c r="B1" s="10"/>
      <c r="C1" s="10"/>
      <c r="D1" s="10"/>
      <c r="E1" s="10"/>
      <c r="F1" s="10"/>
      <c r="G1" s="10"/>
      <c r="H1" s="10"/>
      <c r="I1" s="10"/>
      <c r="J1" s="10"/>
      <c r="K1" s="10"/>
      <c r="L1" s="10"/>
      <c r="M1" s="10"/>
      <c r="N1" s="10"/>
      <c r="O1" s="10"/>
      <c r="P1" s="10"/>
      <c r="Q1" s="10"/>
      <c r="R1" s="10"/>
      <c r="S1" s="10"/>
      <c r="T1" s="10"/>
      <c r="U1" s="11"/>
    </row>
    <row r="2" spans="1:21" x14ac:dyDescent="0.25">
      <c r="A2" s="1" t="s">
        <v>211</v>
      </c>
      <c r="B2" s="1" t="s">
        <v>212</v>
      </c>
      <c r="C2" s="1" t="s">
        <v>46</v>
      </c>
      <c r="D2" s="1" t="s">
        <v>213</v>
      </c>
    </row>
    <row r="3" spans="1:21" x14ac:dyDescent="0.25">
      <c r="A3" s="1">
        <v>1960</v>
      </c>
      <c r="B3" s="1">
        <v>1</v>
      </c>
      <c r="C3" s="1">
        <v>1</v>
      </c>
      <c r="D3" s="1">
        <v>7000000</v>
      </c>
    </row>
    <row r="4" spans="1:21" x14ac:dyDescent="0.25">
      <c r="A4" s="1">
        <v>1961</v>
      </c>
      <c r="B4" s="1">
        <v>1</v>
      </c>
      <c r="C4" s="1">
        <v>1</v>
      </c>
      <c r="D4" s="1">
        <f t="shared" ref="D4:D6" ca="1" si="0">D3+RANDBETWEEN(-1000, 200000)</f>
        <v>7078615</v>
      </c>
    </row>
    <row r="5" spans="1:21" x14ac:dyDescent="0.25">
      <c r="A5" s="1">
        <v>1962</v>
      </c>
      <c r="B5" s="1">
        <v>1</v>
      </c>
      <c r="C5" s="1">
        <v>1</v>
      </c>
      <c r="D5" s="1">
        <f t="shared" ca="1" si="0"/>
        <v>7265222</v>
      </c>
    </row>
    <row r="6" spans="1:21" x14ac:dyDescent="0.25">
      <c r="A6" s="1">
        <v>1963</v>
      </c>
      <c r="B6" s="1">
        <v>1</v>
      </c>
      <c r="C6" s="1">
        <v>1</v>
      </c>
      <c r="D6" s="1">
        <f t="shared" ca="1" si="0"/>
        <v>7381468</v>
      </c>
    </row>
    <row r="7" spans="1:21" x14ac:dyDescent="0.25">
      <c r="A7" s="1">
        <v>1964</v>
      </c>
      <c r="B7" s="1">
        <v>1</v>
      </c>
      <c r="C7" s="1">
        <v>1</v>
      </c>
      <c r="D7" s="1">
        <f ca="1">D6+RANDBETWEEN(-1000, 200000)+50000</f>
        <v>7446641</v>
      </c>
    </row>
    <row r="8" spans="1:21" x14ac:dyDescent="0.25">
      <c r="A8" s="1">
        <v>1965</v>
      </c>
      <c r="B8" s="1">
        <v>1</v>
      </c>
      <c r="C8" s="1">
        <v>1</v>
      </c>
      <c r="D8" s="1">
        <f ca="1">D7+RANDBETWEEN(-1000, 200000)+500000</f>
        <v>8113630</v>
      </c>
    </row>
    <row r="9" spans="1:21" x14ac:dyDescent="0.25">
      <c r="A9" s="1">
        <v>1966</v>
      </c>
      <c r="B9" s="1">
        <v>1</v>
      </c>
      <c r="C9" s="1">
        <v>1</v>
      </c>
      <c r="D9" s="1">
        <f t="shared" ref="D9:D15" ca="1" si="1">D8+RANDBETWEEN(-1000, 200000)</f>
        <v>8187797</v>
      </c>
    </row>
    <row r="10" spans="1:21" x14ac:dyDescent="0.25">
      <c r="A10" s="1">
        <v>1967</v>
      </c>
      <c r="B10" s="1">
        <v>1</v>
      </c>
      <c r="C10" s="1">
        <v>1</v>
      </c>
      <c r="D10" s="1">
        <f t="shared" ca="1" si="1"/>
        <v>8300865</v>
      </c>
    </row>
    <row r="11" spans="1:21" x14ac:dyDescent="0.25">
      <c r="A11" s="1">
        <v>1968</v>
      </c>
      <c r="B11" s="1">
        <v>1</v>
      </c>
      <c r="C11" s="1">
        <v>1</v>
      </c>
      <c r="D11" s="1">
        <f t="shared" ca="1" si="1"/>
        <v>8477493</v>
      </c>
    </row>
    <row r="12" spans="1:21" x14ac:dyDescent="0.25">
      <c r="A12" s="1">
        <v>1969</v>
      </c>
      <c r="B12" s="1">
        <v>1</v>
      </c>
      <c r="C12" s="1">
        <v>1</v>
      </c>
      <c r="D12" s="1">
        <f t="shared" ca="1" si="1"/>
        <v>8483288</v>
      </c>
    </row>
    <row r="13" spans="1:21" x14ac:dyDescent="0.25">
      <c r="A13" s="1">
        <v>1970</v>
      </c>
      <c r="B13" s="1">
        <v>1</v>
      </c>
      <c r="C13" s="1">
        <v>1</v>
      </c>
      <c r="D13" s="1">
        <f t="shared" ca="1" si="1"/>
        <v>8660500</v>
      </c>
    </row>
    <row r="14" spans="1:21" x14ac:dyDescent="0.25">
      <c r="A14" s="1">
        <v>1971</v>
      </c>
      <c r="B14" s="1">
        <v>1</v>
      </c>
      <c r="C14" s="1">
        <v>1</v>
      </c>
      <c r="D14" s="1">
        <f t="shared" ca="1" si="1"/>
        <v>8850901</v>
      </c>
    </row>
    <row r="15" spans="1:21" x14ac:dyDescent="0.25">
      <c r="A15" s="1">
        <v>1972</v>
      </c>
      <c r="B15" s="1">
        <v>1</v>
      </c>
      <c r="C15" s="1">
        <v>1</v>
      </c>
      <c r="D15" s="1">
        <f t="shared" ca="1" si="1"/>
        <v>8946314</v>
      </c>
    </row>
    <row r="16" spans="1:21" x14ac:dyDescent="0.25">
      <c r="A16" s="1">
        <v>1973</v>
      </c>
      <c r="B16" s="1">
        <v>1</v>
      </c>
      <c r="C16" s="1">
        <v>1</v>
      </c>
      <c r="D16" s="1">
        <f ca="1">D15+RANDBETWEEN(-1000, 200000)+1000000</f>
        <v>9961745</v>
      </c>
    </row>
    <row r="17" spans="1:4" x14ac:dyDescent="0.25">
      <c r="A17" s="1">
        <v>1974</v>
      </c>
      <c r="B17" s="1">
        <v>1</v>
      </c>
      <c r="C17" s="1">
        <v>1</v>
      </c>
      <c r="D17" s="1">
        <f ca="1">D16+RANDBETWEEN(-1000, 200000)+250000</f>
        <v>10247426</v>
      </c>
    </row>
    <row r="18" spans="1:4" x14ac:dyDescent="0.25">
      <c r="A18" s="1">
        <v>1975</v>
      </c>
      <c r="B18" s="1">
        <v>1</v>
      </c>
      <c r="C18" s="1">
        <v>1</v>
      </c>
      <c r="D18" s="1">
        <f ca="1">D17+RANDBETWEEN(-1000, 200000)</f>
        <v>10255634</v>
      </c>
    </row>
    <row r="19" spans="1:4" x14ac:dyDescent="0.25">
      <c r="A19" s="1">
        <v>1976</v>
      </c>
      <c r="B19" s="1">
        <v>1</v>
      </c>
      <c r="C19" s="1">
        <v>1</v>
      </c>
      <c r="D19" s="1">
        <f t="shared" ref="D19:D21" ca="1" si="2">D18+RANDBETWEEN(-100000, 200000)</f>
        <v>10398994</v>
      </c>
    </row>
    <row r="20" spans="1:4" x14ac:dyDescent="0.25">
      <c r="A20" s="1">
        <v>1977</v>
      </c>
      <c r="B20" s="1">
        <v>1</v>
      </c>
      <c r="C20" s="1">
        <v>1</v>
      </c>
      <c r="D20" s="1">
        <f t="shared" ca="1" si="2"/>
        <v>10508974</v>
      </c>
    </row>
    <row r="21" spans="1:4" ht="15.75" customHeight="1" x14ac:dyDescent="0.25">
      <c r="A21" s="1">
        <v>1978</v>
      </c>
      <c r="B21" s="1">
        <v>1</v>
      </c>
      <c r="C21" s="1">
        <v>1</v>
      </c>
      <c r="D21" s="1">
        <f t="shared" ca="1" si="2"/>
        <v>10674492</v>
      </c>
    </row>
    <row r="22" spans="1:4" ht="15.75" customHeight="1" x14ac:dyDescent="0.25">
      <c r="A22" s="1">
        <v>1979</v>
      </c>
      <c r="B22" s="1">
        <v>1</v>
      </c>
      <c r="C22" s="1">
        <v>1</v>
      </c>
      <c r="D22" s="1">
        <f ca="1">D21+RANDBETWEEN(-100000, 200000)-1000000</f>
        <v>9871671</v>
      </c>
    </row>
    <row r="23" spans="1:4" ht="15.75" customHeight="1" x14ac:dyDescent="0.25">
      <c r="A23" s="1">
        <v>1980</v>
      </c>
      <c r="B23" s="1">
        <v>1</v>
      </c>
      <c r="C23" s="1">
        <v>1</v>
      </c>
      <c r="D23" s="1">
        <f t="shared" ref="D23:D28" ca="1" si="3">D22+RANDBETWEEN(-100000, 200000)</f>
        <v>9925416</v>
      </c>
    </row>
    <row r="24" spans="1:4" ht="15.75" customHeight="1" x14ac:dyDescent="0.25">
      <c r="A24" s="1">
        <v>1981</v>
      </c>
      <c r="B24" s="1">
        <v>1</v>
      </c>
      <c r="C24" s="1">
        <v>1</v>
      </c>
      <c r="D24" s="1">
        <f t="shared" ca="1" si="3"/>
        <v>9886596</v>
      </c>
    </row>
    <row r="25" spans="1:4" ht="15.75" customHeight="1" x14ac:dyDescent="0.25">
      <c r="A25" s="1">
        <v>1982</v>
      </c>
      <c r="B25" s="1">
        <v>1</v>
      </c>
      <c r="C25" s="1">
        <v>1</v>
      </c>
      <c r="D25" s="1">
        <f t="shared" ca="1" si="3"/>
        <v>9845714</v>
      </c>
    </row>
    <row r="26" spans="1:4" ht="15.75" customHeight="1" x14ac:dyDescent="0.25">
      <c r="A26" s="1">
        <v>1983</v>
      </c>
      <c r="B26" s="1">
        <v>1</v>
      </c>
      <c r="C26" s="1">
        <v>1</v>
      </c>
      <c r="D26" s="1">
        <f t="shared" ca="1" si="3"/>
        <v>9800022</v>
      </c>
    </row>
    <row r="27" spans="1:4" ht="15.75" customHeight="1" x14ac:dyDescent="0.25">
      <c r="A27" s="1">
        <v>1984</v>
      </c>
      <c r="B27" s="1">
        <v>1</v>
      </c>
      <c r="C27" s="1">
        <v>1</v>
      </c>
      <c r="D27" s="1">
        <f t="shared" ca="1" si="3"/>
        <v>9970540</v>
      </c>
    </row>
    <row r="28" spans="1:4" ht="15.75" customHeight="1" x14ac:dyDescent="0.25">
      <c r="A28" s="1">
        <v>1985</v>
      </c>
      <c r="B28" s="1">
        <v>1</v>
      </c>
      <c r="C28" s="1">
        <v>1</v>
      </c>
      <c r="D28" s="1">
        <f t="shared" ca="1" si="3"/>
        <v>9971856</v>
      </c>
    </row>
    <row r="29" spans="1:4" ht="15.75" customHeight="1" x14ac:dyDescent="0.25">
      <c r="A29" s="1">
        <v>1986</v>
      </c>
      <c r="B29" s="1">
        <v>1</v>
      </c>
      <c r="C29" s="1">
        <v>1</v>
      </c>
      <c r="D29" s="1">
        <f ca="1">D28+RANDBETWEEN(-100000, 200000)+3000000</f>
        <v>13148488</v>
      </c>
    </row>
    <row r="30" spans="1:4" ht="15.75" customHeight="1" x14ac:dyDescent="0.25">
      <c r="A30" s="1">
        <v>1987</v>
      </c>
      <c r="B30" s="1">
        <v>1</v>
      </c>
      <c r="C30" s="1">
        <v>1</v>
      </c>
      <c r="D30" s="1">
        <f t="shared" ref="D30:D41" ca="1" si="4">D29+RANDBETWEEN(-100000, 200000)</f>
        <v>13336029</v>
      </c>
    </row>
    <row r="31" spans="1:4" ht="15.75" customHeight="1" x14ac:dyDescent="0.25">
      <c r="A31" s="1">
        <v>1988</v>
      </c>
      <c r="B31" s="1">
        <v>1</v>
      </c>
      <c r="C31" s="1">
        <v>1</v>
      </c>
      <c r="D31" s="1">
        <f t="shared" ca="1" si="4"/>
        <v>13347865</v>
      </c>
    </row>
    <row r="32" spans="1:4" ht="15.75" customHeight="1" x14ac:dyDescent="0.25">
      <c r="A32" s="1">
        <v>1989</v>
      </c>
      <c r="B32" s="1">
        <v>1</v>
      </c>
      <c r="C32" s="1">
        <v>1</v>
      </c>
      <c r="D32" s="1">
        <f t="shared" ca="1" si="4"/>
        <v>13315415</v>
      </c>
    </row>
    <row r="33" spans="1:4" ht="15.75" customHeight="1" x14ac:dyDescent="0.25">
      <c r="A33" s="1">
        <v>1990</v>
      </c>
      <c r="B33" s="1">
        <v>1</v>
      </c>
      <c r="C33" s="1">
        <v>1</v>
      </c>
      <c r="D33" s="1">
        <f t="shared" ca="1" si="4"/>
        <v>13251767</v>
      </c>
    </row>
    <row r="34" spans="1:4" ht="15.75" customHeight="1" x14ac:dyDescent="0.25">
      <c r="A34" s="1">
        <v>1991</v>
      </c>
      <c r="B34" s="1">
        <v>1</v>
      </c>
      <c r="C34" s="1">
        <v>1</v>
      </c>
      <c r="D34" s="1">
        <f t="shared" ca="1" si="4"/>
        <v>13275967</v>
      </c>
    </row>
    <row r="35" spans="1:4" ht="15.75" customHeight="1" x14ac:dyDescent="0.25">
      <c r="A35" s="1">
        <v>1992</v>
      </c>
      <c r="B35" s="1">
        <v>1</v>
      </c>
      <c r="C35" s="1">
        <v>1</v>
      </c>
      <c r="D35" s="1">
        <f t="shared" ca="1" si="4"/>
        <v>13412468</v>
      </c>
    </row>
    <row r="36" spans="1:4" ht="15.75" customHeight="1" x14ac:dyDescent="0.25">
      <c r="A36" s="1">
        <v>1993</v>
      </c>
      <c r="B36" s="1">
        <v>1</v>
      </c>
      <c r="C36" s="1">
        <v>1</v>
      </c>
      <c r="D36" s="1">
        <f t="shared" ca="1" si="4"/>
        <v>13363819</v>
      </c>
    </row>
    <row r="37" spans="1:4" ht="15.75" customHeight="1" x14ac:dyDescent="0.25">
      <c r="A37" s="1">
        <v>1994</v>
      </c>
      <c r="B37" s="1">
        <v>1</v>
      </c>
      <c r="C37" s="1">
        <v>1</v>
      </c>
      <c r="D37" s="1">
        <f t="shared" ca="1" si="4"/>
        <v>13504428</v>
      </c>
    </row>
    <row r="38" spans="1:4" ht="15.75" customHeight="1" x14ac:dyDescent="0.25">
      <c r="A38" s="1">
        <v>1995</v>
      </c>
      <c r="B38" s="1">
        <v>1</v>
      </c>
      <c r="C38" s="1">
        <v>1</v>
      </c>
      <c r="D38" s="1">
        <f t="shared" ca="1" si="4"/>
        <v>13549553</v>
      </c>
    </row>
    <row r="39" spans="1:4" ht="15.75" customHeight="1" x14ac:dyDescent="0.25">
      <c r="A39" s="1">
        <v>1996</v>
      </c>
      <c r="B39" s="1">
        <v>1</v>
      </c>
      <c r="C39" s="1">
        <v>1</v>
      </c>
      <c r="D39" s="1">
        <f t="shared" ca="1" si="4"/>
        <v>13649296</v>
      </c>
    </row>
    <row r="40" spans="1:4" ht="15.75" customHeight="1" x14ac:dyDescent="0.25">
      <c r="A40" s="1">
        <v>1997</v>
      </c>
      <c r="B40" s="1">
        <v>1</v>
      </c>
      <c r="C40" s="1">
        <v>1</v>
      </c>
      <c r="D40" s="1">
        <f t="shared" ca="1" si="4"/>
        <v>13736275</v>
      </c>
    </row>
    <row r="41" spans="1:4" ht="15.75" customHeight="1" x14ac:dyDescent="0.25">
      <c r="A41" s="1">
        <v>1998</v>
      </c>
      <c r="B41" s="1">
        <v>1</v>
      </c>
      <c r="C41" s="1">
        <v>1</v>
      </c>
      <c r="D41" s="1">
        <f t="shared" ca="1" si="4"/>
        <v>13665452</v>
      </c>
    </row>
    <row r="42" spans="1:4" ht="15.75" customHeight="1" x14ac:dyDescent="0.25">
      <c r="A42" s="1">
        <v>1999</v>
      </c>
      <c r="B42" s="1">
        <v>1</v>
      </c>
      <c r="C42" s="1">
        <v>1</v>
      </c>
      <c r="D42" s="6">
        <f ca="1">D41+RANDBETWEEN(-100000, 5000)</f>
        <v>13666753</v>
      </c>
    </row>
    <row r="43" spans="1:4" ht="15.75" customHeight="1" x14ac:dyDescent="0.25">
      <c r="A43" s="1">
        <v>2000</v>
      </c>
      <c r="B43" s="1">
        <v>1</v>
      </c>
      <c r="C43" s="1">
        <v>1</v>
      </c>
      <c r="D43" s="6">
        <f ca="1">D42+RANDBETWEEN(-200000, 10000)</f>
        <v>13576438</v>
      </c>
    </row>
    <row r="44" spans="1:4" ht="15.75" customHeight="1" x14ac:dyDescent="0.25">
      <c r="A44" s="1">
        <v>2001</v>
      </c>
      <c r="B44" s="1">
        <v>1</v>
      </c>
      <c r="C44" s="1">
        <v>1</v>
      </c>
      <c r="D44" s="6">
        <f t="shared" ref="D44:D47" ca="1" si="5">D43+RANDBETWEEN(-500000, 1000)</f>
        <v>13516858</v>
      </c>
    </row>
    <row r="45" spans="1:4" ht="15.75" customHeight="1" x14ac:dyDescent="0.25">
      <c r="A45" s="1">
        <v>2002</v>
      </c>
      <c r="B45" s="1">
        <v>1</v>
      </c>
      <c r="C45" s="1">
        <v>1</v>
      </c>
      <c r="D45" s="6">
        <f t="shared" ca="1" si="5"/>
        <v>13482243</v>
      </c>
    </row>
    <row r="46" spans="1:4" ht="15.75" customHeight="1" x14ac:dyDescent="0.25">
      <c r="A46" s="1">
        <v>2003</v>
      </c>
      <c r="B46" s="1">
        <v>1</v>
      </c>
      <c r="C46" s="1">
        <v>1</v>
      </c>
      <c r="D46" s="6">
        <f t="shared" ca="1" si="5"/>
        <v>13189410</v>
      </c>
    </row>
    <row r="47" spans="1:4" ht="15.75" customHeight="1" x14ac:dyDescent="0.25">
      <c r="A47" s="1">
        <v>2004</v>
      </c>
      <c r="B47" s="1">
        <v>1</v>
      </c>
      <c r="C47" s="1">
        <v>1</v>
      </c>
      <c r="D47" s="6">
        <f t="shared" ca="1" si="5"/>
        <v>13173926</v>
      </c>
    </row>
    <row r="48" spans="1:4" ht="15.75" customHeight="1" x14ac:dyDescent="0.25">
      <c r="A48" s="1">
        <v>2005</v>
      </c>
      <c r="B48" s="1">
        <v>1</v>
      </c>
      <c r="C48" s="1">
        <v>1</v>
      </c>
      <c r="D48" s="1">
        <f ca="1">D47+RANDBETWEEN(-100000, 200000)-1500000</f>
        <v>11579798</v>
      </c>
    </row>
    <row r="49" spans="1:4" ht="15.75" customHeight="1" x14ac:dyDescent="0.25">
      <c r="A49" s="1">
        <v>2006</v>
      </c>
      <c r="B49" s="1">
        <v>1</v>
      </c>
      <c r="C49" s="1">
        <v>1</v>
      </c>
      <c r="D49" s="1">
        <f ca="1">D48+RANDBETWEEN(-100000, 200000)-3000000</f>
        <v>8656978</v>
      </c>
    </row>
    <row r="50" spans="1:4" ht="15.75" customHeight="1" x14ac:dyDescent="0.25">
      <c r="A50" s="1">
        <v>2007</v>
      </c>
      <c r="B50" s="1">
        <v>1</v>
      </c>
      <c r="C50" s="1">
        <v>1</v>
      </c>
      <c r="D50" s="1">
        <f ca="1">D49+RANDBETWEEN(-100000, 200000)-1000000</f>
        <v>7625947</v>
      </c>
    </row>
    <row r="51" spans="1:4" ht="15.75" customHeight="1" x14ac:dyDescent="0.25">
      <c r="A51" s="1">
        <v>2008</v>
      </c>
      <c r="B51" s="1">
        <v>1</v>
      </c>
      <c r="C51" s="1">
        <v>1</v>
      </c>
      <c r="D51" s="1">
        <f t="shared" ref="D51:D67" ca="1" si="6">D50+RANDBETWEEN(-100000, 10000)</f>
        <v>7590351</v>
      </c>
    </row>
    <row r="52" spans="1:4" ht="15.75" customHeight="1" x14ac:dyDescent="0.25">
      <c r="A52" s="1">
        <v>2009</v>
      </c>
      <c r="B52" s="1">
        <v>1</v>
      </c>
      <c r="C52" s="1">
        <v>1</v>
      </c>
      <c r="D52" s="1">
        <f t="shared" ca="1" si="6"/>
        <v>7532058</v>
      </c>
    </row>
    <row r="53" spans="1:4" ht="15.75" customHeight="1" x14ac:dyDescent="0.25">
      <c r="A53" s="1">
        <v>2010</v>
      </c>
      <c r="B53" s="1">
        <v>1</v>
      </c>
      <c r="C53" s="1">
        <v>1</v>
      </c>
      <c r="D53" s="1">
        <f t="shared" ca="1" si="6"/>
        <v>7520351</v>
      </c>
    </row>
    <row r="54" spans="1:4" ht="15.75" customHeight="1" x14ac:dyDescent="0.25">
      <c r="A54" s="1">
        <v>2011</v>
      </c>
      <c r="B54" s="1">
        <v>1</v>
      </c>
      <c r="C54" s="1">
        <v>1</v>
      </c>
      <c r="D54" s="1">
        <f t="shared" ca="1" si="6"/>
        <v>7478386</v>
      </c>
    </row>
    <row r="55" spans="1:4" ht="15.75" customHeight="1" x14ac:dyDescent="0.25">
      <c r="A55" s="1">
        <v>2012</v>
      </c>
      <c r="B55" s="1">
        <v>1</v>
      </c>
      <c r="C55" s="1">
        <v>1</v>
      </c>
      <c r="D55" s="1">
        <f t="shared" ca="1" si="6"/>
        <v>7434376</v>
      </c>
    </row>
    <row r="56" spans="1:4" ht="15.75" customHeight="1" x14ac:dyDescent="0.25">
      <c r="A56" s="1">
        <v>2013</v>
      </c>
      <c r="B56" s="1">
        <v>1</v>
      </c>
      <c r="C56" s="1">
        <v>1</v>
      </c>
      <c r="D56" s="1">
        <f t="shared" ca="1" si="6"/>
        <v>7345871</v>
      </c>
    </row>
    <row r="57" spans="1:4" ht="15.75" customHeight="1" x14ac:dyDescent="0.25">
      <c r="A57" s="1">
        <v>2014</v>
      </c>
      <c r="B57" s="1">
        <v>1</v>
      </c>
      <c r="C57" s="1">
        <v>1</v>
      </c>
      <c r="D57" s="1">
        <f t="shared" ca="1" si="6"/>
        <v>7251445</v>
      </c>
    </row>
    <row r="58" spans="1:4" ht="15.75" customHeight="1" x14ac:dyDescent="0.25">
      <c r="A58" s="1">
        <v>2015</v>
      </c>
      <c r="B58" s="1">
        <v>1</v>
      </c>
      <c r="C58" s="1">
        <v>1</v>
      </c>
      <c r="D58" s="1">
        <f t="shared" ca="1" si="6"/>
        <v>7214614</v>
      </c>
    </row>
    <row r="59" spans="1:4" ht="15.75" customHeight="1" x14ac:dyDescent="0.25">
      <c r="A59" s="1">
        <v>2016</v>
      </c>
      <c r="B59" s="1">
        <v>1</v>
      </c>
      <c r="C59" s="1">
        <v>1</v>
      </c>
      <c r="D59" s="1">
        <f t="shared" ca="1" si="6"/>
        <v>7209906</v>
      </c>
    </row>
    <row r="60" spans="1:4" ht="15.75" customHeight="1" x14ac:dyDescent="0.25">
      <c r="A60" s="1">
        <v>2017</v>
      </c>
      <c r="B60" s="1">
        <v>1</v>
      </c>
      <c r="C60" s="1">
        <v>1</v>
      </c>
      <c r="D60" s="1">
        <f t="shared" ca="1" si="6"/>
        <v>7129103</v>
      </c>
    </row>
    <row r="61" spans="1:4" ht="15.75" customHeight="1" x14ac:dyDescent="0.25">
      <c r="A61" s="1">
        <v>2018</v>
      </c>
      <c r="B61" s="1">
        <v>1</v>
      </c>
      <c r="C61" s="1">
        <v>1</v>
      </c>
      <c r="D61" s="1">
        <f t="shared" ca="1" si="6"/>
        <v>7056495</v>
      </c>
    </row>
    <row r="62" spans="1:4" ht="15.75" customHeight="1" x14ac:dyDescent="0.25">
      <c r="A62" s="1">
        <v>2019</v>
      </c>
      <c r="B62" s="1">
        <v>1</v>
      </c>
      <c r="C62" s="1">
        <v>1</v>
      </c>
      <c r="D62" s="1">
        <f t="shared" ca="1" si="6"/>
        <v>7047451</v>
      </c>
    </row>
    <row r="63" spans="1:4" ht="15.75" customHeight="1" x14ac:dyDescent="0.25">
      <c r="A63" s="1">
        <v>2020</v>
      </c>
      <c r="B63" s="1">
        <v>1</v>
      </c>
      <c r="C63" s="1">
        <v>1</v>
      </c>
      <c r="D63" s="1">
        <f t="shared" ca="1" si="6"/>
        <v>7033390</v>
      </c>
    </row>
    <row r="64" spans="1:4" ht="15.75" customHeight="1" x14ac:dyDescent="0.25">
      <c r="A64" s="1">
        <v>2021</v>
      </c>
      <c r="B64" s="1">
        <v>1</v>
      </c>
      <c r="C64" s="1">
        <v>1</v>
      </c>
      <c r="D64" s="1">
        <f t="shared" ca="1" si="6"/>
        <v>6964887</v>
      </c>
    </row>
    <row r="65" spans="1:4" ht="15.75" customHeight="1" x14ac:dyDescent="0.25">
      <c r="A65" s="1">
        <v>2022</v>
      </c>
      <c r="B65" s="1">
        <v>1</v>
      </c>
      <c r="C65" s="1">
        <v>1</v>
      </c>
      <c r="D65" s="1">
        <f t="shared" ca="1" si="6"/>
        <v>6935496</v>
      </c>
    </row>
    <row r="66" spans="1:4" ht="15.75" customHeight="1" x14ac:dyDescent="0.25">
      <c r="A66" s="1">
        <v>2023</v>
      </c>
      <c r="B66" s="1">
        <v>1</v>
      </c>
      <c r="C66" s="1">
        <v>1</v>
      </c>
      <c r="D66" s="1">
        <f t="shared" ca="1" si="6"/>
        <v>6861395</v>
      </c>
    </row>
    <row r="67" spans="1:4" ht="15.75" customHeight="1" x14ac:dyDescent="0.25">
      <c r="A67" s="1">
        <v>2024</v>
      </c>
      <c r="B67" s="1">
        <v>1</v>
      </c>
      <c r="C67" s="1">
        <v>1</v>
      </c>
      <c r="D67" s="1">
        <f t="shared" ca="1" si="6"/>
        <v>6856273</v>
      </c>
    </row>
    <row r="68" spans="1:4" ht="15.75" customHeight="1" x14ac:dyDescent="0.25">
      <c r="A68" s="1">
        <v>1980</v>
      </c>
      <c r="B68" s="1">
        <v>1</v>
      </c>
      <c r="C68" s="1">
        <v>3</v>
      </c>
      <c r="D68" s="1">
        <f ca="1">200000+RANDBETWEEN(-1000, 30000)</f>
        <v>225427</v>
      </c>
    </row>
    <row r="69" spans="1:4" ht="15.75" customHeight="1" x14ac:dyDescent="0.25">
      <c r="A69" s="1">
        <v>1981</v>
      </c>
      <c r="B69" s="1">
        <v>1</v>
      </c>
      <c r="C69" s="1">
        <v>3</v>
      </c>
      <c r="D69" s="6">
        <f t="shared" ref="D69:D80" ca="1" si="7">D68+RANDBETWEEN(-1000, 30000)</f>
        <v>227736</v>
      </c>
    </row>
    <row r="70" spans="1:4" ht="15.75" customHeight="1" x14ac:dyDescent="0.25">
      <c r="A70" s="1">
        <v>1982</v>
      </c>
      <c r="B70" s="1">
        <v>1</v>
      </c>
      <c r="C70" s="1">
        <v>3</v>
      </c>
      <c r="D70" s="6">
        <f t="shared" ca="1" si="7"/>
        <v>237224</v>
      </c>
    </row>
    <row r="71" spans="1:4" ht="15.75" customHeight="1" x14ac:dyDescent="0.25">
      <c r="A71" s="1">
        <v>1983</v>
      </c>
      <c r="B71" s="1">
        <v>1</v>
      </c>
      <c r="C71" s="1">
        <v>3</v>
      </c>
      <c r="D71" s="6">
        <f t="shared" ca="1" si="7"/>
        <v>261126</v>
      </c>
    </row>
    <row r="72" spans="1:4" ht="15.75" customHeight="1" x14ac:dyDescent="0.25">
      <c r="A72" s="1">
        <v>1984</v>
      </c>
      <c r="B72" s="1">
        <v>1</v>
      </c>
      <c r="C72" s="1">
        <v>3</v>
      </c>
      <c r="D72" s="6">
        <f t="shared" ca="1" si="7"/>
        <v>284244</v>
      </c>
    </row>
    <row r="73" spans="1:4" ht="15.75" customHeight="1" x14ac:dyDescent="0.25">
      <c r="A73" s="1">
        <v>1985</v>
      </c>
      <c r="B73" s="1">
        <v>1</v>
      </c>
      <c r="C73" s="1">
        <v>3</v>
      </c>
      <c r="D73" s="6">
        <f t="shared" ca="1" si="7"/>
        <v>291654</v>
      </c>
    </row>
    <row r="74" spans="1:4" ht="15.75" customHeight="1" x14ac:dyDescent="0.25">
      <c r="A74" s="1">
        <v>1986</v>
      </c>
      <c r="B74" s="1">
        <v>1</v>
      </c>
      <c r="C74" s="1">
        <v>3</v>
      </c>
      <c r="D74" s="6">
        <f t="shared" ca="1" si="7"/>
        <v>303297</v>
      </c>
    </row>
    <row r="75" spans="1:4" ht="15.75" customHeight="1" x14ac:dyDescent="0.25">
      <c r="A75" s="1">
        <v>1987</v>
      </c>
      <c r="B75" s="1">
        <v>1</v>
      </c>
      <c r="C75" s="1">
        <v>3</v>
      </c>
      <c r="D75" s="6">
        <f t="shared" ca="1" si="7"/>
        <v>331451</v>
      </c>
    </row>
    <row r="76" spans="1:4" ht="15.75" customHeight="1" x14ac:dyDescent="0.25">
      <c r="A76" s="1">
        <v>1988</v>
      </c>
      <c r="B76" s="1">
        <v>1</v>
      </c>
      <c r="C76" s="1">
        <v>3</v>
      </c>
      <c r="D76" s="6">
        <f t="shared" ca="1" si="7"/>
        <v>357745</v>
      </c>
    </row>
    <row r="77" spans="1:4" ht="15.75" customHeight="1" x14ac:dyDescent="0.25">
      <c r="A77" s="1">
        <v>1989</v>
      </c>
      <c r="B77" s="1">
        <v>1</v>
      </c>
      <c r="C77" s="1">
        <v>3</v>
      </c>
      <c r="D77" s="6">
        <f t="shared" ca="1" si="7"/>
        <v>372166</v>
      </c>
    </row>
    <row r="78" spans="1:4" ht="15.75" customHeight="1" x14ac:dyDescent="0.25">
      <c r="A78" s="1">
        <v>1990</v>
      </c>
      <c r="B78" s="1">
        <v>1</v>
      </c>
      <c r="C78" s="1">
        <v>3</v>
      </c>
      <c r="D78" s="6">
        <f t="shared" ca="1" si="7"/>
        <v>371502</v>
      </c>
    </row>
    <row r="79" spans="1:4" ht="15.75" customHeight="1" x14ac:dyDescent="0.25">
      <c r="A79" s="1">
        <v>1991</v>
      </c>
      <c r="B79" s="1">
        <v>1</v>
      </c>
      <c r="C79" s="1">
        <v>3</v>
      </c>
      <c r="D79" s="6">
        <f t="shared" ca="1" si="7"/>
        <v>378837</v>
      </c>
    </row>
    <row r="80" spans="1:4" ht="15.75" customHeight="1" x14ac:dyDescent="0.25">
      <c r="A80" s="1">
        <v>1992</v>
      </c>
      <c r="B80" s="1">
        <v>1</v>
      </c>
      <c r="C80" s="1">
        <v>3</v>
      </c>
      <c r="D80" s="6">
        <f t="shared" ca="1" si="7"/>
        <v>408479</v>
      </c>
    </row>
    <row r="81" spans="1:4" ht="15.75" customHeight="1" x14ac:dyDescent="0.25">
      <c r="A81" s="1">
        <v>1993</v>
      </c>
      <c r="B81" s="1">
        <v>1</v>
      </c>
      <c r="C81" s="1">
        <v>3</v>
      </c>
      <c r="D81" s="3">
        <f t="shared" ref="D81:D90" ca="1" si="8">D80+RANDBETWEEN(-1000, 10000)</f>
        <v>415893</v>
      </c>
    </row>
    <row r="82" spans="1:4" ht="15.75" customHeight="1" x14ac:dyDescent="0.25">
      <c r="A82" s="1">
        <v>1994</v>
      </c>
      <c r="B82" s="1">
        <v>1</v>
      </c>
      <c r="C82" s="1">
        <v>3</v>
      </c>
      <c r="D82" s="3">
        <f t="shared" ca="1" si="8"/>
        <v>422950</v>
      </c>
    </row>
    <row r="83" spans="1:4" ht="15.75" customHeight="1" x14ac:dyDescent="0.25">
      <c r="A83" s="1">
        <v>1995</v>
      </c>
      <c r="B83" s="1">
        <v>1</v>
      </c>
      <c r="C83" s="1">
        <v>3</v>
      </c>
      <c r="D83" s="3">
        <f t="shared" ca="1" si="8"/>
        <v>426850</v>
      </c>
    </row>
    <row r="84" spans="1:4" ht="15.75" customHeight="1" x14ac:dyDescent="0.25">
      <c r="A84" s="1">
        <v>1996</v>
      </c>
      <c r="B84" s="1">
        <v>1</v>
      </c>
      <c r="C84" s="1">
        <v>3</v>
      </c>
      <c r="D84" s="3">
        <f t="shared" ca="1" si="8"/>
        <v>426039</v>
      </c>
    </row>
    <row r="85" spans="1:4" ht="15.75" customHeight="1" x14ac:dyDescent="0.25">
      <c r="A85" s="1">
        <v>1997</v>
      </c>
      <c r="B85" s="1">
        <v>1</v>
      </c>
      <c r="C85" s="1">
        <v>3</v>
      </c>
      <c r="D85" s="3">
        <f t="shared" ca="1" si="8"/>
        <v>435194</v>
      </c>
    </row>
    <row r="86" spans="1:4" ht="15.75" customHeight="1" x14ac:dyDescent="0.25">
      <c r="A86" s="1">
        <v>1998</v>
      </c>
      <c r="B86" s="1">
        <v>1</v>
      </c>
      <c r="C86" s="1">
        <v>3</v>
      </c>
      <c r="D86" s="3">
        <f t="shared" ca="1" si="8"/>
        <v>442966</v>
      </c>
    </row>
    <row r="87" spans="1:4" ht="15.75" customHeight="1" x14ac:dyDescent="0.25">
      <c r="A87" s="1">
        <v>1999</v>
      </c>
      <c r="B87" s="1">
        <v>1</v>
      </c>
      <c r="C87" s="1">
        <v>3</v>
      </c>
      <c r="D87" s="3">
        <f t="shared" ca="1" si="8"/>
        <v>450954</v>
      </c>
    </row>
    <row r="88" spans="1:4" ht="15.75" customHeight="1" x14ac:dyDescent="0.25">
      <c r="A88" s="1">
        <v>2000</v>
      </c>
      <c r="B88" s="1">
        <v>1</v>
      </c>
      <c r="C88" s="1">
        <v>3</v>
      </c>
      <c r="D88" s="3">
        <f t="shared" ca="1" si="8"/>
        <v>457805</v>
      </c>
    </row>
    <row r="89" spans="1:4" ht="15.75" customHeight="1" x14ac:dyDescent="0.25">
      <c r="A89" s="1">
        <v>2001</v>
      </c>
      <c r="B89" s="1">
        <v>1</v>
      </c>
      <c r="C89" s="1">
        <v>3</v>
      </c>
      <c r="D89" s="3">
        <f t="shared" ca="1" si="8"/>
        <v>458895</v>
      </c>
    </row>
    <row r="90" spans="1:4" ht="15.75" customHeight="1" x14ac:dyDescent="0.25">
      <c r="A90" s="1">
        <v>2002</v>
      </c>
      <c r="B90" s="1">
        <v>1</v>
      </c>
      <c r="C90" s="1">
        <v>3</v>
      </c>
      <c r="D90" s="3">
        <f t="shared" ca="1" si="8"/>
        <v>463577</v>
      </c>
    </row>
    <row r="91" spans="1:4" ht="15.75" customHeight="1" x14ac:dyDescent="0.25">
      <c r="A91" s="1">
        <v>2003</v>
      </c>
      <c r="B91" s="1">
        <v>1</v>
      </c>
      <c r="C91" s="1">
        <v>3</v>
      </c>
      <c r="D91" s="6">
        <f t="shared" ref="D91:D112" ca="1" si="9">D90+RANDBETWEEN(-5000, 1000)</f>
        <v>462608</v>
      </c>
    </row>
    <row r="92" spans="1:4" ht="15.75" customHeight="1" x14ac:dyDescent="0.25">
      <c r="A92" s="1">
        <v>2004</v>
      </c>
      <c r="B92" s="1">
        <v>1</v>
      </c>
      <c r="C92" s="1">
        <v>3</v>
      </c>
      <c r="D92" s="6">
        <f t="shared" ca="1" si="9"/>
        <v>458781</v>
      </c>
    </row>
    <row r="93" spans="1:4" ht="15.75" customHeight="1" x14ac:dyDescent="0.25">
      <c r="A93" s="1">
        <v>2005</v>
      </c>
      <c r="B93" s="1">
        <v>1</v>
      </c>
      <c r="C93" s="1">
        <v>3</v>
      </c>
      <c r="D93" s="6">
        <f t="shared" ca="1" si="9"/>
        <v>458138</v>
      </c>
    </row>
    <row r="94" spans="1:4" ht="15.75" customHeight="1" x14ac:dyDescent="0.25">
      <c r="A94" s="1">
        <v>2006</v>
      </c>
      <c r="B94" s="1">
        <v>1</v>
      </c>
      <c r="C94" s="1">
        <v>3</v>
      </c>
      <c r="D94" s="6">
        <f t="shared" ca="1" si="9"/>
        <v>455003</v>
      </c>
    </row>
    <row r="95" spans="1:4" ht="15.75" customHeight="1" x14ac:dyDescent="0.25">
      <c r="A95" s="1">
        <v>2007</v>
      </c>
      <c r="B95" s="1">
        <v>1</v>
      </c>
      <c r="C95" s="1">
        <v>3</v>
      </c>
      <c r="D95" s="6">
        <f t="shared" ca="1" si="9"/>
        <v>453615</v>
      </c>
    </row>
    <row r="96" spans="1:4" ht="15.75" customHeight="1" x14ac:dyDescent="0.25">
      <c r="A96" s="1">
        <v>2008</v>
      </c>
      <c r="B96" s="1">
        <v>1</v>
      </c>
      <c r="C96" s="1">
        <v>3</v>
      </c>
      <c r="D96" s="6">
        <f t="shared" ca="1" si="9"/>
        <v>454441</v>
      </c>
    </row>
    <row r="97" spans="1:4" ht="15.75" customHeight="1" x14ac:dyDescent="0.25">
      <c r="A97" s="1">
        <v>2009</v>
      </c>
      <c r="B97" s="1">
        <v>1</v>
      </c>
      <c r="C97" s="1">
        <v>3</v>
      </c>
      <c r="D97" s="6">
        <f t="shared" ca="1" si="9"/>
        <v>451850</v>
      </c>
    </row>
    <row r="98" spans="1:4" ht="15.75" customHeight="1" x14ac:dyDescent="0.25">
      <c r="A98" s="1">
        <v>2010</v>
      </c>
      <c r="B98" s="1">
        <v>1</v>
      </c>
      <c r="C98" s="1">
        <v>3</v>
      </c>
      <c r="D98" s="6">
        <f t="shared" ca="1" si="9"/>
        <v>449836</v>
      </c>
    </row>
    <row r="99" spans="1:4" ht="15.75" customHeight="1" x14ac:dyDescent="0.25">
      <c r="A99" s="1">
        <v>2011</v>
      </c>
      <c r="B99" s="1">
        <v>1</v>
      </c>
      <c r="C99" s="1">
        <v>3</v>
      </c>
      <c r="D99" s="6">
        <f t="shared" ca="1" si="9"/>
        <v>448341</v>
      </c>
    </row>
    <row r="100" spans="1:4" ht="15.75" customHeight="1" x14ac:dyDescent="0.25">
      <c r="A100" s="1">
        <v>2012</v>
      </c>
      <c r="B100" s="1">
        <v>1</v>
      </c>
      <c r="C100" s="1">
        <v>3</v>
      </c>
      <c r="D100" s="6">
        <f t="shared" ca="1" si="9"/>
        <v>444872</v>
      </c>
    </row>
    <row r="101" spans="1:4" ht="15.75" customHeight="1" x14ac:dyDescent="0.25">
      <c r="A101" s="1">
        <v>2013</v>
      </c>
      <c r="B101" s="1">
        <v>1</v>
      </c>
      <c r="C101" s="1">
        <v>3</v>
      </c>
      <c r="D101" s="6">
        <f t="shared" ca="1" si="9"/>
        <v>440285</v>
      </c>
    </row>
    <row r="102" spans="1:4" ht="15.75" customHeight="1" x14ac:dyDescent="0.25">
      <c r="A102" s="1">
        <v>2014</v>
      </c>
      <c r="B102" s="1">
        <v>1</v>
      </c>
      <c r="C102" s="1">
        <v>3</v>
      </c>
      <c r="D102" s="6">
        <f t="shared" ca="1" si="9"/>
        <v>435688</v>
      </c>
    </row>
    <row r="103" spans="1:4" ht="15.75" customHeight="1" x14ac:dyDescent="0.25">
      <c r="A103" s="1">
        <v>2015</v>
      </c>
      <c r="B103" s="1">
        <v>1</v>
      </c>
      <c r="C103" s="1">
        <v>3</v>
      </c>
      <c r="D103" s="6">
        <f t="shared" ca="1" si="9"/>
        <v>431724</v>
      </c>
    </row>
    <row r="104" spans="1:4" ht="15.75" customHeight="1" x14ac:dyDescent="0.25">
      <c r="A104" s="1">
        <v>2016</v>
      </c>
      <c r="B104" s="1">
        <v>1</v>
      </c>
      <c r="C104" s="1">
        <v>3</v>
      </c>
      <c r="D104" s="6">
        <f t="shared" ca="1" si="9"/>
        <v>427673</v>
      </c>
    </row>
    <row r="105" spans="1:4" ht="15.75" customHeight="1" x14ac:dyDescent="0.25">
      <c r="A105" s="1">
        <v>2017</v>
      </c>
      <c r="B105" s="1">
        <v>1</v>
      </c>
      <c r="C105" s="1">
        <v>3</v>
      </c>
      <c r="D105" s="6">
        <f t="shared" ca="1" si="9"/>
        <v>427148</v>
      </c>
    </row>
    <row r="106" spans="1:4" ht="15.75" customHeight="1" x14ac:dyDescent="0.25">
      <c r="A106" s="1">
        <v>2018</v>
      </c>
      <c r="B106" s="1">
        <v>1</v>
      </c>
      <c r="C106" s="1">
        <v>3</v>
      </c>
      <c r="D106" s="6">
        <f t="shared" ca="1" si="9"/>
        <v>425910</v>
      </c>
    </row>
    <row r="107" spans="1:4" ht="15.75" customHeight="1" x14ac:dyDescent="0.25">
      <c r="A107" s="1">
        <v>2019</v>
      </c>
      <c r="B107" s="1">
        <v>1</v>
      </c>
      <c r="C107" s="1">
        <v>3</v>
      </c>
      <c r="D107" s="6">
        <f t="shared" ca="1" si="9"/>
        <v>425547</v>
      </c>
    </row>
    <row r="108" spans="1:4" ht="15.75" customHeight="1" x14ac:dyDescent="0.25">
      <c r="A108" s="1">
        <v>2020</v>
      </c>
      <c r="B108" s="1">
        <v>1</v>
      </c>
      <c r="C108" s="1">
        <v>3</v>
      </c>
      <c r="D108" s="6">
        <f t="shared" ca="1" si="9"/>
        <v>423209</v>
      </c>
    </row>
    <row r="109" spans="1:4" ht="15.75" customHeight="1" x14ac:dyDescent="0.25">
      <c r="A109" s="1">
        <v>2021</v>
      </c>
      <c r="B109" s="1">
        <v>1</v>
      </c>
      <c r="C109" s="1">
        <v>3</v>
      </c>
      <c r="D109" s="6">
        <f t="shared" ca="1" si="9"/>
        <v>420903</v>
      </c>
    </row>
    <row r="110" spans="1:4" ht="15.75" customHeight="1" x14ac:dyDescent="0.25">
      <c r="A110" s="1">
        <v>2022</v>
      </c>
      <c r="B110" s="1">
        <v>1</v>
      </c>
      <c r="C110" s="1">
        <v>3</v>
      </c>
      <c r="D110" s="6">
        <f t="shared" ca="1" si="9"/>
        <v>416785</v>
      </c>
    </row>
    <row r="111" spans="1:4" ht="15.75" customHeight="1" x14ac:dyDescent="0.25">
      <c r="A111" s="1">
        <v>2023</v>
      </c>
      <c r="B111" s="1">
        <v>1</v>
      </c>
      <c r="C111" s="1">
        <v>3</v>
      </c>
      <c r="D111" s="6">
        <f t="shared" ca="1" si="9"/>
        <v>416552</v>
      </c>
    </row>
    <row r="112" spans="1:4" ht="15.75" customHeight="1" x14ac:dyDescent="0.25">
      <c r="A112" s="1">
        <v>2024</v>
      </c>
      <c r="B112" s="1">
        <v>1</v>
      </c>
      <c r="C112" s="1">
        <v>3</v>
      </c>
      <c r="D112" s="6">
        <f t="shared" ca="1" si="9"/>
        <v>416609</v>
      </c>
    </row>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000"/>
  <sheetViews>
    <sheetView workbookViewId="0">
      <pane ySplit="2" topLeftCell="A29"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21.75" customHeight="1" x14ac:dyDescent="0.25">
      <c r="A1" s="9" t="s">
        <v>214</v>
      </c>
      <c r="B1" s="10"/>
      <c r="C1" s="10"/>
      <c r="D1" s="10"/>
      <c r="E1" s="10"/>
      <c r="F1" s="10"/>
      <c r="G1" s="10"/>
      <c r="H1" s="10"/>
      <c r="I1" s="10"/>
      <c r="J1" s="10"/>
      <c r="K1" s="10"/>
      <c r="L1" s="10"/>
      <c r="M1" s="10"/>
      <c r="N1" s="10"/>
      <c r="O1" s="10"/>
      <c r="P1" s="10"/>
      <c r="Q1" s="10"/>
      <c r="R1" s="10"/>
      <c r="S1" s="10"/>
      <c r="T1" s="10"/>
      <c r="U1" s="11"/>
    </row>
    <row r="2" spans="1:21" x14ac:dyDescent="0.25">
      <c r="A2" s="1" t="s">
        <v>215</v>
      </c>
      <c r="B2" s="1" t="s">
        <v>216</v>
      </c>
      <c r="C2" s="1" t="s">
        <v>196</v>
      </c>
      <c r="D2" s="1" t="s">
        <v>217</v>
      </c>
      <c r="E2" s="1" t="s">
        <v>218</v>
      </c>
      <c r="F2" s="1" t="s">
        <v>219</v>
      </c>
      <c r="G2" s="1" t="s">
        <v>220</v>
      </c>
    </row>
    <row r="3" spans="1:21" x14ac:dyDescent="0.25">
      <c r="A3" s="1">
        <v>0</v>
      </c>
      <c r="B3" s="1">
        <v>1</v>
      </c>
      <c r="C3" s="1" t="s">
        <v>221</v>
      </c>
      <c r="D3" s="1">
        <v>1960</v>
      </c>
      <c r="E3" s="1">
        <v>1</v>
      </c>
      <c r="F3" s="1">
        <v>0.42715553489211999</v>
      </c>
      <c r="G3" s="1">
        <v>0.13781544979354199</v>
      </c>
    </row>
    <row r="4" spans="1:21" x14ac:dyDescent="0.25">
      <c r="A4" s="1">
        <v>0</v>
      </c>
      <c r="B4" s="1">
        <v>1</v>
      </c>
      <c r="C4" s="1" t="s">
        <v>221</v>
      </c>
      <c r="D4" s="1">
        <v>1961</v>
      </c>
      <c r="E4" s="1">
        <v>1</v>
      </c>
      <c r="F4" s="1">
        <v>0.60846668656264302</v>
      </c>
      <c r="G4" s="1">
        <v>0.13519110136513901</v>
      </c>
    </row>
    <row r="5" spans="1:21" x14ac:dyDescent="0.25">
      <c r="A5" s="1">
        <v>0</v>
      </c>
      <c r="B5" s="1">
        <v>1</v>
      </c>
      <c r="C5" s="1" t="s">
        <v>221</v>
      </c>
      <c r="D5" s="1">
        <v>1962</v>
      </c>
      <c r="E5" s="1">
        <v>1</v>
      </c>
      <c r="F5" s="1">
        <v>0.27151724249213599</v>
      </c>
      <c r="G5" s="1">
        <v>0.28829155393706701</v>
      </c>
    </row>
    <row r="6" spans="1:21" x14ac:dyDescent="0.25">
      <c r="A6" s="1">
        <v>0</v>
      </c>
      <c r="B6" s="1">
        <v>1</v>
      </c>
      <c r="C6" s="1" t="s">
        <v>221</v>
      </c>
      <c r="D6" s="1">
        <v>1963</v>
      </c>
      <c r="E6" s="1">
        <v>1</v>
      </c>
      <c r="F6" s="1">
        <v>0.30894434208472199</v>
      </c>
      <c r="G6" s="1">
        <v>0.19956389441769801</v>
      </c>
    </row>
    <row r="7" spans="1:21" x14ac:dyDescent="0.25">
      <c r="A7" s="1">
        <v>0</v>
      </c>
      <c r="B7" s="1">
        <v>1</v>
      </c>
      <c r="C7" s="1" t="s">
        <v>221</v>
      </c>
      <c r="D7" s="1">
        <v>1964</v>
      </c>
      <c r="E7" s="1">
        <v>1</v>
      </c>
      <c r="F7" s="1">
        <v>0.42208881111156599</v>
      </c>
      <c r="G7" s="1">
        <v>0.121277764357951</v>
      </c>
    </row>
    <row r="8" spans="1:21" x14ac:dyDescent="0.25">
      <c r="A8" s="1">
        <v>0</v>
      </c>
      <c r="B8" s="1">
        <v>1</v>
      </c>
      <c r="C8" s="1" t="s">
        <v>221</v>
      </c>
      <c r="D8" s="1">
        <v>1965</v>
      </c>
      <c r="E8" s="1">
        <v>1</v>
      </c>
      <c r="F8" s="1">
        <v>0.25209887455632402</v>
      </c>
      <c r="G8" s="1">
        <v>0.156202254295742</v>
      </c>
    </row>
    <row r="9" spans="1:21" x14ac:dyDescent="0.25">
      <c r="A9" s="1">
        <v>0</v>
      </c>
      <c r="B9" s="1">
        <v>1</v>
      </c>
      <c r="C9" s="1" t="s">
        <v>221</v>
      </c>
      <c r="D9" s="1">
        <v>1966</v>
      </c>
      <c r="E9" s="1">
        <v>1</v>
      </c>
      <c r="F9" s="1">
        <v>0.25893957861136402</v>
      </c>
      <c r="G9" s="1">
        <v>0.13966010035649301</v>
      </c>
    </row>
    <row r="10" spans="1:21" x14ac:dyDescent="0.25">
      <c r="A10" s="1">
        <v>0</v>
      </c>
      <c r="B10" s="1">
        <v>1</v>
      </c>
      <c r="C10" s="1" t="s">
        <v>221</v>
      </c>
      <c r="D10" s="1">
        <v>1967</v>
      </c>
      <c r="E10" s="1">
        <v>1</v>
      </c>
      <c r="F10" s="1">
        <v>0.190567660370771</v>
      </c>
      <c r="G10" s="1">
        <v>0.19916068930574601</v>
      </c>
    </row>
    <row r="11" spans="1:21" x14ac:dyDescent="0.25">
      <c r="A11" s="1">
        <v>0</v>
      </c>
      <c r="B11" s="1">
        <v>1</v>
      </c>
      <c r="C11" s="1" t="s">
        <v>221</v>
      </c>
      <c r="D11" s="1">
        <v>1968</v>
      </c>
      <c r="E11" s="1">
        <v>1</v>
      </c>
      <c r="F11" s="1">
        <v>3.4070374153251398E-2</v>
      </c>
      <c r="G11" s="1">
        <v>0.678265370202627</v>
      </c>
    </row>
    <row r="12" spans="1:21" x14ac:dyDescent="0.25">
      <c r="A12" s="1">
        <v>0</v>
      </c>
      <c r="B12" s="1">
        <v>1</v>
      </c>
      <c r="C12" s="1" t="s">
        <v>221</v>
      </c>
      <c r="D12" s="1">
        <v>1969</v>
      </c>
      <c r="E12" s="1">
        <v>1</v>
      </c>
      <c r="F12" s="1">
        <v>0.311513938315297</v>
      </c>
      <c r="G12" s="1">
        <v>0.105445402388682</v>
      </c>
    </row>
    <row r="13" spans="1:21" x14ac:dyDescent="0.25">
      <c r="A13" s="1">
        <v>0</v>
      </c>
      <c r="B13" s="1">
        <v>1</v>
      </c>
      <c r="C13" s="1" t="s">
        <v>221</v>
      </c>
      <c r="D13" s="1">
        <v>1970</v>
      </c>
      <c r="E13" s="1">
        <v>1</v>
      </c>
      <c r="F13" s="1">
        <v>1.6309238399999999</v>
      </c>
      <c r="G13" s="1">
        <v>0.105282913678278</v>
      </c>
    </row>
    <row r="14" spans="1:21" x14ac:dyDescent="0.25">
      <c r="A14" s="1">
        <v>0</v>
      </c>
      <c r="B14" s="1">
        <v>1</v>
      </c>
      <c r="C14" s="1" t="s">
        <v>221</v>
      </c>
      <c r="D14" s="1">
        <v>1971</v>
      </c>
      <c r="E14" s="1">
        <v>1</v>
      </c>
      <c r="F14" s="1">
        <v>1.4897862599999998</v>
      </c>
      <c r="G14" s="1">
        <v>0.13898731496998901</v>
      </c>
    </row>
    <row r="15" spans="1:21" x14ac:dyDescent="0.25">
      <c r="A15" s="1">
        <v>0</v>
      </c>
      <c r="B15" s="1">
        <v>1</v>
      </c>
      <c r="C15" s="1" t="s">
        <v>221</v>
      </c>
      <c r="D15" s="1">
        <v>1972</v>
      </c>
      <c r="E15" s="1">
        <v>1</v>
      </c>
      <c r="F15" s="1">
        <v>1.0394508599999996</v>
      </c>
      <c r="G15" s="1">
        <v>0.28145656391721702</v>
      </c>
    </row>
    <row r="16" spans="1:21" x14ac:dyDescent="0.25">
      <c r="A16" s="1">
        <v>0</v>
      </c>
      <c r="B16" s="1">
        <v>1</v>
      </c>
      <c r="C16" s="1" t="s">
        <v>221</v>
      </c>
      <c r="D16" s="1">
        <v>1973</v>
      </c>
      <c r="E16" s="1">
        <v>1</v>
      </c>
      <c r="F16" s="1">
        <v>1.3988766399999997</v>
      </c>
      <c r="G16" s="1">
        <v>0.34327038609194999</v>
      </c>
    </row>
    <row r="17" spans="1:7" x14ac:dyDescent="0.25">
      <c r="A17" s="1">
        <v>0</v>
      </c>
      <c r="B17" s="1">
        <v>1</v>
      </c>
      <c r="C17" s="1" t="s">
        <v>221</v>
      </c>
      <c r="D17" s="1">
        <v>1974</v>
      </c>
      <c r="E17" s="1">
        <v>1</v>
      </c>
      <c r="F17" s="1">
        <v>1.7895168899999998</v>
      </c>
      <c r="G17" s="1">
        <v>5.73714976830954E-2</v>
      </c>
    </row>
    <row r="18" spans="1:7" x14ac:dyDescent="0.25">
      <c r="A18" s="1">
        <v>0</v>
      </c>
      <c r="B18" s="1">
        <v>1</v>
      </c>
      <c r="C18" s="1" t="s">
        <v>221</v>
      </c>
      <c r="D18" s="1">
        <v>1975</v>
      </c>
      <c r="E18" s="1">
        <v>1</v>
      </c>
      <c r="F18" s="1">
        <v>1.9392752699999998</v>
      </c>
      <c r="G18" s="1">
        <v>6.3059031628240197E-2</v>
      </c>
    </row>
    <row r="19" spans="1:7" x14ac:dyDescent="0.25">
      <c r="A19" s="1">
        <v>0</v>
      </c>
      <c r="B19" s="1">
        <v>1</v>
      </c>
      <c r="C19" s="1" t="s">
        <v>221</v>
      </c>
      <c r="D19" s="1">
        <v>1976</v>
      </c>
      <c r="E19" s="1">
        <v>1</v>
      </c>
      <c r="F19" s="1">
        <v>1.7035243499999999</v>
      </c>
      <c r="G19" s="1">
        <v>4.98105833524463E-2</v>
      </c>
    </row>
    <row r="20" spans="1:7" x14ac:dyDescent="0.25">
      <c r="A20" s="1">
        <v>0</v>
      </c>
      <c r="B20" s="1">
        <v>1</v>
      </c>
      <c r="C20" s="1" t="s">
        <v>221</v>
      </c>
      <c r="D20" s="1">
        <v>1977</v>
      </c>
      <c r="E20" s="1">
        <v>1</v>
      </c>
      <c r="F20" s="1">
        <v>1.43163153</v>
      </c>
      <c r="G20" s="1">
        <v>3.9461338436437801E-2</v>
      </c>
    </row>
    <row r="21" spans="1:7" ht="15.75" customHeight="1" x14ac:dyDescent="0.25">
      <c r="A21" s="1">
        <v>0</v>
      </c>
      <c r="B21" s="1">
        <v>1</v>
      </c>
      <c r="C21" s="1" t="s">
        <v>221</v>
      </c>
      <c r="D21" s="1">
        <v>1978</v>
      </c>
      <c r="E21" s="1">
        <v>1</v>
      </c>
      <c r="F21" s="1">
        <v>1.1938930200000002</v>
      </c>
      <c r="G21" s="1">
        <v>3.9034571785991901E-2</v>
      </c>
    </row>
    <row r="22" spans="1:7" ht="15.75" customHeight="1" x14ac:dyDescent="0.25">
      <c r="A22" s="1">
        <v>0</v>
      </c>
      <c r="B22" s="1">
        <v>1</v>
      </c>
      <c r="C22" s="1" t="s">
        <v>221</v>
      </c>
      <c r="D22" s="1">
        <v>1979</v>
      </c>
      <c r="E22" s="1">
        <v>1</v>
      </c>
      <c r="F22" s="1">
        <v>1.20540728</v>
      </c>
      <c r="G22" s="1">
        <v>3.6976973168407298E-2</v>
      </c>
    </row>
    <row r="23" spans="1:7" ht="15.75" customHeight="1" x14ac:dyDescent="0.25">
      <c r="A23" s="1">
        <v>0</v>
      </c>
      <c r="B23" s="1">
        <v>1</v>
      </c>
      <c r="C23" s="1" t="s">
        <v>221</v>
      </c>
      <c r="D23" s="1">
        <v>1980</v>
      </c>
      <c r="E23" s="1">
        <v>1</v>
      </c>
      <c r="F23" s="1">
        <v>1.2575484000000001</v>
      </c>
      <c r="G23" s="1">
        <v>3.62608536937747E-2</v>
      </c>
    </row>
    <row r="24" spans="1:7" ht="15.75" customHeight="1" x14ac:dyDescent="0.25">
      <c r="A24" s="1">
        <v>0</v>
      </c>
      <c r="B24" s="1">
        <v>1</v>
      </c>
      <c r="C24" s="1" t="s">
        <v>221</v>
      </c>
      <c r="D24" s="1">
        <v>1981</v>
      </c>
      <c r="E24" s="1">
        <v>1</v>
      </c>
      <c r="F24" s="1">
        <v>0.99791734000000021</v>
      </c>
      <c r="G24" s="1">
        <v>3.6455751062585001E-2</v>
      </c>
    </row>
    <row r="25" spans="1:7" ht="15.75" customHeight="1" x14ac:dyDescent="0.25">
      <c r="A25" s="1">
        <v>0</v>
      </c>
      <c r="B25" s="1">
        <v>1</v>
      </c>
      <c r="C25" s="1" t="s">
        <v>221</v>
      </c>
      <c r="D25" s="1">
        <v>1982</v>
      </c>
      <c r="E25" s="1">
        <v>1</v>
      </c>
      <c r="F25" s="1">
        <v>0.65160909000000011</v>
      </c>
      <c r="G25" s="1">
        <v>3.8212015336421101E-2</v>
      </c>
    </row>
    <row r="26" spans="1:7" ht="15.75" customHeight="1" x14ac:dyDescent="0.25">
      <c r="A26" s="1">
        <v>0</v>
      </c>
      <c r="B26" s="1">
        <v>1</v>
      </c>
      <c r="C26" s="1" t="s">
        <v>221</v>
      </c>
      <c r="D26" s="1">
        <v>1983</v>
      </c>
      <c r="E26" s="1">
        <v>1</v>
      </c>
      <c r="F26" s="1">
        <v>0.76561920000000017</v>
      </c>
      <c r="G26" s="1">
        <v>3.6664491079729397E-2</v>
      </c>
    </row>
    <row r="27" spans="1:7" ht="15.75" customHeight="1" x14ac:dyDescent="0.25">
      <c r="A27" s="1">
        <v>0</v>
      </c>
      <c r="B27" s="1">
        <v>1</v>
      </c>
      <c r="C27" s="1" t="s">
        <v>221</v>
      </c>
      <c r="D27" s="1">
        <v>1984</v>
      </c>
      <c r="E27" s="1">
        <v>1</v>
      </c>
      <c r="F27" s="1">
        <v>0.89206080000000021</v>
      </c>
      <c r="G27" s="1">
        <v>3.52570136358141E-2</v>
      </c>
    </row>
    <row r="28" spans="1:7" ht="15.75" customHeight="1" x14ac:dyDescent="0.25">
      <c r="A28" s="1">
        <v>0</v>
      </c>
      <c r="B28" s="1">
        <v>1</v>
      </c>
      <c r="C28" s="1" t="s">
        <v>221</v>
      </c>
      <c r="D28" s="1">
        <v>1985</v>
      </c>
      <c r="E28" s="1">
        <v>1</v>
      </c>
      <c r="F28" s="1">
        <v>0.61523578000000012</v>
      </c>
      <c r="G28" s="1">
        <v>3.6754413042365097E-2</v>
      </c>
    </row>
    <row r="29" spans="1:7" ht="15.75" customHeight="1" x14ac:dyDescent="0.25">
      <c r="A29" s="1">
        <v>0</v>
      </c>
      <c r="B29" s="1">
        <v>1</v>
      </c>
      <c r="C29" s="1" t="s">
        <v>221</v>
      </c>
      <c r="D29" s="1">
        <v>1986</v>
      </c>
      <c r="E29" s="1">
        <v>1</v>
      </c>
      <c r="F29" s="1">
        <v>0.42026160000000012</v>
      </c>
      <c r="G29" s="1">
        <v>3.5867045574679499E-2</v>
      </c>
    </row>
    <row r="30" spans="1:7" ht="15.75" customHeight="1" x14ac:dyDescent="0.25">
      <c r="A30" s="1">
        <v>0</v>
      </c>
      <c r="B30" s="1">
        <v>1</v>
      </c>
      <c r="C30" s="1" t="s">
        <v>221</v>
      </c>
      <c r="D30" s="1">
        <v>1987</v>
      </c>
      <c r="E30" s="1">
        <v>1</v>
      </c>
      <c r="F30" s="1">
        <v>0.5028357</v>
      </c>
      <c r="G30" s="1">
        <v>3.68834621281032E-2</v>
      </c>
    </row>
    <row r="31" spans="1:7" ht="15.75" customHeight="1" x14ac:dyDescent="0.25">
      <c r="A31" s="1">
        <v>0</v>
      </c>
      <c r="B31" s="1">
        <v>1</v>
      </c>
      <c r="C31" s="1" t="s">
        <v>221</v>
      </c>
      <c r="D31" s="1">
        <v>1988</v>
      </c>
      <c r="E31" s="1">
        <v>1</v>
      </c>
      <c r="F31" s="1">
        <v>0.27189001000000007</v>
      </c>
      <c r="G31" s="1">
        <v>3.4814045365903899E-2</v>
      </c>
    </row>
    <row r="32" spans="1:7" ht="15.75" customHeight="1" x14ac:dyDescent="0.25">
      <c r="A32" s="1">
        <v>0</v>
      </c>
      <c r="B32" s="1">
        <v>1</v>
      </c>
      <c r="C32" s="1" t="s">
        <v>221</v>
      </c>
      <c r="D32" s="1">
        <v>1989</v>
      </c>
      <c r="E32" s="1">
        <v>1</v>
      </c>
      <c r="F32" s="1">
        <v>0.18319680000000005</v>
      </c>
      <c r="G32" s="1">
        <v>6.4158715969505301E-2</v>
      </c>
    </row>
    <row r="33" spans="1:7" ht="15.75" customHeight="1" x14ac:dyDescent="0.25">
      <c r="A33" s="1">
        <v>0</v>
      </c>
      <c r="B33" s="1">
        <v>1</v>
      </c>
      <c r="C33" s="1" t="s">
        <v>221</v>
      </c>
      <c r="D33" s="1">
        <v>1990</v>
      </c>
      <c r="E33" s="1">
        <v>1</v>
      </c>
      <c r="F33" s="1">
        <v>0.42192593000000006</v>
      </c>
      <c r="G33" s="1">
        <v>6.0715890152875797E-2</v>
      </c>
    </row>
    <row r="34" spans="1:7" ht="15.75" customHeight="1" x14ac:dyDescent="0.25">
      <c r="A34" s="1">
        <v>0</v>
      </c>
      <c r="B34" s="1">
        <v>1</v>
      </c>
      <c r="C34" s="1" t="s">
        <v>221</v>
      </c>
      <c r="D34" s="1">
        <v>1991</v>
      </c>
      <c r="E34" s="1">
        <v>1</v>
      </c>
      <c r="F34" s="1">
        <v>0.49748436000000007</v>
      </c>
      <c r="G34" s="1">
        <v>7.9180828054307401E-2</v>
      </c>
    </row>
    <row r="35" spans="1:7" ht="15.75" customHeight="1" x14ac:dyDescent="0.25">
      <c r="A35" s="1">
        <v>0</v>
      </c>
      <c r="B35" s="1">
        <v>1</v>
      </c>
      <c r="C35" s="1" t="s">
        <v>221</v>
      </c>
      <c r="D35" s="1">
        <v>1992</v>
      </c>
      <c r="E35" s="1">
        <v>1</v>
      </c>
      <c r="F35" s="1">
        <v>0.61414336000000003</v>
      </c>
      <c r="G35" s="1">
        <v>6.9196408335781306E-2</v>
      </c>
    </row>
    <row r="36" spans="1:7" ht="15.75" customHeight="1" x14ac:dyDescent="0.25">
      <c r="A36" s="1">
        <v>0</v>
      </c>
      <c r="B36" s="1">
        <v>1</v>
      </c>
      <c r="C36" s="1" t="s">
        <v>221</v>
      </c>
      <c r="D36" s="1">
        <v>1993</v>
      </c>
      <c r="E36" s="1">
        <v>1</v>
      </c>
      <c r="F36" s="1">
        <v>0.56436158000000003</v>
      </c>
      <c r="G36" s="1">
        <v>6.6871695365603306E-2</v>
      </c>
    </row>
    <row r="37" spans="1:7" ht="15.75" customHeight="1" x14ac:dyDescent="0.25">
      <c r="A37" s="1">
        <v>0</v>
      </c>
      <c r="B37" s="1">
        <v>1</v>
      </c>
      <c r="C37" s="1" t="s">
        <v>221</v>
      </c>
      <c r="D37" s="1">
        <v>1994</v>
      </c>
      <c r="E37" s="1">
        <v>1</v>
      </c>
      <c r="F37" s="1">
        <v>0.29769142000000004</v>
      </c>
      <c r="G37" s="1">
        <v>6.0484186873481303E-2</v>
      </c>
    </row>
    <row r="38" spans="1:7" ht="15.75" customHeight="1" x14ac:dyDescent="0.25">
      <c r="A38" s="1">
        <v>0</v>
      </c>
      <c r="B38" s="1">
        <v>1</v>
      </c>
      <c r="C38" s="1" t="s">
        <v>221</v>
      </c>
      <c r="D38" s="1">
        <v>1995</v>
      </c>
      <c r="E38" s="1">
        <v>1</v>
      </c>
      <c r="F38" s="1">
        <v>0.31855290000000003</v>
      </c>
      <c r="G38" s="1">
        <v>6.4066071664348898E-2</v>
      </c>
    </row>
    <row r="39" spans="1:7" ht="15.75" customHeight="1" x14ac:dyDescent="0.25">
      <c r="A39" s="1">
        <v>0</v>
      </c>
      <c r="B39" s="1">
        <v>1</v>
      </c>
      <c r="C39" s="1" t="s">
        <v>221</v>
      </c>
      <c r="D39" s="1">
        <v>1996</v>
      </c>
      <c r="E39" s="1">
        <v>1</v>
      </c>
      <c r="F39" s="1">
        <v>0.17624439</v>
      </c>
      <c r="G39" s="1">
        <v>5.5072101775418901E-2</v>
      </c>
    </row>
    <row r="40" spans="1:7" ht="15.75" customHeight="1" x14ac:dyDescent="0.25">
      <c r="A40" s="1">
        <v>0</v>
      </c>
      <c r="B40" s="1">
        <v>1</v>
      </c>
      <c r="C40" s="1" t="s">
        <v>221</v>
      </c>
      <c r="D40" s="1">
        <v>1997</v>
      </c>
      <c r="E40" s="1">
        <v>1</v>
      </c>
      <c r="F40" s="1">
        <v>0.26826761999999998</v>
      </c>
      <c r="G40" s="1">
        <v>7.5441305939775799E-2</v>
      </c>
    </row>
    <row r="41" spans="1:7" ht="15.75" customHeight="1" x14ac:dyDescent="0.25">
      <c r="A41" s="1">
        <v>0</v>
      </c>
      <c r="B41" s="1">
        <v>1</v>
      </c>
      <c r="C41" s="1" t="s">
        <v>221</v>
      </c>
      <c r="D41" s="1">
        <v>1998</v>
      </c>
      <c r="E41" s="1">
        <v>1</v>
      </c>
      <c r="F41" s="1">
        <v>0.26521261799999996</v>
      </c>
      <c r="G41" s="1">
        <v>8.4727445773459198E-2</v>
      </c>
    </row>
    <row r="42" spans="1:7" ht="15.75" customHeight="1" x14ac:dyDescent="0.25">
      <c r="A42" s="1">
        <v>0</v>
      </c>
      <c r="B42" s="1">
        <v>1</v>
      </c>
      <c r="C42" s="1" t="s">
        <v>221</v>
      </c>
      <c r="D42" s="1">
        <v>1999</v>
      </c>
      <c r="E42" s="1">
        <v>1</v>
      </c>
      <c r="F42" s="1">
        <v>0.36258623400000001</v>
      </c>
      <c r="G42" s="1">
        <v>5.1622558464541002E-2</v>
      </c>
    </row>
    <row r="43" spans="1:7" ht="15.75" customHeight="1" x14ac:dyDescent="0.25">
      <c r="A43" s="1">
        <v>0</v>
      </c>
      <c r="B43" s="1">
        <v>1</v>
      </c>
      <c r="C43" s="1" t="s">
        <v>221</v>
      </c>
      <c r="D43" s="1">
        <v>2000</v>
      </c>
      <c r="E43" s="1">
        <v>1</v>
      </c>
      <c r="F43" s="1">
        <v>0.36758817199999999</v>
      </c>
      <c r="G43" s="1">
        <v>6.0917450393643803E-2</v>
      </c>
    </row>
    <row r="44" spans="1:7" ht="15.75" customHeight="1" x14ac:dyDescent="0.25">
      <c r="A44" s="1">
        <v>0</v>
      </c>
      <c r="B44" s="1">
        <v>1</v>
      </c>
      <c r="C44" s="1" t="s">
        <v>221</v>
      </c>
      <c r="D44" s="1">
        <v>2001</v>
      </c>
      <c r="E44" s="1">
        <v>1</v>
      </c>
      <c r="F44" s="1">
        <v>0.34205024699999997</v>
      </c>
      <c r="G44" s="1">
        <v>4.9260698216010999E-2</v>
      </c>
    </row>
    <row r="45" spans="1:7" ht="15.75" customHeight="1" x14ac:dyDescent="0.25">
      <c r="A45" s="1">
        <v>0</v>
      </c>
      <c r="B45" s="1">
        <v>1</v>
      </c>
      <c r="C45" s="1" t="s">
        <v>221</v>
      </c>
      <c r="D45" s="1">
        <v>2002</v>
      </c>
      <c r="E45" s="1">
        <v>1</v>
      </c>
      <c r="F45" s="1">
        <v>0.32442571799999997</v>
      </c>
      <c r="G45" s="1">
        <v>4.6924571013520003E-2</v>
      </c>
    </row>
    <row r="46" spans="1:7" ht="15.75" customHeight="1" x14ac:dyDescent="0.25">
      <c r="A46" s="1">
        <v>0</v>
      </c>
      <c r="B46" s="1">
        <v>1</v>
      </c>
      <c r="C46" s="1" t="s">
        <v>221</v>
      </c>
      <c r="D46" s="1">
        <v>2003</v>
      </c>
      <c r="E46" s="1">
        <v>1</v>
      </c>
      <c r="F46" s="1">
        <v>0.31905019000000001</v>
      </c>
      <c r="G46" s="1">
        <v>4.8371763112814298E-2</v>
      </c>
    </row>
    <row r="47" spans="1:7" ht="15.75" customHeight="1" x14ac:dyDescent="0.25">
      <c r="A47" s="1">
        <v>0</v>
      </c>
      <c r="B47" s="1">
        <v>1</v>
      </c>
      <c r="C47" s="1" t="s">
        <v>221</v>
      </c>
      <c r="D47" s="1">
        <v>2004</v>
      </c>
      <c r="E47" s="1">
        <v>1</v>
      </c>
      <c r="F47" s="1">
        <v>0.338501889</v>
      </c>
      <c r="G47" s="1">
        <v>5.7052116920408097E-2</v>
      </c>
    </row>
    <row r="48" spans="1:7" ht="15.75" customHeight="1" x14ac:dyDescent="0.25">
      <c r="A48" s="1">
        <v>0</v>
      </c>
      <c r="B48" s="1">
        <v>1</v>
      </c>
      <c r="C48" s="1" t="s">
        <v>221</v>
      </c>
      <c r="D48" s="1">
        <v>2005</v>
      </c>
      <c r="E48" s="1">
        <v>1</v>
      </c>
      <c r="F48" s="1">
        <v>0.27548532999999997</v>
      </c>
      <c r="G48" s="1">
        <v>4.78655433057407E-2</v>
      </c>
    </row>
    <row r="49" spans="1:7" ht="15.75" customHeight="1" x14ac:dyDescent="0.25">
      <c r="A49" s="1">
        <v>0</v>
      </c>
      <c r="B49" s="1">
        <v>1</v>
      </c>
      <c r="C49" s="1" t="s">
        <v>221</v>
      </c>
      <c r="D49" s="1">
        <v>2006</v>
      </c>
      <c r="E49" s="1">
        <v>1</v>
      </c>
      <c r="F49" s="1">
        <v>0.32198900999999996</v>
      </c>
      <c r="G49" s="1">
        <v>4.2053375280584997E-2</v>
      </c>
    </row>
    <row r="50" spans="1:7" ht="15.75" customHeight="1" x14ac:dyDescent="0.25">
      <c r="A50" s="1">
        <v>0</v>
      </c>
      <c r="B50" s="1">
        <v>1</v>
      </c>
      <c r="C50" s="1" t="s">
        <v>221</v>
      </c>
      <c r="D50" s="1">
        <v>2007</v>
      </c>
      <c r="E50" s="1">
        <v>1</v>
      </c>
      <c r="F50" s="1">
        <v>0.30394582399999998</v>
      </c>
      <c r="G50" s="1">
        <v>4.2968231878700802E-2</v>
      </c>
    </row>
    <row r="51" spans="1:7" ht="15.75" customHeight="1" x14ac:dyDescent="0.25">
      <c r="A51" s="1">
        <v>0</v>
      </c>
      <c r="B51" s="1">
        <v>1</v>
      </c>
      <c r="C51" s="1" t="s">
        <v>221</v>
      </c>
      <c r="D51" s="1">
        <v>2008</v>
      </c>
      <c r="E51" s="1">
        <v>1</v>
      </c>
      <c r="F51" s="1">
        <v>0.36662111199999992</v>
      </c>
      <c r="G51" s="1">
        <v>5.3626373924765401E-2</v>
      </c>
    </row>
    <row r="52" spans="1:7" ht="15.75" customHeight="1" x14ac:dyDescent="0.25">
      <c r="A52" s="1">
        <v>0</v>
      </c>
      <c r="B52" s="1">
        <v>1</v>
      </c>
      <c r="C52" s="1" t="s">
        <v>221</v>
      </c>
      <c r="D52" s="1">
        <v>2009</v>
      </c>
      <c r="E52" s="1">
        <v>1</v>
      </c>
      <c r="F52" s="1">
        <v>0.40565912699999995</v>
      </c>
      <c r="G52" s="1">
        <v>6.6333048785106194E-2</v>
      </c>
    </row>
    <row r="53" spans="1:7" ht="15.75" customHeight="1" x14ac:dyDescent="0.25">
      <c r="A53" s="1">
        <v>0</v>
      </c>
      <c r="B53" s="1">
        <v>1</v>
      </c>
      <c r="C53" s="1" t="s">
        <v>221</v>
      </c>
      <c r="D53" s="1">
        <v>2010</v>
      </c>
      <c r="E53" s="1">
        <v>1</v>
      </c>
      <c r="F53" s="1">
        <v>0.46945982499999994</v>
      </c>
      <c r="G53" s="1">
        <v>6.5099337549702901E-2</v>
      </c>
    </row>
    <row r="54" spans="1:7" ht="15.75" customHeight="1" x14ac:dyDescent="0.25">
      <c r="A54" s="1">
        <v>0</v>
      </c>
      <c r="B54" s="1">
        <v>1</v>
      </c>
      <c r="C54" s="1" t="s">
        <v>221</v>
      </c>
      <c r="D54" s="1">
        <v>2011</v>
      </c>
      <c r="E54" s="1">
        <v>1</v>
      </c>
      <c r="F54" s="1">
        <v>0.54181425699999997</v>
      </c>
      <c r="G54" s="1">
        <v>5.02528798174968E-2</v>
      </c>
    </row>
    <row r="55" spans="1:7" ht="15.75" customHeight="1" x14ac:dyDescent="0.25">
      <c r="A55" s="1">
        <v>0</v>
      </c>
      <c r="B55" s="1">
        <v>1</v>
      </c>
      <c r="C55" s="1" t="s">
        <v>221</v>
      </c>
      <c r="D55" s="1">
        <v>2012</v>
      </c>
      <c r="E55" s="1">
        <v>1</v>
      </c>
      <c r="F55" s="1">
        <v>0.57318294899999989</v>
      </c>
      <c r="G55" s="1">
        <v>4.34837041416491E-2</v>
      </c>
    </row>
    <row r="56" spans="1:7" ht="15.75" customHeight="1" x14ac:dyDescent="0.25">
      <c r="A56" s="1">
        <v>0</v>
      </c>
      <c r="B56" s="1">
        <v>1</v>
      </c>
      <c r="C56" s="1" t="s">
        <v>221</v>
      </c>
      <c r="D56" s="1">
        <v>2013</v>
      </c>
      <c r="E56" s="1">
        <v>1</v>
      </c>
      <c r="F56" s="1">
        <v>0.56916885599999989</v>
      </c>
      <c r="G56" s="1">
        <v>5.3015148030903098E-2</v>
      </c>
    </row>
    <row r="57" spans="1:7" ht="15.75" customHeight="1" x14ac:dyDescent="0.25">
      <c r="A57" s="1">
        <v>0</v>
      </c>
      <c r="B57" s="1">
        <v>1</v>
      </c>
      <c r="C57" s="1" t="s">
        <v>221</v>
      </c>
      <c r="D57" s="1">
        <v>2014</v>
      </c>
      <c r="E57" s="1">
        <v>1</v>
      </c>
      <c r="F57" s="1">
        <v>0.56412328499999986</v>
      </c>
      <c r="G57" s="1">
        <v>4.9253294793636097E-2</v>
      </c>
    </row>
    <row r="58" spans="1:7" ht="15.75" customHeight="1" x14ac:dyDescent="0.25">
      <c r="A58" s="1">
        <v>0</v>
      </c>
      <c r="B58" s="1">
        <v>1</v>
      </c>
      <c r="C58" s="1" t="s">
        <v>221</v>
      </c>
      <c r="D58" s="1">
        <v>2015</v>
      </c>
      <c r="E58" s="1">
        <v>1</v>
      </c>
      <c r="F58" s="1">
        <v>0.75433072099999976</v>
      </c>
      <c r="G58" s="1">
        <v>5.7289868369422903E-2</v>
      </c>
    </row>
    <row r="59" spans="1:7" ht="15.75" customHeight="1" x14ac:dyDescent="0.25">
      <c r="A59" s="1">
        <v>0</v>
      </c>
      <c r="B59" s="1">
        <v>1</v>
      </c>
      <c r="C59" s="1" t="s">
        <v>221</v>
      </c>
      <c r="D59" s="1">
        <v>2016</v>
      </c>
      <c r="E59" s="1">
        <v>1</v>
      </c>
      <c r="F59" s="1">
        <v>0.84750463199999992</v>
      </c>
      <c r="G59" s="1">
        <v>4.8617566921277798E-2</v>
      </c>
    </row>
    <row r="60" spans="1:7" ht="15.75" customHeight="1" x14ac:dyDescent="0.25">
      <c r="A60" s="1">
        <v>0</v>
      </c>
      <c r="B60" s="1">
        <v>1</v>
      </c>
      <c r="C60" s="1" t="s">
        <v>221</v>
      </c>
      <c r="D60" s="1">
        <v>2017</v>
      </c>
      <c r="E60" s="1">
        <v>1</v>
      </c>
      <c r="F60" s="1">
        <v>0.88810639999999974</v>
      </c>
      <c r="G60" s="1">
        <v>4.9164111142390401E-2</v>
      </c>
    </row>
    <row r="61" spans="1:7" ht="15.75" customHeight="1" x14ac:dyDescent="0.25">
      <c r="A61" s="1">
        <v>0</v>
      </c>
      <c r="B61" s="1">
        <v>1</v>
      </c>
      <c r="C61" s="1" t="s">
        <v>221</v>
      </c>
      <c r="D61" s="1">
        <v>2018</v>
      </c>
      <c r="E61" s="1">
        <v>1</v>
      </c>
      <c r="F61" s="1">
        <v>0.96063149999999975</v>
      </c>
      <c r="G61" s="1">
        <v>4.9327279438456002E-2</v>
      </c>
    </row>
    <row r="62" spans="1:7" ht="15.75" customHeight="1" x14ac:dyDescent="0.25">
      <c r="A62" s="1">
        <v>0</v>
      </c>
      <c r="B62" s="1">
        <v>1</v>
      </c>
      <c r="C62" s="1" t="s">
        <v>221</v>
      </c>
      <c r="D62" s="1">
        <v>2019</v>
      </c>
      <c r="E62" s="1">
        <v>1</v>
      </c>
      <c r="F62" s="1">
        <v>1.0720371999999998</v>
      </c>
      <c r="G62" s="1">
        <v>4.8180261015612097E-2</v>
      </c>
    </row>
    <row r="63" spans="1:7" ht="15.75" customHeight="1" x14ac:dyDescent="0.25">
      <c r="A63" s="1">
        <v>0</v>
      </c>
      <c r="B63" s="1">
        <v>1</v>
      </c>
      <c r="C63" s="1" t="s">
        <v>221</v>
      </c>
      <c r="D63" s="1">
        <v>2020</v>
      </c>
      <c r="E63" s="1">
        <v>1</v>
      </c>
      <c r="F63" s="1">
        <v>1.1498861999999999</v>
      </c>
      <c r="G63" s="1">
        <v>4.3893600594459702E-2</v>
      </c>
    </row>
    <row r="64" spans="1:7" ht="15.75" customHeight="1" x14ac:dyDescent="0.25">
      <c r="A64" s="1">
        <v>0</v>
      </c>
      <c r="B64" s="1">
        <v>1</v>
      </c>
      <c r="C64" s="1" t="s">
        <v>221</v>
      </c>
      <c r="D64" s="1">
        <v>2021</v>
      </c>
      <c r="E64" s="1">
        <v>1</v>
      </c>
      <c r="F64" s="1">
        <v>1.2459490999999998</v>
      </c>
      <c r="G64" s="1">
        <v>4.5585716128643497E-2</v>
      </c>
    </row>
    <row r="65" spans="1:7" ht="15.75" customHeight="1" x14ac:dyDescent="0.25">
      <c r="A65" s="1">
        <v>0</v>
      </c>
      <c r="B65" s="1">
        <v>1</v>
      </c>
      <c r="C65" s="1" t="s">
        <v>221</v>
      </c>
      <c r="D65" s="1">
        <v>2022</v>
      </c>
      <c r="E65" s="1">
        <v>1</v>
      </c>
      <c r="F65" s="1">
        <v>1.2434739199999998</v>
      </c>
      <c r="G65" s="1">
        <v>4.9120455316691403E-2</v>
      </c>
    </row>
    <row r="66" spans="1:7" ht="15.75" customHeight="1" x14ac:dyDescent="0.25">
      <c r="A66" s="1">
        <v>0</v>
      </c>
      <c r="B66" s="1">
        <v>1</v>
      </c>
      <c r="C66" s="1" t="s">
        <v>221</v>
      </c>
      <c r="D66" s="1">
        <v>2023</v>
      </c>
      <c r="E66" s="1">
        <v>1</v>
      </c>
      <c r="F66" s="1">
        <v>1.5280919999999996</v>
      </c>
      <c r="G66" s="1">
        <v>4.1317511140728798E-2</v>
      </c>
    </row>
    <row r="67" spans="1:7" ht="15.75" customHeight="1" x14ac:dyDescent="0.25">
      <c r="A67" s="1">
        <v>0</v>
      </c>
      <c r="B67" s="1">
        <v>1</v>
      </c>
      <c r="C67" s="1" t="s">
        <v>221</v>
      </c>
      <c r="D67" s="1">
        <v>2024</v>
      </c>
      <c r="E67" s="1">
        <v>1</v>
      </c>
      <c r="F67" s="1">
        <v>1.5148764599999998</v>
      </c>
      <c r="G67" s="1">
        <v>6.9224520471187698E-2</v>
      </c>
    </row>
    <row r="68" spans="1:7" ht="15.75" customHeight="1" x14ac:dyDescent="0.25">
      <c r="A68" s="1">
        <v>1</v>
      </c>
      <c r="B68" s="1">
        <v>4</v>
      </c>
      <c r="C68" s="1" t="s">
        <v>111</v>
      </c>
      <c r="D68" s="1">
        <v>1990</v>
      </c>
      <c r="E68" s="1">
        <v>1</v>
      </c>
      <c r="F68" s="1">
        <v>2.5863526599999993</v>
      </c>
      <c r="G68" s="1">
        <v>5.0971638524937503E-2</v>
      </c>
    </row>
    <row r="69" spans="1:7" ht="15.75" customHeight="1" x14ac:dyDescent="0.25">
      <c r="A69" s="1">
        <v>1</v>
      </c>
      <c r="B69" s="1">
        <v>4</v>
      </c>
      <c r="C69" s="1" t="s">
        <v>111</v>
      </c>
      <c r="D69" s="1">
        <v>1991</v>
      </c>
      <c r="E69" s="1">
        <v>1</v>
      </c>
      <c r="F69" s="1">
        <v>2.3300990999999991</v>
      </c>
      <c r="G69" s="1">
        <v>4.6829142321856899E-2</v>
      </c>
    </row>
    <row r="70" spans="1:7" ht="15.75" customHeight="1" x14ac:dyDescent="0.25">
      <c r="A70" s="1">
        <v>1</v>
      </c>
      <c r="B70" s="1">
        <v>4</v>
      </c>
      <c r="C70" s="1" t="s">
        <v>111</v>
      </c>
      <c r="D70" s="1">
        <v>1992</v>
      </c>
      <c r="E70" s="1">
        <v>1</v>
      </c>
      <c r="F70" s="1">
        <v>2.6755684999999994</v>
      </c>
      <c r="G70" s="1">
        <v>4.4083765675703199E-2</v>
      </c>
    </row>
    <row r="71" spans="1:7" ht="15.75" customHeight="1" x14ac:dyDescent="0.25">
      <c r="A71" s="1">
        <v>1</v>
      </c>
      <c r="B71" s="1">
        <v>4</v>
      </c>
      <c r="C71" s="1" t="s">
        <v>111</v>
      </c>
      <c r="D71" s="1">
        <v>1993</v>
      </c>
      <c r="E71" s="1">
        <v>1</v>
      </c>
      <c r="F71" s="1">
        <v>2.6851065199999993</v>
      </c>
      <c r="G71" s="1">
        <v>6.3682003957994698E-2</v>
      </c>
    </row>
    <row r="72" spans="1:7" ht="15.75" customHeight="1" x14ac:dyDescent="0.25">
      <c r="A72" s="1">
        <v>1</v>
      </c>
      <c r="B72" s="1">
        <v>4</v>
      </c>
      <c r="C72" s="1" t="s">
        <v>111</v>
      </c>
      <c r="D72" s="1">
        <v>1994</v>
      </c>
      <c r="E72" s="1">
        <v>1</v>
      </c>
      <c r="F72" s="1">
        <v>2.7079841699999991</v>
      </c>
      <c r="G72" s="1">
        <v>5.31361912984748E-2</v>
      </c>
    </row>
    <row r="73" spans="1:7" ht="15.75" customHeight="1" x14ac:dyDescent="0.25">
      <c r="A73" s="1">
        <v>1</v>
      </c>
      <c r="B73" s="1">
        <v>4</v>
      </c>
      <c r="C73" s="1" t="s">
        <v>111</v>
      </c>
      <c r="D73" s="1">
        <v>1995</v>
      </c>
      <c r="E73" s="1">
        <v>1</v>
      </c>
      <c r="F73" s="1">
        <v>2.4858087499999995</v>
      </c>
      <c r="G73" s="1">
        <v>5.22677056527611E-2</v>
      </c>
    </row>
    <row r="74" spans="1:7" ht="15.75" customHeight="1" x14ac:dyDescent="0.25">
      <c r="A74" s="1">
        <v>1</v>
      </c>
      <c r="B74" s="1">
        <v>4</v>
      </c>
      <c r="C74" s="1" t="s">
        <v>111</v>
      </c>
      <c r="D74" s="1">
        <v>1996</v>
      </c>
      <c r="E74" s="1">
        <v>1</v>
      </c>
      <c r="F74" s="1">
        <v>2.0940124199999994</v>
      </c>
      <c r="G74" s="1">
        <v>5.6694334369782398E-2</v>
      </c>
    </row>
    <row r="75" spans="1:7" ht="15.75" customHeight="1" x14ac:dyDescent="0.25">
      <c r="A75" s="1">
        <v>1</v>
      </c>
      <c r="B75" s="1">
        <v>4</v>
      </c>
      <c r="C75" s="1" t="s">
        <v>111</v>
      </c>
      <c r="D75" s="1">
        <v>1997</v>
      </c>
      <c r="E75" s="1">
        <v>1</v>
      </c>
      <c r="F75" s="1">
        <v>2.1012087499999996</v>
      </c>
      <c r="G75" s="1">
        <v>5.4604729849884903E-2</v>
      </c>
    </row>
    <row r="76" spans="1:7" ht="15.75" customHeight="1" x14ac:dyDescent="0.25">
      <c r="A76" s="1">
        <v>1</v>
      </c>
      <c r="B76" s="1">
        <v>4</v>
      </c>
      <c r="C76" s="1" t="s">
        <v>111</v>
      </c>
      <c r="D76" s="1">
        <v>1998</v>
      </c>
      <c r="E76" s="1">
        <v>1</v>
      </c>
      <c r="F76" s="1">
        <v>1.6579371599999997</v>
      </c>
      <c r="G76" s="1">
        <v>4.0733603121883899E-2</v>
      </c>
    </row>
    <row r="77" spans="1:7" ht="15.75" customHeight="1" x14ac:dyDescent="0.25">
      <c r="A77" s="1">
        <v>1</v>
      </c>
      <c r="B77" s="1">
        <v>4</v>
      </c>
      <c r="C77" s="1" t="s">
        <v>111</v>
      </c>
      <c r="D77" s="1">
        <v>1999</v>
      </c>
      <c r="E77" s="1">
        <v>1</v>
      </c>
      <c r="F77" s="1">
        <v>1.4042379999999999</v>
      </c>
      <c r="G77" s="1">
        <v>4.9091855107932798E-2</v>
      </c>
    </row>
    <row r="78" spans="1:7" ht="15.75" customHeight="1" x14ac:dyDescent="0.25">
      <c r="A78" s="1">
        <v>1</v>
      </c>
      <c r="B78" s="1">
        <v>4</v>
      </c>
      <c r="C78" s="1" t="s">
        <v>111</v>
      </c>
      <c r="D78" s="1">
        <v>2000</v>
      </c>
      <c r="E78" s="1">
        <v>1</v>
      </c>
      <c r="F78" s="1">
        <v>1.3406130399999998</v>
      </c>
      <c r="G78" s="1">
        <v>5.5388206762239399E-2</v>
      </c>
    </row>
    <row r="79" spans="1:7" ht="15.75" customHeight="1" x14ac:dyDescent="0.25">
      <c r="A79" s="1">
        <v>1</v>
      </c>
      <c r="B79" s="1">
        <v>4</v>
      </c>
      <c r="C79" s="1" t="s">
        <v>111</v>
      </c>
      <c r="D79" s="1">
        <v>2001</v>
      </c>
      <c r="E79" s="1">
        <v>1</v>
      </c>
      <c r="F79" s="1">
        <v>1.1445126999999997</v>
      </c>
      <c r="G79" s="1">
        <v>4.3311339701524197E-2</v>
      </c>
    </row>
    <row r="80" spans="1:7" ht="15.75" customHeight="1" x14ac:dyDescent="0.25">
      <c r="A80" s="1">
        <v>1</v>
      </c>
      <c r="B80" s="1">
        <v>4</v>
      </c>
      <c r="C80" s="1" t="s">
        <v>111</v>
      </c>
      <c r="D80" s="1">
        <v>2002</v>
      </c>
      <c r="E80" s="1">
        <v>1</v>
      </c>
      <c r="F80" s="1">
        <v>0.92397711999999976</v>
      </c>
      <c r="G80" s="1">
        <v>4.6915258875187701E-2</v>
      </c>
    </row>
    <row r="81" spans="1:7" ht="15.75" customHeight="1" x14ac:dyDescent="0.25">
      <c r="A81" s="1">
        <v>1</v>
      </c>
      <c r="B81" s="1">
        <v>4</v>
      </c>
      <c r="C81" s="1" t="s">
        <v>111</v>
      </c>
      <c r="D81" s="1">
        <v>2003</v>
      </c>
      <c r="E81" s="1">
        <v>1</v>
      </c>
      <c r="F81" s="1">
        <v>0.88672483899999976</v>
      </c>
      <c r="G81" s="1">
        <v>4.5053002060648703E-2</v>
      </c>
    </row>
    <row r="82" spans="1:7" ht="15.75" customHeight="1" x14ac:dyDescent="0.25">
      <c r="A82" s="1">
        <v>1</v>
      </c>
      <c r="B82" s="1">
        <v>4</v>
      </c>
      <c r="C82" s="1" t="s">
        <v>111</v>
      </c>
      <c r="D82" s="1">
        <v>2004</v>
      </c>
      <c r="E82" s="1">
        <v>1</v>
      </c>
      <c r="F82" s="1">
        <v>0.75802395199999972</v>
      </c>
      <c r="G82" s="1">
        <v>4.7432817149281999E-2</v>
      </c>
    </row>
    <row r="83" spans="1:7" ht="15.75" customHeight="1" x14ac:dyDescent="0.25">
      <c r="A83" s="1">
        <v>1</v>
      </c>
      <c r="B83" s="1">
        <v>4</v>
      </c>
      <c r="C83" s="1" t="s">
        <v>111</v>
      </c>
      <c r="D83" s="1">
        <v>2005</v>
      </c>
      <c r="E83" s="1">
        <v>1</v>
      </c>
      <c r="F83" s="1">
        <v>0.73813467199999983</v>
      </c>
      <c r="G83" s="1">
        <v>4.4639568469101797E-2</v>
      </c>
    </row>
    <row r="84" spans="1:7" ht="15.75" customHeight="1" x14ac:dyDescent="0.25">
      <c r="A84" s="1">
        <v>1</v>
      </c>
      <c r="B84" s="1">
        <v>4</v>
      </c>
      <c r="C84" s="1" t="s">
        <v>111</v>
      </c>
      <c r="D84" s="1">
        <v>2006</v>
      </c>
      <c r="E84" s="1">
        <v>1</v>
      </c>
      <c r="F84" s="1">
        <v>0.75161665899999985</v>
      </c>
      <c r="G84" s="1">
        <v>4.7245679927303302E-2</v>
      </c>
    </row>
    <row r="85" spans="1:7" ht="15.75" customHeight="1" x14ac:dyDescent="0.25">
      <c r="A85" s="1">
        <v>1</v>
      </c>
      <c r="B85" s="1">
        <v>4</v>
      </c>
      <c r="C85" s="1" t="s">
        <v>111</v>
      </c>
      <c r="D85" s="1">
        <v>2007</v>
      </c>
      <c r="E85" s="1">
        <v>1</v>
      </c>
      <c r="F85" s="1">
        <v>0.84788422999999979</v>
      </c>
      <c r="G85" s="1">
        <v>4.2255989659841398E-2</v>
      </c>
    </row>
    <row r="86" spans="1:7" ht="15.75" customHeight="1" x14ac:dyDescent="0.25">
      <c r="A86" s="1">
        <v>1</v>
      </c>
      <c r="B86" s="1">
        <v>4</v>
      </c>
      <c r="C86" s="1" t="s">
        <v>111</v>
      </c>
      <c r="D86" s="1">
        <v>2008</v>
      </c>
      <c r="E86" s="1">
        <v>1</v>
      </c>
      <c r="F86" s="1">
        <v>0.7757302399999999</v>
      </c>
      <c r="G86" s="1">
        <v>4.2222684590433199E-2</v>
      </c>
    </row>
    <row r="87" spans="1:7" ht="15.75" customHeight="1" x14ac:dyDescent="0.25">
      <c r="A87" s="1">
        <v>1</v>
      </c>
      <c r="B87" s="1">
        <v>4</v>
      </c>
      <c r="C87" s="1" t="s">
        <v>111</v>
      </c>
      <c r="D87" s="1">
        <v>2009</v>
      </c>
      <c r="E87" s="1">
        <v>1</v>
      </c>
      <c r="F87" s="1">
        <v>0.98482013999999996</v>
      </c>
      <c r="G87" s="1">
        <v>4.2423092981228698E-2</v>
      </c>
    </row>
    <row r="88" spans="1:7" ht="15.75" customHeight="1" x14ac:dyDescent="0.25">
      <c r="A88" s="1">
        <v>1</v>
      </c>
      <c r="B88" s="1">
        <v>4</v>
      </c>
      <c r="C88" s="1" t="s">
        <v>111</v>
      </c>
      <c r="D88" s="1">
        <v>2010</v>
      </c>
      <c r="E88" s="1">
        <v>1</v>
      </c>
      <c r="F88" s="1">
        <v>1.0471994799999997</v>
      </c>
      <c r="G88" s="1">
        <v>4.6342646171541997E-2</v>
      </c>
    </row>
    <row r="89" spans="1:7" ht="15.75" customHeight="1" x14ac:dyDescent="0.25">
      <c r="A89" s="1">
        <v>1</v>
      </c>
      <c r="B89" s="1">
        <v>4</v>
      </c>
      <c r="C89" s="1" t="s">
        <v>111</v>
      </c>
      <c r="D89" s="1">
        <v>2011</v>
      </c>
      <c r="E89" s="1">
        <v>1</v>
      </c>
      <c r="F89" s="1">
        <v>1.3315243199999998</v>
      </c>
      <c r="G89" s="1">
        <v>4.0082639295461603E-2</v>
      </c>
    </row>
    <row r="90" spans="1:7" ht="15.75" customHeight="1" x14ac:dyDescent="0.25">
      <c r="A90" s="1">
        <v>1</v>
      </c>
      <c r="B90" s="1">
        <v>4</v>
      </c>
      <c r="C90" s="1" t="s">
        <v>111</v>
      </c>
      <c r="D90" s="1">
        <v>2012</v>
      </c>
      <c r="E90" s="1">
        <v>1</v>
      </c>
      <c r="F90" s="1">
        <v>1.3205639999999996</v>
      </c>
      <c r="G90" s="1">
        <v>4.1864735261983102E-2</v>
      </c>
    </row>
    <row r="91" spans="1:7" ht="15.75" customHeight="1" x14ac:dyDescent="0.25">
      <c r="A91" s="1">
        <v>1</v>
      </c>
      <c r="B91" s="1">
        <v>4</v>
      </c>
      <c r="C91" s="1" t="s">
        <v>111</v>
      </c>
      <c r="D91" s="1">
        <v>2013</v>
      </c>
      <c r="E91" s="1">
        <v>1</v>
      </c>
      <c r="F91" s="1">
        <v>1.2856758299999997</v>
      </c>
      <c r="G91" s="1">
        <v>0.169714126691766</v>
      </c>
    </row>
    <row r="92" spans="1:7" ht="15.75" customHeight="1" x14ac:dyDescent="0.25">
      <c r="A92" s="1">
        <v>1</v>
      </c>
      <c r="B92" s="1">
        <v>4</v>
      </c>
      <c r="C92" s="1" t="s">
        <v>111</v>
      </c>
      <c r="D92" s="1">
        <v>2014</v>
      </c>
      <c r="E92" s="1">
        <v>1</v>
      </c>
      <c r="F92" s="1">
        <v>1.4468479999999997</v>
      </c>
      <c r="G92" s="1">
        <v>9.5369720457646606E-2</v>
      </c>
    </row>
    <row r="93" spans="1:7" ht="15.75" customHeight="1" x14ac:dyDescent="0.25">
      <c r="A93" s="1">
        <v>1</v>
      </c>
      <c r="B93" s="1">
        <v>4</v>
      </c>
      <c r="C93" s="1" t="s">
        <v>111</v>
      </c>
      <c r="D93" s="1">
        <v>2015</v>
      </c>
      <c r="E93" s="1">
        <v>1</v>
      </c>
      <c r="F93" s="1">
        <v>1.7736409899999996</v>
      </c>
      <c r="G93" s="1">
        <v>7.7095179739025299E-2</v>
      </c>
    </row>
    <row r="94" spans="1:7" ht="15.75" customHeight="1" x14ac:dyDescent="0.25">
      <c r="A94" s="1">
        <v>1</v>
      </c>
      <c r="B94" s="1">
        <v>4</v>
      </c>
      <c r="C94" s="1" t="s">
        <v>111</v>
      </c>
      <c r="D94" s="1">
        <v>2016</v>
      </c>
      <c r="E94" s="1">
        <v>1</v>
      </c>
      <c r="F94" s="1">
        <v>1.7601738999999996</v>
      </c>
      <c r="G94" s="1">
        <v>8.0418506929916603E-2</v>
      </c>
    </row>
    <row r="95" spans="1:7" ht="15.75" customHeight="1" x14ac:dyDescent="0.25">
      <c r="A95" s="1">
        <v>1</v>
      </c>
      <c r="B95" s="1">
        <v>4</v>
      </c>
      <c r="C95" s="1" t="s">
        <v>111</v>
      </c>
      <c r="D95" s="1">
        <v>2017</v>
      </c>
      <c r="E95" s="1">
        <v>1</v>
      </c>
      <c r="F95" s="1">
        <v>1.7677804499999994</v>
      </c>
      <c r="G95" s="1">
        <v>7.0698853026702604E-2</v>
      </c>
    </row>
    <row r="96" spans="1:7" ht="15.75" customHeight="1" x14ac:dyDescent="0.25">
      <c r="A96" s="1">
        <v>1</v>
      </c>
      <c r="B96" s="1">
        <v>4</v>
      </c>
      <c r="C96" s="1" t="s">
        <v>111</v>
      </c>
      <c r="D96" s="1">
        <v>2018</v>
      </c>
      <c r="E96" s="1">
        <v>1</v>
      </c>
      <c r="F96" s="1">
        <v>2.0124595399999996</v>
      </c>
      <c r="G96" s="1">
        <v>7.5854203075401E-2</v>
      </c>
    </row>
    <row r="97" spans="1:7" ht="15.75" customHeight="1" x14ac:dyDescent="0.25">
      <c r="A97" s="1">
        <v>1</v>
      </c>
      <c r="B97" s="1">
        <v>4</v>
      </c>
      <c r="C97" s="1" t="s">
        <v>111</v>
      </c>
      <c r="D97" s="1">
        <v>2019</v>
      </c>
      <c r="E97" s="1">
        <v>1</v>
      </c>
      <c r="F97" s="1">
        <v>2.1217606199999999</v>
      </c>
      <c r="G97" s="1">
        <v>5.2223248197017798E-2</v>
      </c>
    </row>
    <row r="98" spans="1:7" ht="15.75" customHeight="1" x14ac:dyDescent="0.25">
      <c r="A98" s="1">
        <v>1</v>
      </c>
      <c r="B98" s="1">
        <v>4</v>
      </c>
      <c r="C98" s="1" t="s">
        <v>111</v>
      </c>
      <c r="D98" s="1">
        <v>2020</v>
      </c>
      <c r="E98" s="1">
        <v>1</v>
      </c>
      <c r="F98" s="1">
        <v>1.9058071999999999</v>
      </c>
      <c r="G98" s="1">
        <v>5.4505824282937702E-2</v>
      </c>
    </row>
    <row r="99" spans="1:7" ht="15.75" customHeight="1" x14ac:dyDescent="0.25">
      <c r="A99" s="1">
        <v>1</v>
      </c>
      <c r="B99" s="1">
        <v>4</v>
      </c>
      <c r="C99" s="1" t="s">
        <v>111</v>
      </c>
      <c r="D99" s="1">
        <v>2021</v>
      </c>
      <c r="E99" s="1">
        <v>1</v>
      </c>
      <c r="F99" s="1">
        <v>1.9310996199999999</v>
      </c>
      <c r="G99" s="1">
        <v>5.5284015061312801E-2</v>
      </c>
    </row>
    <row r="100" spans="1:7" ht="15.75" customHeight="1" x14ac:dyDescent="0.25">
      <c r="A100" s="1">
        <v>1</v>
      </c>
      <c r="B100" s="1">
        <v>4</v>
      </c>
      <c r="C100" s="1" t="s">
        <v>111</v>
      </c>
      <c r="D100" s="1">
        <v>2022</v>
      </c>
      <c r="E100" s="1">
        <v>1</v>
      </c>
      <c r="F100" s="1">
        <v>2.2771546599999999</v>
      </c>
      <c r="G100" s="1">
        <v>6.05934627000266E-2</v>
      </c>
    </row>
    <row r="101" spans="1:7" ht="15.75" customHeight="1" x14ac:dyDescent="0.25">
      <c r="A101" s="1">
        <v>1</v>
      </c>
      <c r="B101" s="1">
        <v>4</v>
      </c>
      <c r="C101" s="1" t="s">
        <v>111</v>
      </c>
      <c r="D101" s="1">
        <v>2023</v>
      </c>
      <c r="E101" s="1">
        <v>1</v>
      </c>
      <c r="F101" s="1">
        <v>2.6221630500000002</v>
      </c>
      <c r="G101" s="1">
        <v>8.1460254759040507E-2</v>
      </c>
    </row>
    <row r="102" spans="1:7" ht="15.75" customHeight="1" x14ac:dyDescent="0.25">
      <c r="A102" s="1">
        <v>1</v>
      </c>
      <c r="B102" s="1">
        <v>4</v>
      </c>
      <c r="C102" s="1" t="s">
        <v>111</v>
      </c>
      <c r="D102" s="1">
        <v>2024</v>
      </c>
      <c r="E102" s="1">
        <v>1</v>
      </c>
      <c r="F102" s="1">
        <v>3.0085890000000002</v>
      </c>
      <c r="G102" s="1">
        <v>4.6739904035066102E-2</v>
      </c>
    </row>
    <row r="103" spans="1:7" ht="15.75" customHeight="1" x14ac:dyDescent="0.25">
      <c r="A103" s="1">
        <v>2</v>
      </c>
      <c r="B103" s="1">
        <v>4</v>
      </c>
      <c r="C103" s="1" t="s">
        <v>87</v>
      </c>
      <c r="D103" s="1">
        <v>1990</v>
      </c>
      <c r="E103" s="1">
        <v>1</v>
      </c>
      <c r="F103" s="1">
        <v>3.7906586399999997</v>
      </c>
      <c r="G103" s="1">
        <v>4.6918473162275001E-2</v>
      </c>
    </row>
    <row r="104" spans="1:7" ht="15.75" customHeight="1" x14ac:dyDescent="0.25">
      <c r="A104" s="1">
        <v>2</v>
      </c>
      <c r="B104" s="1">
        <v>4</v>
      </c>
      <c r="C104" s="1" t="s">
        <v>87</v>
      </c>
      <c r="D104" s="1">
        <v>1991</v>
      </c>
      <c r="E104" s="1">
        <v>1</v>
      </c>
      <c r="F104" s="1">
        <v>3.9221775000000001</v>
      </c>
      <c r="G104" s="1">
        <v>5.6406866090329799E-2</v>
      </c>
    </row>
    <row r="105" spans="1:7" ht="15.75" customHeight="1" x14ac:dyDescent="0.25">
      <c r="A105" s="1">
        <v>2</v>
      </c>
      <c r="B105" s="1">
        <v>4</v>
      </c>
      <c r="C105" s="1" t="s">
        <v>87</v>
      </c>
      <c r="D105" s="1">
        <v>1992</v>
      </c>
      <c r="E105" s="1">
        <v>1</v>
      </c>
      <c r="F105" s="1">
        <v>3.7947658000000004</v>
      </c>
      <c r="G105" s="1">
        <v>4.2486780173753499E-2</v>
      </c>
    </row>
    <row r="106" spans="1:7" ht="15.75" customHeight="1" x14ac:dyDescent="0.25">
      <c r="A106" s="1">
        <v>2</v>
      </c>
      <c r="B106" s="1">
        <v>4</v>
      </c>
      <c r="C106" s="1" t="s">
        <v>87</v>
      </c>
      <c r="D106" s="1">
        <v>1993</v>
      </c>
      <c r="E106" s="1">
        <v>1</v>
      </c>
      <c r="F106" s="1">
        <v>3.4020499499999999</v>
      </c>
      <c r="G106" s="1">
        <v>5.2002786071755999E-2</v>
      </c>
    </row>
    <row r="107" spans="1:7" ht="15.75" customHeight="1" x14ac:dyDescent="0.25">
      <c r="A107" s="1">
        <v>2</v>
      </c>
      <c r="B107" s="1">
        <v>4</v>
      </c>
      <c r="C107" s="1" t="s">
        <v>87</v>
      </c>
      <c r="D107" s="1">
        <v>1994</v>
      </c>
      <c r="E107" s="1">
        <v>1</v>
      </c>
      <c r="F107" s="1">
        <v>2.9149517400000007</v>
      </c>
      <c r="G107" s="1">
        <v>4.1096620155227997E-2</v>
      </c>
    </row>
    <row r="108" spans="1:7" ht="15.75" customHeight="1" x14ac:dyDescent="0.25">
      <c r="A108" s="1">
        <v>2</v>
      </c>
      <c r="B108" s="1">
        <v>4</v>
      </c>
      <c r="C108" s="1" t="s">
        <v>87</v>
      </c>
      <c r="D108" s="1">
        <v>1995</v>
      </c>
      <c r="E108" s="1">
        <v>1</v>
      </c>
      <c r="F108" s="1">
        <v>2.3460600100000004</v>
      </c>
      <c r="G108" s="1">
        <v>5.1766617952054103E-2</v>
      </c>
    </row>
    <row r="109" spans="1:7" ht="15.75" customHeight="1" x14ac:dyDescent="0.25">
      <c r="A109" s="1">
        <v>2</v>
      </c>
      <c r="B109" s="1">
        <v>4</v>
      </c>
      <c r="C109" s="1" t="s">
        <v>87</v>
      </c>
      <c r="D109" s="1">
        <v>1996</v>
      </c>
      <c r="E109" s="1">
        <v>1</v>
      </c>
      <c r="F109" s="1">
        <v>2.4243360400000005</v>
      </c>
      <c r="G109" s="1">
        <v>6.0430532114050597E-2</v>
      </c>
    </row>
    <row r="110" spans="1:7" ht="15.75" customHeight="1" x14ac:dyDescent="0.25">
      <c r="A110" s="1">
        <v>2</v>
      </c>
      <c r="B110" s="1">
        <v>4</v>
      </c>
      <c r="C110" s="1" t="s">
        <v>87</v>
      </c>
      <c r="D110" s="1">
        <v>1997</v>
      </c>
      <c r="E110" s="1">
        <v>1</v>
      </c>
      <c r="F110" s="1">
        <v>1.8894960000000003</v>
      </c>
      <c r="G110" s="1">
        <v>4.2209277886192997E-2</v>
      </c>
    </row>
    <row r="111" spans="1:7" ht="15.75" customHeight="1" x14ac:dyDescent="0.25">
      <c r="A111" s="1">
        <v>2</v>
      </c>
      <c r="B111" s="1">
        <v>4</v>
      </c>
      <c r="C111" s="1" t="s">
        <v>87</v>
      </c>
      <c r="D111" s="1">
        <v>1998</v>
      </c>
      <c r="E111" s="1">
        <v>1</v>
      </c>
      <c r="F111" s="1">
        <v>1.7933954500000002</v>
      </c>
      <c r="G111" s="1">
        <v>4.7571195085031298E-2</v>
      </c>
    </row>
    <row r="112" spans="1:7" ht="15.75" customHeight="1" x14ac:dyDescent="0.25">
      <c r="A112" s="1">
        <v>2</v>
      </c>
      <c r="B112" s="1">
        <v>4</v>
      </c>
      <c r="C112" s="1" t="s">
        <v>87</v>
      </c>
      <c r="D112" s="1">
        <v>1999</v>
      </c>
      <c r="E112" s="1">
        <v>1</v>
      </c>
      <c r="F112" s="1">
        <v>1.7833081800000004</v>
      </c>
      <c r="G112" s="1">
        <v>5.0189103152307998E-2</v>
      </c>
    </row>
    <row r="113" spans="1:7" ht="15.75" customHeight="1" x14ac:dyDescent="0.25">
      <c r="A113" s="1">
        <v>2</v>
      </c>
      <c r="B113" s="1">
        <v>4</v>
      </c>
      <c r="C113" s="1" t="s">
        <v>87</v>
      </c>
      <c r="D113" s="1">
        <v>2000</v>
      </c>
      <c r="E113" s="1">
        <v>1</v>
      </c>
      <c r="F113" s="1">
        <v>1.7872095000000003</v>
      </c>
      <c r="G113" s="1">
        <v>5.2407393249629002E-2</v>
      </c>
    </row>
    <row r="114" spans="1:7" ht="15.75" customHeight="1" x14ac:dyDescent="0.25">
      <c r="A114" s="1">
        <v>2</v>
      </c>
      <c r="B114" s="1">
        <v>4</v>
      </c>
      <c r="C114" s="1" t="s">
        <v>87</v>
      </c>
      <c r="D114" s="1">
        <v>2001</v>
      </c>
      <c r="E114" s="1">
        <v>1</v>
      </c>
      <c r="F114" s="1">
        <v>1.6214037300000004</v>
      </c>
      <c r="G114" s="1">
        <v>6.0841184260585303E-2</v>
      </c>
    </row>
    <row r="115" spans="1:7" ht="15.75" customHeight="1" x14ac:dyDescent="0.25">
      <c r="A115" s="1">
        <v>2</v>
      </c>
      <c r="B115" s="1">
        <v>4</v>
      </c>
      <c r="C115" s="1" t="s">
        <v>87</v>
      </c>
      <c r="D115" s="1">
        <v>2002</v>
      </c>
      <c r="E115" s="1">
        <v>1</v>
      </c>
      <c r="F115" s="1">
        <v>1.4882458830000003</v>
      </c>
      <c r="G115" s="1">
        <v>5.4903516297552399E-2</v>
      </c>
    </row>
    <row r="116" spans="1:7" ht="15.75" customHeight="1" x14ac:dyDescent="0.25">
      <c r="A116" s="1">
        <v>2</v>
      </c>
      <c r="B116" s="1">
        <v>4</v>
      </c>
      <c r="C116" s="1" t="s">
        <v>87</v>
      </c>
      <c r="D116" s="1">
        <v>2003</v>
      </c>
      <c r="E116" s="1">
        <v>1</v>
      </c>
      <c r="F116" s="1">
        <v>1.2844075920000002</v>
      </c>
      <c r="G116" s="1">
        <v>4.9594687936842297E-2</v>
      </c>
    </row>
    <row r="117" spans="1:7" ht="15.75" customHeight="1" x14ac:dyDescent="0.25">
      <c r="A117" s="1">
        <v>2</v>
      </c>
      <c r="B117" s="1">
        <v>4</v>
      </c>
      <c r="C117" s="1" t="s">
        <v>87</v>
      </c>
      <c r="D117" s="1">
        <v>2004</v>
      </c>
      <c r="E117" s="1">
        <v>1</v>
      </c>
      <c r="F117" s="1">
        <v>1.1338968610000002</v>
      </c>
      <c r="G117" s="1">
        <v>8.8068215678685197E-2</v>
      </c>
    </row>
    <row r="118" spans="1:7" ht="15.75" customHeight="1" x14ac:dyDescent="0.25">
      <c r="A118" s="1">
        <v>2</v>
      </c>
      <c r="B118" s="1">
        <v>4</v>
      </c>
      <c r="C118" s="1" t="s">
        <v>87</v>
      </c>
      <c r="D118" s="1">
        <v>2005</v>
      </c>
      <c r="E118" s="1">
        <v>1</v>
      </c>
      <c r="F118" s="1">
        <v>1.1676218400000002</v>
      </c>
      <c r="G118" s="1">
        <v>5.02500079944561E-2</v>
      </c>
    </row>
    <row r="119" spans="1:7" ht="15.75" customHeight="1" x14ac:dyDescent="0.25">
      <c r="A119" s="1">
        <v>2</v>
      </c>
      <c r="B119" s="1">
        <v>4</v>
      </c>
      <c r="C119" s="1" t="s">
        <v>87</v>
      </c>
      <c r="D119" s="1">
        <v>2006</v>
      </c>
      <c r="E119" s="1">
        <v>1</v>
      </c>
      <c r="F119" s="1">
        <v>1.1161994220000002</v>
      </c>
      <c r="G119" s="1">
        <v>3.3711693691544101E-2</v>
      </c>
    </row>
    <row r="120" spans="1:7" ht="15.75" customHeight="1" x14ac:dyDescent="0.25">
      <c r="A120" s="1">
        <v>2</v>
      </c>
      <c r="B120" s="1">
        <v>4</v>
      </c>
      <c r="C120" s="1" t="s">
        <v>87</v>
      </c>
      <c r="D120" s="1">
        <v>2007</v>
      </c>
      <c r="E120" s="1">
        <v>1</v>
      </c>
      <c r="F120" s="1">
        <v>1.118457072</v>
      </c>
      <c r="G120" s="1">
        <v>6.6513019555693595E-2</v>
      </c>
    </row>
    <row r="121" spans="1:7" ht="15.75" customHeight="1" x14ac:dyDescent="0.25">
      <c r="A121" s="1">
        <v>2</v>
      </c>
      <c r="B121" s="1">
        <v>4</v>
      </c>
      <c r="C121" s="1" t="s">
        <v>87</v>
      </c>
      <c r="D121" s="1">
        <v>2008</v>
      </c>
      <c r="E121" s="1">
        <v>1</v>
      </c>
      <c r="F121" s="1">
        <v>1.2847554360000002</v>
      </c>
      <c r="G121" s="1">
        <v>6.9983363286163697E-2</v>
      </c>
    </row>
    <row r="122" spans="1:7" ht="15.75" customHeight="1" x14ac:dyDescent="0.25">
      <c r="A122" s="1">
        <v>2</v>
      </c>
      <c r="B122" s="1">
        <v>4</v>
      </c>
      <c r="C122" s="1" t="s">
        <v>87</v>
      </c>
      <c r="D122" s="1">
        <v>2009</v>
      </c>
      <c r="E122" s="1">
        <v>1</v>
      </c>
      <c r="F122" s="1">
        <v>1.4837388320000002</v>
      </c>
      <c r="G122" s="1">
        <v>7.9064498720030699E-2</v>
      </c>
    </row>
    <row r="123" spans="1:7" ht="15.75" customHeight="1" x14ac:dyDescent="0.25">
      <c r="A123" s="1">
        <v>2</v>
      </c>
      <c r="B123" s="1">
        <v>4</v>
      </c>
      <c r="C123" s="1" t="s">
        <v>87</v>
      </c>
      <c r="D123" s="1">
        <v>2010</v>
      </c>
      <c r="E123" s="1">
        <v>1</v>
      </c>
      <c r="F123" s="1">
        <v>1.6550883440000004</v>
      </c>
      <c r="G123" s="1">
        <v>6.20882147164298E-2</v>
      </c>
    </row>
    <row r="124" spans="1:7" ht="15.75" customHeight="1" x14ac:dyDescent="0.25">
      <c r="A124" s="1">
        <v>2</v>
      </c>
      <c r="B124" s="1">
        <v>4</v>
      </c>
      <c r="C124" s="1" t="s">
        <v>87</v>
      </c>
      <c r="D124" s="1">
        <v>2011</v>
      </c>
      <c r="E124" s="1">
        <v>1</v>
      </c>
      <c r="F124" s="1">
        <v>1.8617709670000004</v>
      </c>
      <c r="G124" s="1">
        <v>4.3842240720928898E-2</v>
      </c>
    </row>
    <row r="125" spans="1:7" ht="15.75" customHeight="1" x14ac:dyDescent="0.25">
      <c r="A125" s="1">
        <v>2</v>
      </c>
      <c r="B125" s="1">
        <v>4</v>
      </c>
      <c r="C125" s="1" t="s">
        <v>87</v>
      </c>
      <c r="D125" s="1">
        <v>2012</v>
      </c>
      <c r="E125" s="1">
        <v>1</v>
      </c>
      <c r="F125" s="1">
        <v>1.9069293000000003</v>
      </c>
      <c r="G125" s="1">
        <v>5.6313437705257902E-2</v>
      </c>
    </row>
    <row r="126" spans="1:7" ht="15.75" customHeight="1" x14ac:dyDescent="0.25">
      <c r="A126" s="1">
        <v>2</v>
      </c>
      <c r="B126" s="1">
        <v>4</v>
      </c>
      <c r="C126" s="1" t="s">
        <v>87</v>
      </c>
      <c r="D126" s="1">
        <v>2013</v>
      </c>
      <c r="E126" s="1">
        <v>1</v>
      </c>
      <c r="F126" s="1">
        <v>1.9969332000000004</v>
      </c>
      <c r="G126" s="1">
        <v>3.3339689687738101E-2</v>
      </c>
    </row>
    <row r="127" spans="1:7" ht="15.75" customHeight="1" x14ac:dyDescent="0.25">
      <c r="A127" s="1">
        <v>2</v>
      </c>
      <c r="B127" s="1">
        <v>4</v>
      </c>
      <c r="C127" s="1" t="s">
        <v>87</v>
      </c>
      <c r="D127" s="1">
        <v>2014</v>
      </c>
      <c r="E127" s="1">
        <v>1</v>
      </c>
      <c r="F127" s="1">
        <v>2.2313577000000002</v>
      </c>
      <c r="G127" s="1">
        <v>4.3303235598535002E-2</v>
      </c>
    </row>
    <row r="128" spans="1:7" ht="15.75" customHeight="1" x14ac:dyDescent="0.25">
      <c r="A128" s="1">
        <v>2</v>
      </c>
      <c r="B128" s="1">
        <v>4</v>
      </c>
      <c r="C128" s="1" t="s">
        <v>87</v>
      </c>
      <c r="D128" s="1">
        <v>2015</v>
      </c>
      <c r="E128" s="1">
        <v>1</v>
      </c>
      <c r="F128" s="1">
        <v>2.4453840000000002</v>
      </c>
      <c r="G128" s="1">
        <v>3.99607547695685E-2</v>
      </c>
    </row>
    <row r="129" spans="1:7" ht="15.75" customHeight="1" x14ac:dyDescent="0.25">
      <c r="A129" s="1">
        <v>2</v>
      </c>
      <c r="B129" s="1">
        <v>4</v>
      </c>
      <c r="C129" s="1" t="s">
        <v>87</v>
      </c>
      <c r="D129" s="1">
        <v>2016</v>
      </c>
      <c r="E129" s="1">
        <v>1</v>
      </c>
      <c r="F129" s="1">
        <v>2.8272267400000008</v>
      </c>
      <c r="G129" s="1">
        <v>3.5802622851338797E-2</v>
      </c>
    </row>
    <row r="130" spans="1:7" ht="15.75" customHeight="1" x14ac:dyDescent="0.25">
      <c r="A130" s="1">
        <v>2</v>
      </c>
      <c r="B130" s="1">
        <v>4</v>
      </c>
      <c r="C130" s="1" t="s">
        <v>87</v>
      </c>
      <c r="D130" s="1">
        <v>2017</v>
      </c>
      <c r="E130" s="1">
        <v>1</v>
      </c>
      <c r="F130" s="1">
        <v>3.0989074800000007</v>
      </c>
      <c r="G130" s="1">
        <v>3.6764674782380997E-2</v>
      </c>
    </row>
    <row r="131" spans="1:7" ht="15.75" customHeight="1" x14ac:dyDescent="0.25">
      <c r="A131" s="1">
        <v>2</v>
      </c>
      <c r="B131" s="1">
        <v>4</v>
      </c>
      <c r="C131" s="1" t="s">
        <v>87</v>
      </c>
      <c r="D131" s="1">
        <v>2018</v>
      </c>
      <c r="E131" s="1">
        <v>1</v>
      </c>
      <c r="F131" s="1">
        <v>3.3626257100000005</v>
      </c>
      <c r="G131" s="1">
        <v>5.4469226590281798E-2</v>
      </c>
    </row>
    <row r="132" spans="1:7" ht="15.75" customHeight="1" x14ac:dyDescent="0.25">
      <c r="A132" s="1">
        <v>2</v>
      </c>
      <c r="B132" s="1">
        <v>4</v>
      </c>
      <c r="C132" s="1" t="s">
        <v>87</v>
      </c>
      <c r="D132" s="1">
        <v>2019</v>
      </c>
      <c r="E132" s="1">
        <v>1</v>
      </c>
      <c r="F132" s="1">
        <v>3.5573012700000008</v>
      </c>
      <c r="G132" s="1">
        <v>3.3870024725059102E-2</v>
      </c>
    </row>
    <row r="133" spans="1:7" ht="15.75" customHeight="1" x14ac:dyDescent="0.25">
      <c r="A133" s="1">
        <v>2</v>
      </c>
      <c r="B133" s="1">
        <v>4</v>
      </c>
      <c r="C133" s="1" t="s">
        <v>87</v>
      </c>
      <c r="D133" s="1">
        <v>2020</v>
      </c>
      <c r="E133" s="1">
        <v>1</v>
      </c>
      <c r="F133" s="1">
        <v>3.5575076800000005</v>
      </c>
      <c r="G133" s="1">
        <v>6.2567892238757597E-2</v>
      </c>
    </row>
    <row r="134" spans="1:7" ht="15.75" customHeight="1" x14ac:dyDescent="0.25">
      <c r="A134" s="1">
        <v>2</v>
      </c>
      <c r="B134" s="1">
        <v>4</v>
      </c>
      <c r="C134" s="1" t="s">
        <v>87</v>
      </c>
      <c r="D134" s="1">
        <v>2021</v>
      </c>
      <c r="E134" s="1">
        <v>1</v>
      </c>
      <c r="F134" s="1">
        <v>3.7728528600000009</v>
      </c>
      <c r="G134" s="1">
        <v>5.99547434482108E-2</v>
      </c>
    </row>
    <row r="135" spans="1:7" ht="15.75" customHeight="1" x14ac:dyDescent="0.25">
      <c r="A135" s="1">
        <v>2</v>
      </c>
      <c r="B135" s="1">
        <v>4</v>
      </c>
      <c r="C135" s="1" t="s">
        <v>87</v>
      </c>
      <c r="D135" s="1">
        <v>2022</v>
      </c>
      <c r="E135" s="1">
        <v>1</v>
      </c>
      <c r="F135" s="1">
        <v>4.2755107200000015</v>
      </c>
      <c r="G135" s="1">
        <v>4.79301780461776E-2</v>
      </c>
    </row>
    <row r="136" spans="1:7" ht="15.75" customHeight="1" x14ac:dyDescent="0.25">
      <c r="A136" s="1">
        <v>2</v>
      </c>
      <c r="B136" s="1">
        <v>4</v>
      </c>
      <c r="C136" s="1" t="s">
        <v>87</v>
      </c>
      <c r="D136" s="1">
        <v>2023</v>
      </c>
      <c r="E136" s="1">
        <v>1</v>
      </c>
      <c r="F136" s="1">
        <v>4.5996721500000008</v>
      </c>
      <c r="G136" s="1">
        <v>8.6979491117995203E-2</v>
      </c>
    </row>
    <row r="137" spans="1:7" ht="15.75" customHeight="1" x14ac:dyDescent="0.25">
      <c r="A137" s="1">
        <v>2</v>
      </c>
      <c r="B137" s="1">
        <v>4</v>
      </c>
      <c r="C137" s="1" t="s">
        <v>87</v>
      </c>
      <c r="D137" s="1">
        <v>2024</v>
      </c>
      <c r="E137" s="1">
        <v>1</v>
      </c>
      <c r="F137" s="1">
        <v>4.9582552800000013</v>
      </c>
      <c r="G137" s="1">
        <v>4.2148263931412099E-2</v>
      </c>
    </row>
    <row r="138" spans="1:7" ht="15.75" customHeight="1" x14ac:dyDescent="0.25"/>
    <row r="139" spans="1:7" ht="15.75" customHeight="1" x14ac:dyDescent="0.25"/>
    <row r="140" spans="1:7" ht="15.75" customHeight="1" x14ac:dyDescent="0.25"/>
    <row r="141" spans="1:7" ht="15.75" customHeight="1" x14ac:dyDescent="0.25"/>
    <row r="142" spans="1:7" ht="15.75" customHeight="1" x14ac:dyDescent="0.25"/>
    <row r="143" spans="1:7" ht="15.75" customHeight="1" x14ac:dyDescent="0.25"/>
    <row r="144" spans="1:7"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1000"/>
  <sheetViews>
    <sheetView workbookViewId="0">
      <pane ySplit="2" topLeftCell="A3" activePane="bottomLeft" state="frozen"/>
      <selection pane="bottomLeft" sqref="A1:U1"/>
    </sheetView>
  </sheetViews>
  <sheetFormatPr defaultColWidth="14.42578125" defaultRowHeight="15" customHeight="1" x14ac:dyDescent="0.25"/>
  <cols>
    <col min="1" max="66" width="11.42578125" customWidth="1"/>
  </cols>
  <sheetData>
    <row r="1" spans="1:66" ht="22.5" customHeight="1" x14ac:dyDescent="0.25">
      <c r="A1" s="9" t="s">
        <v>222</v>
      </c>
      <c r="B1" s="10"/>
      <c r="C1" s="10"/>
      <c r="D1" s="10"/>
      <c r="E1" s="10"/>
      <c r="F1" s="10"/>
      <c r="G1" s="10"/>
      <c r="H1" s="10"/>
      <c r="I1" s="10"/>
      <c r="J1" s="10"/>
      <c r="K1" s="10"/>
      <c r="L1" s="10"/>
      <c r="M1" s="10"/>
      <c r="N1" s="10"/>
      <c r="O1" s="10"/>
      <c r="P1" s="10"/>
      <c r="Q1" s="10"/>
      <c r="R1" s="10"/>
      <c r="S1" s="10"/>
      <c r="T1" s="10"/>
      <c r="U1" s="11"/>
    </row>
    <row r="2" spans="1:66" x14ac:dyDescent="0.25">
      <c r="A2" s="7" t="s">
        <v>216</v>
      </c>
      <c r="B2" s="1" t="s">
        <v>196</v>
      </c>
      <c r="C2" s="1" t="s">
        <v>191</v>
      </c>
      <c r="D2" s="1" t="s">
        <v>198</v>
      </c>
      <c r="E2" s="1" t="s">
        <v>223</v>
      </c>
      <c r="F2" s="1" t="s">
        <v>224</v>
      </c>
      <c r="G2" s="1" t="s">
        <v>225</v>
      </c>
      <c r="H2" s="1" t="s">
        <v>226</v>
      </c>
      <c r="I2" s="1" t="s">
        <v>227</v>
      </c>
      <c r="J2" s="1" t="s">
        <v>228</v>
      </c>
      <c r="K2" s="1" t="s">
        <v>229</v>
      </c>
      <c r="L2" s="1" t="s">
        <v>230</v>
      </c>
      <c r="M2" s="1" t="s">
        <v>231</v>
      </c>
      <c r="N2" s="1" t="s">
        <v>232</v>
      </c>
      <c r="O2" s="1" t="s">
        <v>233</v>
      </c>
      <c r="P2" s="1" t="s">
        <v>234</v>
      </c>
      <c r="Q2" s="1" t="s">
        <v>235</v>
      </c>
      <c r="R2" s="1" t="s">
        <v>236</v>
      </c>
      <c r="S2" s="1" t="s">
        <v>237</v>
      </c>
      <c r="T2" s="1" t="s">
        <v>238</v>
      </c>
      <c r="U2" s="1" t="s">
        <v>239</v>
      </c>
      <c r="V2" s="1" t="s">
        <v>240</v>
      </c>
      <c r="W2" s="1" t="s">
        <v>241</v>
      </c>
      <c r="X2" s="1" t="s">
        <v>242</v>
      </c>
      <c r="Y2" s="1" t="s">
        <v>243</v>
      </c>
      <c r="Z2" s="1" t="s">
        <v>244</v>
      </c>
      <c r="AA2" s="1" t="s">
        <v>245</v>
      </c>
      <c r="AB2" s="1" t="s">
        <v>246</v>
      </c>
      <c r="AC2" s="1" t="s">
        <v>247</v>
      </c>
      <c r="AD2" s="1" t="s">
        <v>248</v>
      </c>
      <c r="AE2" s="1" t="s">
        <v>249</v>
      </c>
      <c r="AF2" s="1" t="s">
        <v>250</v>
      </c>
      <c r="AG2" s="1" t="s">
        <v>251</v>
      </c>
      <c r="AH2" s="1" t="s">
        <v>252</v>
      </c>
      <c r="AI2" s="1" t="s">
        <v>253</v>
      </c>
      <c r="AJ2" s="1" t="s">
        <v>254</v>
      </c>
      <c r="AK2" s="1" t="s">
        <v>255</v>
      </c>
      <c r="AL2" s="1" t="s">
        <v>256</v>
      </c>
      <c r="AM2" s="1" t="s">
        <v>257</v>
      </c>
      <c r="AN2" s="1" t="s">
        <v>258</v>
      </c>
      <c r="AO2" s="1" t="s">
        <v>259</v>
      </c>
      <c r="AP2" s="1" t="s">
        <v>260</v>
      </c>
      <c r="AQ2" s="1" t="s">
        <v>261</v>
      </c>
      <c r="AR2" s="1" t="s">
        <v>262</v>
      </c>
      <c r="AS2" s="1" t="s">
        <v>263</v>
      </c>
      <c r="AT2" s="1" t="s">
        <v>264</v>
      </c>
      <c r="AU2" s="1"/>
      <c r="AV2" s="1"/>
      <c r="AW2" s="1"/>
      <c r="AX2" s="1"/>
      <c r="AY2" s="1"/>
      <c r="AZ2" s="1"/>
      <c r="BA2" s="1"/>
      <c r="BB2" s="1"/>
      <c r="BC2" s="1"/>
      <c r="BD2" s="1"/>
      <c r="BE2" s="1"/>
      <c r="BF2" s="1"/>
      <c r="BG2" s="1"/>
      <c r="BH2" s="1"/>
      <c r="BI2" s="1"/>
      <c r="BJ2" s="1"/>
      <c r="BK2" s="1"/>
      <c r="BL2" s="1"/>
      <c r="BM2" s="1"/>
      <c r="BN2" s="1"/>
    </row>
    <row r="3" spans="1:66" x14ac:dyDescent="0.25">
      <c r="A3" s="1">
        <v>2</v>
      </c>
      <c r="B3" s="1" t="s">
        <v>111</v>
      </c>
      <c r="C3" s="1">
        <v>1980</v>
      </c>
      <c r="D3" s="1">
        <v>1</v>
      </c>
      <c r="E3" s="1">
        <v>4</v>
      </c>
      <c r="F3" s="1">
        <v>0</v>
      </c>
      <c r="G3" s="1">
        <v>0</v>
      </c>
      <c r="H3" s="1">
        <v>0</v>
      </c>
      <c r="I3" s="1">
        <v>0</v>
      </c>
      <c r="J3" s="5">
        <v>1.0024171261206E-5</v>
      </c>
      <c r="K3" s="1">
        <v>4.8116022053788901E-4</v>
      </c>
      <c r="L3" s="1">
        <v>5.8179983918474603E-3</v>
      </c>
      <c r="M3" s="1">
        <v>2.3898848612976101E-2</v>
      </c>
      <c r="N3" s="1">
        <v>3.4482383934635701E-2</v>
      </c>
      <c r="O3" s="1">
        <v>3.4498912339158E-2</v>
      </c>
      <c r="P3" s="1">
        <v>3.8604843495904498E-2</v>
      </c>
      <c r="Q3" s="1">
        <v>3.7377150337776298E-2</v>
      </c>
      <c r="R3" s="1">
        <v>3.6408478704222098E-2</v>
      </c>
      <c r="S3" s="1">
        <v>3.4868811910735598E-2</v>
      </c>
      <c r="T3" s="1">
        <v>3.8120010296583899E-2</v>
      </c>
      <c r="U3" s="1">
        <v>3.92962817517538E-2</v>
      </c>
      <c r="V3" s="1">
        <v>4.0649544872016601E-2</v>
      </c>
      <c r="W3" s="1">
        <v>4.0708848175279498E-2</v>
      </c>
      <c r="X3" s="1">
        <v>4.0806794276152303E-2</v>
      </c>
      <c r="Y3" s="1">
        <v>4.2979973389268698E-2</v>
      </c>
      <c r="Z3" s="1">
        <v>4.4668013221499298E-2</v>
      </c>
      <c r="AA3" s="1">
        <v>4.8649063099632898E-2</v>
      </c>
      <c r="AB3" s="1">
        <v>5.2716887101508597E-2</v>
      </c>
      <c r="AC3" s="1">
        <v>5.4281346501778502E-2</v>
      </c>
      <c r="AD3" s="1">
        <v>4.9058294152342301E-2</v>
      </c>
      <c r="AE3" s="1">
        <v>4.4336679927140299E-2</v>
      </c>
      <c r="AF3" s="1">
        <v>3.7958858352491499E-2</v>
      </c>
      <c r="AG3" s="1">
        <v>3.20196516608139E-2</v>
      </c>
      <c r="AH3" s="1">
        <v>2.76330437087536E-2</v>
      </c>
      <c r="AI3" s="1">
        <v>2.4000620733414298E-2</v>
      </c>
      <c r="AJ3" s="1">
        <v>1.9480867300480001E-2</v>
      </c>
      <c r="AK3" s="1">
        <v>1.4800880168149001E-2</v>
      </c>
      <c r="AL3" s="1">
        <v>1.22698151848901E-2</v>
      </c>
      <c r="AM3" s="1">
        <v>9.1899459551780301E-3</v>
      </c>
      <c r="AN3" s="1">
        <v>7.1107338825864997E-3</v>
      </c>
      <c r="AO3" s="1">
        <v>5.9619332478957699E-3</v>
      </c>
      <c r="AP3" s="1">
        <v>4.8518519312063298E-3</v>
      </c>
      <c r="AQ3" s="1">
        <v>4.2663944173171198E-3</v>
      </c>
      <c r="AR3" s="1">
        <v>3.1767440451066298E-3</v>
      </c>
      <c r="AS3" s="1">
        <v>2.80202368887666E-3</v>
      </c>
      <c r="AT3" s="1">
        <v>1.17562868388294E-2</v>
      </c>
    </row>
    <row r="4" spans="1:66" x14ac:dyDescent="0.25">
      <c r="A4" s="1">
        <v>2</v>
      </c>
      <c r="B4" s="1" t="s">
        <v>111</v>
      </c>
      <c r="C4" s="1">
        <v>1981</v>
      </c>
      <c r="D4" s="1">
        <v>1</v>
      </c>
      <c r="E4" s="1">
        <v>4</v>
      </c>
      <c r="F4" s="1">
        <v>0</v>
      </c>
      <c r="G4" s="1">
        <v>0</v>
      </c>
      <c r="H4" s="1">
        <v>0</v>
      </c>
      <c r="I4" s="1">
        <v>0</v>
      </c>
      <c r="J4" s="5">
        <v>1.8761410399449801E-5</v>
      </c>
      <c r="K4" s="1">
        <v>5.1861898747050498E-4</v>
      </c>
      <c r="L4" s="1">
        <v>6.5028388545235799E-3</v>
      </c>
      <c r="M4" s="1">
        <v>2.8406711045839899E-2</v>
      </c>
      <c r="N4" s="1">
        <v>3.6339511842991397E-2</v>
      </c>
      <c r="O4" s="1">
        <v>3.4488832717160002E-2</v>
      </c>
      <c r="P4" s="1">
        <v>3.2825767695322999E-2</v>
      </c>
      <c r="Q4" s="1">
        <v>3.5015417859046098E-2</v>
      </c>
      <c r="R4" s="1">
        <v>3.90596930007878E-2</v>
      </c>
      <c r="S4" s="1">
        <v>3.8693622147874702E-2</v>
      </c>
      <c r="T4" s="1">
        <v>3.77795245411904E-2</v>
      </c>
      <c r="U4" s="1">
        <v>3.8197710422990902E-2</v>
      </c>
      <c r="V4" s="1">
        <v>3.7090861659464597E-2</v>
      </c>
      <c r="W4" s="1">
        <v>3.6033819973546398E-2</v>
      </c>
      <c r="X4" s="1">
        <v>3.4162443736242498E-2</v>
      </c>
      <c r="Y4" s="1">
        <v>3.6528466047728698E-2</v>
      </c>
      <c r="Z4" s="1">
        <v>3.7406976534687102E-2</v>
      </c>
      <c r="AA4" s="1">
        <v>3.9155212403734201E-2</v>
      </c>
      <c r="AB4" s="1">
        <v>3.8695408948865202E-2</v>
      </c>
      <c r="AC4" s="1">
        <v>4.4062512423850599E-2</v>
      </c>
      <c r="AD4" s="1">
        <v>4.6799891541179903E-2</v>
      </c>
      <c r="AE4" s="1">
        <v>4.5231675871917898E-2</v>
      </c>
      <c r="AF4" s="1">
        <v>4.24039144044897E-2</v>
      </c>
      <c r="AG4" s="1">
        <v>3.6612817944485003E-2</v>
      </c>
      <c r="AH4" s="1">
        <v>3.3315500066781703E-2</v>
      </c>
      <c r="AI4" s="1">
        <v>3.0133952003249601E-2</v>
      </c>
      <c r="AJ4" s="1">
        <v>2.3864216227935098E-2</v>
      </c>
      <c r="AK4" s="1">
        <v>1.9077599724713502E-2</v>
      </c>
      <c r="AL4" s="1">
        <v>1.5359936914013E-2</v>
      </c>
      <c r="AM4" s="1">
        <v>1.3383511668480501E-2</v>
      </c>
      <c r="AN4" s="1">
        <v>1.1489428168590001E-2</v>
      </c>
      <c r="AO4" s="1">
        <v>8.8626818125845299E-3</v>
      </c>
      <c r="AP4" s="1">
        <v>7.0913664307444097E-3</v>
      </c>
      <c r="AQ4" s="1">
        <v>6.0237528389661997E-3</v>
      </c>
      <c r="AR4" s="1">
        <v>4.8866773586852602E-3</v>
      </c>
      <c r="AS4" s="1">
        <v>4.1930263241944897E-3</v>
      </c>
      <c r="AT4" s="1">
        <v>2.02873384452717E-2</v>
      </c>
    </row>
    <row r="5" spans="1:66" x14ac:dyDescent="0.25">
      <c r="A5" s="1">
        <v>2</v>
      </c>
      <c r="B5" s="1" t="s">
        <v>111</v>
      </c>
      <c r="C5" s="1">
        <v>1984</v>
      </c>
      <c r="D5" s="1">
        <v>1</v>
      </c>
      <c r="E5" s="1">
        <v>6</v>
      </c>
      <c r="F5" s="1">
        <v>0</v>
      </c>
      <c r="G5" s="1">
        <v>0</v>
      </c>
      <c r="H5" s="1">
        <v>0</v>
      </c>
      <c r="I5" s="1">
        <v>0</v>
      </c>
      <c r="J5" s="5">
        <v>1.7644805390551799E-5</v>
      </c>
      <c r="K5" s="1">
        <v>5.2105322906316302E-4</v>
      </c>
      <c r="L5" s="1">
        <v>7.49308982651542E-3</v>
      </c>
      <c r="M5" s="1">
        <v>3.7705567297500402E-2</v>
      </c>
      <c r="N5" s="1">
        <v>4.7677008223329702E-2</v>
      </c>
      <c r="O5" s="1">
        <v>4.2459779410170297E-2</v>
      </c>
      <c r="P5" s="1">
        <v>3.7613622980254398E-2</v>
      </c>
      <c r="Q5" s="1">
        <v>3.9244810832805101E-2</v>
      </c>
      <c r="R5" s="1">
        <v>4.1271624984534197E-2</v>
      </c>
      <c r="S5" s="1">
        <v>4.09769779933137E-2</v>
      </c>
      <c r="T5" s="1">
        <v>3.8500540186150602E-2</v>
      </c>
      <c r="U5" s="1">
        <v>4.0691897462847099E-2</v>
      </c>
      <c r="V5" s="1">
        <v>4.1205935287357401E-2</v>
      </c>
      <c r="W5" s="1">
        <v>3.8418906387717201E-2</v>
      </c>
      <c r="X5" s="1">
        <v>3.7172396551482197E-2</v>
      </c>
      <c r="Y5" s="1">
        <v>3.9107266385965497E-2</v>
      </c>
      <c r="Z5" s="1">
        <v>4.3007193553310903E-2</v>
      </c>
      <c r="AA5" s="1">
        <v>4.5456420094329597E-2</v>
      </c>
      <c r="AB5" s="1">
        <v>4.5633931088318903E-2</v>
      </c>
      <c r="AC5" s="1">
        <v>4.5748941205382601E-2</v>
      </c>
      <c r="AD5" s="1">
        <v>4.3159406573306497E-2</v>
      </c>
      <c r="AE5" s="1">
        <v>3.7733416327695099E-2</v>
      </c>
      <c r="AF5" s="1">
        <v>3.1409879475349803E-2</v>
      </c>
      <c r="AG5" s="1">
        <v>3.04111409726412E-2</v>
      </c>
      <c r="AH5" s="1">
        <v>2.7995290750252901E-2</v>
      </c>
      <c r="AI5" s="1">
        <v>2.0556198279992902E-2</v>
      </c>
      <c r="AJ5" s="1">
        <v>1.84855909968125E-2</v>
      </c>
      <c r="AK5" s="1">
        <v>1.35359042027375E-2</v>
      </c>
      <c r="AL5" s="1">
        <v>1.2135799524398101E-2</v>
      </c>
      <c r="AM5" s="1">
        <v>9.3058278453736799E-3</v>
      </c>
      <c r="AN5" s="1">
        <v>8.2641465632808594E-3</v>
      </c>
      <c r="AO5" s="1">
        <v>6.7182065054484201E-3</v>
      </c>
      <c r="AP5" s="1">
        <v>5.3355340444827702E-3</v>
      </c>
      <c r="AQ5" s="1">
        <v>4.4388377898159298E-3</v>
      </c>
      <c r="AR5" s="1">
        <v>3.8878096503905E-3</v>
      </c>
      <c r="AS5" s="1">
        <v>3.0608422652188601E-3</v>
      </c>
      <c r="AT5" s="1">
        <v>1.36415604470641E-2</v>
      </c>
    </row>
    <row r="6" spans="1:66" x14ac:dyDescent="0.25">
      <c r="A6" s="1">
        <v>2</v>
      </c>
      <c r="B6" s="1" t="s">
        <v>111</v>
      </c>
      <c r="C6" s="1">
        <v>1988</v>
      </c>
      <c r="D6" s="1">
        <v>1</v>
      </c>
      <c r="E6" s="1">
        <v>14</v>
      </c>
      <c r="F6" s="1">
        <v>0</v>
      </c>
      <c r="G6" s="1">
        <v>0</v>
      </c>
      <c r="H6" s="1">
        <v>0</v>
      </c>
      <c r="I6" s="1">
        <v>0</v>
      </c>
      <c r="J6" s="5">
        <v>2.4421209306151701E-5</v>
      </c>
      <c r="K6" s="1">
        <v>7.6701877123400001E-4</v>
      </c>
      <c r="L6" s="1">
        <v>9.12180367339974E-3</v>
      </c>
      <c r="M6" s="1">
        <v>3.8020448906813498E-2</v>
      </c>
      <c r="N6" s="1">
        <v>5.6156570799495799E-2</v>
      </c>
      <c r="O6" s="1">
        <v>5.1503848429121799E-2</v>
      </c>
      <c r="P6" s="1">
        <v>5.8058372474212298E-2</v>
      </c>
      <c r="Q6" s="1">
        <v>5.6498467729781898E-2</v>
      </c>
      <c r="R6" s="1">
        <v>4.85847105877832E-2</v>
      </c>
      <c r="S6" s="1">
        <v>5.0351070950361003E-2</v>
      </c>
      <c r="T6" s="1">
        <v>4.9011278421387298E-2</v>
      </c>
      <c r="U6" s="1">
        <v>4.8582139934172E-2</v>
      </c>
      <c r="V6" s="1">
        <v>4.7958113770059499E-2</v>
      </c>
      <c r="W6" s="1">
        <v>4.25145940825482E-2</v>
      </c>
      <c r="X6" s="1">
        <v>3.7334727056032802E-2</v>
      </c>
      <c r="Y6" s="1">
        <v>2.9503391495442399E-2</v>
      </c>
      <c r="Z6" s="1">
        <v>2.9490538227386499E-2</v>
      </c>
      <c r="AA6" s="1">
        <v>3.2456751162979698E-2</v>
      </c>
      <c r="AB6" s="1">
        <v>2.6946073149876501E-2</v>
      </c>
      <c r="AC6" s="1">
        <v>3.04897191528797E-2</v>
      </c>
      <c r="AD6" s="1">
        <v>2.9466117018080398E-2</v>
      </c>
      <c r="AE6" s="1">
        <v>2.5046520797069701E-2</v>
      </c>
      <c r="AF6" s="1">
        <v>2.8882257316642498E-2</v>
      </c>
      <c r="AG6" s="1">
        <v>2.84852519995668E-2</v>
      </c>
      <c r="AH6" s="1">
        <v>2.2798484214098198E-2</v>
      </c>
      <c r="AI6" s="1">
        <v>2.1107958133050001E-2</v>
      </c>
      <c r="AJ6" s="1">
        <v>1.6751824923065199E-2</v>
      </c>
      <c r="AK6" s="1">
        <v>1.37745260437737E-2</v>
      </c>
      <c r="AL6" s="1">
        <v>1.1329513127846001E-2</v>
      </c>
      <c r="AM6" s="1">
        <v>9.3011067627791193E-3</v>
      </c>
      <c r="AN6" s="1">
        <v>8.2542080796285597E-3</v>
      </c>
      <c r="AO6" s="1">
        <v>7.6750076878609498E-3</v>
      </c>
      <c r="AP6" s="1">
        <v>6.4438252739593797E-3</v>
      </c>
      <c r="AQ6" s="1">
        <v>4.99317330800383E-3</v>
      </c>
      <c r="AR6" s="1">
        <v>3.8974322062409702E-3</v>
      </c>
      <c r="AS6" s="1">
        <v>3.2904366223025401E-3</v>
      </c>
      <c r="AT6" s="1">
        <v>1.51282965017582E-2</v>
      </c>
    </row>
    <row r="7" spans="1:66" x14ac:dyDescent="0.25">
      <c r="A7" s="1">
        <v>2</v>
      </c>
      <c r="B7" s="1" t="s">
        <v>111</v>
      </c>
      <c r="C7" s="1">
        <v>1990</v>
      </c>
      <c r="D7" s="1">
        <v>1</v>
      </c>
      <c r="E7" s="1">
        <v>6</v>
      </c>
      <c r="F7" s="1">
        <v>0</v>
      </c>
      <c r="G7" s="1">
        <v>0</v>
      </c>
      <c r="H7" s="1">
        <v>0</v>
      </c>
      <c r="I7" s="1">
        <v>0</v>
      </c>
      <c r="J7" s="5">
        <v>8.1475665152139905E-6</v>
      </c>
      <c r="K7" s="1">
        <v>4.7352551831641998E-4</v>
      </c>
      <c r="L7" s="1">
        <v>6.2661691219381404E-3</v>
      </c>
      <c r="M7" s="1">
        <v>3.0761206425364299E-2</v>
      </c>
      <c r="N7" s="1">
        <v>4.1441561372028098E-2</v>
      </c>
      <c r="O7" s="1">
        <v>4.2077900126301103E-2</v>
      </c>
      <c r="P7" s="1">
        <v>4.4425089754421297E-2</v>
      </c>
      <c r="Q7" s="1">
        <v>4.4561457922790301E-2</v>
      </c>
      <c r="R7" s="1">
        <v>4.8837273211105099E-2</v>
      </c>
      <c r="S7" s="1">
        <v>4.9455452558653502E-2</v>
      </c>
      <c r="T7" s="1">
        <v>4.9398350545873097E-2</v>
      </c>
      <c r="U7" s="1">
        <v>4.7023196812340601E-2</v>
      </c>
      <c r="V7" s="1">
        <v>4.3552747759902498E-2</v>
      </c>
      <c r="W7" s="1">
        <v>4.2983799047314697E-2</v>
      </c>
      <c r="X7" s="1">
        <v>4.2804069253762997E-2</v>
      </c>
      <c r="Y7" s="1">
        <v>4.15995413058146E-2</v>
      </c>
      <c r="Z7" s="1">
        <v>4.1218953283510697E-2</v>
      </c>
      <c r="AA7" s="1">
        <v>3.9346532022836403E-2</v>
      </c>
      <c r="AB7" s="1">
        <v>3.8566229911069998E-2</v>
      </c>
      <c r="AC7" s="1">
        <v>3.7089932286817499E-2</v>
      </c>
      <c r="AD7" s="1">
        <v>3.4438727952201702E-2</v>
      </c>
      <c r="AE7" s="1">
        <v>3.4938629490931801E-2</v>
      </c>
      <c r="AF7" s="1">
        <v>3.4328183426855403E-2</v>
      </c>
      <c r="AG7" s="1">
        <v>3.1377797687914002E-2</v>
      </c>
      <c r="AH7" s="1">
        <v>2.6633428277800499E-2</v>
      </c>
      <c r="AI7" s="1">
        <v>2.3289059364826802E-2</v>
      </c>
      <c r="AJ7" s="1">
        <v>1.8076550115957799E-2</v>
      </c>
      <c r="AK7" s="1">
        <v>1.33510305843076E-2</v>
      </c>
      <c r="AL7" s="1">
        <v>9.8631125968835394E-3</v>
      </c>
      <c r="AM7" s="1">
        <v>8.0909478326506405E-3</v>
      </c>
      <c r="AN7" s="1">
        <v>6.1695030785372902E-3</v>
      </c>
      <c r="AO7" s="1">
        <v>4.9959082644771896E-3</v>
      </c>
      <c r="AP7" s="1">
        <v>4.0383620574179699E-3</v>
      </c>
      <c r="AQ7" s="1">
        <v>3.2383124539282701E-3</v>
      </c>
      <c r="AR7" s="1">
        <v>2.7342680847667299E-3</v>
      </c>
      <c r="AS7" s="1">
        <v>2.1846525808590701E-3</v>
      </c>
      <c r="AT7" s="1">
        <v>1.0360390343007E-2</v>
      </c>
    </row>
    <row r="8" spans="1:66" x14ac:dyDescent="0.25">
      <c r="A8" s="1">
        <v>2</v>
      </c>
      <c r="B8" s="1" t="s">
        <v>111</v>
      </c>
      <c r="C8" s="1">
        <v>1992</v>
      </c>
      <c r="D8" s="1">
        <v>1</v>
      </c>
      <c r="E8" s="1">
        <v>2</v>
      </c>
      <c r="F8" s="1">
        <v>0</v>
      </c>
      <c r="G8" s="1">
        <v>0</v>
      </c>
      <c r="H8" s="1">
        <v>0</v>
      </c>
      <c r="I8" s="1">
        <v>0</v>
      </c>
      <c r="J8" s="5">
        <v>1.88654733912304E-5</v>
      </c>
      <c r="K8" s="1">
        <v>6.1639665535703303E-4</v>
      </c>
      <c r="L8" s="1">
        <v>7.2589111577227401E-3</v>
      </c>
      <c r="M8" s="1">
        <v>2.9875064803368101E-2</v>
      </c>
      <c r="N8" s="1">
        <v>4.0127422263742898E-2</v>
      </c>
      <c r="O8" s="1">
        <v>3.7315532794123203E-2</v>
      </c>
      <c r="P8" s="1">
        <v>3.8284022690494801E-2</v>
      </c>
      <c r="Q8" s="1">
        <v>4.0597004443005798E-2</v>
      </c>
      <c r="R8" s="1">
        <v>4.4234305070208001E-2</v>
      </c>
      <c r="S8" s="1">
        <v>4.4588452966740501E-2</v>
      </c>
      <c r="T8" s="1">
        <v>4.3080429210066197E-2</v>
      </c>
      <c r="U8" s="1">
        <v>4.5223341521758199E-2</v>
      </c>
      <c r="V8" s="1">
        <v>4.8244058706738202E-2</v>
      </c>
      <c r="W8" s="1">
        <v>4.7670996604121399E-2</v>
      </c>
      <c r="X8" s="1">
        <v>4.8466428469829903E-2</v>
      </c>
      <c r="Y8" s="1">
        <v>4.8741285342059501E-2</v>
      </c>
      <c r="Z8" s="1">
        <v>4.3432148877350203E-2</v>
      </c>
      <c r="AA8" s="1">
        <v>4.5753442645365301E-2</v>
      </c>
      <c r="AB8" s="1">
        <v>4.5823207539539799E-2</v>
      </c>
      <c r="AC8" s="1">
        <v>3.9531945737294898E-2</v>
      </c>
      <c r="AD8" s="1">
        <v>3.84713699163503E-2</v>
      </c>
      <c r="AE8" s="1">
        <v>3.5384436787635802E-2</v>
      </c>
      <c r="AF8" s="1">
        <v>3.16018159792614E-2</v>
      </c>
      <c r="AG8" s="1">
        <v>2.9130532358442901E-2</v>
      </c>
      <c r="AH8" s="1">
        <v>2.4149393629129601E-2</v>
      </c>
      <c r="AI8" s="1">
        <v>2.0688793376463101E-2</v>
      </c>
      <c r="AJ8" s="1">
        <v>1.68158611187357E-2</v>
      </c>
      <c r="AK8" s="1">
        <v>1.27384906369815E-2</v>
      </c>
      <c r="AL8" s="1">
        <v>1.05417837080947E-2</v>
      </c>
      <c r="AM8" s="1">
        <v>7.69076239020318E-3</v>
      </c>
      <c r="AN8" s="1">
        <v>6.2492347575613897E-3</v>
      </c>
      <c r="AO8" s="1">
        <v>4.9789906803627496E-3</v>
      </c>
      <c r="AP8" s="1">
        <v>4.12472095209748E-3</v>
      </c>
      <c r="AQ8" s="1">
        <v>3.4905795445407798E-3</v>
      </c>
      <c r="AR8" s="1">
        <v>2.7457669193176899E-3</v>
      </c>
      <c r="AS8" s="1">
        <v>2.2714216749906702E-3</v>
      </c>
      <c r="AT8" s="1">
        <v>1.0042782597553399E-2</v>
      </c>
    </row>
    <row r="9" spans="1:66" x14ac:dyDescent="0.25">
      <c r="A9" s="1">
        <v>2</v>
      </c>
      <c r="B9" s="1" t="s">
        <v>111</v>
      </c>
      <c r="C9" s="1">
        <v>1993</v>
      </c>
      <c r="D9" s="1">
        <v>1</v>
      </c>
      <c r="E9" s="1">
        <v>2</v>
      </c>
      <c r="F9" s="1">
        <v>0</v>
      </c>
      <c r="G9" s="1">
        <v>0</v>
      </c>
      <c r="H9" s="1">
        <v>0</v>
      </c>
      <c r="I9" s="1">
        <v>0</v>
      </c>
      <c r="J9" s="5">
        <v>2.3374792098268399E-5</v>
      </c>
      <c r="K9" s="1">
        <v>8.6252982842610398E-4</v>
      </c>
      <c r="L9" s="1">
        <v>9.8875370575675393E-3</v>
      </c>
      <c r="M9" s="1">
        <v>3.8630252766236203E-2</v>
      </c>
      <c r="N9" s="1">
        <v>4.7573545618000798E-2</v>
      </c>
      <c r="O9" s="1">
        <v>4.6075416234435902E-2</v>
      </c>
      <c r="P9" s="1">
        <v>4.2925468209260097E-2</v>
      </c>
      <c r="Q9" s="1">
        <v>4.3448186997557599E-2</v>
      </c>
      <c r="R9" s="1">
        <v>4.7896117748956898E-2</v>
      </c>
      <c r="S9" s="1">
        <v>4.6638846118971303E-2</v>
      </c>
      <c r="T9" s="1">
        <v>5.2095886124246198E-2</v>
      </c>
      <c r="U9" s="1">
        <v>5.6248515335470699E-2</v>
      </c>
      <c r="V9" s="1">
        <v>5.3417243642567898E-2</v>
      </c>
      <c r="W9" s="1">
        <v>5.4626889133653302E-2</v>
      </c>
      <c r="X9" s="1">
        <v>5.2292039587937503E-2</v>
      </c>
      <c r="Y9" s="1">
        <v>4.6194043304334603E-2</v>
      </c>
      <c r="Z9" s="1">
        <v>4.8756894467975598E-2</v>
      </c>
      <c r="AA9" s="1">
        <v>4.8363418800988101E-2</v>
      </c>
      <c r="AB9" s="1">
        <v>4.5289244060197499E-2</v>
      </c>
      <c r="AC9" s="1">
        <v>3.8236777099248699E-2</v>
      </c>
      <c r="AD9" s="1">
        <v>3.4859119641048902E-2</v>
      </c>
      <c r="AE9" s="1">
        <v>3.0413526368859502E-2</v>
      </c>
      <c r="AF9" s="1">
        <v>2.5484074900235899E-2</v>
      </c>
      <c r="AG9" s="1">
        <v>2.0205462474644401E-2</v>
      </c>
      <c r="AH9" s="1">
        <v>1.6132502346488199E-2</v>
      </c>
      <c r="AI9" s="1">
        <v>1.32768819118165E-2</v>
      </c>
      <c r="AJ9" s="1">
        <v>9.2651832179511395E-3</v>
      </c>
      <c r="AK9" s="1">
        <v>7.2744300909152798E-3</v>
      </c>
      <c r="AL9" s="1">
        <v>5.9438200507213497E-3</v>
      </c>
      <c r="AM9" s="1">
        <v>4.1655827418455799E-3</v>
      </c>
      <c r="AN9" s="1">
        <v>2.8015662279445401E-3</v>
      </c>
      <c r="AO9" s="1">
        <v>2.1321706192303802E-3</v>
      </c>
      <c r="AP9" s="1">
        <v>1.8653084094418201E-3</v>
      </c>
      <c r="AQ9" s="1">
        <v>1.3089883575030301E-3</v>
      </c>
      <c r="AR9" s="1">
        <v>1.04826203064026E-3</v>
      </c>
      <c r="AS9" s="1">
        <v>7.1409989860210001E-4</v>
      </c>
      <c r="AT9" s="1">
        <v>3.62679378398049E-3</v>
      </c>
    </row>
    <row r="10" spans="1:66" x14ac:dyDescent="0.25">
      <c r="A10" s="1">
        <v>2</v>
      </c>
      <c r="B10" s="1" t="s">
        <v>111</v>
      </c>
      <c r="C10" s="1">
        <v>1994</v>
      </c>
      <c r="D10" s="1">
        <v>1</v>
      </c>
      <c r="E10" s="1">
        <v>6</v>
      </c>
      <c r="F10" s="1">
        <v>0</v>
      </c>
      <c r="G10" s="1">
        <v>0</v>
      </c>
      <c r="H10" s="1">
        <v>0</v>
      </c>
      <c r="I10" s="1">
        <v>0</v>
      </c>
      <c r="J10" s="5">
        <v>2.2252550261798501E-5</v>
      </c>
      <c r="K10" s="1">
        <v>7.3773640805954298E-4</v>
      </c>
      <c r="L10" s="1">
        <v>8.6315987317149793E-3</v>
      </c>
      <c r="M10" s="1">
        <v>3.9231613922298902E-2</v>
      </c>
      <c r="N10" s="1">
        <v>5.2653579837644703E-2</v>
      </c>
      <c r="O10" s="1">
        <v>4.7357472875336599E-2</v>
      </c>
      <c r="P10" s="1">
        <v>4.9618037733336902E-2</v>
      </c>
      <c r="Q10" s="1">
        <v>4.8025049383190598E-2</v>
      </c>
      <c r="R10" s="1">
        <v>5.28516459255121E-2</v>
      </c>
      <c r="S10" s="1">
        <v>5.2041910563506301E-2</v>
      </c>
      <c r="T10" s="1">
        <v>5.3172468850567499E-2</v>
      </c>
      <c r="U10" s="1">
        <v>4.8584121720346499E-2</v>
      </c>
      <c r="V10" s="1">
        <v>4.71071776612349E-2</v>
      </c>
      <c r="W10" s="1">
        <v>4.5338927489605198E-2</v>
      </c>
      <c r="X10" s="1">
        <v>4.4691764478272403E-2</v>
      </c>
      <c r="Y10" s="1">
        <v>4.4573513322749003E-2</v>
      </c>
      <c r="Z10" s="1">
        <v>3.89997092456036E-2</v>
      </c>
      <c r="AA10" s="1">
        <v>4.0452377795338702E-2</v>
      </c>
      <c r="AB10" s="1">
        <v>3.8538014804014802E-2</v>
      </c>
      <c r="AC10" s="1">
        <v>3.6866498859142997E-2</v>
      </c>
      <c r="AD10" s="1">
        <v>3.2515941377587301E-2</v>
      </c>
      <c r="AE10" s="1">
        <v>2.7246500694518699E-2</v>
      </c>
      <c r="AF10" s="1">
        <v>2.5489284845332801E-2</v>
      </c>
      <c r="AG10" s="1">
        <v>2.12874148587083E-2</v>
      </c>
      <c r="AH10" s="1">
        <v>1.897535649597E-2</v>
      </c>
      <c r="AI10" s="1">
        <v>1.74452637837538E-2</v>
      </c>
      <c r="AJ10" s="1">
        <v>1.3714927176230501E-2</v>
      </c>
      <c r="AK10" s="1">
        <v>1.0084451186824101E-2</v>
      </c>
      <c r="AL10" s="1">
        <v>7.6221421334752102E-3</v>
      </c>
      <c r="AM10" s="1">
        <v>6.49277923134542E-3</v>
      </c>
      <c r="AN10" s="1">
        <v>5.2841531129938502E-3</v>
      </c>
      <c r="AO10" s="1">
        <v>4.4109703969358403E-3</v>
      </c>
      <c r="AP10" s="1">
        <v>3.4758115698181099E-3</v>
      </c>
      <c r="AQ10" s="1">
        <v>2.97761191147752E-3</v>
      </c>
      <c r="AR10" s="1">
        <v>2.3944479703191402E-3</v>
      </c>
      <c r="AS10" s="1">
        <v>1.9611669090233001E-3</v>
      </c>
      <c r="AT10" s="1">
        <v>9.1263041879483496E-3</v>
      </c>
    </row>
    <row r="11" spans="1:66" x14ac:dyDescent="0.25">
      <c r="A11" s="1">
        <v>2</v>
      </c>
      <c r="B11" s="1" t="s">
        <v>111</v>
      </c>
      <c r="C11" s="1">
        <v>1995</v>
      </c>
      <c r="D11" s="1">
        <v>1</v>
      </c>
      <c r="E11" s="1">
        <v>4</v>
      </c>
      <c r="F11" s="1">
        <v>0</v>
      </c>
      <c r="G11" s="1">
        <v>0</v>
      </c>
      <c r="H11" s="1">
        <v>0</v>
      </c>
      <c r="I11" s="1">
        <v>0</v>
      </c>
      <c r="J11" s="5">
        <v>2.3265835538910699E-5</v>
      </c>
      <c r="K11" s="1">
        <v>7.4246587447857201E-4</v>
      </c>
      <c r="L11" s="1">
        <v>9.70940461196209E-3</v>
      </c>
      <c r="M11" s="1">
        <v>4.5395318689394698E-2</v>
      </c>
      <c r="N11" s="1">
        <v>6.0374026878366703E-2</v>
      </c>
      <c r="O11" s="1">
        <v>5.2087307700981397E-2</v>
      </c>
      <c r="P11" s="1">
        <v>5.5588203690757503E-2</v>
      </c>
      <c r="Q11" s="1">
        <v>5.2613442122203397E-2</v>
      </c>
      <c r="R11" s="1">
        <v>4.8921929550029601E-2</v>
      </c>
      <c r="S11" s="1">
        <v>5.2835998206898001E-2</v>
      </c>
      <c r="T11" s="1">
        <v>4.8206811236623001E-2</v>
      </c>
      <c r="U11" s="1">
        <v>4.5785225520948103E-2</v>
      </c>
      <c r="V11" s="1">
        <v>4.2891690290503499E-2</v>
      </c>
      <c r="W11" s="1">
        <v>3.99682564205288E-2</v>
      </c>
      <c r="X11" s="1">
        <v>4.2337698092517799E-2</v>
      </c>
      <c r="Y11" s="1">
        <v>3.8097397522413E-2</v>
      </c>
      <c r="Z11" s="1">
        <v>4.0323366541912098E-2</v>
      </c>
      <c r="AA11" s="1">
        <v>4.2265247464304503E-2</v>
      </c>
      <c r="AB11" s="1">
        <v>4.2388617618543803E-2</v>
      </c>
      <c r="AC11" s="1">
        <v>3.9815191713035901E-2</v>
      </c>
      <c r="AD11" s="1">
        <v>3.2068076651132003E-2</v>
      </c>
      <c r="AE11" s="1">
        <v>2.90720901098056E-2</v>
      </c>
      <c r="AF11" s="1">
        <v>2.6143656126052701E-2</v>
      </c>
      <c r="AG11" s="1">
        <v>2.3638292993810001E-2</v>
      </c>
      <c r="AH11" s="1">
        <v>2.00291292342673E-2</v>
      </c>
      <c r="AI11" s="1">
        <v>1.6354453779917601E-2</v>
      </c>
      <c r="AJ11" s="1">
        <v>1.22551768269829E-2</v>
      </c>
      <c r="AK11" s="1">
        <v>9.6069533010802195E-3</v>
      </c>
      <c r="AL11" s="1">
        <v>6.8156652952408997E-3</v>
      </c>
      <c r="AM11" s="1">
        <v>5.35114217394947E-3</v>
      </c>
      <c r="AN11" s="1">
        <v>4.0409082778108101E-3</v>
      </c>
      <c r="AO11" s="1">
        <v>2.9225154817298401E-3</v>
      </c>
      <c r="AP11" s="1">
        <v>2.3002564242023101E-3</v>
      </c>
      <c r="AQ11" s="1">
        <v>1.69534470019063E-3</v>
      </c>
      <c r="AR11" s="1">
        <v>1.3643167594527899E-3</v>
      </c>
      <c r="AS11" s="1">
        <v>9.6124636305499602E-4</v>
      </c>
      <c r="AT11" s="1">
        <v>5.0099099193787796E-3</v>
      </c>
    </row>
    <row r="12" spans="1:66" x14ac:dyDescent="0.25">
      <c r="A12" s="1">
        <v>2</v>
      </c>
      <c r="B12" s="1" t="s">
        <v>111</v>
      </c>
      <c r="C12" s="1">
        <v>1996</v>
      </c>
      <c r="D12" s="1">
        <v>1</v>
      </c>
      <c r="E12" s="1">
        <v>14</v>
      </c>
      <c r="F12" s="1">
        <v>0</v>
      </c>
      <c r="G12" s="1">
        <v>0</v>
      </c>
      <c r="H12" s="1">
        <v>0</v>
      </c>
      <c r="I12" s="1">
        <v>0</v>
      </c>
      <c r="J12" s="5">
        <v>2.49218895514322E-5</v>
      </c>
      <c r="K12" s="1">
        <v>8.1717564160748801E-4</v>
      </c>
      <c r="L12" s="1">
        <v>1.0270441851985E-2</v>
      </c>
      <c r="M12" s="1">
        <v>4.27171680338728E-2</v>
      </c>
      <c r="N12" s="1">
        <v>6.11651376868814E-2</v>
      </c>
      <c r="O12" s="1">
        <v>5.6972751192971502E-2</v>
      </c>
      <c r="P12" s="1">
        <v>5.8441043991070099E-2</v>
      </c>
      <c r="Q12" s="1">
        <v>6.1315718366907898E-2</v>
      </c>
      <c r="R12" s="1">
        <v>6.2346697587298702E-2</v>
      </c>
      <c r="S12" s="1">
        <v>5.93718109818962E-2</v>
      </c>
      <c r="T12" s="1">
        <v>5.7062732331036099E-2</v>
      </c>
      <c r="U12" s="1">
        <v>5.67003155898224E-2</v>
      </c>
      <c r="V12" s="1">
        <v>5.8666652675430399E-2</v>
      </c>
      <c r="W12" s="1">
        <v>5.1306562851693799E-2</v>
      </c>
      <c r="X12" s="1">
        <v>4.6833214845051402E-2</v>
      </c>
      <c r="Y12" s="1">
        <v>4.7034950982578302E-2</v>
      </c>
      <c r="Z12" s="1">
        <v>4.1288487923376999E-2</v>
      </c>
      <c r="AA12" s="1">
        <v>3.7318824421353099E-2</v>
      </c>
      <c r="AB12" s="1">
        <v>3.4924486674659201E-2</v>
      </c>
      <c r="AC12" s="1">
        <v>3.4659789974055E-2</v>
      </c>
      <c r="AD12" s="1">
        <v>2.7442410759960199E-2</v>
      </c>
      <c r="AE12" s="1">
        <v>2.4983276100432598E-2</v>
      </c>
      <c r="AF12" s="1">
        <v>1.77868837406969E-2</v>
      </c>
      <c r="AG12" s="1">
        <v>1.3988394269539401E-2</v>
      </c>
      <c r="AH12" s="1">
        <v>1.0161834880676599E-2</v>
      </c>
      <c r="AI12" s="1">
        <v>6.6840507776941196E-3</v>
      </c>
      <c r="AJ12" s="1">
        <v>4.3589696503852403E-3</v>
      </c>
      <c r="AK12" s="1">
        <v>3.0103019221335201E-3</v>
      </c>
      <c r="AL12" s="1">
        <v>2.4607086736045699E-3</v>
      </c>
      <c r="AM12" s="1">
        <v>1.3133835793604799E-3</v>
      </c>
      <c r="AN12" s="1">
        <v>1.4153009908418599E-3</v>
      </c>
      <c r="AO12" s="1">
        <v>1.33778079755293E-3</v>
      </c>
      <c r="AP12" s="1">
        <v>1.1427342198530399E-3</v>
      </c>
      <c r="AQ12" s="1">
        <v>9.5437720198011001E-4</v>
      </c>
      <c r="AR12" s="1">
        <v>9.1292816462088596E-4</v>
      </c>
      <c r="AS12" s="1">
        <v>5.7740083055476097E-4</v>
      </c>
      <c r="AT12" s="1">
        <v>2.2303779470134399E-3</v>
      </c>
    </row>
    <row r="13" spans="1:66" x14ac:dyDescent="0.25">
      <c r="A13" s="1">
        <v>2</v>
      </c>
      <c r="B13" s="1" t="s">
        <v>111</v>
      </c>
      <c r="C13" s="1">
        <v>1997</v>
      </c>
      <c r="D13" s="1">
        <v>1</v>
      </c>
      <c r="E13" s="1">
        <v>5</v>
      </c>
      <c r="F13" s="1">
        <v>0</v>
      </c>
      <c r="G13" s="1">
        <v>0</v>
      </c>
      <c r="H13" s="1">
        <v>0</v>
      </c>
      <c r="I13" s="1">
        <v>0</v>
      </c>
      <c r="J13" s="5">
        <v>2.53283183263047E-5</v>
      </c>
      <c r="K13" s="1">
        <v>1.05304402253606E-3</v>
      </c>
      <c r="L13" s="1">
        <v>1.2018798729030101E-2</v>
      </c>
      <c r="M13" s="1">
        <v>5.3986670908520398E-2</v>
      </c>
      <c r="N13" s="1">
        <v>7.5559106636953199E-2</v>
      </c>
      <c r="O13" s="1">
        <v>6.4625204209566495E-2</v>
      </c>
      <c r="P13" s="1">
        <v>6.4274445376987094E-2</v>
      </c>
      <c r="Q13" s="1">
        <v>6.9425688057198995E-2</v>
      </c>
      <c r="R13" s="1">
        <v>6.4626611338362394E-2</v>
      </c>
      <c r="S13" s="1">
        <v>6.7330601200894902E-2</v>
      </c>
      <c r="T13" s="1">
        <v>7.0442018810241896E-2</v>
      </c>
      <c r="U13" s="1">
        <v>6.2840325292359805E-2</v>
      </c>
      <c r="V13" s="1">
        <v>5.5676248830004403E-2</v>
      </c>
      <c r="W13" s="1">
        <v>4.6958702176969E-2</v>
      </c>
      <c r="X13" s="1">
        <v>4.1407962839519398E-2</v>
      </c>
      <c r="Y13" s="1">
        <v>3.7955252536765398E-2</v>
      </c>
      <c r="Z13" s="1">
        <v>3.6740132861100901E-2</v>
      </c>
      <c r="AA13" s="1">
        <v>3.0816120630337399E-2</v>
      </c>
      <c r="AB13" s="1">
        <v>2.60954593616726E-2</v>
      </c>
      <c r="AC13" s="1">
        <v>2.5152427226816501E-2</v>
      </c>
      <c r="AD13" s="1">
        <v>1.8374543658537398E-2</v>
      </c>
      <c r="AE13" s="1">
        <v>1.3619727536372001E-2</v>
      </c>
      <c r="AF13" s="1">
        <v>1.3557685948552599E-2</v>
      </c>
      <c r="AG13" s="1">
        <v>1.05630600292657E-2</v>
      </c>
      <c r="AH13" s="1">
        <v>8.6116282309436007E-3</v>
      </c>
      <c r="AI13" s="1">
        <v>7.5278832164968699E-3</v>
      </c>
      <c r="AJ13" s="1">
        <v>5.8619706429440099E-3</v>
      </c>
      <c r="AK13" s="1">
        <v>4.1530766807162103E-3</v>
      </c>
      <c r="AL13" s="1">
        <v>3.1263843429034698E-3</v>
      </c>
      <c r="AM13" s="1">
        <v>2.0920167571130701E-3</v>
      </c>
      <c r="AN13" s="1">
        <v>1.26053155953236E-3</v>
      </c>
      <c r="AO13" s="1">
        <v>1.2664159163152399E-3</v>
      </c>
      <c r="AP13" s="1">
        <v>7.6432677777611398E-4</v>
      </c>
      <c r="AQ13" s="1">
        <v>5.6784042954781096E-4</v>
      </c>
      <c r="AR13" s="1">
        <v>4.39024184322615E-4</v>
      </c>
      <c r="AS13" s="1">
        <v>2.2923407293302001E-4</v>
      </c>
      <c r="AT13" s="1">
        <v>9.7450065156459199E-4</v>
      </c>
    </row>
    <row r="14" spans="1:66" x14ac:dyDescent="0.25">
      <c r="A14" s="1">
        <v>2</v>
      </c>
      <c r="B14" s="1" t="s">
        <v>111</v>
      </c>
      <c r="C14" s="1">
        <v>1998</v>
      </c>
      <c r="D14" s="1">
        <v>1</v>
      </c>
      <c r="E14" s="1">
        <v>9</v>
      </c>
      <c r="F14" s="1">
        <v>0</v>
      </c>
      <c r="G14" s="1">
        <v>0</v>
      </c>
      <c r="H14" s="1">
        <v>0</v>
      </c>
      <c r="I14" s="1">
        <v>0</v>
      </c>
      <c r="J14" s="5">
        <v>3.87312246664273E-5</v>
      </c>
      <c r="K14" s="1">
        <v>1.1202261903520501E-3</v>
      </c>
      <c r="L14" s="1">
        <v>1.2803649077228601E-2</v>
      </c>
      <c r="M14" s="1">
        <v>5.04585925966754E-2</v>
      </c>
      <c r="N14" s="1">
        <v>6.7413931025647494E-2</v>
      </c>
      <c r="O14" s="1">
        <v>6.6577113123479595E-2</v>
      </c>
      <c r="P14" s="1">
        <v>6.1272797422288E-2</v>
      </c>
      <c r="Q14" s="1">
        <v>6.4459682036507607E-2</v>
      </c>
      <c r="R14" s="1">
        <v>5.9533119914354303E-2</v>
      </c>
      <c r="S14" s="1">
        <v>6.4489102870629297E-2</v>
      </c>
      <c r="T14" s="1">
        <v>5.8276837883507397E-2</v>
      </c>
      <c r="U14" s="1">
        <v>5.9904045873659703E-2</v>
      </c>
      <c r="V14" s="1">
        <v>5.0990029688973398E-2</v>
      </c>
      <c r="W14" s="1">
        <v>4.1570521366973902E-2</v>
      </c>
      <c r="X14" s="1">
        <v>3.4519203983953403E-2</v>
      </c>
      <c r="Y14" s="1">
        <v>3.5317042384373602E-2</v>
      </c>
      <c r="Z14" s="1">
        <v>3.61719845134688E-2</v>
      </c>
      <c r="AA14" s="1">
        <v>3.0486687631183399E-2</v>
      </c>
      <c r="AB14" s="1">
        <v>2.9834091323262198E-2</v>
      </c>
      <c r="AC14" s="1">
        <v>2.37679373984237E-2</v>
      </c>
      <c r="AD14" s="1">
        <v>2.283851214497E-2</v>
      </c>
      <c r="AE14" s="1">
        <v>2.2766139375801599E-2</v>
      </c>
      <c r="AF14" s="1">
        <v>1.9747338345551101E-2</v>
      </c>
      <c r="AG14" s="1">
        <v>1.7515948078310601E-2</v>
      </c>
      <c r="AH14" s="1">
        <v>1.29902293037467E-2</v>
      </c>
      <c r="AI14" s="1">
        <v>9.1074240309373094E-3</v>
      </c>
      <c r="AJ14" s="1">
        <v>8.2395714936200192E-3</v>
      </c>
      <c r="AK14" s="1">
        <v>6.9423237443758997E-3</v>
      </c>
      <c r="AL14" s="1">
        <v>6.1001678849622997E-3</v>
      </c>
      <c r="AM14" s="1">
        <v>4.7594716465090498E-3</v>
      </c>
      <c r="AN14" s="1">
        <v>3.8675362323158402E-3</v>
      </c>
      <c r="AO14" s="1">
        <v>2.8620140534758999E-3</v>
      </c>
      <c r="AP14" s="1">
        <v>2.4504947913951101E-3</v>
      </c>
      <c r="AQ14" s="1">
        <v>2.0769619227371701E-3</v>
      </c>
      <c r="AR14" s="1">
        <v>1.8197468666191E-3</v>
      </c>
      <c r="AS14" s="1">
        <v>1.35037904461986E-3</v>
      </c>
      <c r="AT14" s="1">
        <v>5.5604135104442703E-3</v>
      </c>
    </row>
    <row r="15" spans="1:66" x14ac:dyDescent="0.25">
      <c r="A15" s="1">
        <v>2</v>
      </c>
      <c r="B15" s="1" t="s">
        <v>111</v>
      </c>
      <c r="C15" s="1">
        <v>1999</v>
      </c>
      <c r="D15" s="1">
        <v>1</v>
      </c>
      <c r="E15" s="1">
        <v>6</v>
      </c>
      <c r="F15" s="1">
        <v>0</v>
      </c>
      <c r="G15" s="1">
        <v>0</v>
      </c>
      <c r="H15" s="1">
        <v>0</v>
      </c>
      <c r="I15" s="1">
        <v>0</v>
      </c>
      <c r="J15" s="5">
        <v>3.1166281200369298E-5</v>
      </c>
      <c r="K15" s="1">
        <v>1.07370199817181E-3</v>
      </c>
      <c r="L15" s="1">
        <v>1.3025852784418E-2</v>
      </c>
      <c r="M15" s="1">
        <v>5.28922486035086E-2</v>
      </c>
      <c r="N15" s="1">
        <v>6.6225868414780203E-2</v>
      </c>
      <c r="O15" s="1">
        <v>6.0788060669888497E-2</v>
      </c>
      <c r="P15" s="1">
        <v>5.4726927300989402E-2</v>
      </c>
      <c r="Q15" s="1">
        <v>5.9094692724668399E-2</v>
      </c>
      <c r="R15" s="1">
        <v>5.8381291825828199E-2</v>
      </c>
      <c r="S15" s="1">
        <v>6.1390490719000199E-2</v>
      </c>
      <c r="T15" s="1">
        <v>6.19748584915071E-2</v>
      </c>
      <c r="U15" s="1">
        <v>5.7826909793567E-2</v>
      </c>
      <c r="V15" s="1">
        <v>5.5108123975216597E-2</v>
      </c>
      <c r="W15" s="1">
        <v>5.3727835491145702E-2</v>
      </c>
      <c r="X15" s="1">
        <v>4.8177404139189098E-2</v>
      </c>
      <c r="Y15" s="1">
        <v>3.9706550573843202E-2</v>
      </c>
      <c r="Z15" s="1">
        <v>3.9173182170573299E-2</v>
      </c>
      <c r="AA15" s="1">
        <v>3.4204285292832599E-2</v>
      </c>
      <c r="AB15" s="1">
        <v>3.07430572681597E-2</v>
      </c>
      <c r="AC15" s="1">
        <v>2.6052059731122301E-2</v>
      </c>
      <c r="AD15" s="1">
        <v>2.61435516551007E-2</v>
      </c>
      <c r="AE15" s="1">
        <v>2.38688853438556E-2</v>
      </c>
      <c r="AF15" s="1">
        <v>1.7289258387714002E-2</v>
      </c>
      <c r="AG15" s="1">
        <v>1.4981891092027501E-2</v>
      </c>
      <c r="AH15" s="1">
        <v>1.14844204600497E-2</v>
      </c>
      <c r="AI15" s="1">
        <v>8.4113543012360303E-3</v>
      </c>
      <c r="AJ15" s="1">
        <v>6.2729224161470597E-3</v>
      </c>
      <c r="AK15" s="1">
        <v>4.2525446265140304E-3</v>
      </c>
      <c r="AL15" s="1">
        <v>2.9324637311256602E-3</v>
      </c>
      <c r="AM15" s="1">
        <v>2.1426818325253898E-3</v>
      </c>
      <c r="AN15" s="1">
        <v>1.8907543928224E-3</v>
      </c>
      <c r="AO15" s="1">
        <v>1.4940926320904299E-3</v>
      </c>
      <c r="AP15" s="1">
        <v>9.9318910507086001E-4</v>
      </c>
      <c r="AQ15" s="1">
        <v>7.42796368608802E-4</v>
      </c>
      <c r="AR15" s="1">
        <v>4.7516773421017597E-4</v>
      </c>
      <c r="AS15" s="1">
        <v>3.8839797405005699E-4</v>
      </c>
      <c r="AT15" s="1">
        <v>1.9110596972408301E-3</v>
      </c>
    </row>
    <row r="16" spans="1:66" x14ac:dyDescent="0.25">
      <c r="A16" s="1">
        <v>2</v>
      </c>
      <c r="B16" s="1" t="s">
        <v>111</v>
      </c>
      <c r="C16" s="1">
        <v>2000</v>
      </c>
      <c r="D16" s="1">
        <v>1</v>
      </c>
      <c r="E16" s="1">
        <v>4</v>
      </c>
      <c r="F16" s="1">
        <v>0</v>
      </c>
      <c r="G16" s="1">
        <v>0</v>
      </c>
      <c r="H16" s="1">
        <v>0</v>
      </c>
      <c r="I16" s="1">
        <v>0</v>
      </c>
      <c r="J16" s="5">
        <v>2.8147381747258401E-5</v>
      </c>
      <c r="K16" s="1">
        <v>1.00867877603874E-3</v>
      </c>
      <c r="L16" s="1">
        <v>1.3819207696188201E-2</v>
      </c>
      <c r="M16" s="1">
        <v>5.32345390223605E-2</v>
      </c>
      <c r="N16" s="1">
        <v>7.0634504962743302E-2</v>
      </c>
      <c r="O16" s="1">
        <v>6.9968735841963406E-2</v>
      </c>
      <c r="P16" s="1">
        <v>6.32299441872122E-2</v>
      </c>
      <c r="Q16" s="1">
        <v>6.9095395846654598E-2</v>
      </c>
      <c r="R16" s="1">
        <v>6.0289378219196103E-2</v>
      </c>
      <c r="S16" s="1">
        <v>4.9628846567850902E-2</v>
      </c>
      <c r="T16" s="1">
        <v>4.96361725987167E-2</v>
      </c>
      <c r="U16" s="1">
        <v>5.0646265170185598E-2</v>
      </c>
      <c r="V16" s="1">
        <v>4.8775428235422601E-2</v>
      </c>
      <c r="W16" s="1">
        <v>4.5140688711164799E-2</v>
      </c>
      <c r="X16" s="1">
        <v>4.24835244634807E-2</v>
      </c>
      <c r="Y16" s="1">
        <v>3.9214572375079901E-2</v>
      </c>
      <c r="Z16" s="1">
        <v>3.3689716887465103E-2</v>
      </c>
      <c r="AA16" s="1">
        <v>3.2647878182244697E-2</v>
      </c>
      <c r="AB16" s="1">
        <v>3.3191289734881203E-2</v>
      </c>
      <c r="AC16" s="1">
        <v>3.08973423859083E-2</v>
      </c>
      <c r="AD16" s="1">
        <v>2.7414778660685899E-2</v>
      </c>
      <c r="AE16" s="1">
        <v>2.13418846535719E-2</v>
      </c>
      <c r="AF16" s="1">
        <v>1.73048560659857E-2</v>
      </c>
      <c r="AG16" s="1">
        <v>1.4337427984795301E-2</v>
      </c>
      <c r="AH16" s="1">
        <v>1.20234304460846E-2</v>
      </c>
      <c r="AI16" s="1">
        <v>1.0359007644134799E-2</v>
      </c>
      <c r="AJ16" s="1">
        <v>7.5388713414026804E-3</v>
      </c>
      <c r="AK16" s="1">
        <v>6.3146530256828802E-3</v>
      </c>
      <c r="AL16" s="1">
        <v>5.3641969159980603E-3</v>
      </c>
      <c r="AM16" s="1">
        <v>4.1989724277759401E-3</v>
      </c>
      <c r="AN16" s="1">
        <v>3.2180554529125799E-3</v>
      </c>
      <c r="AO16" s="1">
        <v>2.7819638261160099E-3</v>
      </c>
      <c r="AP16" s="1">
        <v>2.0078465646377599E-3</v>
      </c>
      <c r="AQ16" s="1">
        <v>1.6250935836179699E-3</v>
      </c>
      <c r="AR16" s="1">
        <v>1.1952997728287801E-3</v>
      </c>
      <c r="AS16" s="1">
        <v>9.9634019773856995E-4</v>
      </c>
      <c r="AT16" s="1">
        <v>4.7170641895256998E-3</v>
      </c>
    </row>
    <row r="17" spans="1:46" x14ac:dyDescent="0.25">
      <c r="A17" s="1">
        <v>2</v>
      </c>
      <c r="B17" s="1" t="s">
        <v>111</v>
      </c>
      <c r="C17" s="1">
        <v>2001</v>
      </c>
      <c r="D17" s="1">
        <v>1</v>
      </c>
      <c r="E17" s="1">
        <v>6</v>
      </c>
      <c r="F17" s="1">
        <v>0</v>
      </c>
      <c r="G17" s="1">
        <v>0</v>
      </c>
      <c r="H17" s="1">
        <v>0</v>
      </c>
      <c r="I17" s="1">
        <v>0</v>
      </c>
      <c r="J17" s="5">
        <v>2.3674395073493099E-5</v>
      </c>
      <c r="K17" s="1">
        <v>9.1617984186851396E-4</v>
      </c>
      <c r="L17" s="1">
        <v>1.1438004891361001E-2</v>
      </c>
      <c r="M17" s="1">
        <v>5.0621053485559002E-2</v>
      </c>
      <c r="N17" s="1">
        <v>7.4338081717660098E-2</v>
      </c>
      <c r="O17" s="1">
        <v>7.6474070330083604E-2</v>
      </c>
      <c r="P17" s="1">
        <v>7.9932841707893901E-2</v>
      </c>
      <c r="Q17" s="1">
        <v>8.0769240763112302E-2</v>
      </c>
      <c r="R17" s="1">
        <v>7.5098934430875702E-2</v>
      </c>
      <c r="S17" s="1">
        <v>6.7825987037017602E-2</v>
      </c>
      <c r="T17" s="1">
        <v>5.5408670583592098E-2</v>
      </c>
      <c r="U17" s="1">
        <v>4.7727580468162098E-2</v>
      </c>
      <c r="V17" s="1">
        <v>4.2759422048349101E-2</v>
      </c>
      <c r="W17" s="1">
        <v>3.73681078759419E-2</v>
      </c>
      <c r="X17" s="1">
        <v>3.55459493543097E-2</v>
      </c>
      <c r="Y17" s="1">
        <v>3.58285985345164E-2</v>
      </c>
      <c r="Z17" s="1">
        <v>3.2431611553605202E-2</v>
      </c>
      <c r="AA17" s="1">
        <v>3.0831568901199102E-2</v>
      </c>
      <c r="AB17" s="1">
        <v>2.6278193582063999E-2</v>
      </c>
      <c r="AC17" s="1">
        <v>2.5533701223167501E-2</v>
      </c>
      <c r="AD17" s="1">
        <v>2.23844292541228E-2</v>
      </c>
      <c r="AE17" s="1">
        <v>1.8914109390910702E-2</v>
      </c>
      <c r="AF17" s="1">
        <v>1.54531245533984E-2</v>
      </c>
      <c r="AG17" s="1">
        <v>1.15227900216852E-2</v>
      </c>
      <c r="AH17" s="1">
        <v>8.9177404271958E-3</v>
      </c>
      <c r="AI17" s="1">
        <v>7.3751514896631901E-3</v>
      </c>
      <c r="AJ17" s="1">
        <v>5.7408483305653899E-3</v>
      </c>
      <c r="AK17" s="1">
        <v>4.6078456752798799E-3</v>
      </c>
      <c r="AL17" s="1">
        <v>3.5274848659504702E-3</v>
      </c>
      <c r="AM17" s="1">
        <v>2.7591256372237701E-3</v>
      </c>
      <c r="AN17" s="1">
        <v>2.3628201131886302E-3</v>
      </c>
      <c r="AO17" s="1">
        <v>1.8265854410361799E-3</v>
      </c>
      <c r="AP17" s="1">
        <v>1.42893259370417E-3</v>
      </c>
      <c r="AQ17" s="1">
        <v>1.0890221733806801E-3</v>
      </c>
      <c r="AR17" s="1">
        <v>9.3436870637619797E-4</v>
      </c>
      <c r="AS17" s="1">
        <v>7.6653071853809997E-4</v>
      </c>
      <c r="AT17" s="1">
        <v>3.2376178823677001E-3</v>
      </c>
    </row>
    <row r="18" spans="1:46" x14ac:dyDescent="0.25">
      <c r="A18" s="1">
        <v>2</v>
      </c>
      <c r="B18" s="1" t="s">
        <v>111</v>
      </c>
      <c r="C18" s="1">
        <v>2002</v>
      </c>
      <c r="D18" s="1">
        <v>1</v>
      </c>
      <c r="E18" s="1">
        <v>9</v>
      </c>
      <c r="F18" s="1">
        <v>0</v>
      </c>
      <c r="G18" s="1">
        <v>0</v>
      </c>
      <c r="H18" s="1">
        <v>0</v>
      </c>
      <c r="I18" s="1">
        <v>0</v>
      </c>
      <c r="J18" s="5">
        <v>2.56655283298843E-5</v>
      </c>
      <c r="K18" s="1">
        <v>1.04954568277158E-3</v>
      </c>
      <c r="L18" s="1">
        <v>1.37260740587541E-2</v>
      </c>
      <c r="M18" s="1">
        <v>6.1697770546023697E-2</v>
      </c>
      <c r="N18" s="1">
        <v>7.8496315667725303E-2</v>
      </c>
      <c r="O18" s="1">
        <v>7.4628960766211505E-2</v>
      </c>
      <c r="P18" s="1">
        <v>8.1468533356257894E-2</v>
      </c>
      <c r="Q18" s="1">
        <v>8.2047710472906099E-2</v>
      </c>
      <c r="R18" s="1">
        <v>8.3368613052291596E-2</v>
      </c>
      <c r="S18" s="1">
        <v>7.4430032156664397E-2</v>
      </c>
      <c r="T18" s="1">
        <v>6.1544109615893398E-2</v>
      </c>
      <c r="U18" s="1">
        <v>5.4041884647155002E-2</v>
      </c>
      <c r="V18" s="1">
        <v>4.7882074788020597E-2</v>
      </c>
      <c r="W18" s="1">
        <v>4.17981817343668E-2</v>
      </c>
      <c r="X18" s="1">
        <v>3.5626743480519703E-2</v>
      </c>
      <c r="Y18" s="1">
        <v>3.00858133999806E-2</v>
      </c>
      <c r="Z18" s="1">
        <v>2.68241317430673E-2</v>
      </c>
      <c r="AA18" s="1">
        <v>2.5918196734995898E-2</v>
      </c>
      <c r="AB18" s="1">
        <v>2.24795142985648E-2</v>
      </c>
      <c r="AC18" s="1">
        <v>1.9626072356024898E-2</v>
      </c>
      <c r="AD18" s="1">
        <v>1.6975130601408098E-2</v>
      </c>
      <c r="AE18" s="1">
        <v>1.47469640545554E-2</v>
      </c>
      <c r="AF18" s="1">
        <v>1.20772507484741E-2</v>
      </c>
      <c r="AG18" s="1">
        <v>9.6748244008573406E-3</v>
      </c>
      <c r="AH18" s="1">
        <v>6.90726645926594E-3</v>
      </c>
      <c r="AI18" s="1">
        <v>5.1595187339668301E-3</v>
      </c>
      <c r="AJ18" s="1">
        <v>3.7287278245474601E-3</v>
      </c>
      <c r="AK18" s="1">
        <v>2.6129002919142402E-3</v>
      </c>
      <c r="AL18" s="1">
        <v>2.1113011799913498E-3</v>
      </c>
      <c r="AM18" s="1">
        <v>1.77914439102305E-3</v>
      </c>
      <c r="AN18" s="1">
        <v>1.4979033589033401E-3</v>
      </c>
      <c r="AO18" s="1">
        <v>1.16283947125689E-3</v>
      </c>
      <c r="AP18" s="1">
        <v>9.3558741458840298E-4</v>
      </c>
      <c r="AQ18" s="1">
        <v>6.9188948539785104E-4</v>
      </c>
      <c r="AR18" s="1">
        <v>6.0002516716855603E-4</v>
      </c>
      <c r="AS18" s="1">
        <v>4.8590077906091598E-4</v>
      </c>
      <c r="AT18" s="1">
        <v>2.0868815510949601E-3</v>
      </c>
    </row>
    <row r="19" spans="1:46" x14ac:dyDescent="0.25">
      <c r="A19" s="1">
        <v>2</v>
      </c>
      <c r="B19" s="1" t="s">
        <v>111</v>
      </c>
      <c r="C19" s="1">
        <v>2003</v>
      </c>
      <c r="D19" s="1">
        <v>1</v>
      </c>
      <c r="E19" s="1">
        <v>10</v>
      </c>
      <c r="F19" s="1">
        <v>0</v>
      </c>
      <c r="G19" s="1">
        <v>0</v>
      </c>
      <c r="H19" s="1">
        <v>0</v>
      </c>
      <c r="I19" s="1">
        <v>0</v>
      </c>
      <c r="J19" s="5">
        <v>2.5363601664429701E-5</v>
      </c>
      <c r="K19" s="1">
        <v>9.8113834731183998E-4</v>
      </c>
      <c r="L19" s="1">
        <v>1.2879416969844199E-2</v>
      </c>
      <c r="M19" s="1">
        <v>5.7439965763949302E-2</v>
      </c>
      <c r="N19" s="1">
        <v>8.1293024040363995E-2</v>
      </c>
      <c r="O19" s="1">
        <v>7.8077826665146205E-2</v>
      </c>
      <c r="P19" s="1">
        <v>8.2842746975665502E-2</v>
      </c>
      <c r="Q19" s="1">
        <v>8.5025391439763801E-2</v>
      </c>
      <c r="R19" s="1">
        <v>8.6999490734621293E-2</v>
      </c>
      <c r="S19" s="1">
        <v>8.38383198930302E-2</v>
      </c>
      <c r="T19" s="1">
        <v>7.0662513084765899E-2</v>
      </c>
      <c r="U19" s="1">
        <v>5.7210593572203497E-2</v>
      </c>
      <c r="V19" s="1">
        <v>4.6481721332101898E-2</v>
      </c>
      <c r="W19" s="1">
        <v>3.8641893920069698E-2</v>
      </c>
      <c r="X19" s="1">
        <v>2.94734674387374E-2</v>
      </c>
      <c r="Y19" s="1">
        <v>2.6332573731268301E-2</v>
      </c>
      <c r="Z19" s="1">
        <v>2.2755481064009299E-2</v>
      </c>
      <c r="AA19" s="1">
        <v>2.1318897663503599E-2</v>
      </c>
      <c r="AB19" s="1">
        <v>1.9806154721956799E-2</v>
      </c>
      <c r="AC19" s="1">
        <v>1.80836293623075E-2</v>
      </c>
      <c r="AD19" s="1">
        <v>1.62516762144474E-2</v>
      </c>
      <c r="AE19" s="1">
        <v>1.359825855848E-2</v>
      </c>
      <c r="AF19" s="1">
        <v>1.1493629508715301E-2</v>
      </c>
      <c r="AG19" s="1">
        <v>8.7720944293076201E-3</v>
      </c>
      <c r="AH19" s="1">
        <v>6.9281124730700798E-3</v>
      </c>
      <c r="AI19" s="1">
        <v>5.1118998801724502E-3</v>
      </c>
      <c r="AJ19" s="1">
        <v>3.7661167989045102E-3</v>
      </c>
      <c r="AK19" s="1">
        <v>2.9353729243346001E-3</v>
      </c>
      <c r="AL19" s="1">
        <v>2.1722653208698399E-3</v>
      </c>
      <c r="AM19" s="1">
        <v>1.7601927138827E-3</v>
      </c>
      <c r="AN19" s="1">
        <v>1.3796699528683799E-3</v>
      </c>
      <c r="AO19" s="1">
        <v>1.0821803376823301E-3</v>
      </c>
      <c r="AP19" s="1">
        <v>8.9356862232408004E-4</v>
      </c>
      <c r="AQ19" s="1">
        <v>6.6605230387079505E-4</v>
      </c>
      <c r="AR19" s="1">
        <v>5.5236288069202401E-4</v>
      </c>
      <c r="AS19" s="1">
        <v>4.5365791594914801E-4</v>
      </c>
      <c r="AT19" s="1">
        <v>2.0132788421440202E-3</v>
      </c>
    </row>
    <row r="20" spans="1:46" x14ac:dyDescent="0.25">
      <c r="A20" s="1">
        <v>2</v>
      </c>
      <c r="B20" s="1" t="s">
        <v>111</v>
      </c>
      <c r="C20" s="1">
        <v>2004</v>
      </c>
      <c r="D20" s="1">
        <v>1</v>
      </c>
      <c r="E20" s="1">
        <v>21</v>
      </c>
      <c r="F20" s="1">
        <v>0</v>
      </c>
      <c r="G20" s="1">
        <v>0</v>
      </c>
      <c r="H20" s="1">
        <v>0</v>
      </c>
      <c r="I20" s="1">
        <v>0</v>
      </c>
      <c r="J20" s="5">
        <v>4.4088642921190497E-5</v>
      </c>
      <c r="K20" s="1">
        <v>1.34488885549514E-3</v>
      </c>
      <c r="L20" s="1">
        <v>1.6400975166682801E-2</v>
      </c>
      <c r="M20" s="1">
        <v>6.1397770033490298E-2</v>
      </c>
      <c r="N20" s="1">
        <v>8.3831701720101695E-2</v>
      </c>
      <c r="O20" s="1">
        <v>8.0139963287127705E-2</v>
      </c>
      <c r="P20" s="1">
        <v>8.2262294229226401E-2</v>
      </c>
      <c r="Q20" s="1">
        <v>8.5837994317974203E-2</v>
      </c>
      <c r="R20" s="1">
        <v>8.6016720043564004E-2</v>
      </c>
      <c r="S20" s="1">
        <v>7.7805858661888203E-2</v>
      </c>
      <c r="T20" s="1">
        <v>7.1841517408085698E-2</v>
      </c>
      <c r="U20" s="1">
        <v>6.1993818846361001E-2</v>
      </c>
      <c r="V20" s="1">
        <v>5.42870499651774E-2</v>
      </c>
      <c r="W20" s="1">
        <v>4.5550607500745202E-2</v>
      </c>
      <c r="X20" s="1">
        <v>3.7321962464781901E-2</v>
      </c>
      <c r="Y20" s="1">
        <v>2.8448067172419E-2</v>
      </c>
      <c r="Z20" s="1">
        <v>2.2913645761017801E-2</v>
      </c>
      <c r="AA20" s="1">
        <v>1.95399383455526E-2</v>
      </c>
      <c r="AB20" s="1">
        <v>1.5948381165065001E-2</v>
      </c>
      <c r="AC20" s="1">
        <v>1.4191356121456101E-2</v>
      </c>
      <c r="AD20" s="1">
        <v>1.1536256536326599E-2</v>
      </c>
      <c r="AE20" s="1">
        <v>9.2806963841903598E-3</v>
      </c>
      <c r="AF20" s="1">
        <v>7.52367134058151E-3</v>
      </c>
      <c r="AG20" s="1">
        <v>5.7963598193447501E-3</v>
      </c>
      <c r="AH20" s="1">
        <v>4.16871086067774E-3</v>
      </c>
      <c r="AI20" s="1">
        <v>3.2680428695734199E-3</v>
      </c>
      <c r="AJ20" s="1">
        <v>2.4463639429295899E-3</v>
      </c>
      <c r="AK20" s="1">
        <v>1.8962562369683801E-3</v>
      </c>
      <c r="AL20" s="1">
        <v>1.41965430206233E-3</v>
      </c>
      <c r="AM20" s="1">
        <v>1.1452673361175101E-3</v>
      </c>
      <c r="AN20" s="1">
        <v>8.8169875986427804E-4</v>
      </c>
      <c r="AO20" s="1">
        <v>6.8000248081977297E-4</v>
      </c>
      <c r="AP20" s="1">
        <v>5.6351954523639202E-4</v>
      </c>
      <c r="AQ20" s="1">
        <v>4.4014544361659102E-4</v>
      </c>
      <c r="AR20" s="1">
        <v>3.4855962403576498E-4</v>
      </c>
      <c r="AS20" s="1">
        <v>2.70978432206376E-4</v>
      </c>
      <c r="AT20" s="1">
        <v>1.2152163763151701E-3</v>
      </c>
    </row>
    <row r="21" spans="1:46" ht="15.75" customHeight="1" x14ac:dyDescent="0.25">
      <c r="A21" s="1">
        <v>2</v>
      </c>
      <c r="B21" s="1" t="s">
        <v>111</v>
      </c>
      <c r="C21" s="1">
        <v>2005</v>
      </c>
      <c r="D21" s="1">
        <v>1</v>
      </c>
      <c r="E21" s="1">
        <v>14</v>
      </c>
      <c r="F21" s="1">
        <v>0</v>
      </c>
      <c r="G21" s="1">
        <v>0</v>
      </c>
      <c r="H21" s="1">
        <v>0</v>
      </c>
      <c r="I21" s="1">
        <v>0</v>
      </c>
      <c r="J21" s="5">
        <v>4.0148588381423203E-5</v>
      </c>
      <c r="K21" s="1">
        <v>1.5076953069581599E-3</v>
      </c>
      <c r="L21" s="1">
        <v>1.93452498718816E-2</v>
      </c>
      <c r="M21" s="1">
        <v>8.6697209190552293E-2</v>
      </c>
      <c r="N21" s="1">
        <v>0.10569579144352501</v>
      </c>
      <c r="O21" s="1">
        <v>9.7125225956448402E-2</v>
      </c>
      <c r="P21" s="1">
        <v>9.0544331858966501E-2</v>
      </c>
      <c r="Q21" s="1">
        <v>8.3839131555149798E-2</v>
      </c>
      <c r="R21" s="1">
        <v>8.4866201933887997E-2</v>
      </c>
      <c r="S21" s="1">
        <v>7.6759082411733404E-2</v>
      </c>
      <c r="T21" s="1">
        <v>6.9716093503746093E-2</v>
      </c>
      <c r="U21" s="1">
        <v>5.9680587095896298E-2</v>
      </c>
      <c r="V21" s="1">
        <v>4.5106939046528897E-2</v>
      </c>
      <c r="W21" s="1">
        <v>3.70934352232445E-2</v>
      </c>
      <c r="X21" s="1">
        <v>2.9203851562175798E-2</v>
      </c>
      <c r="Y21" s="1">
        <v>2.3059187319222799E-2</v>
      </c>
      <c r="Z21" s="1">
        <v>1.8235180007547199E-2</v>
      </c>
      <c r="AA21" s="1">
        <v>1.36002378031773E-2</v>
      </c>
      <c r="AB21" s="1">
        <v>1.10068899224148E-2</v>
      </c>
      <c r="AC21" s="1">
        <v>9.7448151862035599E-3</v>
      </c>
      <c r="AD21" s="1">
        <v>8.6043443474937593E-3</v>
      </c>
      <c r="AE21" s="1">
        <v>6.3685698320032503E-3</v>
      </c>
      <c r="AF21" s="1">
        <v>5.27490684272852E-3</v>
      </c>
      <c r="AG21" s="1">
        <v>4.2776583721870704E-3</v>
      </c>
      <c r="AH21" s="1">
        <v>3.2358218058950901E-3</v>
      </c>
      <c r="AI21" s="1">
        <v>2.3524563504740098E-3</v>
      </c>
      <c r="AJ21" s="1">
        <v>1.5427288107621401E-3</v>
      </c>
      <c r="AK21" s="1">
        <v>1.18920890874014E-3</v>
      </c>
      <c r="AL21" s="1">
        <v>8.7284575317690205E-4</v>
      </c>
      <c r="AM21" s="1">
        <v>6.8850968632950204E-4</v>
      </c>
      <c r="AN21" s="1">
        <v>5.3853154607774398E-4</v>
      </c>
      <c r="AO21" s="1">
        <v>4.09978854433379E-4</v>
      </c>
      <c r="AP21" s="1">
        <v>3.32383986503898E-4</v>
      </c>
      <c r="AQ21" s="1">
        <v>2.7177505981271102E-4</v>
      </c>
      <c r="AR21" s="1">
        <v>2.0846382428815901E-4</v>
      </c>
      <c r="AS21" s="1">
        <v>1.75650074168726E-4</v>
      </c>
      <c r="AT21" s="1">
        <v>7.8888115728306001E-4</v>
      </c>
    </row>
    <row r="22" spans="1:46" ht="15.75" customHeight="1" x14ac:dyDescent="0.25">
      <c r="A22" s="1">
        <v>2</v>
      </c>
      <c r="B22" s="1" t="s">
        <v>111</v>
      </c>
      <c r="C22" s="1">
        <v>2006</v>
      </c>
      <c r="D22" s="1">
        <v>1</v>
      </c>
      <c r="E22" s="1">
        <v>8</v>
      </c>
      <c r="F22" s="1">
        <v>0</v>
      </c>
      <c r="G22" s="1">
        <v>0</v>
      </c>
      <c r="H22" s="1">
        <v>0</v>
      </c>
      <c r="I22" s="1">
        <v>0</v>
      </c>
      <c r="J22" s="5">
        <v>4.3555823616632E-5</v>
      </c>
      <c r="K22" s="1">
        <v>1.4351274764530901E-3</v>
      </c>
      <c r="L22" s="1">
        <v>1.6433390780265698E-2</v>
      </c>
      <c r="M22" s="1">
        <v>7.1682402745936305E-2</v>
      </c>
      <c r="N22" s="1">
        <v>0.100058431244733</v>
      </c>
      <c r="O22" s="1">
        <v>0.10453508403136499</v>
      </c>
      <c r="P22" s="1">
        <v>0.104233367673532</v>
      </c>
      <c r="Q22" s="1">
        <v>0.100000479852294</v>
      </c>
      <c r="R22" s="1">
        <v>9.4133731881423294E-2</v>
      </c>
      <c r="S22" s="1">
        <v>9.1995805352715398E-2</v>
      </c>
      <c r="T22" s="1">
        <v>7.9972552448778503E-2</v>
      </c>
      <c r="U22" s="1">
        <v>5.8116166334522698E-2</v>
      </c>
      <c r="V22" s="1">
        <v>4.4311332597805897E-2</v>
      </c>
      <c r="W22" s="1">
        <v>3.2204733041558499E-2</v>
      </c>
      <c r="X22" s="1">
        <v>2.3000353983346201E-2</v>
      </c>
      <c r="Y22" s="1">
        <v>1.7740656076203499E-2</v>
      </c>
      <c r="Z22" s="1">
        <v>1.29338649112439E-2</v>
      </c>
      <c r="AA22" s="1">
        <v>1.0370789249979801E-2</v>
      </c>
      <c r="AB22" s="1">
        <v>7.8791746688188606E-3</v>
      </c>
      <c r="AC22" s="1">
        <v>6.3553114296756204E-3</v>
      </c>
      <c r="AD22" s="1">
        <v>5.1159636892077901E-3</v>
      </c>
      <c r="AE22" s="1">
        <v>4.0854624318102202E-3</v>
      </c>
      <c r="AF22" s="1">
        <v>3.3772004457458698E-3</v>
      </c>
      <c r="AG22" s="1">
        <v>2.6203626428344998E-3</v>
      </c>
      <c r="AH22" s="1">
        <v>1.8665516005473299E-3</v>
      </c>
      <c r="AI22" s="1">
        <v>1.3952628243294001E-3</v>
      </c>
      <c r="AJ22" s="1">
        <v>9.7668397703057808E-4</v>
      </c>
      <c r="AK22" s="1">
        <v>7.2287902517637298E-4</v>
      </c>
      <c r="AL22" s="1">
        <v>5.5515219253741098E-4</v>
      </c>
      <c r="AM22" s="1">
        <v>3.9864652123697102E-4</v>
      </c>
      <c r="AN22" s="1">
        <v>3.12125461442576E-4</v>
      </c>
      <c r="AO22" s="1">
        <v>2.3549674124924701E-4</v>
      </c>
      <c r="AP22" s="1">
        <v>1.7695476137129999E-4</v>
      </c>
      <c r="AQ22" s="1">
        <v>1.4572745054107001E-4</v>
      </c>
      <c r="AR22" s="1">
        <v>1.12063966525504E-4</v>
      </c>
      <c r="AS22" s="5">
        <v>9.5675165096873003E-5</v>
      </c>
      <c r="AT22" s="1">
        <v>3.7147949904896998E-4</v>
      </c>
    </row>
    <row r="23" spans="1:46" ht="15.75" customHeight="1" x14ac:dyDescent="0.25">
      <c r="A23" s="1">
        <v>2</v>
      </c>
      <c r="B23" s="1" t="s">
        <v>111</v>
      </c>
      <c r="C23" s="1">
        <v>2007</v>
      </c>
      <c r="D23" s="1">
        <v>1</v>
      </c>
      <c r="E23" s="1">
        <v>18</v>
      </c>
      <c r="F23" s="1">
        <v>0</v>
      </c>
      <c r="G23" s="1">
        <v>0</v>
      </c>
      <c r="H23" s="1">
        <v>0</v>
      </c>
      <c r="I23" s="1">
        <v>0</v>
      </c>
      <c r="J23" s="5">
        <v>6.2042278838398605E-5</v>
      </c>
      <c r="K23" s="1">
        <v>2.0163740622479499E-3</v>
      </c>
      <c r="L23" s="1">
        <v>2.3418835525918801E-2</v>
      </c>
      <c r="M23" s="1">
        <v>9.4404551353584096E-2</v>
      </c>
      <c r="N23" s="1">
        <v>0.12926551290691901</v>
      </c>
      <c r="O23" s="1">
        <v>9.6527162194664895E-2</v>
      </c>
      <c r="P23" s="1">
        <v>0.100030851160573</v>
      </c>
      <c r="Q23" s="1">
        <v>9.7122088156128994E-2</v>
      </c>
      <c r="R23" s="1">
        <v>0.10560998183776001</v>
      </c>
      <c r="S23" s="1">
        <v>8.0955187626899794E-2</v>
      </c>
      <c r="T23" s="1">
        <v>7.1891490603994301E-2</v>
      </c>
      <c r="U23" s="1">
        <v>4.74068877128241E-2</v>
      </c>
      <c r="V23" s="1">
        <v>4.4069353069010601E-2</v>
      </c>
      <c r="W23" s="1">
        <v>3.1215765198021099E-2</v>
      </c>
      <c r="X23" s="1">
        <v>2.28500438120476E-2</v>
      </c>
      <c r="Y23" s="1">
        <v>1.3458500089663801E-2</v>
      </c>
      <c r="Z23" s="1">
        <v>1.0809592246245E-2</v>
      </c>
      <c r="AA23" s="1">
        <v>9.5613100949586798E-3</v>
      </c>
      <c r="AB23" s="1">
        <v>5.3468970786585603E-3</v>
      </c>
      <c r="AC23" s="1">
        <v>3.9775049995028101E-3</v>
      </c>
      <c r="AD23" s="1">
        <v>3.0188243073149502E-3</v>
      </c>
      <c r="AE23" s="1">
        <v>1.95135715360223E-3</v>
      </c>
      <c r="AF23" s="1">
        <v>1.6063000959530599E-3</v>
      </c>
      <c r="AG23" s="1">
        <v>8.9493862488813295E-4</v>
      </c>
      <c r="AH23" s="1">
        <v>6.1192384607735596E-4</v>
      </c>
      <c r="AI23" s="1">
        <v>6.1001158405836399E-4</v>
      </c>
      <c r="AJ23" s="1">
        <v>3.2402217544026598E-4</v>
      </c>
      <c r="AK23" s="1">
        <v>2.2437207689503E-4</v>
      </c>
      <c r="AL23" s="1">
        <v>1.90376307668511E-4</v>
      </c>
      <c r="AM23" s="1">
        <v>1.2238476921547101E-4</v>
      </c>
      <c r="AN23" s="5">
        <v>6.5016908645718999E-5</v>
      </c>
      <c r="AO23" s="5">
        <v>7.7340374990332393E-5</v>
      </c>
      <c r="AP23" s="5">
        <v>5.8430228358080798E-5</v>
      </c>
      <c r="AQ23" s="5">
        <v>4.5894288455801703E-5</v>
      </c>
      <c r="AR23" s="5">
        <v>4.46194471098072E-5</v>
      </c>
      <c r="AS23" s="5">
        <v>3.6970399033840198E-5</v>
      </c>
      <c r="AT23" s="1">
        <v>1.17285403831493E-4</v>
      </c>
    </row>
    <row r="24" spans="1:46" ht="15.75" customHeight="1" x14ac:dyDescent="0.25">
      <c r="A24" s="1">
        <v>2</v>
      </c>
      <c r="B24" s="1" t="s">
        <v>111</v>
      </c>
      <c r="C24" s="1">
        <v>2008</v>
      </c>
      <c r="D24" s="1">
        <v>1</v>
      </c>
      <c r="E24" s="1">
        <v>16</v>
      </c>
      <c r="F24" s="1">
        <v>0</v>
      </c>
      <c r="G24" s="1">
        <v>0</v>
      </c>
      <c r="H24" s="1">
        <v>0</v>
      </c>
      <c r="I24" s="1">
        <v>0</v>
      </c>
      <c r="J24" s="5">
        <v>3.43081443941709E-5</v>
      </c>
      <c r="K24" s="1">
        <v>1.1126965749460799E-3</v>
      </c>
      <c r="L24" s="1">
        <v>1.39394222485303E-2</v>
      </c>
      <c r="M24" s="1">
        <v>6.4379232955661697E-2</v>
      </c>
      <c r="N24" s="1">
        <v>8.7694398812938196E-2</v>
      </c>
      <c r="O24" s="1">
        <v>8.4838709415696406E-2</v>
      </c>
      <c r="P24" s="1">
        <v>9.5841424047621596E-2</v>
      </c>
      <c r="Q24" s="1">
        <v>9.1420657374182104E-2</v>
      </c>
      <c r="R24" s="1">
        <v>8.5927993000211297E-2</v>
      </c>
      <c r="S24" s="1">
        <v>9.3592617907298198E-2</v>
      </c>
      <c r="T24" s="1">
        <v>9.1341261837323995E-2</v>
      </c>
      <c r="U24" s="1">
        <v>8.0724397923939997E-2</v>
      </c>
      <c r="V24" s="1">
        <v>5.8020635653417703E-2</v>
      </c>
      <c r="W24" s="1">
        <v>4.0478046902246899E-2</v>
      </c>
      <c r="X24" s="1">
        <v>2.99555303859469E-2</v>
      </c>
      <c r="Y24" s="1">
        <v>2.23540741906668E-2</v>
      </c>
      <c r="Z24" s="1">
        <v>1.6500594771091101E-2</v>
      </c>
      <c r="AA24" s="1">
        <v>1.2035204328760599E-2</v>
      </c>
      <c r="AB24" s="1">
        <v>8.7805668470432793E-3</v>
      </c>
      <c r="AC24" s="1">
        <v>6.4348633799850702E-3</v>
      </c>
      <c r="AD24" s="1">
        <v>4.1670486731730802E-3</v>
      </c>
      <c r="AE24" s="1">
        <v>2.8413170664821101E-3</v>
      </c>
      <c r="AF24" s="1">
        <v>1.9423509586402601E-3</v>
      </c>
      <c r="AG24" s="1">
        <v>1.4228607452123E-3</v>
      </c>
      <c r="AH24" s="1">
        <v>1.1266052821329101E-3</v>
      </c>
      <c r="AI24" s="1">
        <v>7.7598995513166998E-4</v>
      </c>
      <c r="AJ24" s="1">
        <v>6.0247883297601503E-4</v>
      </c>
      <c r="AK24" s="1">
        <v>4.3766065281212601E-4</v>
      </c>
      <c r="AL24" s="1">
        <v>2.9324190985558201E-4</v>
      </c>
      <c r="AM24" s="1">
        <v>2.1280321995843901E-4</v>
      </c>
      <c r="AN24" s="1">
        <v>1.6273187408586499E-4</v>
      </c>
      <c r="AO24" s="1">
        <v>1.1590589322355E-4</v>
      </c>
      <c r="AP24" s="5">
        <v>9.8288197453570697E-5</v>
      </c>
      <c r="AQ24" s="5">
        <v>7.5107018808860595E-5</v>
      </c>
      <c r="AR24" s="5">
        <v>6.7225418069659194E-5</v>
      </c>
      <c r="AS24" s="5">
        <v>5.1462216591256401E-5</v>
      </c>
      <c r="AT24" s="1">
        <v>2.0028538349029499E-4</v>
      </c>
    </row>
    <row r="25" spans="1:46" ht="15.75" customHeight="1" x14ac:dyDescent="0.25">
      <c r="A25" s="1">
        <v>2</v>
      </c>
      <c r="B25" s="1" t="s">
        <v>111</v>
      </c>
      <c r="C25" s="1">
        <v>2009</v>
      </c>
      <c r="D25" s="1">
        <v>1</v>
      </c>
      <c r="E25" s="1">
        <v>24</v>
      </c>
      <c r="F25" s="1">
        <v>0</v>
      </c>
      <c r="G25" s="1">
        <v>0</v>
      </c>
      <c r="H25" s="1">
        <v>0</v>
      </c>
      <c r="I25" s="1">
        <v>0</v>
      </c>
      <c r="J25" s="5">
        <v>2.3750271377299601E-5</v>
      </c>
      <c r="K25" s="1">
        <v>1.0949484086252501E-3</v>
      </c>
      <c r="L25" s="1">
        <v>1.38467127036243E-2</v>
      </c>
      <c r="M25" s="1">
        <v>7.2731146217530795E-2</v>
      </c>
      <c r="N25" s="1">
        <v>0.10012343036334199</v>
      </c>
      <c r="O25" s="1">
        <v>9.4369876373747705E-2</v>
      </c>
      <c r="P25" s="1">
        <v>9.4462746024646105E-2</v>
      </c>
      <c r="Q25" s="1">
        <v>9.2483962730749394E-2</v>
      </c>
      <c r="R25" s="1">
        <v>9.3255034575421794E-2</v>
      </c>
      <c r="S25" s="1">
        <v>8.4731021579354499E-2</v>
      </c>
      <c r="T25" s="1">
        <v>7.7462423569038596E-2</v>
      </c>
      <c r="U25" s="1">
        <v>7.2126935253816804E-2</v>
      </c>
      <c r="V25" s="1">
        <v>5.6472055522044699E-2</v>
      </c>
      <c r="W25" s="1">
        <v>4.0441738808116003E-2</v>
      </c>
      <c r="X25" s="1">
        <v>3.0655713528692501E-2</v>
      </c>
      <c r="Y25" s="1">
        <v>2.3351997595741799E-2</v>
      </c>
      <c r="Z25" s="1">
        <v>1.7703086895848701E-2</v>
      </c>
      <c r="AA25" s="1">
        <v>1.1562322285295801E-2</v>
      </c>
      <c r="AB25" s="1">
        <v>7.9395939251677705E-3</v>
      </c>
      <c r="AC25" s="1">
        <v>4.9834971137838E-3</v>
      </c>
      <c r="AD25" s="1">
        <v>3.3557915493489499E-3</v>
      </c>
      <c r="AE25" s="1">
        <v>2.3453900469514498E-3</v>
      </c>
      <c r="AF25" s="1">
        <v>1.4469396100631701E-3</v>
      </c>
      <c r="AG25" s="1">
        <v>9.2362166467276096E-4</v>
      </c>
      <c r="AH25" s="1">
        <v>5.9091487161811102E-4</v>
      </c>
      <c r="AI25" s="1">
        <v>4.0598754491110399E-4</v>
      </c>
      <c r="AJ25" s="1">
        <v>2.8774367245574498E-4</v>
      </c>
      <c r="AK25" s="1">
        <v>2.1192549844359601E-4</v>
      </c>
      <c r="AL25" s="1">
        <v>1.44937553533264E-4</v>
      </c>
      <c r="AM25" s="1">
        <v>1.06876221197848E-4</v>
      </c>
      <c r="AN25" s="5">
        <v>7.5107695808554204E-5</v>
      </c>
      <c r="AO25" s="5">
        <v>5.6127778083960103E-5</v>
      </c>
      <c r="AP25" s="5">
        <v>5.1763411976165698E-5</v>
      </c>
      <c r="AQ25" s="5">
        <v>3.2479003592888301E-5</v>
      </c>
      <c r="AR25" s="5">
        <v>3.1261040958154997E-5</v>
      </c>
      <c r="AS25" s="5">
        <v>2.4663743353349501E-5</v>
      </c>
      <c r="AT25" s="5">
        <v>8.6475347066065098E-5</v>
      </c>
    </row>
    <row r="26" spans="1:46" ht="15.75" customHeight="1" x14ac:dyDescent="0.25">
      <c r="A26" s="1">
        <v>2</v>
      </c>
      <c r="B26" s="1" t="s">
        <v>111</v>
      </c>
      <c r="C26" s="1">
        <v>2010</v>
      </c>
      <c r="D26" s="1">
        <v>1</v>
      </c>
      <c r="E26" s="1">
        <v>28</v>
      </c>
      <c r="F26" s="1">
        <v>0</v>
      </c>
      <c r="G26" s="1">
        <v>0</v>
      </c>
      <c r="H26" s="1">
        <v>0</v>
      </c>
      <c r="I26" s="1">
        <v>0</v>
      </c>
      <c r="J26" s="5">
        <v>5.8495698207484201E-5</v>
      </c>
      <c r="K26" s="1">
        <v>1.83695361951567E-3</v>
      </c>
      <c r="L26" s="1">
        <v>1.8813914805732999E-2</v>
      </c>
      <c r="M26" s="1">
        <v>8.1132118195275604E-2</v>
      </c>
      <c r="N26" s="1">
        <v>0.10246983933496</v>
      </c>
      <c r="O26" s="1">
        <v>0.104499026801408</v>
      </c>
      <c r="P26" s="1">
        <v>8.7625848305558807E-2</v>
      </c>
      <c r="Q26" s="1">
        <v>8.7548483027284393E-2</v>
      </c>
      <c r="R26" s="1">
        <v>7.4978276395947896E-2</v>
      </c>
      <c r="S26" s="1">
        <v>5.3537716044898299E-2</v>
      </c>
      <c r="T26" s="1">
        <v>5.8729681000314199E-2</v>
      </c>
      <c r="U26" s="1">
        <v>6.27592798236071E-2</v>
      </c>
      <c r="V26" s="1">
        <v>6.5393001461448996E-2</v>
      </c>
      <c r="W26" s="1">
        <v>6.0327226822730701E-2</v>
      </c>
      <c r="X26" s="1">
        <v>3.9961053186741799E-2</v>
      </c>
      <c r="Y26" s="1">
        <v>3.3274381620274199E-2</v>
      </c>
      <c r="Z26" s="1">
        <v>2.3878274225946201E-2</v>
      </c>
      <c r="AA26" s="1">
        <v>1.62023649244698E-2</v>
      </c>
      <c r="AB26" s="1">
        <v>9.52276945052726E-3</v>
      </c>
      <c r="AC26" s="1">
        <v>6.6845487387100899E-3</v>
      </c>
      <c r="AD26" s="1">
        <v>3.5981930490127899E-3</v>
      </c>
      <c r="AE26" s="1">
        <v>2.3775670884332301E-3</v>
      </c>
      <c r="AF26" s="1">
        <v>1.50579248934105E-3</v>
      </c>
      <c r="AG26" s="1">
        <v>1.05858344175479E-3</v>
      </c>
      <c r="AH26" s="1">
        <v>7.3591362261028498E-4</v>
      </c>
      <c r="AI26" s="1">
        <v>4.1607424047581499E-4</v>
      </c>
      <c r="AJ26" s="1">
        <v>2.7360891097049099E-4</v>
      </c>
      <c r="AK26" s="1">
        <v>2.1700017076969999E-4</v>
      </c>
      <c r="AL26" s="1">
        <v>1.81619708144205E-4</v>
      </c>
      <c r="AM26" s="1">
        <v>1.0614138787648301E-4</v>
      </c>
      <c r="AN26" s="5">
        <v>5.9439177210830799E-5</v>
      </c>
      <c r="AO26" s="5">
        <v>4.5286992160633002E-5</v>
      </c>
      <c r="AP26" s="5">
        <v>3.5852202127167802E-5</v>
      </c>
      <c r="AQ26" s="5">
        <v>2.40587145853363E-5</v>
      </c>
      <c r="AR26" s="5">
        <v>2.9011979352905498E-5</v>
      </c>
      <c r="AS26" s="5">
        <v>1.5567403555217599E-5</v>
      </c>
      <c r="AT26" s="5">
        <v>8.7035938058716502E-5</v>
      </c>
    </row>
    <row r="27" spans="1:46" ht="15.75" customHeight="1" x14ac:dyDescent="0.25">
      <c r="A27" s="1">
        <v>2</v>
      </c>
      <c r="B27" s="1" t="s">
        <v>111</v>
      </c>
      <c r="C27" s="1">
        <v>2011</v>
      </c>
      <c r="D27" s="1">
        <v>1</v>
      </c>
      <c r="E27" s="1">
        <v>3</v>
      </c>
      <c r="F27" s="1">
        <v>0</v>
      </c>
      <c r="G27" s="1">
        <v>0</v>
      </c>
      <c r="H27" s="1">
        <v>0</v>
      </c>
      <c r="I27" s="1">
        <v>0</v>
      </c>
      <c r="J27" s="5">
        <v>3.32687784611879E-5</v>
      </c>
      <c r="K27" s="1">
        <v>1.3189283494075899E-3</v>
      </c>
      <c r="L27" s="1">
        <v>1.61740336542564E-2</v>
      </c>
      <c r="M27" s="1">
        <v>7.5596379513727802E-2</v>
      </c>
      <c r="N27" s="1">
        <v>9.5224958805828694E-2</v>
      </c>
      <c r="O27" s="1">
        <v>8.2097447093248205E-2</v>
      </c>
      <c r="P27" s="1">
        <v>7.9908398130313002E-2</v>
      </c>
      <c r="Q27" s="1">
        <v>8.5240384337792297E-2</v>
      </c>
      <c r="R27" s="1">
        <v>8.5549701492906693E-2</v>
      </c>
      <c r="S27" s="1">
        <v>9.0197982225673906E-2</v>
      </c>
      <c r="T27" s="1">
        <v>7.6273486222463993E-2</v>
      </c>
      <c r="U27" s="1">
        <v>6.4493772460435098E-2</v>
      </c>
      <c r="V27" s="1">
        <v>5.2947398395271801E-2</v>
      </c>
      <c r="W27" s="1">
        <v>4.86200743076039E-2</v>
      </c>
      <c r="X27" s="1">
        <v>4.3585490816671499E-2</v>
      </c>
      <c r="Y27" s="1">
        <v>3.4578358558796499E-2</v>
      </c>
      <c r="Z27" s="1">
        <v>2.2968654670171201E-2</v>
      </c>
      <c r="AA27" s="1">
        <v>1.6775437853326101E-2</v>
      </c>
      <c r="AB27" s="1">
        <v>1.0949552342465699E-2</v>
      </c>
      <c r="AC27" s="1">
        <v>6.6971975682447596E-3</v>
      </c>
      <c r="AD27" s="1">
        <v>4.29497180448113E-3</v>
      </c>
      <c r="AE27" s="1">
        <v>2.3299142866124501E-3</v>
      </c>
      <c r="AF27" s="1">
        <v>1.3791420889365199E-3</v>
      </c>
      <c r="AG27" s="1">
        <v>9.3189239502302799E-4</v>
      </c>
      <c r="AH27" s="1">
        <v>5.6346129470904495E-4</v>
      </c>
      <c r="AI27" s="1">
        <v>4.05824107510028E-4</v>
      </c>
      <c r="AJ27" s="1">
        <v>2.5075310707936701E-4</v>
      </c>
      <c r="AK27" s="1">
        <v>1.5250481366230499E-4</v>
      </c>
      <c r="AL27" s="1">
        <v>1.09887783402106E-4</v>
      </c>
      <c r="AM27" s="5">
        <v>7.5519210611622197E-5</v>
      </c>
      <c r="AN27" s="5">
        <v>5.6089510794068898E-5</v>
      </c>
      <c r="AO27" s="5">
        <v>4.0325792074167198E-5</v>
      </c>
      <c r="AP27" s="5">
        <v>2.9419498308653801E-5</v>
      </c>
      <c r="AQ27" s="5">
        <v>2.9694446890977702E-5</v>
      </c>
      <c r="AR27" s="5">
        <v>2.0529494146848798E-5</v>
      </c>
      <c r="AS27" s="5">
        <v>2.2179185640792E-5</v>
      </c>
      <c r="AT27" s="5">
        <v>7.6985603050682804E-5</v>
      </c>
    </row>
    <row r="28" spans="1:46" ht="15.75" customHeight="1" x14ac:dyDescent="0.25">
      <c r="A28" s="1">
        <v>2</v>
      </c>
      <c r="B28" s="1" t="s">
        <v>111</v>
      </c>
      <c r="C28" s="1">
        <v>2012</v>
      </c>
      <c r="D28" s="1">
        <v>1</v>
      </c>
      <c r="E28" s="1">
        <v>9</v>
      </c>
      <c r="F28" s="1">
        <v>0</v>
      </c>
      <c r="G28" s="1">
        <v>0</v>
      </c>
      <c r="H28" s="1">
        <v>0</v>
      </c>
      <c r="I28" s="1">
        <v>0</v>
      </c>
      <c r="J28" s="5">
        <v>3.2776249153280201E-5</v>
      </c>
      <c r="K28" s="1">
        <v>1.26850387348032E-3</v>
      </c>
      <c r="L28" s="1">
        <v>1.4276262599946601E-2</v>
      </c>
      <c r="M28" s="1">
        <v>6.7285857636782007E-2</v>
      </c>
      <c r="N28" s="1">
        <v>8.2893445254419301E-2</v>
      </c>
      <c r="O28" s="1">
        <v>8.6054357308179105E-2</v>
      </c>
      <c r="P28" s="1">
        <v>8.5606940496820702E-2</v>
      </c>
      <c r="Q28" s="1">
        <v>8.6794029007820905E-2</v>
      </c>
      <c r="R28" s="1">
        <v>8.5326031233244198E-2</v>
      </c>
      <c r="S28" s="1">
        <v>8.5123700925971102E-2</v>
      </c>
      <c r="T28" s="1">
        <v>8.1402020865864497E-2</v>
      </c>
      <c r="U28" s="1">
        <v>7.0733877026874906E-2</v>
      </c>
      <c r="V28" s="1">
        <v>5.9211554720368202E-2</v>
      </c>
      <c r="W28" s="1">
        <v>4.8084858549474502E-2</v>
      </c>
      <c r="X28" s="1">
        <v>4.4195725472860402E-2</v>
      </c>
      <c r="Y28" s="1">
        <v>3.3078799145464403E-2</v>
      </c>
      <c r="Z28" s="1">
        <v>2.7169829714779398E-2</v>
      </c>
      <c r="AA28" s="1">
        <v>1.83105776519767E-2</v>
      </c>
      <c r="AB28" s="1">
        <v>1.0722455764669901E-2</v>
      </c>
      <c r="AC28" s="1">
        <v>5.7648379760750204E-3</v>
      </c>
      <c r="AD28" s="1">
        <v>2.9120436747722099E-3</v>
      </c>
      <c r="AE28" s="1">
        <v>1.4039160053988401E-3</v>
      </c>
      <c r="AF28" s="1">
        <v>8.1121216654368603E-4</v>
      </c>
      <c r="AG28" s="1">
        <v>5.3408477786947705E-4</v>
      </c>
      <c r="AH28" s="1">
        <v>3.09903637827489E-4</v>
      </c>
      <c r="AI28" s="1">
        <v>2.1850832768853499E-4</v>
      </c>
      <c r="AJ28" s="1">
        <v>1.4780827743162E-4</v>
      </c>
      <c r="AK28" s="5">
        <v>9.2655935106388305E-5</v>
      </c>
      <c r="AL28" s="5">
        <v>6.40817691778876E-5</v>
      </c>
      <c r="AM28" s="5">
        <v>3.8238957345493599E-5</v>
      </c>
      <c r="AN28" s="5">
        <v>3.2566144992041302E-5</v>
      </c>
      <c r="AO28" s="5">
        <v>2.39518743812432E-5</v>
      </c>
      <c r="AP28" s="5">
        <v>1.9539686995224801E-5</v>
      </c>
      <c r="AQ28" s="5">
        <v>1.3026457996816499E-5</v>
      </c>
      <c r="AR28" s="5">
        <v>1.26062496743386E-5</v>
      </c>
      <c r="AS28" s="5">
        <v>5.77786443407184E-6</v>
      </c>
      <c r="AT28" s="5">
        <v>2.36367181393848E-5</v>
      </c>
    </row>
    <row r="29" spans="1:46" ht="15.75" customHeight="1" x14ac:dyDescent="0.25">
      <c r="A29" s="1">
        <v>2</v>
      </c>
      <c r="B29" s="1" t="s">
        <v>111</v>
      </c>
      <c r="C29" s="1">
        <v>2013</v>
      </c>
      <c r="D29" s="1">
        <v>1</v>
      </c>
      <c r="E29" s="1">
        <v>8</v>
      </c>
      <c r="F29" s="1">
        <v>0</v>
      </c>
      <c r="G29" s="1">
        <v>0</v>
      </c>
      <c r="H29" s="1">
        <v>0</v>
      </c>
      <c r="I29" s="1">
        <v>0</v>
      </c>
      <c r="J29" s="5">
        <v>3.66652181642207E-5</v>
      </c>
      <c r="K29" s="1">
        <v>1.2932822407015999E-3</v>
      </c>
      <c r="L29" s="1">
        <v>1.5464944594781401E-2</v>
      </c>
      <c r="M29" s="1">
        <v>7.4500143204219105E-2</v>
      </c>
      <c r="N29" s="1">
        <v>0.101851531791337</v>
      </c>
      <c r="O29" s="1">
        <v>8.9684605052639907E-2</v>
      </c>
      <c r="P29" s="1">
        <v>8.5087255812116E-2</v>
      </c>
      <c r="Q29" s="1">
        <v>8.1404191439350501E-2</v>
      </c>
      <c r="R29" s="1">
        <v>8.3475097280107394E-2</v>
      </c>
      <c r="S29" s="1">
        <v>8.3107827838900195E-2</v>
      </c>
      <c r="T29" s="1">
        <v>6.9015791968712298E-2</v>
      </c>
      <c r="U29" s="1">
        <v>5.6619244671815401E-2</v>
      </c>
      <c r="V29" s="1">
        <v>5.1158472751693697E-2</v>
      </c>
      <c r="W29" s="1">
        <v>4.73877575206905E-2</v>
      </c>
      <c r="X29" s="1">
        <v>4.0402724830624001E-2</v>
      </c>
      <c r="Y29" s="1">
        <v>3.5325024196574899E-2</v>
      </c>
      <c r="Z29" s="1">
        <v>2.8604055148438601E-2</v>
      </c>
      <c r="AA29" s="1">
        <v>2.1012009402097701E-2</v>
      </c>
      <c r="AB29" s="1">
        <v>1.32294773539811E-2</v>
      </c>
      <c r="AC29" s="1">
        <v>8.7724929385505704E-3</v>
      </c>
      <c r="AD29" s="1">
        <v>5.3080619037272599E-3</v>
      </c>
      <c r="AE29" s="1">
        <v>3.1398759555178101E-3</v>
      </c>
      <c r="AF29" s="1">
        <v>1.7314130799770901E-3</v>
      </c>
      <c r="AG29" s="1">
        <v>8.5823769925138702E-4</v>
      </c>
      <c r="AH29" s="1">
        <v>4.9998024769391802E-4</v>
      </c>
      <c r="AI29" s="1">
        <v>3.03691706006676E-4</v>
      </c>
      <c r="AJ29" s="1">
        <v>1.94683666818101E-4</v>
      </c>
      <c r="AK29" s="1">
        <v>1.4122898848440601E-4</v>
      </c>
      <c r="AL29" s="1">
        <v>1.0777352005846699E-4</v>
      </c>
      <c r="AM29" s="5">
        <v>6.9626878938116002E-5</v>
      </c>
      <c r="AN29" s="5">
        <v>4.8393149900250899E-5</v>
      </c>
      <c r="AO29" s="5">
        <v>3.5554150947123099E-5</v>
      </c>
      <c r="AP29" s="5">
        <v>2.61718055582989E-5</v>
      </c>
      <c r="AQ29" s="5">
        <v>2.86408438185158E-5</v>
      </c>
      <c r="AR29" s="5">
        <v>1.33328066051712E-5</v>
      </c>
      <c r="AS29" s="5">
        <v>1.2345191301084401E-5</v>
      </c>
      <c r="AT29" s="5">
        <v>4.8393149900250899E-5</v>
      </c>
    </row>
    <row r="30" spans="1:46" ht="15.75" customHeight="1" x14ac:dyDescent="0.25">
      <c r="A30" s="1">
        <v>2</v>
      </c>
      <c r="B30" s="1" t="s">
        <v>111</v>
      </c>
      <c r="C30" s="1">
        <v>2014</v>
      </c>
      <c r="D30" s="1">
        <v>1</v>
      </c>
      <c r="E30" s="1">
        <v>16</v>
      </c>
      <c r="F30" s="1">
        <v>0</v>
      </c>
      <c r="G30" s="1">
        <v>0</v>
      </c>
      <c r="H30" s="1">
        <v>0</v>
      </c>
      <c r="I30" s="1">
        <v>0</v>
      </c>
      <c r="J30" s="5">
        <v>3.0414303644241899E-5</v>
      </c>
      <c r="K30" s="1">
        <v>1.2176986014601999E-3</v>
      </c>
      <c r="L30" s="1">
        <v>1.54099138464159E-2</v>
      </c>
      <c r="M30" s="1">
        <v>6.9027965614264206E-2</v>
      </c>
      <c r="N30" s="1">
        <v>9.8495032668341503E-2</v>
      </c>
      <c r="O30" s="1">
        <v>9.0761689061732306E-2</v>
      </c>
      <c r="P30" s="1">
        <v>9.4282989550321203E-2</v>
      </c>
      <c r="Q30" s="1">
        <v>9.0719784910044607E-2</v>
      </c>
      <c r="R30" s="1">
        <v>8.4506705903371296E-2</v>
      </c>
      <c r="S30" s="1">
        <v>8.1109315540740398E-2</v>
      </c>
      <c r="T30" s="1">
        <v>7.1755452777738399E-2</v>
      </c>
      <c r="U30" s="1">
        <v>5.8934359399292702E-2</v>
      </c>
      <c r="V30" s="1">
        <v>5.0252314810121199E-2</v>
      </c>
      <c r="W30" s="1">
        <v>4.2870087442249398E-2</v>
      </c>
      <c r="X30" s="1">
        <v>3.7877748467400697E-2</v>
      </c>
      <c r="Y30" s="1">
        <v>3.0603548200250501E-2</v>
      </c>
      <c r="Z30" s="1">
        <v>2.6876331611433199E-2</v>
      </c>
      <c r="AA30" s="1">
        <v>1.9267010776350998E-2</v>
      </c>
      <c r="AB30" s="1">
        <v>1.3335996274585701E-2</v>
      </c>
      <c r="AC30" s="1">
        <v>9.6388560527055096E-3</v>
      </c>
      <c r="AD30" s="1">
        <v>6.4102087525156597E-3</v>
      </c>
      <c r="AE30" s="1">
        <v>3.0110160607799401E-3</v>
      </c>
      <c r="AF30" s="1">
        <v>1.4634912331332999E-3</v>
      </c>
      <c r="AG30" s="1">
        <v>7.9279951499323801E-4</v>
      </c>
      <c r="AH30" s="1">
        <v>4.7164699762385401E-4</v>
      </c>
      <c r="AI30" s="1">
        <v>3.00763669370836E-4</v>
      </c>
      <c r="AJ30" s="1">
        <v>1.885686825943E-4</v>
      </c>
      <c r="AK30" s="1">
        <v>1.20305467748334E-4</v>
      </c>
      <c r="AL30" s="5">
        <v>7.1191999641336494E-5</v>
      </c>
      <c r="AM30" s="5">
        <v>4.6184683311626503E-5</v>
      </c>
      <c r="AN30" s="5">
        <v>4.01018225827782E-5</v>
      </c>
      <c r="AO30" s="5">
        <v>2.6696999865501199E-5</v>
      </c>
      <c r="AP30" s="5">
        <v>1.7572708772228598E-5</v>
      </c>
      <c r="AQ30" s="5">
        <v>1.8023291048439601E-5</v>
      </c>
      <c r="AR30" s="5">
        <v>8.8989999551670703E-6</v>
      </c>
      <c r="AS30" s="5">
        <v>8.6737088170615706E-6</v>
      </c>
      <c r="AT30" s="5">
        <v>3.06395947823474E-5</v>
      </c>
    </row>
    <row r="31" spans="1:46" ht="15.75" customHeight="1" x14ac:dyDescent="0.25">
      <c r="A31" s="1">
        <v>2</v>
      </c>
      <c r="B31" s="1" t="s">
        <v>111</v>
      </c>
      <c r="C31" s="1">
        <v>2015</v>
      </c>
      <c r="D31" s="1">
        <v>1</v>
      </c>
      <c r="E31" s="1">
        <v>15</v>
      </c>
      <c r="F31" s="1">
        <v>0</v>
      </c>
      <c r="G31" s="1">
        <v>0</v>
      </c>
      <c r="H31" s="1">
        <v>0</v>
      </c>
      <c r="I31" s="1">
        <v>0</v>
      </c>
      <c r="J31" s="5">
        <v>4.0944731436682401E-5</v>
      </c>
      <c r="K31" s="1">
        <v>1.31561887063656E-3</v>
      </c>
      <c r="L31" s="1">
        <v>1.79414545412316E-2</v>
      </c>
      <c r="M31" s="1">
        <v>8.6087854224304997E-2</v>
      </c>
      <c r="N31" s="1">
        <v>0.105433401778079</v>
      </c>
      <c r="O31" s="1">
        <v>9.0619310612838497E-2</v>
      </c>
      <c r="P31" s="1">
        <v>8.2363559763684202E-2</v>
      </c>
      <c r="Q31" s="1">
        <v>7.5223373264024201E-2</v>
      </c>
      <c r="R31" s="1">
        <v>6.8844615103362095E-2</v>
      </c>
      <c r="S31" s="1">
        <v>6.7898576308588199E-2</v>
      </c>
      <c r="T31" s="1">
        <v>7.1692189481202706E-2</v>
      </c>
      <c r="U31" s="1">
        <v>6.3378014570817195E-2</v>
      </c>
      <c r="V31" s="1">
        <v>5.7513699424726498E-2</v>
      </c>
      <c r="W31" s="1">
        <v>4.67162624691373E-2</v>
      </c>
      <c r="X31" s="1">
        <v>3.60450119080927E-2</v>
      </c>
      <c r="Y31" s="1">
        <v>3.59202621707915E-2</v>
      </c>
      <c r="Z31" s="1">
        <v>3.0641025687072301E-2</v>
      </c>
      <c r="AA31" s="1">
        <v>2.31732813359188E-2</v>
      </c>
      <c r="AB31" s="1">
        <v>1.53364357946504E-2</v>
      </c>
      <c r="AC31" s="1">
        <v>1.21584302508296E-2</v>
      </c>
      <c r="AD31" s="1">
        <v>6.1259064858250403E-3</v>
      </c>
      <c r="AE31" s="1">
        <v>2.8338064125914401E-3</v>
      </c>
      <c r="AF31" s="1">
        <v>1.48837690415449E-3</v>
      </c>
      <c r="AG31" s="1">
        <v>6.6265815351472805E-4</v>
      </c>
      <c r="AH31" s="1">
        <v>2.51415017593664E-4</v>
      </c>
      <c r="AI31" s="1">
        <v>1.2642583741852799E-4</v>
      </c>
      <c r="AJ31" s="5">
        <v>7.3269519413010601E-5</v>
      </c>
      <c r="AK31" s="5">
        <v>3.4240330967517997E-5</v>
      </c>
      <c r="AL31" s="5">
        <v>1.8437101290202002E-5</v>
      </c>
      <c r="AM31" s="5">
        <v>1.07749293254427E-5</v>
      </c>
      <c r="AN31" s="5">
        <v>6.8241219061137303E-6</v>
      </c>
      <c r="AO31" s="5">
        <v>5.7466289735694604E-6</v>
      </c>
      <c r="AP31" s="5">
        <v>7.1832862169618198E-6</v>
      </c>
      <c r="AQ31" s="5">
        <v>2.5141501759366399E-6</v>
      </c>
      <c r="AR31" s="5">
        <v>2.0352644281391802E-6</v>
      </c>
      <c r="AS31" s="5">
        <v>2.0352644281391802E-6</v>
      </c>
      <c r="AT31" s="5">
        <v>5.0283003518732697E-6</v>
      </c>
    </row>
    <row r="32" spans="1:46" ht="15.75" customHeight="1" x14ac:dyDescent="0.25">
      <c r="A32" s="1">
        <v>2</v>
      </c>
      <c r="B32" s="1" t="s">
        <v>111</v>
      </c>
      <c r="C32" s="1">
        <v>2016</v>
      </c>
      <c r="D32" s="1">
        <v>1</v>
      </c>
      <c r="E32" s="1">
        <v>15</v>
      </c>
      <c r="F32" s="1">
        <v>0</v>
      </c>
      <c r="G32" s="1">
        <v>0</v>
      </c>
      <c r="H32" s="1">
        <v>0</v>
      </c>
      <c r="I32" s="1">
        <v>0</v>
      </c>
      <c r="J32" s="5">
        <v>2.7030814646003301E-5</v>
      </c>
      <c r="K32" s="1">
        <v>8.03764491453033E-4</v>
      </c>
      <c r="L32" s="1">
        <v>1.0035189937328701E-2</v>
      </c>
      <c r="M32" s="1">
        <v>4.7790962987252501E-2</v>
      </c>
      <c r="N32" s="1">
        <v>6.4423441572974596E-2</v>
      </c>
      <c r="O32" s="1">
        <v>5.8173531072323599E-2</v>
      </c>
      <c r="P32" s="1">
        <v>6.1594698999811598E-2</v>
      </c>
      <c r="Q32" s="1">
        <v>6.5680454902866794E-2</v>
      </c>
      <c r="R32" s="1">
        <v>6.2511976823007201E-2</v>
      </c>
      <c r="S32" s="1">
        <v>6.5482952968474201E-2</v>
      </c>
      <c r="T32" s="1">
        <v>6.4673396159596996E-2</v>
      </c>
      <c r="U32" s="1">
        <v>6.6880510444755001E-2</v>
      </c>
      <c r="V32" s="1">
        <v>6.7214212287468197E-2</v>
      </c>
      <c r="W32" s="1">
        <v>6.4990766885128198E-2</v>
      </c>
      <c r="X32" s="1">
        <v>6.10609208594061E-2</v>
      </c>
      <c r="Y32" s="1">
        <v>5.6034878761164898E-2</v>
      </c>
      <c r="Z32" s="1">
        <v>5.1737622823275299E-2</v>
      </c>
      <c r="AA32" s="1">
        <v>4.49712306856382E-2</v>
      </c>
      <c r="AB32" s="1">
        <v>3.2885560380162701E-2</v>
      </c>
      <c r="AC32" s="1">
        <v>2.2424796009865602E-2</v>
      </c>
      <c r="AD32" s="1">
        <v>1.43533625770278E-2</v>
      </c>
      <c r="AE32" s="1">
        <v>8.2469728303306306E-3</v>
      </c>
      <c r="AF32" s="1">
        <v>4.1545396724669698E-3</v>
      </c>
      <c r="AG32" s="1">
        <v>1.9314965143925401E-3</v>
      </c>
      <c r="AH32" s="1">
        <v>8.5155111020221701E-4</v>
      </c>
      <c r="AI32" s="1">
        <v>4.0827792954900799E-4</v>
      </c>
      <c r="AJ32" s="1">
        <v>2.0997150662520399E-4</v>
      </c>
      <c r="AK32" s="1">
        <v>1.3716529455784401E-4</v>
      </c>
      <c r="AL32" s="5">
        <v>9.1228999430261194E-5</v>
      </c>
      <c r="AM32" s="5">
        <v>5.18090614048397E-5</v>
      </c>
      <c r="AN32" s="5">
        <v>4.0063528850326398E-5</v>
      </c>
      <c r="AO32" s="5">
        <v>2.6226326114872299E-5</v>
      </c>
      <c r="AP32" s="5">
        <v>2.5260939877515001E-5</v>
      </c>
      <c r="AQ32" s="5">
        <v>1.31131630574361E-5</v>
      </c>
      <c r="AR32" s="5">
        <v>1.31936119105492E-5</v>
      </c>
      <c r="AS32" s="5">
        <v>1.23891233794182E-5</v>
      </c>
      <c r="AT32" s="5">
        <v>3.5477944222879402E-5</v>
      </c>
    </row>
    <row r="33" spans="1:46" ht="15.75" customHeight="1" x14ac:dyDescent="0.25">
      <c r="A33" s="1">
        <v>2</v>
      </c>
      <c r="B33" s="1" t="s">
        <v>111</v>
      </c>
      <c r="C33" s="1">
        <v>2017</v>
      </c>
      <c r="D33" s="1">
        <v>1</v>
      </c>
      <c r="E33" s="1">
        <v>8</v>
      </c>
      <c r="F33" s="1">
        <v>0</v>
      </c>
      <c r="G33" s="1">
        <v>0</v>
      </c>
      <c r="H33" s="1">
        <v>0</v>
      </c>
      <c r="I33" s="1">
        <v>0</v>
      </c>
      <c r="J33" s="5">
        <v>2.9231182321983101E-5</v>
      </c>
      <c r="K33" s="1">
        <v>9.0616665198147697E-4</v>
      </c>
      <c r="L33" s="1">
        <v>1.18371672812871E-2</v>
      </c>
      <c r="M33" s="1">
        <v>5.19243235312827E-2</v>
      </c>
      <c r="N33" s="1">
        <v>7.4035973006534306E-2</v>
      </c>
      <c r="O33" s="1">
        <v>6.4506259579302005E-2</v>
      </c>
      <c r="P33" s="1">
        <v>6.3341884150142996E-2</v>
      </c>
      <c r="Q33" s="1">
        <v>6.9383134359459198E-2</v>
      </c>
      <c r="R33" s="1">
        <v>7.3793702183527501E-2</v>
      </c>
      <c r="S33" s="1">
        <v>7.58824789545927E-2</v>
      </c>
      <c r="T33" s="1">
        <v>7.5358962398816606E-2</v>
      </c>
      <c r="U33" s="1">
        <v>7.1213284765027904E-2</v>
      </c>
      <c r="V33" s="1">
        <v>6.5733203658240702E-2</v>
      </c>
      <c r="W33" s="1">
        <v>5.84590239374152E-2</v>
      </c>
      <c r="X33" s="1">
        <v>5.4909036040516598E-2</v>
      </c>
      <c r="Y33" s="1">
        <v>4.74172232074987E-2</v>
      </c>
      <c r="Z33" s="1">
        <v>4.1884108384212998E-2</v>
      </c>
      <c r="AA33" s="1">
        <v>3.3816858847770803E-2</v>
      </c>
      <c r="AB33" s="1">
        <v>2.5459385429703201E-2</v>
      </c>
      <c r="AC33" s="1">
        <v>1.7637051442287398E-2</v>
      </c>
      <c r="AD33" s="1">
        <v>1.0649546102376801E-2</v>
      </c>
      <c r="AE33" s="1">
        <v>5.8930063561117999E-3</v>
      </c>
      <c r="AF33" s="1">
        <v>2.9570820821343299E-3</v>
      </c>
      <c r="AG33" s="1">
        <v>1.4907902984211401E-3</v>
      </c>
      <c r="AH33" s="1">
        <v>7.06559435554221E-4</v>
      </c>
      <c r="AI33" s="1">
        <v>3.3817694024408602E-4</v>
      </c>
      <c r="AJ33" s="1">
        <v>1.739255348158E-4</v>
      </c>
      <c r="AK33" s="5">
        <v>8.5744801477817203E-5</v>
      </c>
      <c r="AL33" s="5">
        <v>5.8949551015999302E-5</v>
      </c>
      <c r="AM33" s="5">
        <v>3.1736712235295998E-5</v>
      </c>
      <c r="AN33" s="5">
        <v>2.4220122495357501E-5</v>
      </c>
      <c r="AO33" s="5">
        <v>1.55899639050577E-5</v>
      </c>
      <c r="AP33" s="5">
        <v>8.0733741651191494E-6</v>
      </c>
      <c r="AQ33" s="5">
        <v>7.7949819525288294E-6</v>
      </c>
      <c r="AR33" s="5">
        <v>7.1685994742006196E-6</v>
      </c>
      <c r="AS33" s="5">
        <v>7.4469916867909396E-6</v>
      </c>
      <c r="AT33" s="5">
        <v>1.5729160011352799E-5</v>
      </c>
    </row>
    <row r="34" spans="1:46" ht="15.75" customHeight="1" x14ac:dyDescent="0.25">
      <c r="A34" s="1">
        <v>2</v>
      </c>
      <c r="B34" s="1" t="s">
        <v>111</v>
      </c>
      <c r="C34" s="1">
        <v>2018</v>
      </c>
      <c r="D34" s="1">
        <v>1</v>
      </c>
      <c r="E34" s="1">
        <v>7</v>
      </c>
      <c r="F34" s="1">
        <v>0</v>
      </c>
      <c r="G34" s="1">
        <v>0</v>
      </c>
      <c r="H34" s="1">
        <v>0</v>
      </c>
      <c r="I34" s="1">
        <v>0</v>
      </c>
      <c r="J34" s="5">
        <v>2.0665982823554501E-5</v>
      </c>
      <c r="K34" s="1">
        <v>7.5075640726193999E-4</v>
      </c>
      <c r="L34" s="1">
        <v>1.00873675950931E-2</v>
      </c>
      <c r="M34" s="1">
        <v>4.4094749225832897E-2</v>
      </c>
      <c r="N34" s="1">
        <v>6.3885979745184104E-2</v>
      </c>
      <c r="O34" s="1">
        <v>6.1207797533644102E-2</v>
      </c>
      <c r="P34" s="1">
        <v>5.7692965923731798E-2</v>
      </c>
      <c r="Q34" s="1">
        <v>6.1709485793751302E-2</v>
      </c>
      <c r="R34" s="1">
        <v>6.1278944484927302E-2</v>
      </c>
      <c r="S34" s="1">
        <v>5.8535965806409199E-2</v>
      </c>
      <c r="T34" s="1">
        <v>6.1374739926140599E-2</v>
      </c>
      <c r="U34" s="1">
        <v>6.6036533582760307E-2</v>
      </c>
      <c r="V34" s="1">
        <v>6.7857830954413195E-2</v>
      </c>
      <c r="W34" s="1">
        <v>5.9360667683461703E-2</v>
      </c>
      <c r="X34" s="1">
        <v>5.1437954153808703E-2</v>
      </c>
      <c r="Y34" s="1">
        <v>5.25019293632401E-2</v>
      </c>
      <c r="Z34" s="1">
        <v>5.2471576200968102E-2</v>
      </c>
      <c r="AA34" s="1">
        <v>4.94252811703835E-2</v>
      </c>
      <c r="AB34" s="1">
        <v>4.1167283596483799E-2</v>
      </c>
      <c r="AC34" s="1">
        <v>3.3187092802102802E-2</v>
      </c>
      <c r="AD34" s="1">
        <v>2.20990395699753E-2</v>
      </c>
      <c r="AE34" s="1">
        <v>1.2561688496904901E-2</v>
      </c>
      <c r="AF34" s="1">
        <v>6.2234746190516698E-3</v>
      </c>
      <c r="AG34" s="1">
        <v>2.6616063711502901E-3</v>
      </c>
      <c r="AH34" s="1">
        <v>1.1878634710455599E-3</v>
      </c>
      <c r="AI34" s="1">
        <v>5.2891999789034705E-4</v>
      </c>
      <c r="AJ34" s="1">
        <v>2.5574153744148702E-4</v>
      </c>
      <c r="AK34" s="1">
        <v>1.3303726442663201E-4</v>
      </c>
      <c r="AL34" s="5">
        <v>7.9111965496419503E-5</v>
      </c>
      <c r="AM34" s="5">
        <v>4.69290026618216E-5</v>
      </c>
      <c r="AN34" s="5">
        <v>3.8425811812546601E-5</v>
      </c>
      <c r="AO34" s="5">
        <v>2.5617207875031101E-5</v>
      </c>
      <c r="AP34" s="5">
        <v>1.21627919742795E-5</v>
      </c>
      <c r="AQ34" s="5">
        <v>1.1947521319867399E-5</v>
      </c>
      <c r="AR34" s="5">
        <v>1.2485697955897499E-5</v>
      </c>
      <c r="AS34" s="5">
        <v>1.2055156647073401E-5</v>
      </c>
      <c r="AT34" s="5">
        <v>2.4325583948558899E-5</v>
      </c>
    </row>
    <row r="35" spans="1:46" ht="15.75" customHeight="1" x14ac:dyDescent="0.25">
      <c r="A35" s="1">
        <v>2</v>
      </c>
      <c r="B35" s="1" t="s">
        <v>111</v>
      </c>
      <c r="C35" s="1">
        <v>2019</v>
      </c>
      <c r="D35" s="1">
        <v>1</v>
      </c>
      <c r="E35" s="1">
        <v>6</v>
      </c>
      <c r="F35" s="1">
        <v>0</v>
      </c>
      <c r="G35" s="1">
        <v>0</v>
      </c>
      <c r="H35" s="1">
        <v>0</v>
      </c>
      <c r="I35" s="1">
        <v>0</v>
      </c>
      <c r="J35" s="5">
        <v>2.8197231263648E-5</v>
      </c>
      <c r="K35" s="1">
        <v>7.8501606855918603E-4</v>
      </c>
      <c r="L35" s="1">
        <v>9.5620802603930601E-3</v>
      </c>
      <c r="M35" s="1">
        <v>3.5610399241893603E-2</v>
      </c>
      <c r="N35" s="1">
        <v>5.1183768695150601E-2</v>
      </c>
      <c r="O35" s="1">
        <v>5.5670218573606399E-2</v>
      </c>
      <c r="P35" s="1">
        <v>6.4315438177248593E-2</v>
      </c>
      <c r="Q35" s="1">
        <v>6.9131757035144806E-2</v>
      </c>
      <c r="R35" s="1">
        <v>7.5680596184747206E-2</v>
      </c>
      <c r="S35" s="1">
        <v>7.9867691895677995E-2</v>
      </c>
      <c r="T35" s="1">
        <v>7.7798607391537294E-2</v>
      </c>
      <c r="U35" s="1">
        <v>7.0970499773392107E-2</v>
      </c>
      <c r="V35" s="1">
        <v>6.5332212310988402E-2</v>
      </c>
      <c r="W35" s="1">
        <v>5.8195995220633699E-2</v>
      </c>
      <c r="X35" s="1">
        <v>5.2134363025833297E-2</v>
      </c>
      <c r="Y35" s="1">
        <v>4.2820778913106199E-2</v>
      </c>
      <c r="Z35" s="1">
        <v>3.8540851221622499E-2</v>
      </c>
      <c r="AA35" s="1">
        <v>3.7674076057846798E-2</v>
      </c>
      <c r="AB35" s="1">
        <v>3.6394642783568902E-2</v>
      </c>
      <c r="AC35" s="1">
        <v>2.75016995591447E-2</v>
      </c>
      <c r="AD35" s="1">
        <v>2.0744921923282901E-2</v>
      </c>
      <c r="AE35" s="1">
        <v>1.4708911870133101E-2</v>
      </c>
      <c r="AF35" s="1">
        <v>7.8694738576902505E-3</v>
      </c>
      <c r="AG35" s="1">
        <v>4.23421985085081E-3</v>
      </c>
      <c r="AH35" s="1">
        <v>1.7729491986321099E-3</v>
      </c>
      <c r="AI35" s="1">
        <v>7.1381484075645795E-4</v>
      </c>
      <c r="AJ35" s="1">
        <v>3.2729388982736602E-4</v>
      </c>
      <c r="AK35" s="1">
        <v>1.62230645626468E-4</v>
      </c>
      <c r="AL35" s="5">
        <v>8.8583082691277696E-5</v>
      </c>
      <c r="AM35" s="5">
        <v>4.6351613036133701E-5</v>
      </c>
      <c r="AN35" s="5">
        <v>3.5922500103003598E-5</v>
      </c>
      <c r="AO35" s="5">
        <v>2.2918297556754999E-5</v>
      </c>
      <c r="AP35" s="5">
        <v>1.1845412220345301E-5</v>
      </c>
      <c r="AQ35" s="5">
        <v>1.2231675662313E-5</v>
      </c>
      <c r="AR35" s="5">
        <v>1.15879032590334E-5</v>
      </c>
      <c r="AS35" s="5">
        <v>1.2360430142969E-5</v>
      </c>
      <c r="AT35" s="5">
        <v>2.5493387169873501E-5</v>
      </c>
    </row>
    <row r="36" spans="1:46" ht="15.75" customHeight="1" x14ac:dyDescent="0.25">
      <c r="A36" s="1">
        <v>2</v>
      </c>
      <c r="B36" s="1" t="s">
        <v>111</v>
      </c>
      <c r="C36" s="1">
        <v>2020</v>
      </c>
      <c r="D36" s="1">
        <v>1</v>
      </c>
      <c r="E36" s="1">
        <v>10</v>
      </c>
      <c r="F36" s="1">
        <v>0</v>
      </c>
      <c r="G36" s="1">
        <v>0</v>
      </c>
      <c r="H36" s="1">
        <v>0</v>
      </c>
      <c r="I36" s="1">
        <v>0</v>
      </c>
      <c r="J36" s="5">
        <v>4.3706204698871302E-5</v>
      </c>
      <c r="K36" s="1">
        <v>1.4474743061561701E-3</v>
      </c>
      <c r="L36" s="1">
        <v>1.6873414768906199E-2</v>
      </c>
      <c r="M36" s="1">
        <v>6.4438924338606901E-2</v>
      </c>
      <c r="N36" s="1">
        <v>7.8577176619906305E-2</v>
      </c>
      <c r="O36" s="1">
        <v>6.3632474368034098E-2</v>
      </c>
      <c r="P36" s="1">
        <v>5.84582236827162E-2</v>
      </c>
      <c r="Q36" s="1">
        <v>5.3641141982034103E-2</v>
      </c>
      <c r="R36" s="1">
        <v>5.5632829030569798E-2</v>
      </c>
      <c r="S36" s="1">
        <v>5.6477815654747902E-2</v>
      </c>
      <c r="T36" s="1">
        <v>4.9256892695628003E-2</v>
      </c>
      <c r="U36" s="1">
        <v>5.0292682751072203E-2</v>
      </c>
      <c r="V36" s="1">
        <v>5.2548956823752602E-2</v>
      </c>
      <c r="W36" s="1">
        <v>5.3267054466546997E-2</v>
      </c>
      <c r="X36" s="1">
        <v>5.1807361221442701E-2</v>
      </c>
      <c r="Y36" s="1">
        <v>5.4219505092242798E-2</v>
      </c>
      <c r="Z36" s="1">
        <v>5.4357046481940299E-2</v>
      </c>
      <c r="AA36" s="1">
        <v>5.3809857331355501E-2</v>
      </c>
      <c r="AB36" s="1">
        <v>4.55507945208398E-2</v>
      </c>
      <c r="AC36" s="1">
        <v>3.2329275966772597E-2</v>
      </c>
      <c r="AD36" s="1">
        <v>2.2771559260365701E-2</v>
      </c>
      <c r="AE36" s="1">
        <v>1.27589220577382E-2</v>
      </c>
      <c r="AF36" s="1">
        <v>8.5498108962544696E-3</v>
      </c>
      <c r="AG36" s="1">
        <v>5.1877228487735598E-3</v>
      </c>
      <c r="AH36" s="1">
        <v>2.3967918705832701E-3</v>
      </c>
      <c r="AI36" s="1">
        <v>9.1736033948598705E-4</v>
      </c>
      <c r="AJ36" s="1">
        <v>3.5716898463593799E-4</v>
      </c>
      <c r="AK36" s="1">
        <v>1.7842783925453199E-4</v>
      </c>
      <c r="AL36" s="5">
        <v>7.2687021434681995E-5</v>
      </c>
      <c r="AM36" s="5">
        <v>5.2478776251332901E-5</v>
      </c>
      <c r="AN36" s="5">
        <v>2.81975514186267E-5</v>
      </c>
      <c r="AO36" s="5">
        <v>1.5978612470555099E-5</v>
      </c>
      <c r="AP36" s="5">
        <v>9.2425307427720705E-6</v>
      </c>
      <c r="AQ36" s="5">
        <v>1.0339102186829801E-5</v>
      </c>
      <c r="AR36" s="5">
        <v>1.15923266943243E-5</v>
      </c>
      <c r="AS36" s="1">
        <v>0</v>
      </c>
      <c r="AT36" s="5">
        <v>1.9111673739291401E-5</v>
      </c>
    </row>
    <row r="37" spans="1:46" ht="15.75" customHeight="1" x14ac:dyDescent="0.25">
      <c r="A37" s="1">
        <v>2</v>
      </c>
      <c r="B37" s="1" t="s">
        <v>111</v>
      </c>
      <c r="C37" s="1">
        <v>2021</v>
      </c>
      <c r="D37" s="1">
        <v>1</v>
      </c>
      <c r="E37" s="1">
        <v>12</v>
      </c>
      <c r="F37" s="1">
        <v>0</v>
      </c>
      <c r="G37" s="1">
        <v>0</v>
      </c>
      <c r="H37" s="1">
        <v>0</v>
      </c>
      <c r="I37" s="1">
        <v>0</v>
      </c>
      <c r="J37" s="5">
        <v>3.9013202157295502E-5</v>
      </c>
      <c r="K37" s="1">
        <v>1.46441510166676E-3</v>
      </c>
      <c r="L37" s="1">
        <v>1.6138461292401301E-2</v>
      </c>
      <c r="M37" s="1">
        <v>6.7168776045236203E-2</v>
      </c>
      <c r="N37" s="1">
        <v>8.9979989665238305E-2</v>
      </c>
      <c r="O37" s="1">
        <v>6.9125116236173706E-2</v>
      </c>
      <c r="P37" s="1">
        <v>6.3462671316163399E-2</v>
      </c>
      <c r="Q37" s="1">
        <v>6.7305845418332899E-2</v>
      </c>
      <c r="R37" s="1">
        <v>6.3376722690721102E-2</v>
      </c>
      <c r="S37" s="1">
        <v>6.6080890660941902E-2</v>
      </c>
      <c r="T37" s="1">
        <v>6.4597492123742703E-2</v>
      </c>
      <c r="U37" s="1">
        <v>6.2827697818982606E-2</v>
      </c>
      <c r="V37" s="1">
        <v>5.7110245778689298E-2</v>
      </c>
      <c r="W37" s="1">
        <v>5.1685766444251498E-2</v>
      </c>
      <c r="X37" s="1">
        <v>4.2728424914458697E-2</v>
      </c>
      <c r="Y37" s="1">
        <v>4.3183578939627099E-2</v>
      </c>
      <c r="Z37" s="1">
        <v>3.71597013651482E-2</v>
      </c>
      <c r="AA37" s="1">
        <v>2.6941530869084102E-2</v>
      </c>
      <c r="AB37" s="1">
        <v>2.7228524540126298E-2</v>
      </c>
      <c r="AC37" s="1">
        <v>2.7715217973935301E-2</v>
      </c>
      <c r="AD37" s="1">
        <v>2.18115189992052E-2</v>
      </c>
      <c r="AE37" s="1">
        <v>1.3866577539187699E-2</v>
      </c>
      <c r="AF37" s="1">
        <v>8.8707950008691996E-3</v>
      </c>
      <c r="AG37" s="1">
        <v>4.9889066482831299E-3</v>
      </c>
      <c r="AH37" s="1">
        <v>2.8313719358754501E-3</v>
      </c>
      <c r="AI37" s="1">
        <v>1.22420737803927E-3</v>
      </c>
      <c r="AJ37" s="1">
        <v>5.5963765853223903E-4</v>
      </c>
      <c r="AK37" s="1">
        <v>2.3348130946243499E-4</v>
      </c>
      <c r="AL37" s="1">
        <v>1.07622626640815E-4</v>
      </c>
      <c r="AM37" s="5">
        <v>5.60534513754246E-5</v>
      </c>
      <c r="AN37" s="5">
        <v>3.1838360381241202E-5</v>
      </c>
      <c r="AO37" s="5">
        <v>2.3617187512845601E-5</v>
      </c>
      <c r="AP37" s="5">
        <v>1.2406497237760701E-5</v>
      </c>
      <c r="AQ37" s="5">
        <v>1.37517800707708E-5</v>
      </c>
      <c r="AR37" s="5">
        <v>1.49475870334466E-5</v>
      </c>
      <c r="AS37" s="1">
        <v>0</v>
      </c>
      <c r="AT37" s="5">
        <v>3.3183643214251403E-5</v>
      </c>
    </row>
    <row r="38" spans="1:46" ht="15.75" customHeight="1" x14ac:dyDescent="0.25">
      <c r="A38" s="1">
        <v>2</v>
      </c>
      <c r="B38" s="1" t="s">
        <v>111</v>
      </c>
      <c r="C38" s="1">
        <v>2022</v>
      </c>
      <c r="D38" s="1">
        <v>1</v>
      </c>
      <c r="E38" s="1">
        <v>17</v>
      </c>
      <c r="F38" s="1">
        <v>0</v>
      </c>
      <c r="G38" s="1">
        <v>0</v>
      </c>
      <c r="H38" s="1">
        <v>0</v>
      </c>
      <c r="I38" s="1">
        <v>0</v>
      </c>
      <c r="J38" s="5">
        <v>1.6982316905214599E-5</v>
      </c>
      <c r="K38" s="1">
        <v>7.5815752668507302E-4</v>
      </c>
      <c r="L38" s="1">
        <v>1.07682041109815E-2</v>
      </c>
      <c r="M38" s="1">
        <v>4.5142086028043198E-2</v>
      </c>
      <c r="N38" s="1">
        <v>6.4934204457575098E-2</v>
      </c>
      <c r="O38" s="1">
        <v>5.6873779315563699E-2</v>
      </c>
      <c r="P38" s="1">
        <v>5.9118018225371001E-2</v>
      </c>
      <c r="Q38" s="1">
        <v>5.6394157516907399E-2</v>
      </c>
      <c r="R38" s="1">
        <v>5.9254134068444597E-2</v>
      </c>
      <c r="S38" s="1">
        <v>5.2011433216202503E-2</v>
      </c>
      <c r="T38" s="1">
        <v>5.1763131158421703E-2</v>
      </c>
      <c r="U38" s="1">
        <v>4.4816334312861299E-2</v>
      </c>
      <c r="V38" s="1">
        <v>4.8712232195616698E-2</v>
      </c>
      <c r="W38" s="1">
        <v>5.5969599594276997E-2</v>
      </c>
      <c r="X38" s="1">
        <v>6.0502334360977898E-2</v>
      </c>
      <c r="Y38" s="1">
        <v>5.9231876940985501E-2</v>
      </c>
      <c r="Z38" s="1">
        <v>5.30728280227784E-2</v>
      </c>
      <c r="AA38" s="1">
        <v>5.2405886122500897E-2</v>
      </c>
      <c r="AB38" s="1">
        <v>4.3993849828202002E-2</v>
      </c>
      <c r="AC38" s="1">
        <v>3.95186233619301E-2</v>
      </c>
      <c r="AD38" s="1">
        <v>3.1633682161272603E-2</v>
      </c>
      <c r="AE38" s="1">
        <v>2.1041090645560898E-2</v>
      </c>
      <c r="AF38" s="1">
        <v>1.46343829391527E-2</v>
      </c>
      <c r="AG38" s="1">
        <v>8.6654845087176507E-3</v>
      </c>
      <c r="AH38" s="1">
        <v>4.7632825840808E-3</v>
      </c>
      <c r="AI38" s="1">
        <v>2.2370342905141801E-3</v>
      </c>
      <c r="AJ38" s="1">
        <v>9.65418985278261E-4</v>
      </c>
      <c r="AK38" s="1">
        <v>3.9985637076823499E-4</v>
      </c>
      <c r="AL38" s="1">
        <v>1.7754240400906201E-4</v>
      </c>
      <c r="AM38" s="5">
        <v>9.1858895987297201E-5</v>
      </c>
      <c r="AN38" s="5">
        <v>4.6701371489340197E-5</v>
      </c>
      <c r="AO38" s="5">
        <v>2.93330928362798E-5</v>
      </c>
      <c r="AP38" s="5">
        <v>1.35086611746025E-5</v>
      </c>
      <c r="AQ38" s="5">
        <v>1.4537892502191299E-5</v>
      </c>
      <c r="AR38" s="5">
        <v>1.38946229224483E-5</v>
      </c>
      <c r="AS38" s="1">
        <v>0</v>
      </c>
      <c r="AT38" s="5">
        <v>1.4537892502191299E-5</v>
      </c>
    </row>
    <row r="39" spans="1:46" ht="15.75" customHeight="1" x14ac:dyDescent="0.25">
      <c r="A39" s="1">
        <v>2</v>
      </c>
      <c r="B39" s="1" t="s">
        <v>111</v>
      </c>
      <c r="C39" s="1">
        <v>2023</v>
      </c>
      <c r="D39" s="1">
        <v>1</v>
      </c>
      <c r="E39" s="1">
        <v>2</v>
      </c>
      <c r="F39" s="1">
        <v>0</v>
      </c>
      <c r="G39" s="1">
        <v>0</v>
      </c>
      <c r="H39" s="1">
        <v>0</v>
      </c>
      <c r="I39" s="1">
        <v>0</v>
      </c>
      <c r="J39" s="5">
        <v>3.3565549779078499E-5</v>
      </c>
      <c r="K39" s="1">
        <v>1.3805656561307899E-3</v>
      </c>
      <c r="L39" s="1">
        <v>1.5898030778514601E-2</v>
      </c>
      <c r="M39" s="1">
        <v>6.5635608378325994E-2</v>
      </c>
      <c r="N39" s="1">
        <v>8.0224582715456599E-2</v>
      </c>
      <c r="O39" s="1">
        <v>6.9552926943303894E-2</v>
      </c>
      <c r="P39" s="1">
        <v>7.2769382235177399E-2</v>
      </c>
      <c r="Q39" s="1">
        <v>6.8418995109462893E-2</v>
      </c>
      <c r="R39" s="1">
        <v>6.9614220555944004E-2</v>
      </c>
      <c r="S39" s="1">
        <v>6.6307649059772406E-2</v>
      </c>
      <c r="T39" s="1">
        <v>5.7961684560084201E-2</v>
      </c>
      <c r="U39" s="1">
        <v>5.4122259961169802E-2</v>
      </c>
      <c r="V39" s="1">
        <v>5.1844180691380998E-2</v>
      </c>
      <c r="W39" s="1">
        <v>4.8046165765291797E-2</v>
      </c>
      <c r="X39" s="1">
        <v>4.8340229168791098E-2</v>
      </c>
      <c r="Y39" s="1">
        <v>3.94637830454206E-2</v>
      </c>
      <c r="Z39" s="1">
        <v>3.8098905635382201E-2</v>
      </c>
      <c r="AA39" s="1">
        <v>3.2484520170432699E-2</v>
      </c>
      <c r="AB39" s="1">
        <v>2.63881771918076E-2</v>
      </c>
      <c r="AC39" s="1">
        <v>2.2716945184720901E-2</v>
      </c>
      <c r="AD39" s="1">
        <v>2.3044209295066901E-2</v>
      </c>
      <c r="AE39" s="1">
        <v>2.0157572014066101E-2</v>
      </c>
      <c r="AF39" s="1">
        <v>1.26481923583283E-2</v>
      </c>
      <c r="AG39" s="1">
        <v>7.6343383600784498E-3</v>
      </c>
      <c r="AH39" s="1">
        <v>3.7639021119115499E-3</v>
      </c>
      <c r="AI39" s="1">
        <v>2.0013459055775499E-3</v>
      </c>
      <c r="AJ39" s="1">
        <v>8.8291989636271595E-4</v>
      </c>
      <c r="AK39" s="1">
        <v>3.1723092970553001E-4</v>
      </c>
      <c r="AL39" s="1">
        <v>1.1766184569296499E-4</v>
      </c>
      <c r="AM39" s="5">
        <v>5.2354960796714799E-5</v>
      </c>
      <c r="AN39" s="5">
        <v>2.62686911314527E-5</v>
      </c>
      <c r="AO39" s="5">
        <v>1.6782774889539199E-5</v>
      </c>
      <c r="AP39" s="5">
        <v>9.8507591742947693E-6</v>
      </c>
      <c r="AQ39" s="5">
        <v>1.02156021066761E-5</v>
      </c>
      <c r="AR39" s="5">
        <v>8.5738089109602595E-6</v>
      </c>
      <c r="AS39" s="1">
        <v>0</v>
      </c>
      <c r="AT39" s="5">
        <v>6.2023298504818901E-6</v>
      </c>
    </row>
    <row r="40" spans="1:46" ht="15.75" customHeight="1" x14ac:dyDescent="0.25">
      <c r="A40" s="1">
        <v>2</v>
      </c>
      <c r="B40" s="1" t="s">
        <v>111</v>
      </c>
      <c r="C40" s="1">
        <v>2024</v>
      </c>
      <c r="D40" s="1">
        <v>1</v>
      </c>
      <c r="E40" s="1">
        <v>9</v>
      </c>
      <c r="F40" s="1">
        <v>0</v>
      </c>
      <c r="G40" s="1">
        <v>0</v>
      </c>
      <c r="H40" s="1">
        <v>0</v>
      </c>
      <c r="I40" s="1">
        <v>0</v>
      </c>
      <c r="J40" s="5">
        <v>2.6691255573962098E-5</v>
      </c>
      <c r="K40" s="1">
        <v>9.0157129938716403E-4</v>
      </c>
      <c r="L40" s="1">
        <v>1.10137676626706E-2</v>
      </c>
      <c r="M40" s="1">
        <v>4.6421118648644802E-2</v>
      </c>
      <c r="N40" s="1">
        <v>5.5907800494727398E-2</v>
      </c>
      <c r="O40" s="1">
        <v>5.4885129980236098E-2</v>
      </c>
      <c r="P40" s="1">
        <v>5.6784822429419998E-2</v>
      </c>
      <c r="Q40" s="1">
        <v>6.4192469655378795E-2</v>
      </c>
      <c r="R40" s="1">
        <v>6.7999351171824401E-2</v>
      </c>
      <c r="S40" s="1">
        <v>7.2366666674904698E-2</v>
      </c>
      <c r="T40" s="1">
        <v>6.7630204516803002E-2</v>
      </c>
      <c r="U40" s="1">
        <v>6.3369654036018505E-2</v>
      </c>
      <c r="V40" s="1">
        <v>5.6646093804770099E-2</v>
      </c>
      <c r="W40" s="1">
        <v>4.84003082016215E-2</v>
      </c>
      <c r="X40" s="1">
        <v>4.6370866593397501E-2</v>
      </c>
      <c r="Y40" s="1">
        <v>4.3288438476697097E-2</v>
      </c>
      <c r="Z40" s="1">
        <v>4.4602406150785701E-2</v>
      </c>
      <c r="AA40" s="1">
        <v>4.20673135341883E-2</v>
      </c>
      <c r="AB40" s="1">
        <v>3.6457454179805303E-2</v>
      </c>
      <c r="AC40" s="1">
        <v>3.32026038473138E-2</v>
      </c>
      <c r="AD40" s="1">
        <v>2.9755807139861399E-2</v>
      </c>
      <c r="AE40" s="1">
        <v>2.1966161913604901E-2</v>
      </c>
      <c r="AF40" s="1">
        <v>1.5857818647252601E-2</v>
      </c>
      <c r="AG40" s="1">
        <v>1.0143995204800599E-2</v>
      </c>
      <c r="AH40" s="1">
        <v>5.1663231815119899E-3</v>
      </c>
      <c r="AI40" s="1">
        <v>2.56038340505784E-3</v>
      </c>
      <c r="AJ40" s="1">
        <v>1.1645295950417499E-3</v>
      </c>
      <c r="AK40" s="1">
        <v>4.6264842994867602E-4</v>
      </c>
      <c r="AL40" s="1">
        <v>1.9771300425157099E-4</v>
      </c>
      <c r="AM40" s="5">
        <v>8.9712275679150295E-5</v>
      </c>
      <c r="AN40" s="5">
        <v>4.1190209219077302E-5</v>
      </c>
      <c r="AO40" s="5">
        <v>1.94417787514045E-5</v>
      </c>
      <c r="AP40" s="5">
        <v>9.8856502125785501E-6</v>
      </c>
      <c r="AQ40" s="5">
        <v>9.4737481203877798E-6</v>
      </c>
      <c r="AR40" s="5">
        <v>9.7208893757022399E-6</v>
      </c>
      <c r="AS40" s="1">
        <v>0</v>
      </c>
      <c r="AT40" s="5">
        <v>1.04623131416456E-5</v>
      </c>
    </row>
    <row r="41" spans="1:46" ht="15.75" customHeight="1" x14ac:dyDescent="0.25">
      <c r="A41" s="1">
        <v>2</v>
      </c>
      <c r="B41" s="1" t="s">
        <v>87</v>
      </c>
      <c r="C41" s="1">
        <v>1980</v>
      </c>
      <c r="D41" s="1">
        <v>1</v>
      </c>
      <c r="E41" s="1">
        <v>6</v>
      </c>
      <c r="F41" s="1">
        <v>0</v>
      </c>
      <c r="G41" s="1">
        <v>0</v>
      </c>
      <c r="H41" s="1">
        <v>0</v>
      </c>
      <c r="I41" s="1">
        <v>0</v>
      </c>
      <c r="J41" s="5">
        <v>1.0578383074187899E-5</v>
      </c>
      <c r="K41" s="1">
        <v>7.2122617431279201E-4</v>
      </c>
      <c r="L41" s="1">
        <v>8.8871391311854293E-3</v>
      </c>
      <c r="M41" s="1">
        <v>2.3785594138378201E-2</v>
      </c>
      <c r="N41" s="1">
        <v>3.2588405593170403E-2</v>
      </c>
      <c r="O41" s="1">
        <v>3.2186027852084298E-2</v>
      </c>
      <c r="P41" s="1">
        <v>2.9696315579114101E-2</v>
      </c>
      <c r="Q41" s="1">
        <v>2.9233062237317999E-2</v>
      </c>
      <c r="R41" s="1">
        <v>2.8016248795586202E-2</v>
      </c>
      <c r="S41" s="1">
        <v>2.97591871011588E-2</v>
      </c>
      <c r="T41" s="1">
        <v>2.7840308329927801E-2</v>
      </c>
      <c r="U41" s="1">
        <v>2.65186092220547E-2</v>
      </c>
      <c r="V41" s="1">
        <v>2.52374273172771E-2</v>
      </c>
      <c r="W41" s="1">
        <v>2.30289403603736E-2</v>
      </c>
      <c r="X41" s="1">
        <v>2.3283220738421002E-2</v>
      </c>
      <c r="Y41" s="1">
        <v>2.0387138881695299E-2</v>
      </c>
      <c r="Z41" s="1">
        <v>1.89852037361651E-2</v>
      </c>
      <c r="AA41" s="1">
        <v>1.7073909466006201E-2</v>
      </c>
      <c r="AB41" s="1">
        <v>1.8281441873531399E-2</v>
      </c>
      <c r="AC41" s="1">
        <v>1.5692133125957099E-2</v>
      </c>
      <c r="AD41" s="1">
        <v>1.7004850587823798E-2</v>
      </c>
      <c r="AE41" s="1">
        <v>1.5222093651622901E-2</v>
      </c>
      <c r="AF41" s="1">
        <v>1.4930589340682299E-2</v>
      </c>
      <c r="AG41" s="1">
        <v>1.27647153042757E-2</v>
      </c>
      <c r="AH41" s="1">
        <v>1.3273475652504099E-2</v>
      </c>
      <c r="AI41" s="1">
        <v>1.4259261199738299E-2</v>
      </c>
      <c r="AJ41" s="1">
        <v>1.49734018533128E-2</v>
      </c>
      <c r="AK41" s="1">
        <v>1.44464786209381E-2</v>
      </c>
      <c r="AL41" s="1">
        <v>1.5501323046354799E-2</v>
      </c>
      <c r="AM41" s="1">
        <v>1.5188961357466E-2</v>
      </c>
      <c r="AN41" s="1">
        <v>1.6016270750720901E-2</v>
      </c>
      <c r="AO41" s="1">
        <v>1.54418445905792E-2</v>
      </c>
      <c r="AP41" s="1">
        <v>1.419130007829E-2</v>
      </c>
      <c r="AQ41" s="1">
        <v>1.36125826872785E-2</v>
      </c>
      <c r="AR41" s="1">
        <v>1.3760380662116999E-2</v>
      </c>
      <c r="AS41" s="1">
        <v>1.33774631540447E-2</v>
      </c>
      <c r="AT41" s="1">
        <v>0.33482288942545901</v>
      </c>
    </row>
    <row r="42" spans="1:46" ht="15.75" customHeight="1" x14ac:dyDescent="0.25">
      <c r="A42" s="1">
        <v>2</v>
      </c>
      <c r="B42" s="1" t="s">
        <v>87</v>
      </c>
      <c r="C42" s="1">
        <v>1981</v>
      </c>
      <c r="D42" s="1">
        <v>1</v>
      </c>
      <c r="E42" s="1">
        <v>10</v>
      </c>
      <c r="F42" s="1">
        <v>0</v>
      </c>
      <c r="G42" s="1">
        <v>0</v>
      </c>
      <c r="H42" s="1">
        <v>0</v>
      </c>
      <c r="I42" s="1">
        <v>0</v>
      </c>
      <c r="J42" s="5">
        <v>1.0430366529941901E-5</v>
      </c>
      <c r="K42" s="1">
        <v>8.4403623893609199E-4</v>
      </c>
      <c r="L42" s="1">
        <v>9.5002797671338308E-3</v>
      </c>
      <c r="M42" s="1">
        <v>2.4981414047535299E-2</v>
      </c>
      <c r="N42" s="1">
        <v>3.12007945743429E-2</v>
      </c>
      <c r="O42" s="1">
        <v>3.3462262728032197E-2</v>
      </c>
      <c r="P42" s="1">
        <v>2.9304526490866501E-2</v>
      </c>
      <c r="Q42" s="1">
        <v>2.7966557500071699E-2</v>
      </c>
      <c r="R42" s="1">
        <v>2.75293055558034E-2</v>
      </c>
      <c r="S42" s="1">
        <v>2.5424841866722701E-2</v>
      </c>
      <c r="T42" s="1">
        <v>2.45569255780996E-2</v>
      </c>
      <c r="U42" s="1">
        <v>2.2875440700141102E-2</v>
      </c>
      <c r="V42" s="1">
        <v>2.45419662366291E-2</v>
      </c>
      <c r="W42" s="1">
        <v>2.0433362515486001E-2</v>
      </c>
      <c r="X42" s="1">
        <v>1.66910567978747E-2</v>
      </c>
      <c r="Y42" s="1">
        <v>1.43403815620215E-2</v>
      </c>
      <c r="Z42" s="1">
        <v>1.23756298877761E-2</v>
      </c>
      <c r="AA42" s="1">
        <v>1.45454206093338E-2</v>
      </c>
      <c r="AB42" s="1">
        <v>1.6162401904804499E-2</v>
      </c>
      <c r="AC42" s="1">
        <v>1.78820399655963E-2</v>
      </c>
      <c r="AD42" s="1">
        <v>1.9159485382184399E-2</v>
      </c>
      <c r="AE42" s="1">
        <v>1.6279606286601501E-2</v>
      </c>
      <c r="AF42" s="1">
        <v>1.41328721647416E-2</v>
      </c>
      <c r="AG42" s="1">
        <v>1.5420747947859701E-2</v>
      </c>
      <c r="AH42" s="1">
        <v>1.7354345764180101E-2</v>
      </c>
      <c r="AI42" s="1">
        <v>1.8207988919656901E-2</v>
      </c>
      <c r="AJ42" s="1">
        <v>1.7387421005413201E-2</v>
      </c>
      <c r="AK42" s="1">
        <v>1.6381439601933299E-2</v>
      </c>
      <c r="AL42" s="1">
        <v>1.4753753456602899E-2</v>
      </c>
      <c r="AM42" s="1">
        <v>1.5893682724993599E-2</v>
      </c>
      <c r="AN42" s="1">
        <v>1.7289155973368001E-2</v>
      </c>
      <c r="AO42" s="1">
        <v>1.56653125946539E-2</v>
      </c>
      <c r="AP42" s="1">
        <v>1.3374886449677501E-2</v>
      </c>
      <c r="AQ42" s="1">
        <v>1.4371123694951899E-2</v>
      </c>
      <c r="AR42" s="1">
        <v>1.5056783052630701E-2</v>
      </c>
      <c r="AS42" s="1">
        <v>1.3691228487197501E-2</v>
      </c>
      <c r="AT42" s="1">
        <v>0.35095109159961602</v>
      </c>
    </row>
    <row r="43" spans="1:46" ht="15.75" customHeight="1" x14ac:dyDescent="0.25">
      <c r="A43" s="1">
        <v>2</v>
      </c>
      <c r="B43" s="1" t="s">
        <v>87</v>
      </c>
      <c r="C43" s="1">
        <v>1984</v>
      </c>
      <c r="D43" s="1">
        <v>1</v>
      </c>
      <c r="E43" s="1">
        <v>9</v>
      </c>
      <c r="F43" s="1">
        <v>0</v>
      </c>
      <c r="G43" s="1">
        <v>0</v>
      </c>
      <c r="H43" s="1">
        <v>0</v>
      </c>
      <c r="I43" s="1">
        <v>0</v>
      </c>
      <c r="J43" s="5">
        <v>8.7508145881382698E-6</v>
      </c>
      <c r="K43" s="1">
        <v>8.4127149335965705E-4</v>
      </c>
      <c r="L43" s="1">
        <v>9.2846142780147103E-3</v>
      </c>
      <c r="M43" s="1">
        <v>2.9736859027691701E-2</v>
      </c>
      <c r="N43" s="1">
        <v>3.8470437162853303E-2</v>
      </c>
      <c r="O43" s="1">
        <v>3.9044344752925397E-2</v>
      </c>
      <c r="P43" s="1">
        <v>3.6623484932356898E-2</v>
      </c>
      <c r="Q43" s="1">
        <v>3.5035079496509997E-2</v>
      </c>
      <c r="R43" s="1">
        <v>3.15425100650941E-2</v>
      </c>
      <c r="S43" s="1">
        <v>2.99960024687904E-2</v>
      </c>
      <c r="T43" s="1">
        <v>2.61838294227578E-2</v>
      </c>
      <c r="U43" s="1">
        <v>2.3305010305410101E-2</v>
      </c>
      <c r="V43" s="1">
        <v>2.17716289309886E-2</v>
      </c>
      <c r="W43" s="1">
        <v>1.90978573100129E-2</v>
      </c>
      <c r="X43" s="1">
        <v>1.9827754799523499E-2</v>
      </c>
      <c r="Y43" s="1">
        <v>1.9366149329999201E-2</v>
      </c>
      <c r="Z43" s="1">
        <v>1.9979568173817699E-2</v>
      </c>
      <c r="AA43" s="1">
        <v>1.79781508070306E-2</v>
      </c>
      <c r="AB43" s="1">
        <v>1.6558994080604302E-2</v>
      </c>
      <c r="AC43" s="1">
        <v>1.69144627762224E-2</v>
      </c>
      <c r="AD43" s="1">
        <v>1.6181979818765301E-2</v>
      </c>
      <c r="AE43" s="1">
        <v>1.6101498842174398E-2</v>
      </c>
      <c r="AF43" s="1">
        <v>1.64795738088119E-2</v>
      </c>
      <c r="AG43" s="1">
        <v>1.6142866329318301E-2</v>
      </c>
      <c r="AH43" s="1">
        <v>1.6354476936631501E-2</v>
      </c>
      <c r="AI43" s="1">
        <v>1.5399511147675999E-2</v>
      </c>
      <c r="AJ43" s="1">
        <v>1.56018405880017E-2</v>
      </c>
      <c r="AK43" s="1">
        <v>1.5879944127374701E-2</v>
      </c>
      <c r="AL43" s="1">
        <v>1.5388837805640401E-2</v>
      </c>
      <c r="AM43" s="1">
        <v>1.55459547039275E-2</v>
      </c>
      <c r="AN43" s="1">
        <v>1.5000686143416601E-2</v>
      </c>
      <c r="AO43" s="1">
        <v>1.3982210654647101E-2</v>
      </c>
      <c r="AP43" s="1">
        <v>1.40713098577263E-2</v>
      </c>
      <c r="AQ43" s="1">
        <v>1.3504097966695199E-2</v>
      </c>
      <c r="AR43" s="1">
        <v>1.3487126689918199E-2</v>
      </c>
      <c r="AS43" s="1">
        <v>1.3007157768568801E-2</v>
      </c>
      <c r="AT43" s="1">
        <v>0.30630416638215502</v>
      </c>
    </row>
    <row r="44" spans="1:46" ht="15.75" customHeight="1" x14ac:dyDescent="0.25">
      <c r="A44" s="1">
        <v>2</v>
      </c>
      <c r="B44" s="1" t="s">
        <v>87</v>
      </c>
      <c r="C44" s="1">
        <v>1988</v>
      </c>
      <c r="D44" s="1">
        <v>1</v>
      </c>
      <c r="E44" s="1">
        <v>6</v>
      </c>
      <c r="F44" s="1">
        <v>0</v>
      </c>
      <c r="G44" s="1">
        <v>0</v>
      </c>
      <c r="H44" s="1">
        <v>0</v>
      </c>
      <c r="I44" s="1">
        <v>0</v>
      </c>
      <c r="J44" s="5">
        <v>1.0140160725498201E-5</v>
      </c>
      <c r="K44" s="1">
        <v>9.1327291729000103E-4</v>
      </c>
      <c r="L44" s="1">
        <v>1.02971356811449E-2</v>
      </c>
      <c r="M44" s="1">
        <v>3.4274796775376197E-2</v>
      </c>
      <c r="N44" s="1">
        <v>4.2005945031373899E-2</v>
      </c>
      <c r="O44" s="1">
        <v>3.82027263073169E-2</v>
      </c>
      <c r="P44" s="1">
        <v>3.1767674958596497E-2</v>
      </c>
      <c r="Q44" s="1">
        <v>3.10989511123098E-2</v>
      </c>
      <c r="R44" s="1">
        <v>3.0175538034294298E-2</v>
      </c>
      <c r="S44" s="1">
        <v>2.6578283094324001E-2</v>
      </c>
      <c r="T44" s="1">
        <v>2.7443489015967201E-2</v>
      </c>
      <c r="U44" s="1">
        <v>2.1346486921563101E-2</v>
      </c>
      <c r="V44" s="1">
        <v>2.3772619142937799E-2</v>
      </c>
      <c r="W44" s="1">
        <v>2.5831335151011998E-2</v>
      </c>
      <c r="X44" s="1">
        <v>2.7276505589994102E-2</v>
      </c>
      <c r="Y44" s="1">
        <v>2.94359647533281E-2</v>
      </c>
      <c r="Z44" s="1">
        <v>2.4889485417131998E-2</v>
      </c>
      <c r="AA44" s="1">
        <v>2.3700057733070899E-2</v>
      </c>
      <c r="AB44" s="1">
        <v>2.2991826767074501E-2</v>
      </c>
      <c r="AC44" s="1">
        <v>2.11086540609105E-2</v>
      </c>
      <c r="AD44" s="1">
        <v>2.1665441068019702E-2</v>
      </c>
      <c r="AE44" s="1">
        <v>2.0932715687803201E-2</v>
      </c>
      <c r="AF44" s="1">
        <v>1.8738226878326499E-2</v>
      </c>
      <c r="AG44" s="1">
        <v>1.6375174358088301E-2</v>
      </c>
      <c r="AH44" s="1">
        <v>1.68295062347503E-2</v>
      </c>
      <c r="AI44" s="1">
        <v>1.7034416495644699E-2</v>
      </c>
      <c r="AJ44" s="1">
        <v>1.6877441539998098E-2</v>
      </c>
      <c r="AK44" s="1">
        <v>1.48849658026372E-2</v>
      </c>
      <c r="AL44" s="1">
        <v>1.35555512244047E-2</v>
      </c>
      <c r="AM44" s="1">
        <v>1.35605554595679E-2</v>
      </c>
      <c r="AN44" s="1">
        <v>1.2525863994369999E-2</v>
      </c>
      <c r="AO44" s="1">
        <v>1.17146511363301E-2</v>
      </c>
      <c r="AP44" s="1">
        <v>1.02922631363807E-2</v>
      </c>
      <c r="AQ44" s="1">
        <v>1.10309145845537E-2</v>
      </c>
      <c r="AR44" s="1">
        <v>1.1216861427987499E-2</v>
      </c>
      <c r="AS44" s="1">
        <v>1.0536680516984901E-2</v>
      </c>
      <c r="AT44" s="1">
        <v>0.269107881828411</v>
      </c>
    </row>
    <row r="45" spans="1:46" ht="15.75" customHeight="1" x14ac:dyDescent="0.25">
      <c r="A45" s="1">
        <v>2</v>
      </c>
      <c r="B45" s="1" t="s">
        <v>87</v>
      </c>
      <c r="C45" s="1">
        <v>1990</v>
      </c>
      <c r="D45" s="1">
        <v>1</v>
      </c>
      <c r="E45" s="1">
        <v>6</v>
      </c>
      <c r="F45" s="1">
        <v>0</v>
      </c>
      <c r="G45" s="1">
        <v>0</v>
      </c>
      <c r="H45" s="1">
        <v>0</v>
      </c>
      <c r="I45" s="1">
        <v>0</v>
      </c>
      <c r="J45" s="5">
        <v>1.23703014392109E-5</v>
      </c>
      <c r="K45" s="1">
        <v>1.0264404884678599E-3</v>
      </c>
      <c r="L45" s="1">
        <v>1.3669183090328101E-2</v>
      </c>
      <c r="M45" s="1">
        <v>4.2651032176479399E-2</v>
      </c>
      <c r="N45" s="1">
        <v>5.0836048295423999E-2</v>
      </c>
      <c r="O45" s="1">
        <v>5.13449978403515E-2</v>
      </c>
      <c r="P45" s="1">
        <v>5.5966041755363398E-2</v>
      </c>
      <c r="Q45" s="1">
        <v>6.0064587700061997E-2</v>
      </c>
      <c r="R45" s="1">
        <v>6.22022936011523E-2</v>
      </c>
      <c r="S45" s="1">
        <v>5.3551034930344202E-2</v>
      </c>
      <c r="T45" s="1">
        <v>5.5240906466236403E-2</v>
      </c>
      <c r="U45" s="1">
        <v>4.9889131173351101E-2</v>
      </c>
      <c r="V45" s="1">
        <v>4.3789247174380201E-2</v>
      </c>
      <c r="W45" s="1">
        <v>4.3314610489397103E-2</v>
      </c>
      <c r="X45" s="1">
        <v>4.2473429991530802E-2</v>
      </c>
      <c r="Y45" s="1">
        <v>4.03952193497433E-2</v>
      </c>
      <c r="Z45" s="1">
        <v>3.5202343524154599E-2</v>
      </c>
      <c r="AA45" s="1">
        <v>3.0594258972555199E-2</v>
      </c>
      <c r="AB45" s="1">
        <v>2.8971245970632001E-2</v>
      </c>
      <c r="AC45" s="1">
        <v>2.3767767029523899E-2</v>
      </c>
      <c r="AD45" s="1">
        <v>2.2399081534571201E-2</v>
      </c>
      <c r="AE45" s="1">
        <v>1.8876490934262601E-2</v>
      </c>
      <c r="AF45" s="1">
        <v>1.5747540997608798E-2</v>
      </c>
      <c r="AG45" s="1">
        <v>1.4900911676489499E-2</v>
      </c>
      <c r="AH45" s="1">
        <v>1.4559402997471301E-2</v>
      </c>
      <c r="AI45" s="1">
        <v>1.21287860301597E-2</v>
      </c>
      <c r="AJ45" s="1">
        <v>1.11558029157684E-2</v>
      </c>
      <c r="AK45" s="1">
        <v>9.1820035087476406E-3</v>
      </c>
      <c r="AL45" s="1">
        <v>7.2613669448168203E-3</v>
      </c>
      <c r="AM45" s="1">
        <v>7.6689978303374796E-3</v>
      </c>
      <c r="AN45" s="1">
        <v>6.0190352431360597E-3</v>
      </c>
      <c r="AO45" s="1">
        <v>6.5938124635793998E-3</v>
      </c>
      <c r="AP45" s="1">
        <v>4.8759604839556398E-3</v>
      </c>
      <c r="AQ45" s="1">
        <v>3.4536703494330301E-3</v>
      </c>
      <c r="AR45" s="1">
        <v>2.4091162052863298E-3</v>
      </c>
      <c r="AS45" s="1">
        <v>2.0603915170952398E-3</v>
      </c>
      <c r="AT45" s="1">
        <v>5.5745438046364101E-2</v>
      </c>
    </row>
    <row r="46" spans="1:46" ht="15.75" customHeight="1" x14ac:dyDescent="0.25">
      <c r="A46" s="1">
        <v>2</v>
      </c>
      <c r="B46" s="1" t="s">
        <v>87</v>
      </c>
      <c r="C46" s="1">
        <v>1992</v>
      </c>
      <c r="D46" s="1">
        <v>1</v>
      </c>
      <c r="E46" s="1">
        <v>6</v>
      </c>
      <c r="F46" s="1">
        <v>0</v>
      </c>
      <c r="G46" s="1">
        <v>0</v>
      </c>
      <c r="H46" s="1">
        <v>0</v>
      </c>
      <c r="I46" s="1">
        <v>0</v>
      </c>
      <c r="J46" s="5">
        <v>1.18439679544943E-5</v>
      </c>
      <c r="K46" s="1">
        <v>1.17371780794948E-3</v>
      </c>
      <c r="L46" s="1">
        <v>1.39716105913033E-2</v>
      </c>
      <c r="M46" s="1">
        <v>4.09693530533458E-2</v>
      </c>
      <c r="N46" s="1">
        <v>5.0788876222962499E-2</v>
      </c>
      <c r="O46" s="1">
        <v>5.1086140402279399E-2</v>
      </c>
      <c r="P46" s="1">
        <v>4.7657020434339697E-2</v>
      </c>
      <c r="Q46" s="1">
        <v>4.4188096967536498E-2</v>
      </c>
      <c r="R46" s="1">
        <v>4.0251239684826197E-2</v>
      </c>
      <c r="S46" s="1">
        <v>3.61547800798439E-2</v>
      </c>
      <c r="T46" s="1">
        <v>3.8024767872790403E-2</v>
      </c>
      <c r="U46" s="1">
        <v>3.4306344425306397E-2</v>
      </c>
      <c r="V46" s="1">
        <v>3.20122066652027E-2</v>
      </c>
      <c r="W46" s="1">
        <v>3.1409038034864403E-2</v>
      </c>
      <c r="X46" s="1">
        <v>3.11577905835018E-2</v>
      </c>
      <c r="Y46" s="1">
        <v>3.1449618187364199E-2</v>
      </c>
      <c r="Z46" s="1">
        <v>2.7454706045336001E-2</v>
      </c>
      <c r="AA46" s="1">
        <v>2.5136006613982399E-2</v>
      </c>
      <c r="AB46" s="1">
        <v>2.4738554115575E-2</v>
      </c>
      <c r="AC46" s="1">
        <v>2.4849615585574501E-2</v>
      </c>
      <c r="AD46" s="1">
        <v>2.3750456526715601E-2</v>
      </c>
      <c r="AE46" s="1">
        <v>2.03565772175257E-2</v>
      </c>
      <c r="AF46" s="1">
        <v>1.82279637636713E-2</v>
      </c>
      <c r="AG46" s="1">
        <v>1.6963086235153999E-2</v>
      </c>
      <c r="AH46" s="1">
        <v>1.4692345165845701E-2</v>
      </c>
      <c r="AI46" s="1">
        <v>1.42519825540294E-2</v>
      </c>
      <c r="AJ46" s="1">
        <v>1.24594659613098E-2</v>
      </c>
      <c r="AK46" s="1">
        <v>1.21064768835841E-2</v>
      </c>
      <c r="AL46" s="1">
        <v>1.2344424141424001E-2</v>
      </c>
      <c r="AM46" s="1">
        <v>1.11995395997244E-2</v>
      </c>
      <c r="AN46" s="1">
        <v>1.02712443408647E-2</v>
      </c>
      <c r="AO46" s="1">
        <v>8.7549251975758292E-3</v>
      </c>
      <c r="AP46" s="1">
        <v>8.0440929568970903E-3</v>
      </c>
      <c r="AQ46" s="1">
        <v>7.7477995946256401E-3</v>
      </c>
      <c r="AR46" s="1">
        <v>8.0383651363289295E-3</v>
      </c>
      <c r="AS46" s="1">
        <v>7.8395418054207008E-3</v>
      </c>
      <c r="AT46" s="1">
        <v>0.16616038557746399</v>
      </c>
    </row>
    <row r="47" spans="1:46" ht="15.75" customHeight="1" x14ac:dyDescent="0.25">
      <c r="A47" s="1">
        <v>2</v>
      </c>
      <c r="B47" s="1" t="s">
        <v>87</v>
      </c>
      <c r="C47" s="1">
        <v>1993</v>
      </c>
      <c r="D47" s="1">
        <v>1</v>
      </c>
      <c r="E47" s="1">
        <v>6</v>
      </c>
      <c r="F47" s="1">
        <v>0</v>
      </c>
      <c r="G47" s="1">
        <v>0</v>
      </c>
      <c r="H47" s="1">
        <v>0</v>
      </c>
      <c r="I47" s="1">
        <v>0</v>
      </c>
      <c r="J47" s="5">
        <v>8.1516374112551597E-6</v>
      </c>
      <c r="K47" s="1">
        <v>9.6849604083122599E-4</v>
      </c>
      <c r="L47" s="1">
        <v>1.0194030164645099E-2</v>
      </c>
      <c r="M47" s="1">
        <v>2.9885859142640098E-2</v>
      </c>
      <c r="N47" s="1">
        <v>4.3302802190573197E-2</v>
      </c>
      <c r="O47" s="1">
        <v>4.5914097718894702E-2</v>
      </c>
      <c r="P47" s="1">
        <v>4.2555949170953997E-2</v>
      </c>
      <c r="Q47" s="1">
        <v>4.2167849713804197E-2</v>
      </c>
      <c r="R47" s="1">
        <v>4.2857233689674E-2</v>
      </c>
      <c r="S47" s="1">
        <v>4.1803716070643399E-2</v>
      </c>
      <c r="T47" s="1">
        <v>3.8642185017062201E-2</v>
      </c>
      <c r="U47" s="1">
        <v>3.6646908727909301E-2</v>
      </c>
      <c r="V47" s="1">
        <v>3.3233410561946203E-2</v>
      </c>
      <c r="W47" s="1">
        <v>3.3535021146162601E-2</v>
      </c>
      <c r="X47" s="1">
        <v>3.0789712698800101E-2</v>
      </c>
      <c r="Y47" s="1">
        <v>2.9013307874139398E-2</v>
      </c>
      <c r="Z47" s="1">
        <v>2.9056837617915499E-2</v>
      </c>
      <c r="AA47" s="1">
        <v>2.6622758686914699E-2</v>
      </c>
      <c r="AB47" s="1">
        <v>2.5596141471341202E-2</v>
      </c>
      <c r="AC47" s="1">
        <v>2.4467954853623498E-2</v>
      </c>
      <c r="AD47" s="1">
        <v>2.40342877433447E-2</v>
      </c>
      <c r="AE47" s="1">
        <v>2.2217776862620602E-2</v>
      </c>
      <c r="AF47" s="1">
        <v>2.06885296842691E-2</v>
      </c>
      <c r="AG47" s="1">
        <v>1.8261950259686702E-2</v>
      </c>
      <c r="AH47" s="1">
        <v>1.6731235786601201E-2</v>
      </c>
      <c r="AI47" s="1">
        <v>1.5455178466243299E-2</v>
      </c>
      <c r="AJ47" s="1">
        <v>1.54277074481674E-2</v>
      </c>
      <c r="AK47" s="1">
        <v>1.3393140266692199E-2</v>
      </c>
      <c r="AL47" s="1">
        <v>1.22621820922547E-2</v>
      </c>
      <c r="AM47" s="1">
        <v>1.0583841465651399E-2</v>
      </c>
      <c r="AN47" s="1">
        <v>9.6034440341996995E-3</v>
      </c>
      <c r="AO47" s="1">
        <v>8.1516374112551599E-3</v>
      </c>
      <c r="AP47" s="1">
        <v>8.3077412676806992E-3</v>
      </c>
      <c r="AQ47" s="1">
        <v>8.4975929029888295E-3</v>
      </c>
      <c r="AR47" s="1">
        <v>7.9067622234210606E-3</v>
      </c>
      <c r="AS47" s="1">
        <v>7.4450534804475603E-3</v>
      </c>
      <c r="AT47" s="1">
        <v>0.17376951440859001</v>
      </c>
    </row>
    <row r="48" spans="1:46" ht="15.75" customHeight="1" x14ac:dyDescent="0.25">
      <c r="A48" s="1">
        <v>2</v>
      </c>
      <c r="B48" s="1" t="s">
        <v>87</v>
      </c>
      <c r="C48" s="1">
        <v>1994</v>
      </c>
      <c r="D48" s="1">
        <v>1</v>
      </c>
      <c r="E48" s="1">
        <v>12</v>
      </c>
      <c r="F48" s="1">
        <v>0</v>
      </c>
      <c r="G48" s="1">
        <v>0</v>
      </c>
      <c r="H48" s="1">
        <v>0</v>
      </c>
      <c r="I48" s="1">
        <v>0</v>
      </c>
      <c r="J48" s="5">
        <v>1.08821299145787E-5</v>
      </c>
      <c r="K48" s="1">
        <v>1.1135202703289799E-3</v>
      </c>
      <c r="L48" s="1">
        <v>1.2337298449667701E-2</v>
      </c>
      <c r="M48" s="1">
        <v>3.6916065119677703E-2</v>
      </c>
      <c r="N48" s="1">
        <v>5.06523499453405E-2</v>
      </c>
      <c r="O48" s="1">
        <v>5.2023667029769897E-2</v>
      </c>
      <c r="P48" s="1">
        <v>5.3508360723541898E-2</v>
      </c>
      <c r="Q48" s="1">
        <v>4.96630040566724E-2</v>
      </c>
      <c r="R48" s="1">
        <v>4.9580502327552602E-2</v>
      </c>
      <c r="S48" s="1">
        <v>4.4392341443781999E-2</v>
      </c>
      <c r="T48" s="1">
        <v>4.4944630626345898E-2</v>
      </c>
      <c r="U48" s="1">
        <v>3.9915652526674499E-2</v>
      </c>
      <c r="V48" s="1">
        <v>3.7539720828658203E-2</v>
      </c>
      <c r="W48" s="1">
        <v>3.2943497197682803E-2</v>
      </c>
      <c r="X48" s="1">
        <v>3.3016382160831602E-2</v>
      </c>
      <c r="Y48" s="1">
        <v>2.97133604801702E-2</v>
      </c>
      <c r="Z48" s="1">
        <v>2.9121591942567301E-2</v>
      </c>
      <c r="AA48" s="1">
        <v>2.6744732310992399E-2</v>
      </c>
      <c r="AB48" s="1">
        <v>2.3077707602568099E-2</v>
      </c>
      <c r="AC48" s="1">
        <v>2.0620370824182999E-2</v>
      </c>
      <c r="AD48" s="1">
        <v>1.8522734836152702E-2</v>
      </c>
      <c r="AE48" s="1">
        <v>1.7963106542716101E-2</v>
      </c>
      <c r="AF48" s="1">
        <v>1.51624343476463E-2</v>
      </c>
      <c r="AG48" s="1">
        <v>1.54759071752631E-2</v>
      </c>
      <c r="AH48" s="1">
        <v>1.34441544698939E-2</v>
      </c>
      <c r="AI48" s="1">
        <v>1.2915147983891401E-2</v>
      </c>
      <c r="AJ48" s="1">
        <v>1.3223053210156601E-2</v>
      </c>
      <c r="AK48" s="1">
        <v>1.24256208529278E-2</v>
      </c>
      <c r="AL48" s="1">
        <v>1.08348896606859E-2</v>
      </c>
      <c r="AM48" s="1">
        <v>1.07682471596586E-2</v>
      </c>
      <c r="AN48" s="1">
        <v>1.0028515398255999E-2</v>
      </c>
      <c r="AO48" s="1">
        <v>9.9342879632592293E-3</v>
      </c>
      <c r="AP48" s="1">
        <v>9.1102829632157892E-3</v>
      </c>
      <c r="AQ48" s="1">
        <v>8.2103561265589996E-3</v>
      </c>
      <c r="AR48" s="1">
        <v>7.1923286551703602E-3</v>
      </c>
      <c r="AS48" s="1">
        <v>6.9240714991365597E-3</v>
      </c>
      <c r="AT48" s="1">
        <v>0.14002922315848801</v>
      </c>
    </row>
    <row r="49" spans="1:46" ht="15.75" customHeight="1" x14ac:dyDescent="0.25">
      <c r="A49" s="1">
        <v>2</v>
      </c>
      <c r="B49" s="1" t="s">
        <v>87</v>
      </c>
      <c r="C49" s="1">
        <v>1995</v>
      </c>
      <c r="D49" s="1">
        <v>1</v>
      </c>
      <c r="E49" s="1">
        <v>15</v>
      </c>
      <c r="F49" s="1">
        <v>0</v>
      </c>
      <c r="G49" s="1">
        <v>0</v>
      </c>
      <c r="H49" s="1">
        <v>0</v>
      </c>
      <c r="I49" s="1">
        <v>0</v>
      </c>
      <c r="J49" s="5">
        <v>7.1464368091746403E-6</v>
      </c>
      <c r="K49" s="1">
        <v>8.2131365350072299E-4</v>
      </c>
      <c r="L49" s="1">
        <v>9.6698060336688901E-3</v>
      </c>
      <c r="M49" s="1">
        <v>2.9805982515452498E-2</v>
      </c>
      <c r="N49" s="1">
        <v>4.3302893524560897E-2</v>
      </c>
      <c r="O49" s="1">
        <v>4.3044719091623197E-2</v>
      </c>
      <c r="P49" s="1">
        <v>4.4499658400320503E-2</v>
      </c>
      <c r="Q49" s="1">
        <v>4.3172226569428998E-2</v>
      </c>
      <c r="R49" s="1">
        <v>3.8799509950021599E-2</v>
      </c>
      <c r="S49" s="1">
        <v>3.8898582131891901E-2</v>
      </c>
      <c r="T49" s="1">
        <v>3.77644802231012E-2</v>
      </c>
      <c r="U49" s="1">
        <v>3.6184139754815499E-2</v>
      </c>
      <c r="V49" s="1">
        <v>3.2358238389785902E-2</v>
      </c>
      <c r="W49" s="1">
        <v>2.8543620872349702E-2</v>
      </c>
      <c r="X49" s="1">
        <v>2.79933452380433E-2</v>
      </c>
      <c r="Y49" s="1">
        <v>2.7812427548295202E-2</v>
      </c>
      <c r="Z49" s="1">
        <v>2.7367843953114E-2</v>
      </c>
      <c r="AA49" s="1">
        <v>2.6741816088630299E-2</v>
      </c>
      <c r="AB49" s="1">
        <v>2.57533510394455E-2</v>
      </c>
      <c r="AC49" s="1">
        <v>2.57046048178418E-2</v>
      </c>
      <c r="AD49" s="1">
        <v>2.3415638720688501E-2</v>
      </c>
      <c r="AE49" s="1">
        <v>2.2799991995990799E-2</v>
      </c>
      <c r="AF49" s="1">
        <v>2.20146362034878E-2</v>
      </c>
      <c r="AG49" s="1">
        <v>2.0573764091456899E-2</v>
      </c>
      <c r="AH49" s="1">
        <v>2.01698775732626E-2</v>
      </c>
      <c r="AI49" s="1">
        <v>1.76765233833669E-2</v>
      </c>
      <c r="AJ49" s="1">
        <v>1.6262958182512201E-2</v>
      </c>
      <c r="AK49" s="1">
        <v>1.54552603717742E-2</v>
      </c>
      <c r="AL49" s="1">
        <v>1.3649543854222301E-2</v>
      </c>
      <c r="AM49" s="1">
        <v>1.20270770215878E-2</v>
      </c>
      <c r="AN49" s="1">
        <v>1.15949056587593E-2</v>
      </c>
      <c r="AO49" s="1">
        <v>1.05007485704493E-2</v>
      </c>
      <c r="AP49" s="1">
        <v>1.01956333315229E-2</v>
      </c>
      <c r="AQ49" s="1">
        <v>1.01569673471027E-2</v>
      </c>
      <c r="AR49" s="1">
        <v>9.47196257253069E-3</v>
      </c>
      <c r="AS49" s="1">
        <v>8.4965867865542909E-3</v>
      </c>
      <c r="AT49" s="1">
        <v>0.16729221810202999</v>
      </c>
    </row>
    <row r="50" spans="1:46" ht="15.75" customHeight="1" x14ac:dyDescent="0.25">
      <c r="A50" s="1">
        <v>2</v>
      </c>
      <c r="B50" s="1" t="s">
        <v>87</v>
      </c>
      <c r="C50" s="1">
        <v>1996</v>
      </c>
      <c r="D50" s="1">
        <v>1</v>
      </c>
      <c r="E50" s="1">
        <v>6</v>
      </c>
      <c r="F50" s="1">
        <v>0</v>
      </c>
      <c r="G50" s="1">
        <v>0</v>
      </c>
      <c r="H50" s="1">
        <v>0</v>
      </c>
      <c r="I50" s="1">
        <v>0</v>
      </c>
      <c r="J50" s="5">
        <v>1.4930337953260701E-5</v>
      </c>
      <c r="K50" s="1">
        <v>1.6963647537234399E-3</v>
      </c>
      <c r="L50" s="1">
        <v>2.0038158401016502E-2</v>
      </c>
      <c r="M50" s="1">
        <v>5.50033650198124E-2</v>
      </c>
      <c r="N50" s="1">
        <v>7.0773597747087899E-2</v>
      </c>
      <c r="O50" s="1">
        <v>7.7231475025024102E-2</v>
      </c>
      <c r="P50" s="1">
        <v>7.3747518622117106E-2</v>
      </c>
      <c r="Q50" s="1">
        <v>7.0068708656091203E-2</v>
      </c>
      <c r="R50" s="1">
        <v>6.3747228872338094E-2</v>
      </c>
      <c r="S50" s="1">
        <v>5.5829721267039098E-2</v>
      </c>
      <c r="T50" s="1">
        <v>5.22941413227343E-2</v>
      </c>
      <c r="U50" s="1">
        <v>4.4234289393728303E-2</v>
      </c>
      <c r="V50" s="1">
        <v>3.7491596940090501E-2</v>
      </c>
      <c r="W50" s="1">
        <v>3.0471174894864499E-2</v>
      </c>
      <c r="X50" s="1">
        <v>3.0592642051094399E-2</v>
      </c>
      <c r="Y50" s="1">
        <v>2.8554903977049802E-2</v>
      </c>
      <c r="Z50" s="1">
        <v>3.00669170155368E-2</v>
      </c>
      <c r="AA50" s="1">
        <v>2.9334318229525098E-2</v>
      </c>
      <c r="AB50" s="1">
        <v>2.6954321137145101E-2</v>
      </c>
      <c r="AC50" s="1">
        <v>2.3272094907350299E-2</v>
      </c>
      <c r="AD50" s="1">
        <v>2.0731153832965699E-2</v>
      </c>
      <c r="AE50" s="1">
        <v>1.7445973370097401E-2</v>
      </c>
      <c r="AF50" s="1">
        <v>1.4960072100879501E-2</v>
      </c>
      <c r="AG50" s="1">
        <v>1.22822274191608E-2</v>
      </c>
      <c r="AH50" s="1">
        <v>1.22874150789581E-2</v>
      </c>
      <c r="AI50" s="1">
        <v>1.20495418980078E-2</v>
      </c>
      <c r="AJ50" s="1">
        <v>1.00248362376004E-2</v>
      </c>
      <c r="AK50" s="1">
        <v>7.7130378923120297E-3</v>
      </c>
      <c r="AL50" s="1">
        <v>6.2718806949591498E-3</v>
      </c>
      <c r="AM50" s="1">
        <v>4.8483109296020696E-3</v>
      </c>
      <c r="AN50" s="1">
        <v>4.2513504680471203E-3</v>
      </c>
      <c r="AO50" s="1">
        <v>2.7223826390030299E-3</v>
      </c>
      <c r="AP50" s="1">
        <v>1.3832072415681899E-3</v>
      </c>
      <c r="AQ50" s="1">
        <v>1.50214383204331E-3</v>
      </c>
      <c r="AR50" s="1">
        <v>1.2994455150846401E-3</v>
      </c>
      <c r="AS50" s="1">
        <v>1.8650269612801901E-3</v>
      </c>
      <c r="AT50" s="1">
        <v>4.6944525317108403E-2</v>
      </c>
    </row>
    <row r="51" spans="1:46" ht="15.75" customHeight="1" x14ac:dyDescent="0.25">
      <c r="A51" s="1">
        <v>2</v>
      </c>
      <c r="B51" s="1" t="s">
        <v>87</v>
      </c>
      <c r="C51" s="1">
        <v>1997</v>
      </c>
      <c r="D51" s="1">
        <v>1</v>
      </c>
      <c r="E51" s="1">
        <v>2</v>
      </c>
      <c r="F51" s="1">
        <v>0</v>
      </c>
      <c r="G51" s="1">
        <v>0</v>
      </c>
      <c r="H51" s="1">
        <v>0</v>
      </c>
      <c r="I51" s="1">
        <v>0</v>
      </c>
      <c r="J51" s="5">
        <v>1.03541497762279E-5</v>
      </c>
      <c r="K51" s="1">
        <v>1.3149770215809401E-3</v>
      </c>
      <c r="L51" s="1">
        <v>1.5043688945308499E-2</v>
      </c>
      <c r="M51" s="1">
        <v>4.2482965196919201E-2</v>
      </c>
      <c r="N51" s="1">
        <v>5.7166930938711703E-2</v>
      </c>
      <c r="O51" s="1">
        <v>6.3185698002183502E-2</v>
      </c>
      <c r="P51" s="1">
        <v>6.5016378483586906E-2</v>
      </c>
      <c r="Q51" s="1">
        <v>6.2765074584392205E-2</v>
      </c>
      <c r="R51" s="1">
        <v>5.64544986331409E-2</v>
      </c>
      <c r="S51" s="1">
        <v>4.8622642009390898E-2</v>
      </c>
      <c r="T51" s="1">
        <v>4.62155805237775E-2</v>
      </c>
      <c r="U51" s="1">
        <v>4.0272632557054197E-2</v>
      </c>
      <c r="V51" s="1">
        <v>3.9212946561676301E-2</v>
      </c>
      <c r="W51" s="1">
        <v>3.8430150571604697E-2</v>
      </c>
      <c r="X51" s="1">
        <v>3.1972055819778099E-2</v>
      </c>
      <c r="Y51" s="1">
        <v>2.7952196337837399E-2</v>
      </c>
      <c r="Z51" s="1">
        <v>2.8823837613085702E-2</v>
      </c>
      <c r="AA51" s="1">
        <v>2.4692754522258401E-2</v>
      </c>
      <c r="AB51" s="1">
        <v>2.3246736271789099E-2</v>
      </c>
      <c r="AC51" s="1">
        <v>2.3294498962692301E-2</v>
      </c>
      <c r="AD51" s="1">
        <v>2.1025158802597099E-2</v>
      </c>
      <c r="AE51" s="1">
        <v>2.17103140469295E-2</v>
      </c>
      <c r="AF51" s="1">
        <v>1.85517416904608E-2</v>
      </c>
      <c r="AG51" s="1">
        <v>1.5539018110410001E-2</v>
      </c>
      <c r="AH51" s="1">
        <v>1.43742319280563E-2</v>
      </c>
      <c r="AI51" s="1">
        <v>1.28079719382501E-2</v>
      </c>
      <c r="AJ51" s="1">
        <v>1.15304034577962E-2</v>
      </c>
      <c r="AK51" s="1">
        <v>1.00762577564272E-2</v>
      </c>
      <c r="AL51" s="1">
        <v>1.04654847200583E-2</v>
      </c>
      <c r="AM51" s="1">
        <v>9.52648580379265E-3</v>
      </c>
      <c r="AN51" s="1">
        <v>9.5672343932345794E-3</v>
      </c>
      <c r="AO51" s="1">
        <v>7.9660152310656596E-3</v>
      </c>
      <c r="AP51" s="1">
        <v>6.53246649430533E-3</v>
      </c>
      <c r="AQ51" s="1">
        <v>5.9920466769525296E-3</v>
      </c>
      <c r="AR51" s="1">
        <v>4.8991828683132496E-3</v>
      </c>
      <c r="AS51" s="1">
        <v>4.8029894768437803E-3</v>
      </c>
      <c r="AT51" s="1">
        <v>7.8456398897962201E-2</v>
      </c>
    </row>
    <row r="52" spans="1:46" ht="15.75" customHeight="1" x14ac:dyDescent="0.25">
      <c r="A52" s="1">
        <v>2</v>
      </c>
      <c r="B52" s="1" t="s">
        <v>87</v>
      </c>
      <c r="C52" s="1">
        <v>1998</v>
      </c>
      <c r="D52" s="1">
        <v>1</v>
      </c>
      <c r="E52" s="1">
        <v>2</v>
      </c>
      <c r="F52" s="1">
        <v>0</v>
      </c>
      <c r="G52" s="1">
        <v>0</v>
      </c>
      <c r="H52" s="1">
        <v>0</v>
      </c>
      <c r="I52" s="1">
        <v>0</v>
      </c>
      <c r="J52" s="5">
        <v>1.5853123252012101E-5</v>
      </c>
      <c r="K52" s="1">
        <v>1.11276730518931E-3</v>
      </c>
      <c r="L52" s="1">
        <v>1.32506958797047E-2</v>
      </c>
      <c r="M52" s="1">
        <v>3.6961861729821202E-2</v>
      </c>
      <c r="N52" s="1">
        <v>4.8980053493620598E-2</v>
      </c>
      <c r="O52" s="1">
        <v>5.2529933631051899E-2</v>
      </c>
      <c r="P52" s="1">
        <v>5.3440802265594299E-2</v>
      </c>
      <c r="Q52" s="1">
        <v>4.8758033551153698E-2</v>
      </c>
      <c r="R52" s="1">
        <v>4.5593963557480501E-2</v>
      </c>
      <c r="S52" s="1">
        <v>4.39166573872544E-2</v>
      </c>
      <c r="T52" s="1">
        <v>4.3831599283652198E-2</v>
      </c>
      <c r="U52" s="1">
        <v>4.2758007484960697E-2</v>
      </c>
      <c r="V52" s="1">
        <v>3.8207246508368702E-2</v>
      </c>
      <c r="W52" s="1">
        <v>3.4623449833210702E-2</v>
      </c>
      <c r="X52" s="1">
        <v>3.2468873192772502E-2</v>
      </c>
      <c r="Y52" s="1">
        <v>3.2110348713073202E-2</v>
      </c>
      <c r="Z52" s="1">
        <v>3.0016364538910802E-2</v>
      </c>
      <c r="AA52" s="1">
        <v>2.6072214177524401E-2</v>
      </c>
      <c r="AB52" s="1">
        <v>2.5226434808641798E-2</v>
      </c>
      <c r="AC52" s="1">
        <v>2.3223453659301001E-2</v>
      </c>
      <c r="AD52" s="1">
        <v>2.0404341530236399E-2</v>
      </c>
      <c r="AE52" s="1">
        <v>1.7822187863626299E-2</v>
      </c>
      <c r="AF52" s="1">
        <v>1.6817038875897701E-2</v>
      </c>
      <c r="AG52" s="1">
        <v>1.6271249377784E-2</v>
      </c>
      <c r="AH52" s="1">
        <v>1.47476727729392E-2</v>
      </c>
      <c r="AI52" s="1">
        <v>1.33760727438853E-2</v>
      </c>
      <c r="AJ52" s="1">
        <v>1.32841551157991E-2</v>
      </c>
      <c r="AK52" s="1">
        <v>1.2511696441957E-2</v>
      </c>
      <c r="AL52" s="1">
        <v>1.2043419570512999E-2</v>
      </c>
      <c r="AM52" s="1">
        <v>1.1022493676471099E-2</v>
      </c>
      <c r="AN52" s="1">
        <v>1.1032401878503699E-2</v>
      </c>
      <c r="AO52" s="1">
        <v>1.03007192668723E-2</v>
      </c>
      <c r="AP52" s="1">
        <v>9.4224714820985902E-3</v>
      </c>
      <c r="AQ52" s="1">
        <v>9.0228660724336798E-3</v>
      </c>
      <c r="AR52" s="1">
        <v>8.1343290009338893E-3</v>
      </c>
      <c r="AS52" s="1">
        <v>7.0692734993780303E-3</v>
      </c>
      <c r="AT52" s="1">
        <v>0.12361899670613299</v>
      </c>
    </row>
    <row r="53" spans="1:46" ht="15.75" customHeight="1" x14ac:dyDescent="0.25">
      <c r="A53" s="1">
        <v>2</v>
      </c>
      <c r="B53" s="1" t="s">
        <v>87</v>
      </c>
      <c r="C53" s="1">
        <v>1999</v>
      </c>
      <c r="D53" s="1">
        <v>1</v>
      </c>
      <c r="E53" s="1">
        <v>7</v>
      </c>
      <c r="F53" s="1">
        <v>0</v>
      </c>
      <c r="G53" s="1">
        <v>0</v>
      </c>
      <c r="H53" s="1">
        <v>0</v>
      </c>
      <c r="I53" s="1">
        <v>0</v>
      </c>
      <c r="J53" s="5">
        <v>2.1583829187136101E-5</v>
      </c>
      <c r="K53" s="1">
        <v>1.6419312950310501E-3</v>
      </c>
      <c r="L53" s="1">
        <v>1.60950354202339E-2</v>
      </c>
      <c r="M53" s="1">
        <v>3.68992462952853E-2</v>
      </c>
      <c r="N53" s="1">
        <v>4.2122272912437399E-2</v>
      </c>
      <c r="O53" s="1">
        <v>4.9445172067976599E-2</v>
      </c>
      <c r="P53" s="1">
        <v>5.5037464196523098E-2</v>
      </c>
      <c r="Q53" s="1">
        <v>5.2435702618001498E-2</v>
      </c>
      <c r="R53" s="1">
        <v>4.47168832222525E-2</v>
      </c>
      <c r="S53" s="1">
        <v>4.3093805271993302E-2</v>
      </c>
      <c r="T53" s="1">
        <v>4.1706199096781797E-2</v>
      </c>
      <c r="U53" s="1">
        <v>3.6245230266301498E-2</v>
      </c>
      <c r="V53" s="1">
        <v>3.4207508754128098E-2</v>
      </c>
      <c r="W53" s="1">
        <v>2.6715579610978799E-2</v>
      </c>
      <c r="X53" s="1">
        <v>2.12533105498246E-2</v>
      </c>
      <c r="Y53" s="1">
        <v>2.3316776629341798E-2</v>
      </c>
      <c r="Z53" s="1">
        <v>2.2571614430115999E-2</v>
      </c>
      <c r="AA53" s="1">
        <v>2.2637666148351401E-2</v>
      </c>
      <c r="AB53" s="1">
        <v>2.07203459965833E-2</v>
      </c>
      <c r="AC53" s="1">
        <v>2.1259811703194301E-2</v>
      </c>
      <c r="AD53" s="1">
        <v>2.0158776368515499E-2</v>
      </c>
      <c r="AE53" s="1">
        <v>1.7195030570373498E-2</v>
      </c>
      <c r="AF53" s="1">
        <v>1.6651924217875501E-2</v>
      </c>
      <c r="AG53" s="1">
        <v>1.7069948379542E-2</v>
      </c>
      <c r="AH53" s="1">
        <v>1.63543014166143E-2</v>
      </c>
      <c r="AI53" s="1">
        <v>1.53780882266323E-2</v>
      </c>
      <c r="AJ53" s="1">
        <v>1.58222470248447E-2</v>
      </c>
      <c r="AK53" s="1">
        <v>1.56110895633994E-2</v>
      </c>
      <c r="AL53" s="1">
        <v>1.3679726920352899E-2</v>
      </c>
      <c r="AM53" s="1">
        <v>1.38739813830372E-2</v>
      </c>
      <c r="AN53" s="1">
        <v>1.38958252583591E-2</v>
      </c>
      <c r="AO53" s="1">
        <v>1.34012175099985E-2</v>
      </c>
      <c r="AP53" s="1">
        <v>1.3030261698728E-2</v>
      </c>
      <c r="AQ53" s="1">
        <v>1.2532923465952099E-2</v>
      </c>
      <c r="AR53" s="1">
        <v>1.08406732438402E-2</v>
      </c>
      <c r="AS53" s="1">
        <v>9.6240474022496296E-3</v>
      </c>
      <c r="AT53" s="1">
        <v>0.15273679703516199</v>
      </c>
    </row>
    <row r="54" spans="1:46" ht="15.75" customHeight="1" x14ac:dyDescent="0.25">
      <c r="A54" s="1">
        <v>2</v>
      </c>
      <c r="B54" s="1" t="s">
        <v>87</v>
      </c>
      <c r="C54" s="1">
        <v>2000</v>
      </c>
      <c r="D54" s="1">
        <v>1</v>
      </c>
      <c r="E54" s="1">
        <v>10</v>
      </c>
      <c r="F54" s="1">
        <v>0</v>
      </c>
      <c r="G54" s="1">
        <v>0</v>
      </c>
      <c r="H54" s="1">
        <v>0</v>
      </c>
      <c r="I54" s="1">
        <v>0</v>
      </c>
      <c r="J54" s="5">
        <v>2.3056628809603499E-5</v>
      </c>
      <c r="K54" s="1">
        <v>1.7729394723144699E-3</v>
      </c>
      <c r="L54" s="1">
        <v>2.21228353428146E-2</v>
      </c>
      <c r="M54" s="1">
        <v>5.9032347873804202E-2</v>
      </c>
      <c r="N54" s="1">
        <v>7.5119418926840806E-2</v>
      </c>
      <c r="O54" s="1">
        <v>7.0648738600658595E-2</v>
      </c>
      <c r="P54" s="1">
        <v>6.7138366864396504E-2</v>
      </c>
      <c r="Q54" s="1">
        <v>5.7521677554198902E-2</v>
      </c>
      <c r="R54" s="1">
        <v>5.5536501813692102E-2</v>
      </c>
      <c r="S54" s="1">
        <v>5.3250437067219901E-2</v>
      </c>
      <c r="T54" s="1">
        <v>5.0357752416767002E-2</v>
      </c>
      <c r="U54" s="1">
        <v>4.1817346539401799E-2</v>
      </c>
      <c r="V54" s="1">
        <v>3.7028945868223299E-2</v>
      </c>
      <c r="W54" s="1">
        <v>3.2960834281056797E-2</v>
      </c>
      <c r="X54" s="1">
        <v>2.6639052510895701E-2</v>
      </c>
      <c r="Y54" s="1">
        <v>2.6241902079650301E-2</v>
      </c>
      <c r="Z54" s="1">
        <v>2.5786303094372499E-2</v>
      </c>
      <c r="AA54" s="1">
        <v>2.33344611867593E-2</v>
      </c>
      <c r="AB54" s="1">
        <v>1.9596289957858198E-2</v>
      </c>
      <c r="AC54" s="1">
        <v>1.6939705186415702E-2</v>
      </c>
      <c r="AD54" s="1">
        <v>1.7155054099497399E-2</v>
      </c>
      <c r="AE54" s="1">
        <v>1.6343921897975601E-2</v>
      </c>
      <c r="AF54" s="1">
        <v>1.41317536468382E-2</v>
      </c>
      <c r="AG54" s="1">
        <v>1.3713621683376E-2</v>
      </c>
      <c r="AH54" s="1">
        <v>1.2209637786125599E-2</v>
      </c>
      <c r="AI54" s="1">
        <v>1.15293519530982E-2</v>
      </c>
      <c r="AJ54" s="1">
        <v>1.17242957496834E-2</v>
      </c>
      <c r="AK54" s="1">
        <v>9.8048314012839106E-3</v>
      </c>
      <c r="AL54" s="1">
        <v>8.1067106894566008E-3</v>
      </c>
      <c r="AM54" s="1">
        <v>6.8924333331988304E-3</v>
      </c>
      <c r="AN54" s="1">
        <v>7.1435200209354196E-3</v>
      </c>
      <c r="AO54" s="1">
        <v>6.9965340122741899E-3</v>
      </c>
      <c r="AP54" s="1">
        <v>6.7666594230424504E-3</v>
      </c>
      <c r="AQ54" s="1">
        <v>5.97074459653493E-3</v>
      </c>
      <c r="AR54" s="1">
        <v>5.3095957654195501E-3</v>
      </c>
      <c r="AS54" s="1">
        <v>4.70355227715912E-3</v>
      </c>
      <c r="AT54" s="1">
        <v>7.8628868397950497E-2</v>
      </c>
    </row>
    <row r="55" spans="1:46" ht="15.75" customHeight="1" x14ac:dyDescent="0.25">
      <c r="A55" s="1">
        <v>2</v>
      </c>
      <c r="B55" s="1" t="s">
        <v>87</v>
      </c>
      <c r="C55" s="1">
        <v>2001</v>
      </c>
      <c r="D55" s="1">
        <v>1</v>
      </c>
      <c r="E55" s="1">
        <v>10</v>
      </c>
      <c r="F55" s="1">
        <v>0</v>
      </c>
      <c r="G55" s="1">
        <v>0</v>
      </c>
      <c r="H55" s="1">
        <v>0</v>
      </c>
      <c r="I55" s="1">
        <v>0</v>
      </c>
      <c r="J55" s="5">
        <v>2.3245392038165201E-5</v>
      </c>
      <c r="K55" s="1">
        <v>1.9979723023954002E-3</v>
      </c>
      <c r="L55" s="1">
        <v>2.2153475746673399E-2</v>
      </c>
      <c r="M55" s="1">
        <v>6.2262679718508601E-2</v>
      </c>
      <c r="N55" s="1">
        <v>7.9594896587319303E-2</v>
      </c>
      <c r="O55" s="1">
        <v>7.5625694468944099E-2</v>
      </c>
      <c r="P55" s="1">
        <v>7.1174099037918506E-2</v>
      </c>
      <c r="Q55" s="1">
        <v>6.0503846958098802E-2</v>
      </c>
      <c r="R55" s="1">
        <v>5.4362126385607903E-2</v>
      </c>
      <c r="S55" s="1">
        <v>5.1167016393247E-2</v>
      </c>
      <c r="T55" s="1">
        <v>4.3634995094296601E-2</v>
      </c>
      <c r="U55" s="1">
        <v>4.2009360487379799E-2</v>
      </c>
      <c r="V55" s="1">
        <v>3.8694320729016601E-2</v>
      </c>
      <c r="W55" s="1">
        <v>3.6346741844595902E-2</v>
      </c>
      <c r="X55" s="1">
        <v>3.1696017745491099E-2</v>
      </c>
      <c r="Y55" s="1">
        <v>2.6843696441099602E-2</v>
      </c>
      <c r="Z55" s="1">
        <v>2.6133477715331799E-2</v>
      </c>
      <c r="AA55" s="1">
        <v>2.3155701852956002E-2</v>
      </c>
      <c r="AB55" s="1">
        <v>2.2219920539844399E-2</v>
      </c>
      <c r="AC55" s="1">
        <v>2.0542240940134199E-2</v>
      </c>
      <c r="AD55" s="1">
        <v>1.6948565044464001E-2</v>
      </c>
      <c r="AE55" s="1">
        <v>1.39079443390116E-2</v>
      </c>
      <c r="AF55" s="1">
        <v>1.22499101812451E-2</v>
      </c>
      <c r="AG55" s="1">
        <v>1.0207812776263999E-2</v>
      </c>
      <c r="AH55" s="1">
        <v>1.0190533015810899E-2</v>
      </c>
      <c r="AI55" s="1">
        <v>8.9422760345048008E-3</v>
      </c>
      <c r="AJ55" s="1">
        <v>8.4942365313267192E-3</v>
      </c>
      <c r="AK55" s="1">
        <v>7.9929177667514197E-3</v>
      </c>
      <c r="AL55" s="1">
        <v>8.1646868141130799E-3</v>
      </c>
      <c r="AM55" s="1">
        <v>7.0659820453003296E-3</v>
      </c>
      <c r="AN55" s="1">
        <v>7.0976616061311096E-3</v>
      </c>
      <c r="AO55" s="1">
        <v>6.3577175781551701E-3</v>
      </c>
      <c r="AP55" s="1">
        <v>5.5207806090642403E-3</v>
      </c>
      <c r="AQ55" s="1">
        <v>5.3662913221557296E-3</v>
      </c>
      <c r="AR55" s="1">
        <v>4.7062661862756101E-3</v>
      </c>
      <c r="AS55" s="1">
        <v>4.7786766110316696E-3</v>
      </c>
      <c r="AT55" s="1">
        <v>7.1866215157497304E-2</v>
      </c>
    </row>
    <row r="56" spans="1:46" ht="15.75" customHeight="1" x14ac:dyDescent="0.25">
      <c r="A56" s="1">
        <v>2</v>
      </c>
      <c r="B56" s="1" t="s">
        <v>87</v>
      </c>
      <c r="C56" s="1">
        <v>2002</v>
      </c>
      <c r="D56" s="1">
        <v>1</v>
      </c>
      <c r="E56" s="1">
        <v>3</v>
      </c>
      <c r="F56" s="1">
        <v>0</v>
      </c>
      <c r="G56" s="1">
        <v>0</v>
      </c>
      <c r="H56" s="1">
        <v>0</v>
      </c>
      <c r="I56" s="1">
        <v>0</v>
      </c>
      <c r="J56" s="5">
        <v>1.7063273224003602E-5</v>
      </c>
      <c r="K56" s="1">
        <v>1.5396049236074899E-3</v>
      </c>
      <c r="L56" s="1">
        <v>1.7566639784111701E-2</v>
      </c>
      <c r="M56" s="1">
        <v>5.06811208390201E-2</v>
      </c>
      <c r="N56" s="1">
        <v>6.9604409339393006E-2</v>
      </c>
      <c r="O56" s="1">
        <v>6.9131851467050504E-2</v>
      </c>
      <c r="P56" s="1">
        <v>7.0620622055844795E-2</v>
      </c>
      <c r="Q56" s="1">
        <v>7.3878640787052904E-2</v>
      </c>
      <c r="R56" s="1">
        <v>7.3988722598338399E-2</v>
      </c>
      <c r="S56" s="1">
        <v>6.6532072199448802E-2</v>
      </c>
      <c r="T56" s="1">
        <v>5.65795626066899E-2</v>
      </c>
      <c r="U56" s="1">
        <v>4.9860780279785501E-2</v>
      </c>
      <c r="V56" s="1">
        <v>4.5811333757861297E-2</v>
      </c>
      <c r="W56" s="1">
        <v>3.9110918148663298E-2</v>
      </c>
      <c r="X56" s="1">
        <v>3.6475590395178302E-2</v>
      </c>
      <c r="Y56" s="1">
        <v>3.2305989990968301E-2</v>
      </c>
      <c r="Z56" s="1">
        <v>2.77154955138996E-2</v>
      </c>
      <c r="AA56" s="1">
        <v>2.2154527372215599E-2</v>
      </c>
      <c r="AB56" s="1">
        <v>1.7508340267263001E-2</v>
      </c>
      <c r="AC56" s="1">
        <v>1.40307503882487E-2</v>
      </c>
      <c r="AD56" s="1">
        <v>1.26551424795164E-2</v>
      </c>
      <c r="AE56" s="1">
        <v>1.11849755983343E-2</v>
      </c>
      <c r="AF56" s="1">
        <v>8.8759829452584194E-3</v>
      </c>
      <c r="AG56" s="1">
        <v>8.1382333682261492E-3</v>
      </c>
      <c r="AH56" s="1">
        <v>7.4893550059022401E-3</v>
      </c>
      <c r="AI56" s="1">
        <v>6.7120281145865201E-3</v>
      </c>
      <c r="AJ56" s="1">
        <v>6.0337630039323797E-3</v>
      </c>
      <c r="AK56" s="1">
        <v>6.25890341452687E-3</v>
      </c>
      <c r="AL56" s="1">
        <v>4.9895854785857096E-3</v>
      </c>
      <c r="AM56" s="1">
        <v>5.0776272286234504E-3</v>
      </c>
      <c r="AN56" s="1">
        <v>5.3306139531598901E-3</v>
      </c>
      <c r="AO56" s="1">
        <v>5.2242054854157597E-3</v>
      </c>
      <c r="AP56" s="1">
        <v>5.0141139338452196E-3</v>
      </c>
      <c r="AQ56" s="1">
        <v>4.8118430491690097E-3</v>
      </c>
      <c r="AR56" s="1">
        <v>4.2871473975309004E-3</v>
      </c>
      <c r="AS56" s="1">
        <v>3.8214622324591299E-3</v>
      </c>
      <c r="AT56" s="1">
        <v>5.8980981323062502E-2</v>
      </c>
    </row>
    <row r="57" spans="1:46" ht="15.75" customHeight="1" x14ac:dyDescent="0.25">
      <c r="A57" s="1">
        <v>2</v>
      </c>
      <c r="B57" s="1" t="s">
        <v>87</v>
      </c>
      <c r="C57" s="1">
        <v>2003</v>
      </c>
      <c r="D57" s="1">
        <v>1</v>
      </c>
      <c r="E57" s="1">
        <v>6</v>
      </c>
      <c r="F57" s="1">
        <v>0</v>
      </c>
      <c r="G57" s="1">
        <v>0</v>
      </c>
      <c r="H57" s="1">
        <v>0</v>
      </c>
      <c r="I57" s="1">
        <v>0</v>
      </c>
      <c r="J57" s="5">
        <v>1.8145041380214901E-5</v>
      </c>
      <c r="K57" s="1">
        <v>1.8301850379796999E-3</v>
      </c>
      <c r="L57" s="1">
        <v>2.0960546967711598E-2</v>
      </c>
      <c r="M57" s="1">
        <v>5.7740209826122303E-2</v>
      </c>
      <c r="N57" s="1">
        <v>7.6237399416827306E-2</v>
      </c>
      <c r="O57" s="1">
        <v>8.7416088984178894E-2</v>
      </c>
      <c r="P57" s="1">
        <v>9.0394563924812696E-2</v>
      </c>
      <c r="Q57" s="1">
        <v>8.4331207936685901E-2</v>
      </c>
      <c r="R57" s="1">
        <v>8.3893710827851797E-2</v>
      </c>
      <c r="S57" s="1">
        <v>7.9002502111601203E-2</v>
      </c>
      <c r="T57" s="1">
        <v>6.4754948415999505E-2</v>
      </c>
      <c r="U57" s="1">
        <v>5.05621658638232E-2</v>
      </c>
      <c r="V57" s="1">
        <v>4.3647785033678603E-2</v>
      </c>
      <c r="W57" s="1">
        <v>3.4501228094482798E-2</v>
      </c>
      <c r="X57" s="1">
        <v>2.60323100463382E-2</v>
      </c>
      <c r="Y57" s="1">
        <v>2.3035130032182799E-2</v>
      </c>
      <c r="Z57" s="1">
        <v>1.99595455182364E-2</v>
      </c>
      <c r="AA57" s="1">
        <v>1.53789306275866E-2</v>
      </c>
      <c r="AB57" s="1">
        <v>1.4432700321536899E-2</v>
      </c>
      <c r="AC57" s="1">
        <v>1.15644397063236E-2</v>
      </c>
      <c r="AD57" s="1">
        <v>9.8162433738397097E-3</v>
      </c>
      <c r="AE57" s="1">
        <v>7.39914465170985E-3</v>
      </c>
      <c r="AF57" s="1">
        <v>5.5752319737134397E-3</v>
      </c>
      <c r="AG57" s="1">
        <v>5.8534559415434001E-3</v>
      </c>
      <c r="AH57" s="1">
        <v>4.89871314694493E-3</v>
      </c>
      <c r="AI57" s="1">
        <v>4.5669501064005101E-3</v>
      </c>
      <c r="AJ57" s="1">
        <v>4.2741653028950596E-3</v>
      </c>
      <c r="AK57" s="1">
        <v>3.8130348376954099E-3</v>
      </c>
      <c r="AL57" s="1">
        <v>3.6458092402839198E-3</v>
      </c>
      <c r="AM57" s="1">
        <v>3.1182589631184102E-3</v>
      </c>
      <c r="AN57" s="1">
        <v>3.1048181917256602E-3</v>
      </c>
      <c r="AO57" s="1">
        <v>3.1675417915585E-3</v>
      </c>
      <c r="AP57" s="1">
        <v>2.9583137835446699E-3</v>
      </c>
      <c r="AQ57" s="1">
        <v>2.8897658494416302E-3</v>
      </c>
      <c r="AR57" s="1">
        <v>2.85840404952521E-3</v>
      </c>
      <c r="AS57" s="1">
        <v>2.5528505131966498E-3</v>
      </c>
      <c r="AT57" s="1">
        <v>4.3813554547522601E-2</v>
      </c>
    </row>
    <row r="58" spans="1:46" ht="15.75" customHeight="1" x14ac:dyDescent="0.25">
      <c r="A58" s="1">
        <v>2</v>
      </c>
      <c r="B58" s="1" t="s">
        <v>87</v>
      </c>
      <c r="C58" s="1">
        <v>2004</v>
      </c>
      <c r="D58" s="1">
        <v>1</v>
      </c>
      <c r="E58" s="1">
        <v>2</v>
      </c>
      <c r="F58" s="1">
        <v>0</v>
      </c>
      <c r="G58" s="1">
        <v>0</v>
      </c>
      <c r="H58" s="1">
        <v>0</v>
      </c>
      <c r="I58" s="1">
        <v>0</v>
      </c>
      <c r="J58" s="5">
        <v>3.3984103860233299E-5</v>
      </c>
      <c r="K58" s="1">
        <v>2.7426876032806001E-3</v>
      </c>
      <c r="L58" s="1">
        <v>2.7599302754456701E-2</v>
      </c>
      <c r="M58" s="1">
        <v>7.3860991180974694E-2</v>
      </c>
      <c r="N58" s="1">
        <v>9.9945545235348501E-2</v>
      </c>
      <c r="O58" s="1">
        <v>9.7432726511570894E-2</v>
      </c>
      <c r="P58" s="1">
        <v>9.2190152188636507E-2</v>
      </c>
      <c r="Q58" s="1">
        <v>8.6306792048962799E-2</v>
      </c>
      <c r="R58" s="1">
        <v>7.4006551413437996E-2</v>
      </c>
      <c r="S58" s="1">
        <v>6.0170509978093797E-2</v>
      </c>
      <c r="T58" s="1">
        <v>5.4147203499219899E-2</v>
      </c>
      <c r="U58" s="1">
        <v>4.0978413377426498E-2</v>
      </c>
      <c r="V58" s="1">
        <v>3.3040568799665403E-2</v>
      </c>
      <c r="W58" s="1">
        <v>2.9329785352791099E-2</v>
      </c>
      <c r="X58" s="1">
        <v>2.4949745630486301E-2</v>
      </c>
      <c r="Y58" s="1">
        <v>2.3020170317501799E-2</v>
      </c>
      <c r="Z58" s="1">
        <v>1.9904760300792398E-2</v>
      </c>
      <c r="AA58" s="1">
        <v>1.6995961605782001E-2</v>
      </c>
      <c r="AB58" s="1">
        <v>1.5558504186159901E-2</v>
      </c>
      <c r="AC58" s="1">
        <v>1.2201797007233501E-2</v>
      </c>
      <c r="AD58" s="1">
        <v>1.04402374997644E-2</v>
      </c>
      <c r="AE58" s="1">
        <v>9.6863718330123406E-3</v>
      </c>
      <c r="AF58" s="1">
        <v>8.0003993884064303E-3</v>
      </c>
      <c r="AG58" s="1">
        <v>6.7780743784718401E-3</v>
      </c>
      <c r="AH58" s="1">
        <v>5.9096251402972104E-3</v>
      </c>
      <c r="AI58" s="1">
        <v>5.8344390698099697E-3</v>
      </c>
      <c r="AJ58" s="1">
        <v>5.0988185561627901E-3</v>
      </c>
      <c r="AK58" s="1">
        <v>4.6248455678112197E-3</v>
      </c>
      <c r="AL58" s="1">
        <v>4.4630451441226796E-3</v>
      </c>
      <c r="AM58" s="1">
        <v>4.2665588799160204E-3</v>
      </c>
      <c r="AN58" s="1">
        <v>3.9541858190650196E-3</v>
      </c>
      <c r="AO58" s="1">
        <v>3.8209561021616302E-3</v>
      </c>
      <c r="AP58" s="1">
        <v>3.4357026769849999E-3</v>
      </c>
      <c r="AQ58" s="1">
        <v>2.9641356428890199E-3</v>
      </c>
      <c r="AR58" s="1">
        <v>2.65527126532743E-3</v>
      </c>
      <c r="AS58" s="1">
        <v>2.2231017321667698E-3</v>
      </c>
      <c r="AT58" s="1">
        <v>3.1428078207949003E-2</v>
      </c>
    </row>
    <row r="59" spans="1:46" ht="15.75" customHeight="1" x14ac:dyDescent="0.25">
      <c r="A59" s="1">
        <v>2</v>
      </c>
      <c r="B59" s="1" t="s">
        <v>87</v>
      </c>
      <c r="C59" s="1">
        <v>2005</v>
      </c>
      <c r="D59" s="1">
        <v>1</v>
      </c>
      <c r="E59" s="1">
        <v>6</v>
      </c>
      <c r="F59" s="1">
        <v>0</v>
      </c>
      <c r="G59" s="1">
        <v>0</v>
      </c>
      <c r="H59" s="1">
        <v>0</v>
      </c>
      <c r="I59" s="1">
        <v>0</v>
      </c>
      <c r="J59" s="5">
        <v>3.0421143666279501E-5</v>
      </c>
      <c r="K59" s="1">
        <v>2.2141820644946998E-3</v>
      </c>
      <c r="L59" s="1">
        <v>2.73432397188677E-2</v>
      </c>
      <c r="M59" s="1">
        <v>8.0684542198855597E-2</v>
      </c>
      <c r="N59" s="1">
        <v>9.7176892303783E-2</v>
      </c>
      <c r="O59" s="1">
        <v>0.10183942254704401</v>
      </c>
      <c r="P59" s="1">
        <v>9.0554115593017598E-2</v>
      </c>
      <c r="Q59" s="1">
        <v>8.7260366388164104E-2</v>
      </c>
      <c r="R59" s="1">
        <v>7.9675105594175594E-2</v>
      </c>
      <c r="S59" s="1">
        <v>6.8900055806181998E-2</v>
      </c>
      <c r="T59" s="1">
        <v>6.3000569480400906E-2</v>
      </c>
      <c r="U59" s="1">
        <v>4.97908908529415E-2</v>
      </c>
      <c r="V59" s="1">
        <v>3.9321501127499603E-2</v>
      </c>
      <c r="W59" s="1">
        <v>3.1208514443524401E-2</v>
      </c>
      <c r="X59" s="1">
        <v>2.5642467712046198E-2</v>
      </c>
      <c r="Y59" s="1">
        <v>2.00290423926732E-2</v>
      </c>
      <c r="Z59" s="1">
        <v>1.5936248190176298E-2</v>
      </c>
      <c r="AA59" s="1">
        <v>1.3301453338183699E-2</v>
      </c>
      <c r="AB59" s="1">
        <v>1.15321698481474E-2</v>
      </c>
      <c r="AC59" s="1">
        <v>1.0467259393252401E-2</v>
      </c>
      <c r="AD59" s="1">
        <v>7.9929211617740994E-3</v>
      </c>
      <c r="AE59" s="1">
        <v>7.4674960305520302E-3</v>
      </c>
      <c r="AF59" s="1">
        <v>6.4924855940546302E-3</v>
      </c>
      <c r="AG59" s="1">
        <v>6.0943691144779997E-3</v>
      </c>
      <c r="AH59" s="1">
        <v>4.9628218686950101E-3</v>
      </c>
      <c r="AI59" s="1">
        <v>4.6321943128822297E-3</v>
      </c>
      <c r="AJ59" s="1">
        <v>4.1272203706795001E-3</v>
      </c>
      <c r="AK59" s="1">
        <v>3.6190935368363001E-3</v>
      </c>
      <c r="AL59" s="1">
        <v>3.2967316699188298E-3</v>
      </c>
      <c r="AM59" s="1">
        <v>3.0193624188439299E-3</v>
      </c>
      <c r="AN59" s="1">
        <v>2.8546451339506E-3</v>
      </c>
      <c r="AO59" s="1">
        <v>2.44579178013881E-3</v>
      </c>
      <c r="AP59" s="1">
        <v>2.0613094265750798E-3</v>
      </c>
      <c r="AQ59" s="1">
        <v>1.87026123581934E-3</v>
      </c>
      <c r="AR59" s="1">
        <v>1.5934884777574999E-3</v>
      </c>
      <c r="AS59" s="1">
        <v>1.3825003777078999E-3</v>
      </c>
      <c r="AT59" s="1">
        <v>2.01788473522399E-2</v>
      </c>
    </row>
    <row r="60" spans="1:46" ht="15.75" customHeight="1" x14ac:dyDescent="0.25">
      <c r="A60" s="1">
        <v>2</v>
      </c>
      <c r="B60" s="1" t="s">
        <v>87</v>
      </c>
      <c r="C60" s="1">
        <v>2006</v>
      </c>
      <c r="D60" s="1">
        <v>1</v>
      </c>
      <c r="E60" s="1">
        <v>10</v>
      </c>
      <c r="F60" s="1">
        <v>0</v>
      </c>
      <c r="G60" s="1">
        <v>0</v>
      </c>
      <c r="H60" s="1">
        <v>0</v>
      </c>
      <c r="I60" s="1">
        <v>0</v>
      </c>
      <c r="J60" s="5">
        <v>3.1693676288930303E-5</v>
      </c>
      <c r="K60" s="1">
        <v>2.56329101592521E-3</v>
      </c>
      <c r="L60" s="1">
        <v>2.69427422563733E-2</v>
      </c>
      <c r="M60" s="1">
        <v>7.4719660340776303E-2</v>
      </c>
      <c r="N60" s="1">
        <v>0.102604640006166</v>
      </c>
      <c r="O60" s="1">
        <v>0.108212775409171</v>
      </c>
      <c r="P60" s="1">
        <v>9.8511219864487895E-2</v>
      </c>
      <c r="Q60" s="1">
        <v>9.1049610561787703E-2</v>
      </c>
      <c r="R60" s="1">
        <v>8.4105837827961299E-2</v>
      </c>
      <c r="S60" s="1">
        <v>7.5261916627446496E-2</v>
      </c>
      <c r="T60" s="1">
        <v>6.05868785582322E-2</v>
      </c>
      <c r="U60" s="1">
        <v>4.8666679078580001E-2</v>
      </c>
      <c r="V60" s="1">
        <v>4.2253039367269499E-2</v>
      </c>
      <c r="W60" s="1">
        <v>3.4544028881078999E-2</v>
      </c>
      <c r="X60" s="1">
        <v>2.6747384514002201E-2</v>
      </c>
      <c r="Y60" s="1">
        <v>2.1017063927270801E-2</v>
      </c>
      <c r="Z60" s="1">
        <v>1.6256084904414599E-2</v>
      </c>
      <c r="AA60" s="1">
        <v>1.3893953478705701E-2</v>
      </c>
      <c r="AB60" s="1">
        <v>1.08814955258661E-2</v>
      </c>
      <c r="AC60" s="1">
        <v>8.3169921835254297E-3</v>
      </c>
      <c r="AD60" s="1">
        <v>6.54656264328724E-3</v>
      </c>
      <c r="AE60" s="1">
        <v>5.8881828049682904E-3</v>
      </c>
      <c r="AF60" s="1">
        <v>5.2534433317500901E-3</v>
      </c>
      <c r="AG60" s="1">
        <v>4.5711633440985002E-3</v>
      </c>
      <c r="AH60" s="1">
        <v>3.7362168228474999E-3</v>
      </c>
      <c r="AI60" s="1">
        <v>3.0093405420571202E-3</v>
      </c>
      <c r="AJ60" s="1">
        <v>2.5936857710547501E-3</v>
      </c>
      <c r="AK60" s="1">
        <v>2.0341105355928201E-3</v>
      </c>
      <c r="AL60" s="1">
        <v>1.57359968721978E-3</v>
      </c>
      <c r="AM60" s="1">
        <v>1.34438339996077E-3</v>
      </c>
      <c r="AN60" s="1">
        <v>1.0516065706359799E-3</v>
      </c>
      <c r="AO60" s="1">
        <v>1.0445058016313601E-3</v>
      </c>
      <c r="AP60" s="1">
        <v>9.8614094420310995E-4</v>
      </c>
      <c r="AQ60" s="1">
        <v>8.2299644658468101E-4</v>
      </c>
      <c r="AR60" s="1">
        <v>8.2438196248802299E-4</v>
      </c>
      <c r="AS60" s="1">
        <v>8.1364421423712802E-4</v>
      </c>
      <c r="AT60" s="1">
        <v>1.07390471720538E-2</v>
      </c>
    </row>
    <row r="61" spans="1:46" ht="15.75" customHeight="1" x14ac:dyDescent="0.25">
      <c r="A61" s="1">
        <v>2</v>
      </c>
      <c r="B61" s="1" t="s">
        <v>87</v>
      </c>
      <c r="C61" s="1">
        <v>2007</v>
      </c>
      <c r="D61" s="1">
        <v>1</v>
      </c>
      <c r="E61" s="1">
        <v>8</v>
      </c>
      <c r="F61" s="1">
        <v>0</v>
      </c>
      <c r="G61" s="1">
        <v>0</v>
      </c>
      <c r="H61" s="1">
        <v>0</v>
      </c>
      <c r="I61" s="1">
        <v>0</v>
      </c>
      <c r="J61" s="5">
        <v>2.8985343882924999E-5</v>
      </c>
      <c r="K61" s="1">
        <v>2.0547388219228999E-3</v>
      </c>
      <c r="L61" s="1">
        <v>2.3903850783449698E-2</v>
      </c>
      <c r="M61" s="1">
        <v>6.2357941621907102E-2</v>
      </c>
      <c r="N61" s="1">
        <v>8.64216143709335E-2</v>
      </c>
      <c r="O61" s="1">
        <v>9.7506696822159594E-2</v>
      </c>
      <c r="P61" s="1">
        <v>8.9480977160354205E-2</v>
      </c>
      <c r="Q61" s="1">
        <v>8.3022378295774496E-2</v>
      </c>
      <c r="R61" s="1">
        <v>7.4139376831209497E-2</v>
      </c>
      <c r="S61" s="1">
        <v>6.9071068037458702E-2</v>
      </c>
      <c r="T61" s="1">
        <v>6.4768556054837098E-2</v>
      </c>
      <c r="U61" s="1">
        <v>5.6401856028186703E-2</v>
      </c>
      <c r="V61" s="1">
        <v>4.9679973623337099E-2</v>
      </c>
      <c r="W61" s="1">
        <v>4.07084058302409E-2</v>
      </c>
      <c r="X61" s="1">
        <v>3.4771543155553898E-2</v>
      </c>
      <c r="Y61" s="1">
        <v>2.8329550477573798E-2</v>
      </c>
      <c r="Z61" s="1">
        <v>2.22246130657879E-2</v>
      </c>
      <c r="AA61" s="1">
        <v>1.7982990434031398E-2</v>
      </c>
      <c r="AB61" s="1">
        <v>1.39171920931203E-2</v>
      </c>
      <c r="AC61" s="1">
        <v>1.09379415735982E-2</v>
      </c>
      <c r="AD61" s="1">
        <v>9.3517991444492694E-3</v>
      </c>
      <c r="AE61" s="1">
        <v>8.0861057948948805E-3</v>
      </c>
      <c r="AF61" s="1">
        <v>6.64247463983698E-3</v>
      </c>
      <c r="AG61" s="1">
        <v>5.3930855462167304E-3</v>
      </c>
      <c r="AH61" s="1">
        <v>4.4328453865396904E-3</v>
      </c>
      <c r="AI61" s="1">
        <v>3.7592380719271299E-3</v>
      </c>
      <c r="AJ61" s="1">
        <v>3.2421314855713402E-3</v>
      </c>
      <c r="AK61" s="1">
        <v>2.63847144178737E-3</v>
      </c>
      <c r="AL61" s="1">
        <v>2.4233961644338602E-3</v>
      </c>
      <c r="AM61" s="1">
        <v>2.2677005846182801E-3</v>
      </c>
      <c r="AN61" s="1">
        <v>2.1144204501262901E-3</v>
      </c>
      <c r="AO61" s="1">
        <v>1.7798812728108599E-3</v>
      </c>
      <c r="AP61" s="1">
        <v>1.59721322021535E-3</v>
      </c>
      <c r="AQ61" s="1">
        <v>1.3550648265267401E-3</v>
      </c>
      <c r="AR61" s="1">
        <v>1.2821988925988299E-3</v>
      </c>
      <c r="AS61" s="1">
        <v>1.17189355615548E-3</v>
      </c>
      <c r="AT61" s="1">
        <v>1.47518290959713E-2</v>
      </c>
    </row>
    <row r="62" spans="1:46" ht="15.75" customHeight="1" x14ac:dyDescent="0.25">
      <c r="A62" s="1">
        <v>2</v>
      </c>
      <c r="B62" s="1" t="s">
        <v>87</v>
      </c>
      <c r="C62" s="1">
        <v>2008</v>
      </c>
      <c r="D62" s="1">
        <v>1</v>
      </c>
      <c r="E62" s="1">
        <v>4</v>
      </c>
      <c r="F62" s="1">
        <v>0</v>
      </c>
      <c r="G62" s="1">
        <v>0</v>
      </c>
      <c r="H62" s="1">
        <v>0</v>
      </c>
      <c r="I62" s="1">
        <v>0</v>
      </c>
      <c r="J62" s="5">
        <v>3.10605950795876E-5</v>
      </c>
      <c r="K62" s="1">
        <v>2.3635633779610001E-3</v>
      </c>
      <c r="L62" s="1">
        <v>2.6763879426911299E-2</v>
      </c>
      <c r="M62" s="1">
        <v>6.9713780067518799E-2</v>
      </c>
      <c r="N62" s="1">
        <v>9.55759161864847E-2</v>
      </c>
      <c r="O62" s="1">
        <v>9.1328798880872003E-2</v>
      </c>
      <c r="P62" s="1">
        <v>9.5822034425591507E-2</v>
      </c>
      <c r="Q62" s="1">
        <v>8.89705601763532E-2</v>
      </c>
      <c r="R62" s="1">
        <v>8.7015813392677804E-2</v>
      </c>
      <c r="S62" s="1">
        <v>7.5086572780841299E-2</v>
      </c>
      <c r="T62" s="1">
        <v>5.9246655340889097E-2</v>
      </c>
      <c r="U62" s="1">
        <v>5.2539341694845497E-2</v>
      </c>
      <c r="V62" s="1">
        <v>4.1587178659655499E-2</v>
      </c>
      <c r="W62" s="1">
        <v>3.5771945025310399E-2</v>
      </c>
      <c r="X62" s="1">
        <v>3.0281615076004301E-2</v>
      </c>
      <c r="Y62" s="1">
        <v>2.6921548923839099E-2</v>
      </c>
      <c r="Z62" s="1">
        <v>2.08194731590607E-2</v>
      </c>
      <c r="AA62" s="1">
        <v>1.6575511215487899E-2</v>
      </c>
      <c r="AB62" s="1">
        <v>1.4563474889776801E-2</v>
      </c>
      <c r="AC62" s="1">
        <v>1.10500778634886E-2</v>
      </c>
      <c r="AD62" s="1">
        <v>9.2318990930996495E-3</v>
      </c>
      <c r="AE62" s="1">
        <v>6.7718013577325702E-3</v>
      </c>
      <c r="AF62" s="1">
        <v>4.9412969543755399E-3</v>
      </c>
      <c r="AG62" s="1">
        <v>4.4214510583133601E-3</v>
      </c>
      <c r="AH62" s="1">
        <v>3.4905206514994299E-3</v>
      </c>
      <c r="AI62" s="1">
        <v>3.2068338831058702E-3</v>
      </c>
      <c r="AJ62" s="1">
        <v>2.77474649377649E-3</v>
      </c>
      <c r="AK62" s="1">
        <v>2.3517307703116298E-3</v>
      </c>
      <c r="AL62" s="1">
        <v>2.10590834639604E-3</v>
      </c>
      <c r="AM62" s="1">
        <v>1.88917441628514E-3</v>
      </c>
      <c r="AN62" s="1">
        <v>1.52650499183205E-3</v>
      </c>
      <c r="AO62" s="1">
        <v>1.2100813422752401E-3</v>
      </c>
      <c r="AP62" s="1">
        <v>1.14657968122363E-3</v>
      </c>
      <c r="AQ62" s="1">
        <v>1.0706537821402E-3</v>
      </c>
      <c r="AR62" s="1">
        <v>9.6139937151104495E-4</v>
      </c>
      <c r="AS62" s="1">
        <v>8.9809492058693296E-4</v>
      </c>
      <c r="AT62" s="1">
        <v>9.9725217268862593E-3</v>
      </c>
    </row>
    <row r="63" spans="1:46" ht="15.75" customHeight="1" x14ac:dyDescent="0.25">
      <c r="A63" s="1">
        <v>2</v>
      </c>
      <c r="B63" s="1" t="s">
        <v>87</v>
      </c>
      <c r="C63" s="1">
        <v>2009</v>
      </c>
      <c r="D63" s="1">
        <v>1</v>
      </c>
      <c r="E63" s="1">
        <v>5</v>
      </c>
      <c r="F63" s="1">
        <v>0</v>
      </c>
      <c r="G63" s="1">
        <v>0</v>
      </c>
      <c r="H63" s="1">
        <v>0</v>
      </c>
      <c r="I63" s="1">
        <v>0</v>
      </c>
      <c r="J63" s="5">
        <v>2.20247661153378E-5</v>
      </c>
      <c r="K63" s="1">
        <v>2.09738701321203E-3</v>
      </c>
      <c r="L63" s="1">
        <v>2.35411188224595E-2</v>
      </c>
      <c r="M63" s="1">
        <v>7.1423379876558502E-2</v>
      </c>
      <c r="N63" s="1">
        <v>9.3768239259439307E-2</v>
      </c>
      <c r="O63" s="1">
        <v>9.6173343719234097E-2</v>
      </c>
      <c r="P63" s="1">
        <v>8.9722079964374396E-2</v>
      </c>
      <c r="Q63" s="1">
        <v>8.8370598363601796E-2</v>
      </c>
      <c r="R63" s="1">
        <v>8.4490778492627094E-2</v>
      </c>
      <c r="S63" s="1">
        <v>8.1760966052388903E-2</v>
      </c>
      <c r="T63" s="1">
        <v>7.04612122368342E-2</v>
      </c>
      <c r="U63" s="1">
        <v>6.0480007752717703E-2</v>
      </c>
      <c r="V63" s="1">
        <v>4.8603309944779703E-2</v>
      </c>
      <c r="W63" s="1">
        <v>3.7699058000753197E-2</v>
      </c>
      <c r="X63" s="1">
        <v>3.2392452804859202E-2</v>
      </c>
      <c r="Y63" s="1">
        <v>2.6675662560026701E-2</v>
      </c>
      <c r="Z63" s="1">
        <v>2.0780366829821199E-2</v>
      </c>
      <c r="AA63" s="1">
        <v>1.59081739255926E-2</v>
      </c>
      <c r="AB63" s="1">
        <v>1.16239373968048E-2</v>
      </c>
      <c r="AC63" s="1">
        <v>9.1037797540169194E-3</v>
      </c>
      <c r="AD63" s="1">
        <v>7.9367817894199499E-3</v>
      </c>
      <c r="AE63" s="1">
        <v>6.7029753676064599E-3</v>
      </c>
      <c r="AF63" s="1">
        <v>4.9159277969433998E-3</v>
      </c>
      <c r="AG63" s="1">
        <v>3.4755080930003101E-3</v>
      </c>
      <c r="AH63" s="1">
        <v>2.3679769969147499E-3</v>
      </c>
      <c r="AI63" s="1">
        <v>1.81966520048148E-3</v>
      </c>
      <c r="AJ63" s="1">
        <v>1.4347561926562899E-3</v>
      </c>
      <c r="AK63" s="1">
        <v>1.2569848661539199E-3</v>
      </c>
      <c r="AL63" s="1">
        <v>1.00212685824787E-3</v>
      </c>
      <c r="AM63" s="1">
        <v>6.7962135441613895E-4</v>
      </c>
      <c r="AN63" s="1">
        <v>6.2760095444848397E-4</v>
      </c>
      <c r="AO63" s="1">
        <v>4.1008016909986102E-4</v>
      </c>
      <c r="AP63" s="1">
        <v>2.6723382886609899E-4</v>
      </c>
      <c r="AQ63" s="1">
        <v>2.1143775470724299E-4</v>
      </c>
      <c r="AR63" s="1">
        <v>1.9633505794244E-4</v>
      </c>
      <c r="AS63" s="1">
        <v>1.3655354991509399E-4</v>
      </c>
      <c r="AT63" s="1">
        <v>1.4605566329628299E-3</v>
      </c>
    </row>
    <row r="64" spans="1:46" ht="15.75" customHeight="1" x14ac:dyDescent="0.25">
      <c r="A64" s="1">
        <v>2</v>
      </c>
      <c r="B64" s="1" t="s">
        <v>87</v>
      </c>
      <c r="C64" s="1">
        <v>2010</v>
      </c>
      <c r="D64" s="1">
        <v>1</v>
      </c>
      <c r="E64" s="1">
        <v>7</v>
      </c>
      <c r="F64" s="1">
        <v>0</v>
      </c>
      <c r="G64" s="1">
        <v>0</v>
      </c>
      <c r="H64" s="1">
        <v>0</v>
      </c>
      <c r="I64" s="1">
        <v>0</v>
      </c>
      <c r="J64" s="5">
        <v>1.93128099002981E-5</v>
      </c>
      <c r="K64" s="1">
        <v>2.0883302133948801E-3</v>
      </c>
      <c r="L64" s="1">
        <v>2.4723155645224499E-2</v>
      </c>
      <c r="M64" s="1">
        <v>6.4465628875494702E-2</v>
      </c>
      <c r="N64" s="1">
        <v>8.6173757775130297E-2</v>
      </c>
      <c r="O64" s="1">
        <v>9.4260837749369997E-2</v>
      </c>
      <c r="P64" s="1">
        <v>8.6231696204831204E-2</v>
      </c>
      <c r="Q64" s="1">
        <v>9.0662500476188096E-2</v>
      </c>
      <c r="R64" s="1">
        <v>8.8324589334850906E-2</v>
      </c>
      <c r="S64" s="1">
        <v>7.6912947084916999E-2</v>
      </c>
      <c r="T64" s="1">
        <v>6.7446274574887402E-2</v>
      </c>
      <c r="U64" s="1">
        <v>5.5027501122955E-2</v>
      </c>
      <c r="V64" s="1">
        <v>4.4534915172727098E-2</v>
      </c>
      <c r="W64" s="1">
        <v>3.7386734879794201E-2</v>
      </c>
      <c r="X64" s="1">
        <v>3.3941732828073397E-2</v>
      </c>
      <c r="Y64" s="1">
        <v>2.65740019654498E-2</v>
      </c>
      <c r="Z64" s="1">
        <v>2.34783283213762E-2</v>
      </c>
      <c r="AA64" s="1">
        <v>1.8806432269285901E-2</v>
      </c>
      <c r="AB64" s="1">
        <v>1.53908238897761E-2</v>
      </c>
      <c r="AC64" s="1">
        <v>1.40151575845702E-2</v>
      </c>
      <c r="AD64" s="1">
        <v>1.02294223867513E-2</v>
      </c>
      <c r="AE64" s="1">
        <v>8.0617186469530196E-3</v>
      </c>
      <c r="AF64" s="1">
        <v>6.0886286069192696E-3</v>
      </c>
      <c r="AG64" s="1">
        <v>5.1049486740854001E-3</v>
      </c>
      <c r="AH64" s="1">
        <v>3.5718086881540399E-3</v>
      </c>
      <c r="AI64" s="1">
        <v>3.1401355525803401E-3</v>
      </c>
      <c r="AJ64" s="1">
        <v>2.3321809669711699E-3</v>
      </c>
      <c r="AK64" s="1">
        <v>1.6330996943164199E-3</v>
      </c>
      <c r="AL64" s="1">
        <v>1.1725634582323899E-3</v>
      </c>
      <c r="AM64" s="1">
        <v>1.01795486468989E-3</v>
      </c>
      <c r="AN64" s="1">
        <v>8.8541805389059198E-4</v>
      </c>
      <c r="AO64" s="1">
        <v>6.9738344321296404E-4</v>
      </c>
      <c r="AP64" s="1">
        <v>5.9593813406634295E-4</v>
      </c>
      <c r="AQ64" s="1">
        <v>5.1698906502336596E-4</v>
      </c>
      <c r="AR64" s="1">
        <v>4.8685259243169199E-4</v>
      </c>
      <c r="AS64" s="1">
        <v>4.0779740904860299E-4</v>
      </c>
      <c r="AT64" s="1">
        <v>3.5925009844757902E-3</v>
      </c>
    </row>
    <row r="65" spans="1:46" ht="15.75" customHeight="1" x14ac:dyDescent="0.25">
      <c r="A65" s="1">
        <v>2</v>
      </c>
      <c r="B65" s="1" t="s">
        <v>87</v>
      </c>
      <c r="C65" s="1">
        <v>2011</v>
      </c>
      <c r="D65" s="1">
        <v>1</v>
      </c>
      <c r="E65" s="1">
        <v>6</v>
      </c>
      <c r="F65" s="1">
        <v>0</v>
      </c>
      <c r="G65" s="1">
        <v>0</v>
      </c>
      <c r="H65" s="1">
        <v>0</v>
      </c>
      <c r="I65" s="1">
        <v>0</v>
      </c>
      <c r="J65" s="5">
        <v>1.67850266917746E-5</v>
      </c>
      <c r="K65" s="1">
        <v>1.43123056864498E-3</v>
      </c>
      <c r="L65" s="1">
        <v>1.8208888224311E-2</v>
      </c>
      <c r="M65" s="1">
        <v>5.7100818546390097E-2</v>
      </c>
      <c r="N65" s="1">
        <v>8.3525977336324803E-2</v>
      </c>
      <c r="O65" s="1">
        <v>9.4077720609750906E-2</v>
      </c>
      <c r="P65" s="1">
        <v>9.4019075364053406E-2</v>
      </c>
      <c r="Q65" s="1">
        <v>8.1970701326518597E-2</v>
      </c>
      <c r="R65" s="1">
        <v>8.2676388881639307E-2</v>
      </c>
      <c r="S65" s="1">
        <v>7.7865534127694994E-2</v>
      </c>
      <c r="T65" s="1">
        <v>6.4964808246934E-2</v>
      </c>
      <c r="U65" s="1">
        <v>5.9021885320808397E-2</v>
      </c>
      <c r="V65" s="1">
        <v>4.7888909324317698E-2</v>
      </c>
      <c r="W65" s="1">
        <v>3.96109230812847E-2</v>
      </c>
      <c r="X65" s="1">
        <v>3.1085869433166598E-2</v>
      </c>
      <c r="Y65" s="1">
        <v>2.6180752425666601E-2</v>
      </c>
      <c r="Z65" s="1">
        <v>2.15544306176081E-2</v>
      </c>
      <c r="AA65" s="1">
        <v>1.6984093014430102E-2</v>
      </c>
      <c r="AB65" s="1">
        <v>1.58057636711228E-2</v>
      </c>
      <c r="AC65" s="1">
        <v>1.4225310121279E-2</v>
      </c>
      <c r="AD65" s="1">
        <v>1.27707442716235E-2</v>
      </c>
      <c r="AE65" s="1">
        <v>9.3225471114248403E-3</v>
      </c>
      <c r="AF65" s="1">
        <v>8.2036817956048398E-3</v>
      </c>
      <c r="AG65" s="1">
        <v>6.7598624569410303E-3</v>
      </c>
      <c r="AH65" s="1">
        <v>5.7930858585843103E-3</v>
      </c>
      <c r="AI65" s="1">
        <v>5.0966095985993899E-3</v>
      </c>
      <c r="AJ65" s="1">
        <v>4.0822413087080603E-3</v>
      </c>
      <c r="AK65" s="1">
        <v>3.5584256586562199E-3</v>
      </c>
      <c r="AL65" s="1">
        <v>2.74967394573913E-3</v>
      </c>
      <c r="AM65" s="1">
        <v>2.0904522571920498E-3</v>
      </c>
      <c r="AN65" s="1">
        <v>1.6657092037111699E-3</v>
      </c>
      <c r="AO65" s="1">
        <v>1.3464866533962601E-3</v>
      </c>
      <c r="AP65" s="1">
        <v>1.06277876321578E-3</v>
      </c>
      <c r="AQ65" s="1">
        <v>8.9349562816580703E-4</v>
      </c>
      <c r="AR65" s="1">
        <v>7.1295424350549996E-4</v>
      </c>
      <c r="AS65" s="1">
        <v>6.0548913358864998E-4</v>
      </c>
      <c r="AT65" s="1">
        <v>5.0698968427057697E-3</v>
      </c>
    </row>
    <row r="66" spans="1:46" ht="15.75" customHeight="1" x14ac:dyDescent="0.25">
      <c r="A66" s="1">
        <v>2</v>
      </c>
      <c r="B66" s="1" t="s">
        <v>87</v>
      </c>
      <c r="C66" s="1">
        <v>2012</v>
      </c>
      <c r="D66" s="1">
        <v>1</v>
      </c>
      <c r="E66" s="1">
        <v>9</v>
      </c>
      <c r="F66" s="1">
        <v>0</v>
      </c>
      <c r="G66" s="1">
        <v>0</v>
      </c>
      <c r="H66" s="1">
        <v>0</v>
      </c>
      <c r="I66" s="1">
        <v>0</v>
      </c>
      <c r="J66" s="5">
        <v>1.68228176703879E-5</v>
      </c>
      <c r="K66" s="1">
        <v>1.3714760465145901E-3</v>
      </c>
      <c r="L66" s="1">
        <v>1.54616685020472E-2</v>
      </c>
      <c r="M66" s="1">
        <v>4.4813487835645399E-2</v>
      </c>
      <c r="N66" s="1">
        <v>6.61018475034897E-2</v>
      </c>
      <c r="O66" s="1">
        <v>7.2422729758673296E-2</v>
      </c>
      <c r="P66" s="1">
        <v>7.0983629316374794E-2</v>
      </c>
      <c r="Q66" s="1">
        <v>7.1965015867997806E-2</v>
      </c>
      <c r="R66" s="1">
        <v>7.2829142383581694E-2</v>
      </c>
      <c r="S66" s="1">
        <v>7.3137283103286904E-2</v>
      </c>
      <c r="T66" s="1">
        <v>6.6331870386685796E-2</v>
      </c>
      <c r="U66" s="1">
        <v>5.92754479054384E-2</v>
      </c>
      <c r="V66" s="1">
        <v>5.0770347635198998E-2</v>
      </c>
      <c r="W66" s="1">
        <v>4.46224405894282E-2</v>
      </c>
      <c r="X66" s="1">
        <v>4.0434808208635598E-2</v>
      </c>
      <c r="Y66" s="1">
        <v>3.7343657102339597E-2</v>
      </c>
      <c r="Z66" s="1">
        <v>3.0430145290015E-2</v>
      </c>
      <c r="AA66" s="1">
        <v>2.8441971397712099E-2</v>
      </c>
      <c r="AB66" s="1">
        <v>2.59304579695642E-2</v>
      </c>
      <c r="AC66" s="1">
        <v>2.0908930176228999E-2</v>
      </c>
      <c r="AD66" s="1">
        <v>1.7744408266133001E-2</v>
      </c>
      <c r="AE66" s="1">
        <v>1.49651455369439E-2</v>
      </c>
      <c r="AF66" s="1">
        <v>1.26514251383364E-2</v>
      </c>
      <c r="AG66" s="1">
        <v>1.0850217709746601E-2</v>
      </c>
      <c r="AH66" s="1">
        <v>9.1896723556383602E-3</v>
      </c>
      <c r="AI66" s="1">
        <v>7.1600243880887496E-3</v>
      </c>
      <c r="AJ66" s="1">
        <v>6.0379757619841096E-3</v>
      </c>
      <c r="AK66" s="1">
        <v>4.5977926631028398E-3</v>
      </c>
      <c r="AL66" s="1">
        <v>3.92204839291706E-3</v>
      </c>
      <c r="AM66" s="1">
        <v>3.08057438429528E-3</v>
      </c>
      <c r="AN66" s="1">
        <v>2.62635830719481E-3</v>
      </c>
      <c r="AO66" s="1">
        <v>2.2087859913565702E-3</v>
      </c>
      <c r="AP66" s="1">
        <v>1.67895051601495E-3</v>
      </c>
      <c r="AQ66" s="1">
        <v>1.4347698159675401E-3</v>
      </c>
      <c r="AR66" s="1">
        <v>1.2472203833253899E-3</v>
      </c>
      <c r="AS66" s="1">
        <v>9.8030389504027505E-4</v>
      </c>
      <c r="AT66" s="1">
        <v>6.0311466973852401E-3</v>
      </c>
    </row>
    <row r="67" spans="1:46" ht="15.75" customHeight="1" x14ac:dyDescent="0.25">
      <c r="A67" s="1">
        <v>2</v>
      </c>
      <c r="B67" s="1" t="s">
        <v>87</v>
      </c>
      <c r="C67" s="1">
        <v>2013</v>
      </c>
      <c r="D67" s="1">
        <v>1</v>
      </c>
      <c r="E67" s="1">
        <v>8</v>
      </c>
      <c r="F67" s="1">
        <v>0</v>
      </c>
      <c r="G67" s="1">
        <v>0</v>
      </c>
      <c r="H67" s="1">
        <v>0</v>
      </c>
      <c r="I67" s="1">
        <v>0</v>
      </c>
      <c r="J67" s="5">
        <v>2.44283619273839E-5</v>
      </c>
      <c r="K67" s="1">
        <v>2.2589321095492199E-3</v>
      </c>
      <c r="L67" s="1">
        <v>2.6423306408746201E-2</v>
      </c>
      <c r="M67" s="1">
        <v>7.0562245252226902E-2</v>
      </c>
      <c r="N67" s="1">
        <v>9.3618240243030004E-2</v>
      </c>
      <c r="O67" s="1">
        <v>8.8702608545755401E-2</v>
      </c>
      <c r="P67" s="1">
        <v>8.34399097441164E-2</v>
      </c>
      <c r="Q67" s="1">
        <v>8.2819060621169505E-2</v>
      </c>
      <c r="R67" s="1">
        <v>7.3115009073638507E-2</v>
      </c>
      <c r="S67" s="1">
        <v>6.4580062054952994E-2</v>
      </c>
      <c r="T67" s="1">
        <v>5.5356857461775703E-2</v>
      </c>
      <c r="U67" s="1">
        <v>5.0881281963561002E-2</v>
      </c>
      <c r="V67" s="1">
        <v>4.7424438294591503E-2</v>
      </c>
      <c r="W67" s="1">
        <v>3.7963057172622203E-2</v>
      </c>
      <c r="X67" s="1">
        <v>3.7127192373465401E-2</v>
      </c>
      <c r="Y67" s="1">
        <v>3.18241637290217E-2</v>
      </c>
      <c r="Z67" s="1">
        <v>2.7023875382168501E-2</v>
      </c>
      <c r="AA67" s="1">
        <v>2.1657356042338E-2</v>
      </c>
      <c r="AB67" s="1">
        <v>1.6953744090093599E-2</v>
      </c>
      <c r="AC67" s="1">
        <v>1.43942970375887E-2</v>
      </c>
      <c r="AD67" s="1">
        <v>1.04780388450132E-2</v>
      </c>
      <c r="AE67" s="1">
        <v>9.6203959307419006E-3</v>
      </c>
      <c r="AF67" s="1">
        <v>9.0391852818658396E-3</v>
      </c>
      <c r="AG67" s="1">
        <v>7.7371074998873598E-3</v>
      </c>
      <c r="AH67" s="1">
        <v>6.1594040493697204E-3</v>
      </c>
      <c r="AI67" s="1">
        <v>5.2129202528058902E-3</v>
      </c>
      <c r="AJ67" s="1">
        <v>3.9546291573010197E-3</v>
      </c>
      <c r="AK67" s="1">
        <v>3.1920494439263598E-3</v>
      </c>
      <c r="AL67" s="1">
        <v>2.7585612478375999E-3</v>
      </c>
      <c r="AM67" s="1">
        <v>2.17377852717027E-3</v>
      </c>
      <c r="AN67" s="1">
        <v>2.0896619978920199E-3</v>
      </c>
      <c r="AO67" s="1">
        <v>1.6740341607595899E-3</v>
      </c>
      <c r="AP67" s="1">
        <v>1.5689461132229201E-3</v>
      </c>
      <c r="AQ67" s="1">
        <v>1.16749133513327E-3</v>
      </c>
      <c r="AR67" s="1">
        <v>9.6203959307418995E-4</v>
      </c>
      <c r="AS67" s="1">
        <v>8.4416122396233301E-4</v>
      </c>
      <c r="AT67" s="1">
        <v>5.2175293776978498E-3</v>
      </c>
    </row>
    <row r="68" spans="1:46" ht="15.75" customHeight="1" x14ac:dyDescent="0.25">
      <c r="A68" s="1">
        <v>2</v>
      </c>
      <c r="B68" s="1" t="s">
        <v>87</v>
      </c>
      <c r="C68" s="1">
        <v>2014</v>
      </c>
      <c r="D68" s="1">
        <v>1</v>
      </c>
      <c r="E68" s="1">
        <v>5</v>
      </c>
      <c r="F68" s="1">
        <v>0</v>
      </c>
      <c r="G68" s="1">
        <v>0</v>
      </c>
      <c r="H68" s="1">
        <v>0</v>
      </c>
      <c r="I68" s="1">
        <v>0</v>
      </c>
      <c r="J68" s="5">
        <v>1.6717437784403001E-5</v>
      </c>
      <c r="K68" s="1">
        <v>1.5395593866566501E-3</v>
      </c>
      <c r="L68" s="1">
        <v>1.83277546984262E-2</v>
      </c>
      <c r="M68" s="1">
        <v>5.1862934893938499E-2</v>
      </c>
      <c r="N68" s="1">
        <v>6.7332590897666106E-2</v>
      </c>
      <c r="O68" s="1">
        <v>6.4547776784882896E-2</v>
      </c>
      <c r="P68" s="1">
        <v>6.9655440000046698E-2</v>
      </c>
      <c r="Q68" s="1">
        <v>6.6418185928621601E-2</v>
      </c>
      <c r="R68" s="1">
        <v>5.6766975829111999E-2</v>
      </c>
      <c r="S68" s="1">
        <v>5.5049356291170297E-2</v>
      </c>
      <c r="T68" s="1">
        <v>5.3212479217406197E-2</v>
      </c>
      <c r="U68" s="1">
        <v>5.37927298195741E-2</v>
      </c>
      <c r="V68" s="1">
        <v>5.2033997048011503E-2</v>
      </c>
      <c r="W68" s="1">
        <v>5.0373916598258003E-2</v>
      </c>
      <c r="X68" s="1">
        <v>4.8594092640653397E-2</v>
      </c>
      <c r="Y68" s="1">
        <v>4.14631334815483E-2</v>
      </c>
      <c r="Z68" s="1">
        <v>3.5946379012695297E-2</v>
      </c>
      <c r="AA68" s="1">
        <v>2.9371177465515898E-2</v>
      </c>
      <c r="AB68" s="1">
        <v>2.7951653169927499E-2</v>
      </c>
      <c r="AC68" s="1">
        <v>2.4253503226562698E-2</v>
      </c>
      <c r="AD68" s="1">
        <v>2.03326808996858E-2</v>
      </c>
      <c r="AE68" s="1">
        <v>1.59544616994753E-2</v>
      </c>
      <c r="AF68" s="1">
        <v>1.4295741971401901E-2</v>
      </c>
      <c r="AG68" s="1">
        <v>1.29532928395521E-2</v>
      </c>
      <c r="AH68" s="1">
        <v>1.1225953861038101E-2</v>
      </c>
      <c r="AI68" s="1">
        <v>9.1487150219202607E-3</v>
      </c>
      <c r="AJ68" s="1">
        <v>8.2768812025824992E-3</v>
      </c>
      <c r="AK68" s="1">
        <v>6.36817746298886E-3</v>
      </c>
      <c r="AL68" s="1">
        <v>5.1957213467490101E-3</v>
      </c>
      <c r="AM68" s="1">
        <v>4.4615148059154097E-3</v>
      </c>
      <c r="AN68" s="1">
        <v>3.8083683994550102E-3</v>
      </c>
      <c r="AO68" s="1">
        <v>3.2696198085309098E-3</v>
      </c>
      <c r="AP68" s="1">
        <v>2.5799283055185601E-3</v>
      </c>
      <c r="AQ68" s="1">
        <v>2.1572298350280498E-3</v>
      </c>
      <c r="AR68" s="1">
        <v>1.83114260382647E-3</v>
      </c>
      <c r="AS68" s="1">
        <v>1.4565553641689699E-3</v>
      </c>
      <c r="AT68" s="1">
        <v>8.1736607437043803E-3</v>
      </c>
    </row>
    <row r="69" spans="1:46" ht="15.75" customHeight="1" x14ac:dyDescent="0.25">
      <c r="A69" s="1">
        <v>2</v>
      </c>
      <c r="B69" s="1" t="s">
        <v>87</v>
      </c>
      <c r="C69" s="1">
        <v>2015</v>
      </c>
      <c r="D69" s="1">
        <v>1</v>
      </c>
      <c r="E69" s="1">
        <v>5</v>
      </c>
      <c r="F69" s="1">
        <v>0</v>
      </c>
      <c r="G69" s="1">
        <v>0</v>
      </c>
      <c r="H69" s="1">
        <v>0</v>
      </c>
      <c r="I69" s="1">
        <v>0</v>
      </c>
      <c r="J69" s="5">
        <v>2.4586797994754899E-5</v>
      </c>
      <c r="K69" s="1">
        <v>2.0057413556822099E-3</v>
      </c>
      <c r="L69" s="1">
        <v>2.3246028019701499E-2</v>
      </c>
      <c r="M69" s="1">
        <v>6.3652174854540305E-2</v>
      </c>
      <c r="N69" s="1">
        <v>8.0512515187704997E-2</v>
      </c>
      <c r="O69" s="1">
        <v>7.7148184067597006E-2</v>
      </c>
      <c r="P69" s="1">
        <v>7.3120234968584705E-2</v>
      </c>
      <c r="Q69" s="1">
        <v>7.5801774918691597E-2</v>
      </c>
      <c r="R69" s="1">
        <v>7.3951900328278794E-2</v>
      </c>
      <c r="S69" s="1">
        <v>7.20449572984838E-2</v>
      </c>
      <c r="T69" s="1">
        <v>6.3800710693802207E-2</v>
      </c>
      <c r="U69" s="1">
        <v>5.6358129043921998E-2</v>
      </c>
      <c r="V69" s="1">
        <v>4.9340064401621003E-2</v>
      </c>
      <c r="W69" s="1">
        <v>4.3007723299724201E-2</v>
      </c>
      <c r="X69" s="1">
        <v>3.4854605744491E-2</v>
      </c>
      <c r="Y69" s="1">
        <v>2.9611527463848101E-2</v>
      </c>
      <c r="Z69" s="1">
        <v>2.9964314180029698E-2</v>
      </c>
      <c r="AA69" s="1">
        <v>2.4115024710295901E-2</v>
      </c>
      <c r="AB69" s="1">
        <v>2.0668700002379699E-2</v>
      </c>
      <c r="AC69" s="1">
        <v>1.7261962294904599E-2</v>
      </c>
      <c r="AD69" s="1">
        <v>1.4969750907540399E-2</v>
      </c>
      <c r="AE69" s="1">
        <v>1.31223575536226E-2</v>
      </c>
      <c r="AF69" s="1">
        <v>1.2684080961844601E-2</v>
      </c>
      <c r="AG69" s="1">
        <v>1.07133024840448E-2</v>
      </c>
      <c r="AH69" s="1">
        <v>9.7814853967390005E-3</v>
      </c>
      <c r="AI69" s="1">
        <v>7.2686695282842299E-3</v>
      </c>
      <c r="AJ69" s="1">
        <v>5.3346584639995696E-3</v>
      </c>
      <c r="AK69" s="1">
        <v>3.87490192066878E-3</v>
      </c>
      <c r="AL69" s="1">
        <v>3.0618458346862599E-3</v>
      </c>
      <c r="AM69" s="1">
        <v>2.9795138964469501E-3</v>
      </c>
      <c r="AN69" s="1">
        <v>2.3440917868026798E-3</v>
      </c>
      <c r="AO69" s="1">
        <v>1.54287796590939E-3</v>
      </c>
      <c r="AP69" s="1">
        <v>9.4106533242309398E-4</v>
      </c>
      <c r="AQ69" s="1">
        <v>4.9737513374710496E-4</v>
      </c>
      <c r="AR69" s="1">
        <v>2.2669478885072099E-4</v>
      </c>
      <c r="AS69" s="1">
        <v>1.66468412111275E-4</v>
      </c>
      <c r="AT69" s="5">
        <v>0</v>
      </c>
    </row>
    <row r="70" spans="1:46" ht="15.75" customHeight="1" x14ac:dyDescent="0.25">
      <c r="A70" s="1">
        <v>2</v>
      </c>
      <c r="B70" s="1" t="s">
        <v>87</v>
      </c>
      <c r="C70" s="1">
        <v>2016</v>
      </c>
      <c r="D70" s="1">
        <v>1</v>
      </c>
      <c r="E70" s="1">
        <v>6</v>
      </c>
      <c r="F70" s="1">
        <v>0</v>
      </c>
      <c r="G70" s="1">
        <v>0</v>
      </c>
      <c r="H70" s="1">
        <v>0</v>
      </c>
      <c r="I70" s="1">
        <v>0</v>
      </c>
      <c r="J70" s="5">
        <v>1.6841069980540101E-5</v>
      </c>
      <c r="K70" s="1">
        <v>1.3986508618838601E-3</v>
      </c>
      <c r="L70" s="1">
        <v>1.5056665054602E-2</v>
      </c>
      <c r="M70" s="1">
        <v>4.6099902911231602E-2</v>
      </c>
      <c r="N70" s="1">
        <v>5.9846426282847497E-2</v>
      </c>
      <c r="O70" s="1">
        <v>6.2792490791443306E-2</v>
      </c>
      <c r="P70" s="1">
        <v>6.6233963441966706E-2</v>
      </c>
      <c r="Q70" s="1">
        <v>6.6163230948048393E-2</v>
      </c>
      <c r="R70" s="1">
        <v>6.16453332412688E-2</v>
      </c>
      <c r="S70" s="1">
        <v>6.2155430538679397E-2</v>
      </c>
      <c r="T70" s="1">
        <v>6.2266113793051497E-2</v>
      </c>
      <c r="U70" s="1">
        <v>5.3970015597637699E-2</v>
      </c>
      <c r="V70" s="1">
        <v>4.8506398249950899E-2</v>
      </c>
      <c r="W70" s="1">
        <v>4.1201677707391499E-2</v>
      </c>
      <c r="X70" s="1">
        <v>4.1370556214696298E-2</v>
      </c>
      <c r="Y70" s="1">
        <v>3.95807247217645E-2</v>
      </c>
      <c r="Z70" s="1">
        <v>3.3358323609954499E-2</v>
      </c>
      <c r="AA70" s="1">
        <v>3.20850451579257E-2</v>
      </c>
      <c r="AB70" s="1">
        <v>2.79365282527194E-2</v>
      </c>
      <c r="AC70" s="1">
        <v>2.6787967280046499E-2</v>
      </c>
      <c r="AD70" s="1">
        <v>2.22349840108075E-2</v>
      </c>
      <c r="AE70" s="1">
        <v>2.0244088854607999E-2</v>
      </c>
      <c r="AF70" s="1">
        <v>1.66217618247936E-2</v>
      </c>
      <c r="AG70" s="1">
        <v>1.3790965084064501E-2</v>
      </c>
      <c r="AH70" s="1">
        <v>1.1233274361519999E-2</v>
      </c>
      <c r="AI70" s="1">
        <v>1.0305986336091401E-2</v>
      </c>
      <c r="AJ70" s="1">
        <v>9.2951478912594605E-3</v>
      </c>
      <c r="AK70" s="1">
        <v>8.6450825900106099E-3</v>
      </c>
      <c r="AL70" s="1">
        <v>6.7364279922160599E-3</v>
      </c>
      <c r="AM70" s="1">
        <v>5.2851020058930697E-3</v>
      </c>
      <c r="AN70" s="1">
        <v>4.5820808957054097E-3</v>
      </c>
      <c r="AO70" s="1">
        <v>3.9932048153858502E-3</v>
      </c>
      <c r="AP70" s="1">
        <v>3.59051611985116E-3</v>
      </c>
      <c r="AQ70" s="1">
        <v>2.9393280806036099E-3</v>
      </c>
      <c r="AR70" s="1">
        <v>2.2275121894261098E-3</v>
      </c>
      <c r="AS70" s="1">
        <v>1.8644935698455801E-3</v>
      </c>
      <c r="AT70" s="1">
        <v>7.9377576508279195E-3</v>
      </c>
    </row>
    <row r="71" spans="1:46" ht="15.75" customHeight="1" x14ac:dyDescent="0.25">
      <c r="A71" s="1">
        <v>2</v>
      </c>
      <c r="B71" s="1" t="s">
        <v>87</v>
      </c>
      <c r="C71" s="1">
        <v>2017</v>
      </c>
      <c r="D71" s="1">
        <v>1</v>
      </c>
      <c r="E71" s="1">
        <v>7</v>
      </c>
      <c r="F71" s="1">
        <v>0</v>
      </c>
      <c r="G71" s="1">
        <v>0</v>
      </c>
      <c r="H71" s="1">
        <v>0</v>
      </c>
      <c r="I71" s="1">
        <v>0</v>
      </c>
      <c r="J71" s="5">
        <v>1.56493574676715E-5</v>
      </c>
      <c r="K71" s="1">
        <v>1.28097563142633E-3</v>
      </c>
      <c r="L71" s="1">
        <v>1.33191176589369E-2</v>
      </c>
      <c r="M71" s="1">
        <v>4.4566341160031303E-2</v>
      </c>
      <c r="N71" s="1">
        <v>6.74234897865226E-2</v>
      </c>
      <c r="O71" s="1">
        <v>7.8227225641522694E-2</v>
      </c>
      <c r="P71" s="1">
        <v>6.96497370907945E-2</v>
      </c>
      <c r="Q71" s="1">
        <v>6.8204695614949101E-2</v>
      </c>
      <c r="R71" s="1">
        <v>5.8402897251366999E-2</v>
      </c>
      <c r="S71" s="1">
        <v>5.3020401713957999E-2</v>
      </c>
      <c r="T71" s="1">
        <v>4.6153488898042903E-2</v>
      </c>
      <c r="U71" s="1">
        <v>4.0159280169941899E-2</v>
      </c>
      <c r="V71" s="1">
        <v>4.1480893648985898E-2</v>
      </c>
      <c r="W71" s="1">
        <v>3.5387109573772099E-2</v>
      </c>
      <c r="X71" s="1">
        <v>3.1072556479035899E-2</v>
      </c>
      <c r="Y71" s="1">
        <v>3.3331364543200299E-2</v>
      </c>
      <c r="Z71" s="1">
        <v>3.3307890506998797E-2</v>
      </c>
      <c r="AA71" s="1">
        <v>3.2068562359155797E-2</v>
      </c>
      <c r="AB71" s="1">
        <v>2.84280674759908E-2</v>
      </c>
      <c r="AC71" s="1">
        <v>2.7810927491983502E-2</v>
      </c>
      <c r="AD71" s="1">
        <v>2.6079654219874501E-2</v>
      </c>
      <c r="AE71" s="1">
        <v>2.1075141147108001E-2</v>
      </c>
      <c r="AF71" s="1">
        <v>1.7910942030741402E-2</v>
      </c>
      <c r="AG71" s="1">
        <v>1.69170816270485E-2</v>
      </c>
      <c r="AH71" s="1">
        <v>1.5151606936602899E-2</v>
      </c>
      <c r="AI71" s="1">
        <v>1.45917637936466E-2</v>
      </c>
      <c r="AJ71" s="1">
        <v>1.3221182970268201E-2</v>
      </c>
      <c r="AK71" s="1">
        <v>1.19010839451727E-2</v>
      </c>
      <c r="AL71" s="1">
        <v>1.06592317074156E-2</v>
      </c>
      <c r="AM71" s="1">
        <v>9.48477267036597E-3</v>
      </c>
      <c r="AN71" s="1">
        <v>7.5445047533661304E-3</v>
      </c>
      <c r="AO71" s="1">
        <v>6.3902384356296499E-3</v>
      </c>
      <c r="AP71" s="1">
        <v>5.3914560566042302E-3</v>
      </c>
      <c r="AQ71" s="1">
        <v>4.1393812546948097E-3</v>
      </c>
      <c r="AR71" s="1">
        <v>3.09024328188228E-3</v>
      </c>
      <c r="AS71" s="1">
        <v>2.51777968935521E-3</v>
      </c>
      <c r="AT71" s="1">
        <v>1.0623263426139101E-2</v>
      </c>
    </row>
    <row r="72" spans="1:46" ht="15.75" customHeight="1" x14ac:dyDescent="0.25">
      <c r="A72" s="1">
        <v>2</v>
      </c>
      <c r="B72" s="1" t="s">
        <v>87</v>
      </c>
      <c r="C72" s="1">
        <v>2018</v>
      </c>
      <c r="D72" s="1">
        <v>1</v>
      </c>
      <c r="E72" s="1">
        <v>13</v>
      </c>
      <c r="F72" s="1">
        <v>0</v>
      </c>
      <c r="G72" s="1">
        <v>0</v>
      </c>
      <c r="H72" s="1">
        <v>0</v>
      </c>
      <c r="I72" s="1">
        <v>0</v>
      </c>
      <c r="J72" s="5">
        <v>9.7001372962676305E-6</v>
      </c>
      <c r="K72" s="1">
        <v>1.08152161422169E-3</v>
      </c>
      <c r="L72" s="1">
        <v>1.3726043828715799E-2</v>
      </c>
      <c r="M72" s="1">
        <v>4.6087886564671901E-2</v>
      </c>
      <c r="N72" s="1">
        <v>6.4377451742472405E-2</v>
      </c>
      <c r="O72" s="1">
        <v>6.2294281716630699E-2</v>
      </c>
      <c r="P72" s="1">
        <v>6.4086622400832904E-2</v>
      </c>
      <c r="Q72" s="1">
        <v>5.6662958767337998E-2</v>
      </c>
      <c r="R72" s="1">
        <v>5.2331978547490998E-2</v>
      </c>
      <c r="S72" s="1">
        <v>4.5333198405297398E-2</v>
      </c>
      <c r="T72" s="1">
        <v>4.2675622951993002E-2</v>
      </c>
      <c r="U72" s="1">
        <v>4.23403128005896E-2</v>
      </c>
      <c r="V72" s="1">
        <v>4.2348789497145801E-2</v>
      </c>
      <c r="W72" s="1">
        <v>4.2748505064651401E-2</v>
      </c>
      <c r="X72" s="1">
        <v>4.22196291104441E-2</v>
      </c>
      <c r="Y72" s="1">
        <v>3.87279292382849E-2</v>
      </c>
      <c r="Z72" s="1">
        <v>3.3898396916859398E-2</v>
      </c>
      <c r="AA72" s="1">
        <v>3.3622773195846598E-2</v>
      </c>
      <c r="AB72" s="1">
        <v>3.3127279696118297E-2</v>
      </c>
      <c r="AC72" s="1">
        <v>3.0691758737136501E-2</v>
      </c>
      <c r="AD72" s="1">
        <v>2.6106477620603499E-2</v>
      </c>
      <c r="AE72" s="1">
        <v>2.1707334273809699E-2</v>
      </c>
      <c r="AF72" s="1">
        <v>1.9678257806404E-2</v>
      </c>
      <c r="AG72" s="1">
        <v>1.7939748514764799E-2</v>
      </c>
      <c r="AH72" s="1">
        <v>1.6677944168631401E-2</v>
      </c>
      <c r="AI72" s="1">
        <v>1.49707200044883E-2</v>
      </c>
      <c r="AJ72" s="1">
        <v>1.24561997291477E-2</v>
      </c>
      <c r="AK72" s="1">
        <v>1.1826302525260299E-2</v>
      </c>
      <c r="AL72" s="1">
        <v>1.0246141420835899E-2</v>
      </c>
      <c r="AM72" s="1">
        <v>9.3213949985917408E-3</v>
      </c>
      <c r="AN72" s="1">
        <v>7.81883499253745E-3</v>
      </c>
      <c r="AO72" s="1">
        <v>7.0019261326679898E-3</v>
      </c>
      <c r="AP72" s="1">
        <v>6.1360796431957397E-3</v>
      </c>
      <c r="AQ72" s="1">
        <v>4.9549349972826499E-3</v>
      </c>
      <c r="AR72" s="1">
        <v>4.0709990625822298E-3</v>
      </c>
      <c r="AS72" s="1">
        <v>3.28624921645175E-3</v>
      </c>
      <c r="AT72" s="1">
        <v>1.7407813958707299E-2</v>
      </c>
    </row>
    <row r="73" spans="1:46" ht="15.75" customHeight="1" x14ac:dyDescent="0.25">
      <c r="A73" s="1">
        <v>2</v>
      </c>
      <c r="B73" s="1" t="s">
        <v>87</v>
      </c>
      <c r="C73" s="1">
        <v>2019</v>
      </c>
      <c r="D73" s="1">
        <v>1</v>
      </c>
      <c r="E73" s="1">
        <v>5</v>
      </c>
      <c r="F73" s="1">
        <v>0</v>
      </c>
      <c r="G73" s="1">
        <v>0</v>
      </c>
      <c r="H73" s="1">
        <v>0</v>
      </c>
      <c r="I73" s="1">
        <v>0</v>
      </c>
      <c r="J73" s="5">
        <v>1.9251463408922098E-5</v>
      </c>
      <c r="K73" s="1">
        <v>1.3420453151663E-3</v>
      </c>
      <c r="L73" s="1">
        <v>1.485538181606E-2</v>
      </c>
      <c r="M73" s="1">
        <v>4.3383668963743398E-2</v>
      </c>
      <c r="N73" s="1">
        <v>5.4062574797889403E-2</v>
      </c>
      <c r="O73" s="1">
        <v>5.9284087692995903E-2</v>
      </c>
      <c r="P73" s="1">
        <v>5.4485213883758501E-2</v>
      </c>
      <c r="Q73" s="1">
        <v>5.72217002495546E-2</v>
      </c>
      <c r="R73" s="1">
        <v>5.6712429578345297E-2</v>
      </c>
      <c r="S73" s="1">
        <v>5.2109940542748402E-2</v>
      </c>
      <c r="T73" s="1">
        <v>4.4181314648696499E-2</v>
      </c>
      <c r="U73" s="1">
        <v>4.5268923096953198E-2</v>
      </c>
      <c r="V73" s="1">
        <v>4.0377463641527403E-2</v>
      </c>
      <c r="W73" s="1">
        <v>4.0447324622145397E-2</v>
      </c>
      <c r="X73" s="1">
        <v>4.0383616171070502E-2</v>
      </c>
      <c r="Y73" s="1">
        <v>3.8281634222989101E-2</v>
      </c>
      <c r="Z73" s="1">
        <v>3.5409196801161003E-2</v>
      </c>
      <c r="AA73" s="1">
        <v>3.3723006768973302E-2</v>
      </c>
      <c r="AB73" s="1">
        <v>2.91759897336114E-2</v>
      </c>
      <c r="AC73" s="1">
        <v>2.68331660242235E-2</v>
      </c>
      <c r="AD73" s="1">
        <v>2.5536470805850399E-2</v>
      </c>
      <c r="AE73" s="1">
        <v>2.4217944031034201E-2</v>
      </c>
      <c r="AF73" s="1">
        <v>2.3068016412567199E-2</v>
      </c>
      <c r="AG73" s="1">
        <v>1.9584692347721901E-2</v>
      </c>
      <c r="AH73" s="1">
        <v>1.6681789981220899E-2</v>
      </c>
      <c r="AI73" s="1">
        <v>1.49729745178104E-2</v>
      </c>
      <c r="AJ73" s="1">
        <v>1.3399613938694601E-2</v>
      </c>
      <c r="AK73" s="1">
        <v>1.2520397620122199E-2</v>
      </c>
      <c r="AL73" s="1">
        <v>1.0617579007410401E-2</v>
      </c>
      <c r="AM73" s="1">
        <v>9.5775038115912901E-3</v>
      </c>
      <c r="AN73" s="1">
        <v>9.1629027078671908E-3</v>
      </c>
      <c r="AO73" s="1">
        <v>7.9769530212690995E-3</v>
      </c>
      <c r="AP73" s="1">
        <v>6.8514370522794396E-3</v>
      </c>
      <c r="AQ73" s="1">
        <v>6.0183647052799404E-3</v>
      </c>
      <c r="AR73" s="1">
        <v>4.7930189827368004E-3</v>
      </c>
      <c r="AS73" s="1">
        <v>4.41235602584698E-3</v>
      </c>
      <c r="AT73" s="1">
        <v>2.30500549956754E-2</v>
      </c>
    </row>
    <row r="74" spans="1:46" ht="15.75" customHeight="1" x14ac:dyDescent="0.25">
      <c r="A74" s="1">
        <v>2</v>
      </c>
      <c r="B74" s="1" t="s">
        <v>87</v>
      </c>
      <c r="C74" s="1">
        <v>2020</v>
      </c>
      <c r="D74" s="1">
        <v>1</v>
      </c>
      <c r="E74" s="1">
        <v>2</v>
      </c>
      <c r="F74" s="1">
        <v>0</v>
      </c>
      <c r="G74" s="1">
        <v>0</v>
      </c>
      <c r="H74" s="1">
        <v>0</v>
      </c>
      <c r="I74" s="1">
        <v>0</v>
      </c>
      <c r="J74" s="5">
        <v>2.4817050931280701E-5</v>
      </c>
      <c r="K74" s="1">
        <v>1.9164897870864301E-3</v>
      </c>
      <c r="L74" s="1">
        <v>1.8356810077618801E-2</v>
      </c>
      <c r="M74" s="1">
        <v>4.26347175484992E-2</v>
      </c>
      <c r="N74" s="1">
        <v>6.24720459622937E-2</v>
      </c>
      <c r="O74" s="1">
        <v>6.1329903932916999E-2</v>
      </c>
      <c r="P74" s="1">
        <v>5.2109951247042902E-2</v>
      </c>
      <c r="Q74" s="1">
        <v>4.82393278315697E-2</v>
      </c>
      <c r="R74" s="1">
        <v>5.1226994036100197E-2</v>
      </c>
      <c r="S74" s="1">
        <v>4.7260587957763098E-2</v>
      </c>
      <c r="T74" s="1">
        <v>5.0719359865084503E-2</v>
      </c>
      <c r="U74" s="1">
        <v>4.74182738263208E-2</v>
      </c>
      <c r="V74" s="1">
        <v>4.21648666404182E-2</v>
      </c>
      <c r="W74" s="1">
        <v>3.8946597052515103E-2</v>
      </c>
      <c r="X74" s="1">
        <v>4.0310280059025497E-2</v>
      </c>
      <c r="Y74" s="1">
        <v>3.3540662598529301E-2</v>
      </c>
      <c r="Z74" s="1">
        <v>3.3933552764396399E-2</v>
      </c>
      <c r="AA74" s="1">
        <v>3.02812636284648E-2</v>
      </c>
      <c r="AB74" s="1">
        <v>2.4241657845924601E-2</v>
      </c>
      <c r="AC74" s="1">
        <v>2.5588331413032701E-2</v>
      </c>
      <c r="AD74" s="1">
        <v>2.6784847879843102E-2</v>
      </c>
      <c r="AE74" s="1">
        <v>2.75195998933703E-2</v>
      </c>
      <c r="AF74" s="1">
        <v>2.4732421999172399E-2</v>
      </c>
      <c r="AG74" s="1">
        <v>1.98606118267469E-2</v>
      </c>
      <c r="AH74" s="1">
        <v>1.9616623966467399E-2</v>
      </c>
      <c r="AI74" s="1">
        <v>1.8563154096597999E-2</v>
      </c>
      <c r="AJ74" s="1">
        <v>1.6532756834169701E-2</v>
      </c>
      <c r="AK74" s="1">
        <v>1.6225192708583101E-2</v>
      </c>
      <c r="AL74" s="1">
        <v>1.4543070688999399E-2</v>
      </c>
      <c r="AM74" s="1">
        <v>1.17624456116204E-2</v>
      </c>
      <c r="AN74" s="1">
        <v>9.6154918627957293E-3</v>
      </c>
      <c r="AO74" s="1">
        <v>7.7696888443731099E-3</v>
      </c>
      <c r="AP74" s="1">
        <v>6.1986858674423703E-3</v>
      </c>
      <c r="AQ74" s="1">
        <v>4.8680457882954997E-3</v>
      </c>
      <c r="AR74" s="1">
        <v>3.5335019033841501E-3</v>
      </c>
      <c r="AS74" s="1">
        <v>3.3422154209250699E-3</v>
      </c>
      <c r="AT74" s="1">
        <v>1.5815153681679201E-2</v>
      </c>
    </row>
    <row r="75" spans="1:46" ht="15.75" customHeight="1" x14ac:dyDescent="0.25">
      <c r="A75" s="1">
        <v>2</v>
      </c>
      <c r="B75" s="1" t="s">
        <v>87</v>
      </c>
      <c r="C75" s="1">
        <v>2021</v>
      </c>
      <c r="D75" s="1">
        <v>1</v>
      </c>
      <c r="E75" s="1">
        <v>5</v>
      </c>
      <c r="F75" s="1">
        <v>0</v>
      </c>
      <c r="G75" s="1">
        <v>0</v>
      </c>
      <c r="H75" s="1">
        <v>0</v>
      </c>
      <c r="I75" s="1">
        <v>0</v>
      </c>
      <c r="J75" s="5">
        <v>1.8312146796752902E-5</v>
      </c>
      <c r="K75" s="1">
        <v>1.45108331779887E-3</v>
      </c>
      <c r="L75" s="1">
        <v>1.44161861271291E-2</v>
      </c>
      <c r="M75" s="1">
        <v>4.3344851467914003E-2</v>
      </c>
      <c r="N75" s="1">
        <v>6.0722770146344897E-2</v>
      </c>
      <c r="O75" s="1">
        <v>5.9910554421848498E-2</v>
      </c>
      <c r="P75" s="1">
        <v>6.20662438824056E-2</v>
      </c>
      <c r="Q75" s="1">
        <v>5.3588337178884199E-2</v>
      </c>
      <c r="R75" s="1">
        <v>5.4083793914688399E-2</v>
      </c>
      <c r="S75" s="1">
        <v>4.7652732563235503E-2</v>
      </c>
      <c r="T75" s="1">
        <v>4.4232681955868998E-2</v>
      </c>
      <c r="U75" s="1">
        <v>4.0972708317130201E-2</v>
      </c>
      <c r="V75" s="1">
        <v>3.6606804464542501E-2</v>
      </c>
      <c r="W75" s="1">
        <v>3.3382837856022099E-2</v>
      </c>
      <c r="X75" s="1">
        <v>3.5355200094153202E-2</v>
      </c>
      <c r="Y75" s="1">
        <v>3.229521978897E-2</v>
      </c>
      <c r="Z75" s="1">
        <v>3.0968926550184898E-2</v>
      </c>
      <c r="AA75" s="1">
        <v>3.03559840186397E-2</v>
      </c>
      <c r="AB75" s="1">
        <v>3.1185688872099299E-2</v>
      </c>
      <c r="AC75" s="1">
        <v>2.8755214332361799E-2</v>
      </c>
      <c r="AD75" s="1">
        <v>2.7668830792059999E-2</v>
      </c>
      <c r="AE75" s="1">
        <v>2.5809839260502E-2</v>
      </c>
      <c r="AF75" s="1">
        <v>2.4229645020063102E-2</v>
      </c>
      <c r="AG75" s="1">
        <v>2.3650137588006302E-2</v>
      </c>
      <c r="AH75" s="1">
        <v>2.13492883570548E-2</v>
      </c>
      <c r="AI75" s="1">
        <v>1.8278711697264399E-2</v>
      </c>
      <c r="AJ75" s="1">
        <v>1.5133754800765901E-2</v>
      </c>
      <c r="AK75" s="1">
        <v>1.2763772071795101E-2</v>
      </c>
      <c r="AL75" s="1">
        <v>1.0808693208168799E-2</v>
      </c>
      <c r="AM75" s="1">
        <v>1.0470021369658E-2</v>
      </c>
      <c r="AN75" s="1">
        <v>9.3904277264831894E-3</v>
      </c>
      <c r="AO75" s="1">
        <v>7.6386342677466296E-3</v>
      </c>
      <c r="AP75" s="1">
        <v>6.2845641770788701E-3</v>
      </c>
      <c r="AQ75" s="1">
        <v>6.2571988341129396E-3</v>
      </c>
      <c r="AR75" s="1">
        <v>5.7183279075882602E-3</v>
      </c>
      <c r="AS75" s="1">
        <v>4.8364642989266599E-3</v>
      </c>
      <c r="AT75" s="1">
        <v>2.83455572057063E-2</v>
      </c>
    </row>
    <row r="76" spans="1:46" ht="15.75" customHeight="1" x14ac:dyDescent="0.25">
      <c r="A76" s="1">
        <v>2</v>
      </c>
      <c r="B76" s="1" t="s">
        <v>87</v>
      </c>
      <c r="C76" s="1">
        <v>2022</v>
      </c>
      <c r="D76" s="1">
        <v>1</v>
      </c>
      <c r="E76" s="1">
        <v>6</v>
      </c>
      <c r="F76" s="1">
        <v>0</v>
      </c>
      <c r="G76" s="1">
        <v>0</v>
      </c>
      <c r="H76" s="1">
        <v>0</v>
      </c>
      <c r="I76" s="1">
        <v>0</v>
      </c>
      <c r="J76" s="5">
        <v>8.9899171844891799E-6</v>
      </c>
      <c r="K76" s="1">
        <v>1.15202179628388E-3</v>
      </c>
      <c r="L76" s="1">
        <v>1.39040552728981E-2</v>
      </c>
      <c r="M76" s="1">
        <v>4.4195351556617302E-2</v>
      </c>
      <c r="N76" s="1">
        <v>5.55805239021884E-2</v>
      </c>
      <c r="O76" s="1">
        <v>5.6740682557821699E-2</v>
      </c>
      <c r="P76" s="1">
        <v>5.3657009723875E-2</v>
      </c>
      <c r="Q76" s="1">
        <v>5.1488930426243501E-2</v>
      </c>
      <c r="R76" s="1">
        <v>5.1174677043787101E-2</v>
      </c>
      <c r="S76" s="1">
        <v>4.7699056944563403E-2</v>
      </c>
      <c r="T76" s="1">
        <v>4.4214643787655501E-2</v>
      </c>
      <c r="U76" s="1">
        <v>4.1866109947999601E-2</v>
      </c>
      <c r="V76" s="1">
        <v>3.7985024897805302E-2</v>
      </c>
      <c r="W76" s="1">
        <v>3.3687975723286398E-2</v>
      </c>
      <c r="X76" s="1">
        <v>3.2721658055703998E-2</v>
      </c>
      <c r="Y76" s="1">
        <v>3.2393230789219601E-2</v>
      </c>
      <c r="Z76" s="1">
        <v>3.0897098586253498E-2</v>
      </c>
      <c r="AA76" s="1">
        <v>2.8240151529319399E-2</v>
      </c>
      <c r="AB76" s="1">
        <v>2.7728316828304699E-2</v>
      </c>
      <c r="AC76" s="1">
        <v>2.7129863947118301E-2</v>
      </c>
      <c r="AD76" s="1">
        <v>2.4005244337090399E-2</v>
      </c>
      <c r="AE76" s="1">
        <v>2.35954484771113E-2</v>
      </c>
      <c r="AF76" s="1">
        <v>2.1990190491095601E-2</v>
      </c>
      <c r="AG76" s="1">
        <v>2.0437625231350901E-2</v>
      </c>
      <c r="AH76" s="1">
        <v>1.8156745439995799E-2</v>
      </c>
      <c r="AI76" s="1">
        <v>1.7300012894297299E-2</v>
      </c>
      <c r="AJ76" s="1">
        <v>1.56763157350783E-2</v>
      </c>
      <c r="AK76" s="1">
        <v>1.5102667150940999E-2</v>
      </c>
      <c r="AL76" s="1">
        <v>1.42398319607305E-2</v>
      </c>
      <c r="AM76" s="1">
        <v>1.29620169436972E-2</v>
      </c>
      <c r="AN76" s="1">
        <v>1.14531544930392E-2</v>
      </c>
      <c r="AO76" s="1">
        <v>1.07154563252434E-2</v>
      </c>
      <c r="AP76" s="1">
        <v>1.01332771627559E-2</v>
      </c>
      <c r="AQ76" s="1">
        <v>9.1667626356731098E-3</v>
      </c>
      <c r="AR76" s="1">
        <v>7.9869836498341999E-3</v>
      </c>
      <c r="AS76" s="1">
        <v>7.4752801884864096E-3</v>
      </c>
      <c r="AT76" s="1">
        <v>4.7137613649450301E-2</v>
      </c>
    </row>
    <row r="77" spans="1:46" ht="15.75" customHeight="1" x14ac:dyDescent="0.25">
      <c r="A77" s="1">
        <v>2</v>
      </c>
      <c r="B77" s="1" t="s">
        <v>87</v>
      </c>
      <c r="C77" s="1">
        <v>2023</v>
      </c>
      <c r="D77" s="1">
        <v>1</v>
      </c>
      <c r="E77" s="1">
        <v>8</v>
      </c>
      <c r="F77" s="1">
        <v>0</v>
      </c>
      <c r="G77" s="1">
        <v>0</v>
      </c>
      <c r="H77" s="1">
        <v>0</v>
      </c>
      <c r="I77" s="1">
        <v>0</v>
      </c>
      <c r="J77" s="5">
        <v>1.30063656869777E-5</v>
      </c>
      <c r="K77" s="1">
        <v>1.4771515315924601E-3</v>
      </c>
      <c r="L77" s="1">
        <v>1.96396121873363E-2</v>
      </c>
      <c r="M77" s="1">
        <v>5.5797308797134099E-2</v>
      </c>
      <c r="N77" s="1">
        <v>7.8620383824044904E-2</v>
      </c>
      <c r="O77" s="1">
        <v>7.9182754302319899E-2</v>
      </c>
      <c r="P77" s="1">
        <v>7.30590270164925E-2</v>
      </c>
      <c r="Q77" s="1">
        <v>6.4102802314389806E-2</v>
      </c>
      <c r="R77" s="1">
        <v>4.9297842058127303E-2</v>
      </c>
      <c r="S77" s="1">
        <v>3.6540661821692202E-2</v>
      </c>
      <c r="T77" s="1">
        <v>2.60368860530883E-2</v>
      </c>
      <c r="U77" s="1">
        <v>3.1876744246541203E-2</v>
      </c>
      <c r="V77" s="1">
        <v>3.0073401321529299E-2</v>
      </c>
      <c r="W77" s="1">
        <v>3.2992401392135301E-2</v>
      </c>
      <c r="X77" s="1">
        <v>3.3534126845510402E-2</v>
      </c>
      <c r="Y77" s="1">
        <v>3.10986332580616E-2</v>
      </c>
      <c r="Z77" s="1">
        <v>3.4518481632740697E-2</v>
      </c>
      <c r="AA77" s="1">
        <v>2.9053330641222098E-2</v>
      </c>
      <c r="AB77" s="1">
        <v>2.6150020789540099E-2</v>
      </c>
      <c r="AC77" s="1">
        <v>2.1305046346016401E-2</v>
      </c>
      <c r="AD77" s="1">
        <v>1.74136656026221E-2</v>
      </c>
      <c r="AE77" s="1">
        <v>1.9775456451178001E-2</v>
      </c>
      <c r="AF77" s="1">
        <v>2.0841152636514201E-2</v>
      </c>
      <c r="AG77" s="1">
        <v>1.58031472101758E-2</v>
      </c>
      <c r="AH77" s="1">
        <v>1.5633238655249099E-2</v>
      </c>
      <c r="AI77" s="1">
        <v>1.37260512549904E-2</v>
      </c>
      <c r="AJ77" s="1">
        <v>1.2590161984994399E-2</v>
      </c>
      <c r="AK77" s="1">
        <v>1.34341306029049E-2</v>
      </c>
      <c r="AL77" s="1">
        <v>1.30113204929536E-2</v>
      </c>
      <c r="AM77" s="1">
        <v>1.1613445856977E-2</v>
      </c>
      <c r="AN77" s="1">
        <v>1.07568837738775E-2</v>
      </c>
      <c r="AO77" s="1">
        <v>1.0310125435042301E-2</v>
      </c>
      <c r="AP77" s="1">
        <v>7.9662957581493107E-3</v>
      </c>
      <c r="AQ77" s="1">
        <v>6.8840835528931697E-3</v>
      </c>
      <c r="AR77" s="1">
        <v>5.0873470358492601E-3</v>
      </c>
      <c r="AS77" s="1">
        <v>5.8024906983840299E-3</v>
      </c>
      <c r="AT77" s="1">
        <v>4.4981380252042701E-2</v>
      </c>
    </row>
    <row r="78" spans="1:46" ht="15.75" customHeight="1" x14ac:dyDescent="0.25">
      <c r="A78" s="1">
        <v>2</v>
      </c>
      <c r="B78" s="1" t="s">
        <v>87</v>
      </c>
      <c r="C78" s="1">
        <v>2024</v>
      </c>
      <c r="D78" s="1">
        <v>1</v>
      </c>
      <c r="E78" s="1">
        <v>14</v>
      </c>
      <c r="F78" s="1">
        <v>0</v>
      </c>
      <c r="G78" s="1">
        <v>0</v>
      </c>
      <c r="H78" s="1">
        <v>0</v>
      </c>
      <c r="I78" s="1">
        <v>0</v>
      </c>
      <c r="J78" s="5">
        <v>2.0573960471483099E-5</v>
      </c>
      <c r="K78" s="1">
        <v>1.5018991144182599E-3</v>
      </c>
      <c r="L78" s="1">
        <v>1.5840464844244999E-2</v>
      </c>
      <c r="M78" s="1">
        <v>4.0526460075116198E-2</v>
      </c>
      <c r="N78" s="1">
        <v>5.2865427739531498E-2</v>
      </c>
      <c r="O78" s="1">
        <v>5.0811955592060802E-2</v>
      </c>
      <c r="P78" s="1">
        <v>5.5394858312755001E-2</v>
      </c>
      <c r="Q78" s="1">
        <v>5.1720815598455698E-2</v>
      </c>
      <c r="R78" s="1">
        <v>5.4070913351280801E-2</v>
      </c>
      <c r="S78" s="1">
        <v>5.3460481823065002E-2</v>
      </c>
      <c r="T78" s="1">
        <v>4.8688277455764699E-2</v>
      </c>
      <c r="U78" s="1">
        <v>4.47451824851966E-2</v>
      </c>
      <c r="V78" s="1">
        <v>4.3831444117040402E-2</v>
      </c>
      <c r="W78" s="1">
        <v>4.1523872952612499E-2</v>
      </c>
      <c r="X78" s="1">
        <v>3.6545292672541599E-2</v>
      </c>
      <c r="Y78" s="1">
        <v>3.4233373403065599E-2</v>
      </c>
      <c r="Z78" s="1">
        <v>3.1459706587750297E-2</v>
      </c>
      <c r="AA78" s="1">
        <v>2.70208215903565E-2</v>
      </c>
      <c r="AB78" s="1">
        <v>2.5747993376033101E-2</v>
      </c>
      <c r="AC78" s="1">
        <v>2.1618354093767399E-2</v>
      </c>
      <c r="AD78" s="1">
        <v>2.25364405669717E-2</v>
      </c>
      <c r="AE78" s="1">
        <v>1.9408244113222499E-2</v>
      </c>
      <c r="AF78" s="1">
        <v>1.7446082171761801E-2</v>
      </c>
      <c r="AG78" s="1">
        <v>1.8167231301690099E-2</v>
      </c>
      <c r="AH78" s="1">
        <v>1.55959104481253E-2</v>
      </c>
      <c r="AI78" s="1">
        <v>1.57706830607902E-2</v>
      </c>
      <c r="AJ78" s="1">
        <v>1.3169985985315101E-2</v>
      </c>
      <c r="AK78" s="1">
        <v>1.1411124467688501E-2</v>
      </c>
      <c r="AL78" s="1">
        <v>1.13946865095799E-2</v>
      </c>
      <c r="AM78" s="1">
        <v>1.14047613871304E-2</v>
      </c>
      <c r="AN78" s="1">
        <v>1.1075365916901401E-2</v>
      </c>
      <c r="AO78" s="1">
        <v>1.0900699355579E-2</v>
      </c>
      <c r="AP78" s="1">
        <v>1.05550780299266E-2</v>
      </c>
      <c r="AQ78" s="1">
        <v>8.7458421245477595E-3</v>
      </c>
      <c r="AR78" s="1">
        <v>7.3913543763942397E-3</v>
      </c>
      <c r="AS78" s="1">
        <v>7.0146600073493597E-3</v>
      </c>
      <c r="AT78" s="1">
        <v>5.6383681031497802E-2</v>
      </c>
    </row>
    <row r="79" spans="1:46" ht="15.75" customHeight="1" x14ac:dyDescent="0.25">
      <c r="A79" s="1">
        <v>4</v>
      </c>
      <c r="B79" s="1" t="s">
        <v>111</v>
      </c>
      <c r="C79" s="1">
        <v>1990</v>
      </c>
      <c r="D79" s="1">
        <v>1</v>
      </c>
      <c r="E79" s="1">
        <v>13</v>
      </c>
      <c r="F79" s="1">
        <v>0</v>
      </c>
      <c r="G79" s="1">
        <v>0</v>
      </c>
      <c r="H79" s="1">
        <v>0</v>
      </c>
      <c r="I79" s="1">
        <v>0</v>
      </c>
      <c r="J79" s="5">
        <v>8.2622594877879496E-6</v>
      </c>
      <c r="K79" s="1">
        <v>4.4616201234054899E-4</v>
      </c>
      <c r="L79" s="1">
        <v>6.1985199987510597E-3</v>
      </c>
      <c r="M79" s="1">
        <v>3.1607177597748101E-2</v>
      </c>
      <c r="N79" s="1">
        <v>4.2796102327122998E-2</v>
      </c>
      <c r="O79" s="1">
        <v>3.9031682402588197E-2</v>
      </c>
      <c r="P79" s="1">
        <v>3.6130380376172999E-2</v>
      </c>
      <c r="Q79" s="1">
        <v>4.05920004995785E-2</v>
      </c>
      <c r="R79" s="1">
        <v>3.9677003297698299E-2</v>
      </c>
      <c r="S79" s="1">
        <v>4.1096478692257299E-2</v>
      </c>
      <c r="T79" s="1">
        <v>4.3258692785654397E-2</v>
      </c>
      <c r="U79" s="1">
        <v>4.5475091929645897E-2</v>
      </c>
      <c r="V79" s="1">
        <v>4.6340899865738298E-2</v>
      </c>
      <c r="W79" s="1">
        <v>4.9330684926900598E-2</v>
      </c>
      <c r="X79" s="1">
        <v>5.1298063412841599E-2</v>
      </c>
      <c r="Y79" s="1">
        <v>4.80930753138578E-2</v>
      </c>
      <c r="Z79" s="1">
        <v>4.9274578420611503E-2</v>
      </c>
      <c r="AA79" s="1">
        <v>4.41752271520904E-2</v>
      </c>
      <c r="AB79" s="1">
        <v>4.0867921537356702E-2</v>
      </c>
      <c r="AC79" s="1">
        <v>3.8705419225605303E-2</v>
      </c>
      <c r="AD79" s="1">
        <v>3.8139070159552903E-2</v>
      </c>
      <c r="AE79" s="1">
        <v>3.5299254715372402E-2</v>
      </c>
      <c r="AF79" s="1">
        <v>3.0787964962255401E-2</v>
      </c>
      <c r="AG79" s="1">
        <v>2.5467934507182599E-2</v>
      </c>
      <c r="AH79" s="1">
        <v>2.3274208540390199E-2</v>
      </c>
      <c r="AI79" s="1">
        <v>1.9405069280486902E-2</v>
      </c>
      <c r="AJ79" s="1">
        <v>1.6126777646745201E-2</v>
      </c>
      <c r="AK79" s="1">
        <v>1.26921755922287E-2</v>
      </c>
      <c r="AL79" s="1">
        <v>9.9973339802234204E-3</v>
      </c>
      <c r="AM79" s="1">
        <v>8.4251989307099102E-3</v>
      </c>
      <c r="AN79" s="1">
        <v>7.2907714884796696E-3</v>
      </c>
      <c r="AO79" s="1">
        <v>6.2801818657815204E-3</v>
      </c>
      <c r="AP79" s="1">
        <v>5.1474837336766398E-3</v>
      </c>
      <c r="AQ79" s="1">
        <v>4.4414448386097304E-3</v>
      </c>
      <c r="AR79" s="1">
        <v>3.80448227577213E-3</v>
      </c>
      <c r="AS79" s="1">
        <v>3.3002923014475798E-3</v>
      </c>
      <c r="AT79" s="1">
        <v>1.5716931147037001E-2</v>
      </c>
    </row>
    <row r="80" spans="1:46" ht="15.75" customHeight="1" x14ac:dyDescent="0.25">
      <c r="A80" s="1">
        <v>4</v>
      </c>
      <c r="B80" s="1" t="s">
        <v>111</v>
      </c>
      <c r="C80" s="1">
        <v>1991</v>
      </c>
      <c r="D80" s="1">
        <v>1</v>
      </c>
      <c r="E80" s="1">
        <v>5</v>
      </c>
      <c r="F80" s="1">
        <v>0</v>
      </c>
      <c r="G80" s="1">
        <v>0</v>
      </c>
      <c r="H80" s="1">
        <v>0</v>
      </c>
      <c r="I80" s="1">
        <v>0</v>
      </c>
      <c r="J80" s="5">
        <v>1.88455596347267E-5</v>
      </c>
      <c r="K80" s="1">
        <v>6.1294410352947203E-4</v>
      </c>
      <c r="L80" s="1">
        <v>6.7646290780651796E-3</v>
      </c>
      <c r="M80" s="1">
        <v>2.6643296113095599E-2</v>
      </c>
      <c r="N80" s="1">
        <v>3.7464818082036402E-2</v>
      </c>
      <c r="O80" s="1">
        <v>3.8988991335444999E-2</v>
      </c>
      <c r="P80" s="1">
        <v>4.4151129957357302E-2</v>
      </c>
      <c r="Q80" s="1">
        <v>4.69652972149429E-2</v>
      </c>
      <c r="R80" s="1">
        <v>4.8027136370099602E-2</v>
      </c>
      <c r="S80" s="1">
        <v>4.6624918603015701E-2</v>
      </c>
      <c r="T80" s="1">
        <v>4.83496734890939E-2</v>
      </c>
      <c r="U80" s="1">
        <v>5.1341328845206702E-2</v>
      </c>
      <c r="V80" s="1">
        <v>4.6882577565890503E-2</v>
      </c>
      <c r="W80" s="1">
        <v>4.2252285352358303E-2</v>
      </c>
      <c r="X80" s="1">
        <v>4.3614572159068603E-2</v>
      </c>
      <c r="Y80" s="1">
        <v>4.3088055027798403E-2</v>
      </c>
      <c r="Z80" s="1">
        <v>4.4982728894189701E-2</v>
      </c>
      <c r="AA80" s="1">
        <v>4.0037159736276501E-2</v>
      </c>
      <c r="AB80" s="1">
        <v>3.68628414763272E-2</v>
      </c>
      <c r="AC80" s="1">
        <v>3.3943556158647803E-2</v>
      </c>
      <c r="AD80" s="1">
        <v>3.3317713659794503E-2</v>
      </c>
      <c r="AE80" s="1">
        <v>3.3307981936376602E-2</v>
      </c>
      <c r="AF80" s="1">
        <v>3.26645296522909E-2</v>
      </c>
      <c r="AG80" s="1">
        <v>2.9982976435249602E-2</v>
      </c>
      <c r="AH80" s="1">
        <v>2.7170044952066201E-2</v>
      </c>
      <c r="AI80" s="1">
        <v>2.3673112337222399E-2</v>
      </c>
      <c r="AJ80" s="1">
        <v>1.7873545831435599E-2</v>
      </c>
      <c r="AK80" s="1">
        <v>1.35869533735367E-2</v>
      </c>
      <c r="AL80" s="1">
        <v>1.07302291349726E-2</v>
      </c>
      <c r="AM80" s="1">
        <v>8.9156488970288696E-3</v>
      </c>
      <c r="AN80" s="1">
        <v>7.0816052122492697E-3</v>
      </c>
      <c r="AO80" s="1">
        <v>6.1267377787897403E-3</v>
      </c>
      <c r="AP80" s="1">
        <v>5.0345449148771603E-3</v>
      </c>
      <c r="AQ80" s="1">
        <v>4.22449479418448E-3</v>
      </c>
      <c r="AR80" s="1">
        <v>3.2858468997548299E-3</v>
      </c>
      <c r="AS80" s="1">
        <v>2.7399435575488902E-3</v>
      </c>
      <c r="AT80" s="1">
        <v>1.2667305510542E-2</v>
      </c>
    </row>
    <row r="81" spans="1:46" ht="15.75" customHeight="1" x14ac:dyDescent="0.25">
      <c r="A81" s="1">
        <v>4</v>
      </c>
      <c r="B81" s="1" t="s">
        <v>111</v>
      </c>
      <c r="C81" s="1">
        <v>1992</v>
      </c>
      <c r="D81" s="1">
        <v>1</v>
      </c>
      <c r="E81" s="1">
        <v>9</v>
      </c>
      <c r="F81" s="1">
        <v>0</v>
      </c>
      <c r="G81" s="1">
        <v>0</v>
      </c>
      <c r="H81" s="1">
        <v>0</v>
      </c>
      <c r="I81" s="1">
        <v>0</v>
      </c>
      <c r="J81" s="5">
        <v>1.78686021618864E-5</v>
      </c>
      <c r="K81" s="1">
        <v>5.3605806485659303E-4</v>
      </c>
      <c r="L81" s="1">
        <v>7.6248899145201802E-3</v>
      </c>
      <c r="M81" s="1">
        <v>3.6034895235789899E-2</v>
      </c>
      <c r="N81" s="1">
        <v>4.5128941620060398E-2</v>
      </c>
      <c r="O81" s="1">
        <v>4.2142502578737098E-2</v>
      </c>
      <c r="P81" s="1">
        <v>4.3797373386956599E-2</v>
      </c>
      <c r="Q81" s="1">
        <v>4.8006024816152897E-2</v>
      </c>
      <c r="R81" s="1">
        <v>4.8361014379102403E-2</v>
      </c>
      <c r="S81" s="1">
        <v>5.3242716489729801E-2</v>
      </c>
      <c r="T81" s="1">
        <v>5.1930208098932E-2</v>
      </c>
      <c r="U81" s="1">
        <v>5.35200371952822E-2</v>
      </c>
      <c r="V81" s="1">
        <v>5.0885252244504901E-2</v>
      </c>
      <c r="W81" s="1">
        <v>5.3204120309060098E-2</v>
      </c>
      <c r="X81" s="1">
        <v>5.1610598368263101E-2</v>
      </c>
      <c r="Y81" s="1">
        <v>5.3444274322115903E-2</v>
      </c>
      <c r="Z81" s="1">
        <v>4.9066824164496897E-2</v>
      </c>
      <c r="AA81" s="1">
        <v>4.9224425235564799E-2</v>
      </c>
      <c r="AB81" s="1">
        <v>4.2291526720767199E-2</v>
      </c>
      <c r="AC81" s="1">
        <v>3.82521505160512E-2</v>
      </c>
      <c r="AD81" s="1">
        <v>3.4428507901436298E-2</v>
      </c>
      <c r="AE81" s="1">
        <v>2.9607320790130499E-2</v>
      </c>
      <c r="AF81" s="1">
        <v>2.3595131782727801E-2</v>
      </c>
      <c r="AG81" s="1">
        <v>1.84318205020291E-2</v>
      </c>
      <c r="AH81" s="1">
        <v>1.5528649146780199E-2</v>
      </c>
      <c r="AI81" s="1">
        <v>1.3730710397251201E-2</v>
      </c>
      <c r="AJ81" s="1">
        <v>1.0554149428925399E-2</v>
      </c>
      <c r="AK81" s="1">
        <v>8.5235614792486605E-3</v>
      </c>
      <c r="AL81" s="1">
        <v>5.9413102188272402E-3</v>
      </c>
      <c r="AM81" s="1">
        <v>4.6987276244896603E-3</v>
      </c>
      <c r="AN81" s="1">
        <v>3.1620278385674299E-3</v>
      </c>
      <c r="AO81" s="1">
        <v>2.1347023382733699E-3</v>
      </c>
      <c r="AP81" s="1">
        <v>1.95661193672657E-3</v>
      </c>
      <c r="AQ81" s="1">
        <v>1.8165220957773801E-3</v>
      </c>
      <c r="AR81" s="1">
        <v>1.45926917655406E-3</v>
      </c>
      <c r="AS81" s="1">
        <v>1.0295888565679001E-3</v>
      </c>
      <c r="AT81" s="1">
        <v>5.0796862225810802E-3</v>
      </c>
    </row>
    <row r="82" spans="1:46" ht="15.75" customHeight="1" x14ac:dyDescent="0.25">
      <c r="A82" s="1">
        <v>4</v>
      </c>
      <c r="B82" s="1" t="s">
        <v>111</v>
      </c>
      <c r="C82" s="1">
        <v>1993</v>
      </c>
      <c r="D82" s="1">
        <v>1</v>
      </c>
      <c r="E82" s="1">
        <v>6</v>
      </c>
      <c r="F82" s="1">
        <v>0</v>
      </c>
      <c r="G82" s="1">
        <v>0</v>
      </c>
      <c r="H82" s="1">
        <v>0</v>
      </c>
      <c r="I82" s="1">
        <v>0</v>
      </c>
      <c r="J82" s="5">
        <v>1.6378076694438599E-5</v>
      </c>
      <c r="K82" s="1">
        <v>6.2840094264451397E-4</v>
      </c>
      <c r="L82" s="1">
        <v>8.1129664909938403E-3</v>
      </c>
      <c r="M82" s="1">
        <v>3.4561728593934603E-2</v>
      </c>
      <c r="N82" s="1">
        <v>4.3107959863799103E-2</v>
      </c>
      <c r="O82" s="1">
        <v>3.9913911656869798E-2</v>
      </c>
      <c r="P82" s="1">
        <v>3.7595875052083901E-2</v>
      </c>
      <c r="Q82" s="1">
        <v>4.0634654781929701E-2</v>
      </c>
      <c r="R82" s="1">
        <v>3.91224842008129E-2</v>
      </c>
      <c r="S82" s="1">
        <v>4.6385837963282703E-2</v>
      </c>
      <c r="T82" s="1">
        <v>5.3325832461542003E-2</v>
      </c>
      <c r="U82" s="1">
        <v>5.8982410699883699E-2</v>
      </c>
      <c r="V82" s="1">
        <v>5.7485109688397401E-2</v>
      </c>
      <c r="W82" s="1">
        <v>5.6194043142655498E-2</v>
      </c>
      <c r="X82" s="1">
        <v>5.2640108250466902E-2</v>
      </c>
      <c r="Y82" s="1">
        <v>5.4141611531631398E-2</v>
      </c>
      <c r="Z82" s="1">
        <v>5.0539296662891399E-2</v>
      </c>
      <c r="AA82" s="1">
        <v>4.6061401194026401E-2</v>
      </c>
      <c r="AB82" s="1">
        <v>4.04353163484776E-2</v>
      </c>
      <c r="AC82" s="1">
        <v>3.3438968336328999E-2</v>
      </c>
      <c r="AD82" s="1">
        <v>2.91944604603597E-2</v>
      </c>
      <c r="AE82" s="1">
        <v>2.69178000493282E-2</v>
      </c>
      <c r="AF82" s="1">
        <v>2.4776258771025801E-2</v>
      </c>
      <c r="AG82" s="1">
        <v>2.1600312648864101E-2</v>
      </c>
      <c r="AH82" s="1">
        <v>1.80654495959841E-2</v>
      </c>
      <c r="AI82" s="1">
        <v>1.6524617380652001E-2</v>
      </c>
      <c r="AJ82" s="1">
        <v>1.3032531278085799E-2</v>
      </c>
      <c r="AK82" s="1">
        <v>1.04622507421047E-2</v>
      </c>
      <c r="AL82" s="1">
        <v>7.6567508546500603E-3</v>
      </c>
      <c r="AM82" s="1">
        <v>6.4518847125631402E-3</v>
      </c>
      <c r="AN82" s="1">
        <v>5.6353513889417202E-3</v>
      </c>
      <c r="AO82" s="1">
        <v>4.6723851296114702E-3</v>
      </c>
      <c r="AP82" s="1">
        <v>3.6482165836862102E-3</v>
      </c>
      <c r="AQ82" s="1">
        <v>3.1678648343190499E-3</v>
      </c>
      <c r="AR82" s="1">
        <v>2.6648854789924799E-3</v>
      </c>
      <c r="AS82" s="1">
        <v>2.1269949601856498E-3</v>
      </c>
      <c r="AT82" s="1">
        <v>1.0077689191299101E-2</v>
      </c>
    </row>
    <row r="83" spans="1:46" ht="15.75" customHeight="1" x14ac:dyDescent="0.25">
      <c r="A83" s="1">
        <v>4</v>
      </c>
      <c r="B83" s="1" t="s">
        <v>111</v>
      </c>
      <c r="C83" s="1">
        <v>1994</v>
      </c>
      <c r="D83" s="1">
        <v>1</v>
      </c>
      <c r="E83" s="1">
        <v>10</v>
      </c>
      <c r="F83" s="1">
        <v>0</v>
      </c>
      <c r="G83" s="1">
        <v>0</v>
      </c>
      <c r="H83" s="1">
        <v>0</v>
      </c>
      <c r="I83" s="1">
        <v>0</v>
      </c>
      <c r="J83" s="5">
        <v>1.93360449749245E-5</v>
      </c>
      <c r="K83" s="1">
        <v>6.6736210781510104E-4</v>
      </c>
      <c r="L83" s="1">
        <v>8.4031228786859199E-3</v>
      </c>
      <c r="M83" s="1">
        <v>4.0355042012481197E-2</v>
      </c>
      <c r="N83" s="1">
        <v>5.5056881541748801E-2</v>
      </c>
      <c r="O83" s="1">
        <v>5.1133454786373898E-2</v>
      </c>
      <c r="P83" s="1">
        <v>4.9956104492345103E-2</v>
      </c>
      <c r="Q83" s="1">
        <v>4.9729085001343203E-2</v>
      </c>
      <c r="R83" s="1">
        <v>4.7561299514709998E-2</v>
      </c>
      <c r="S83" s="1">
        <v>5.1974662261509798E-2</v>
      </c>
      <c r="T83" s="1">
        <v>5.2192819398564898E-2</v>
      </c>
      <c r="U83" s="1">
        <v>4.8576441875893599E-2</v>
      </c>
      <c r="V83" s="1">
        <v>4.8456128707160699E-2</v>
      </c>
      <c r="W83" s="1">
        <v>4.5004286604229699E-2</v>
      </c>
      <c r="X83" s="1">
        <v>4.30822300224862E-2</v>
      </c>
      <c r="Y83" s="1">
        <v>4.2976418887484498E-2</v>
      </c>
      <c r="Z83" s="1">
        <v>4.5641659938588403E-2</v>
      </c>
      <c r="AA83" s="1">
        <v>4.2470369525247298E-2</v>
      </c>
      <c r="AB83" s="1">
        <v>3.8974931802396001E-2</v>
      </c>
      <c r="AC83" s="1">
        <v>3.38780935769687E-2</v>
      </c>
      <c r="AD83" s="1">
        <v>3.1057985128611999E-2</v>
      </c>
      <c r="AE83" s="1">
        <v>2.65252939190735E-2</v>
      </c>
      <c r="AF83" s="1">
        <v>2.2784306328785999E-2</v>
      </c>
      <c r="AG83" s="1">
        <v>2.1701487810190202E-2</v>
      </c>
      <c r="AH83" s="1">
        <v>1.79692730551229E-2</v>
      </c>
      <c r="AI83" s="1">
        <v>1.55682017666163E-2</v>
      </c>
      <c r="AJ83" s="1">
        <v>1.2559835435934299E-2</v>
      </c>
      <c r="AK83" s="1">
        <v>1.05315201255554E-2</v>
      </c>
      <c r="AL83" s="1">
        <v>8.5404446054985796E-3</v>
      </c>
      <c r="AM83" s="1">
        <v>7.2553137644799899E-3</v>
      </c>
      <c r="AN83" s="1">
        <v>5.6674305896410601E-3</v>
      </c>
      <c r="AO83" s="1">
        <v>4.2593010180875298E-3</v>
      </c>
      <c r="AP83" s="1">
        <v>3.5247998652206099E-3</v>
      </c>
      <c r="AQ83" s="1">
        <v>2.99082066024179E-3</v>
      </c>
      <c r="AR83" s="1">
        <v>2.5002580377298201E-3</v>
      </c>
      <c r="AS83" s="1">
        <v>1.92465262481887E-3</v>
      </c>
      <c r="AT83" s="1">
        <v>8.5293442833833492E-3</v>
      </c>
    </row>
    <row r="84" spans="1:46" ht="15.75" customHeight="1" x14ac:dyDescent="0.25">
      <c r="A84" s="1">
        <v>4</v>
      </c>
      <c r="B84" s="1" t="s">
        <v>111</v>
      </c>
      <c r="C84" s="1">
        <v>1995</v>
      </c>
      <c r="D84" s="1">
        <v>1</v>
      </c>
      <c r="E84" s="1">
        <v>14</v>
      </c>
      <c r="F84" s="1">
        <v>0</v>
      </c>
      <c r="G84" s="1">
        <v>0</v>
      </c>
      <c r="H84" s="1">
        <v>0</v>
      </c>
      <c r="I84" s="1">
        <v>0</v>
      </c>
      <c r="J84" s="5">
        <v>1.7518235060276999E-5</v>
      </c>
      <c r="K84" s="1">
        <v>5.7525691539815399E-4</v>
      </c>
      <c r="L84" s="1">
        <v>7.8356669768542206E-3</v>
      </c>
      <c r="M84" s="1">
        <v>3.3304410777158303E-2</v>
      </c>
      <c r="N84" s="1">
        <v>4.55126741436091E-2</v>
      </c>
      <c r="O84" s="1">
        <v>4.7092010412120203E-2</v>
      </c>
      <c r="P84" s="1">
        <v>5.0193786117322801E-2</v>
      </c>
      <c r="Q84" s="1">
        <v>4.9408010924191698E-2</v>
      </c>
      <c r="R84" s="1">
        <v>4.48646491748836E-2</v>
      </c>
      <c r="S84" s="1">
        <v>4.3279398630433397E-2</v>
      </c>
      <c r="T84" s="1">
        <v>4.5682466268039498E-2</v>
      </c>
      <c r="U84" s="1">
        <v>4.6673070055721501E-2</v>
      </c>
      <c r="V84" s="1">
        <v>4.9103313416946702E-2</v>
      </c>
      <c r="W84" s="1">
        <v>5.0711247829872498E-2</v>
      </c>
      <c r="X84" s="1">
        <v>5.0733257920076401E-2</v>
      </c>
      <c r="Y84" s="1">
        <v>4.7038257878901098E-2</v>
      </c>
      <c r="Z84" s="1">
        <v>4.8197605691479899E-2</v>
      </c>
      <c r="AA84" s="1">
        <v>4.3794839008168399E-2</v>
      </c>
      <c r="AB84" s="1">
        <v>4.2571781716802003E-2</v>
      </c>
      <c r="AC84" s="1">
        <v>3.9781965351326699E-2</v>
      </c>
      <c r="AD84" s="1">
        <v>3.4175830675028503E-2</v>
      </c>
      <c r="AE84" s="1">
        <v>3.1353373495509297E-2</v>
      </c>
      <c r="AF84" s="1">
        <v>2.5332565725198802E-2</v>
      </c>
      <c r="AG84" s="1">
        <v>2.2713814176444601E-2</v>
      </c>
      <c r="AH84" s="1">
        <v>1.8335528103666E-2</v>
      </c>
      <c r="AI84" s="1">
        <v>1.53798874191373E-2</v>
      </c>
      <c r="AJ84" s="1">
        <v>1.23081322791448E-2</v>
      </c>
      <c r="AK84" s="1">
        <v>1.0364955743997199E-2</v>
      </c>
      <c r="AL84" s="1">
        <v>7.6635540605996203E-3</v>
      </c>
      <c r="AM84" s="1">
        <v>6.2302030842574701E-3</v>
      </c>
      <c r="AN84" s="1">
        <v>5.1544037773507204E-3</v>
      </c>
      <c r="AO84" s="1">
        <v>3.9398061465048496E-3</v>
      </c>
      <c r="AP84" s="1">
        <v>3.39681572388866E-3</v>
      </c>
      <c r="AQ84" s="1">
        <v>2.9255452550662501E-3</v>
      </c>
      <c r="AR84" s="1">
        <v>2.50233763628101E-3</v>
      </c>
      <c r="AS84" s="1">
        <v>2.0686490221605699E-3</v>
      </c>
      <c r="AT84" s="1">
        <v>9.7834102313979193E-3</v>
      </c>
    </row>
    <row r="85" spans="1:46" ht="15.75" customHeight="1" x14ac:dyDescent="0.25">
      <c r="A85" s="1">
        <v>4</v>
      </c>
      <c r="B85" s="1" t="s">
        <v>111</v>
      </c>
      <c r="C85" s="1">
        <v>1996</v>
      </c>
      <c r="D85" s="1">
        <v>1</v>
      </c>
      <c r="E85" s="1">
        <v>13</v>
      </c>
      <c r="F85" s="1">
        <v>0</v>
      </c>
      <c r="G85" s="1">
        <v>0</v>
      </c>
      <c r="H85" s="1">
        <v>0</v>
      </c>
      <c r="I85" s="1">
        <v>0</v>
      </c>
      <c r="J85" s="5">
        <v>2.1575875235388301E-5</v>
      </c>
      <c r="K85" s="1">
        <v>7.86296071722658E-4</v>
      </c>
      <c r="L85" s="1">
        <v>9.7725368914101697E-3</v>
      </c>
      <c r="M85" s="1">
        <v>4.6999040429631302E-2</v>
      </c>
      <c r="N85" s="1">
        <v>6.8362604604069302E-2</v>
      </c>
      <c r="O85" s="1">
        <v>6.7629247277769602E-2</v>
      </c>
      <c r="P85" s="1">
        <v>6.8058762897146199E-2</v>
      </c>
      <c r="Q85" s="1">
        <v>6.8080783635788497E-2</v>
      </c>
      <c r="R85" s="1">
        <v>6.6545337586820602E-2</v>
      </c>
      <c r="S85" s="1">
        <v>6.32328846589299E-2</v>
      </c>
      <c r="T85" s="1">
        <v>5.58707289220381E-2</v>
      </c>
      <c r="U85" s="1">
        <v>5.0236311441753403E-2</v>
      </c>
      <c r="V85" s="1">
        <v>4.81883827480191E-2</v>
      </c>
      <c r="W85" s="1">
        <v>4.25022498966805E-2</v>
      </c>
      <c r="X85" s="1">
        <v>4.0689876376907803E-2</v>
      </c>
      <c r="Y85" s="1">
        <v>3.74487128099752E-2</v>
      </c>
      <c r="Z85" s="1">
        <v>3.3569392685822798E-2</v>
      </c>
      <c r="AA85" s="1">
        <v>2.8384954541632802E-2</v>
      </c>
      <c r="AB85" s="1">
        <v>2.96121102496084E-2</v>
      </c>
      <c r="AC85" s="1">
        <v>2.4489730550683101E-2</v>
      </c>
      <c r="AD85" s="1">
        <v>2.2541006396690901E-2</v>
      </c>
      <c r="AE85" s="1">
        <v>2.2117607649159401E-2</v>
      </c>
      <c r="AF85" s="1">
        <v>2.0281767584672001E-2</v>
      </c>
      <c r="AG85" s="1">
        <v>1.61735652376616E-2</v>
      </c>
      <c r="AH85" s="1">
        <v>1.2026659774249601E-2</v>
      </c>
      <c r="AI85" s="1">
        <v>1.0141551087446399E-2</v>
      </c>
      <c r="AJ85" s="1">
        <v>8.5840842998361495E-3</v>
      </c>
      <c r="AK85" s="1">
        <v>7.2790774956503499E-3</v>
      </c>
      <c r="AL85" s="1">
        <v>6.4082573766137997E-3</v>
      </c>
      <c r="AM85" s="1">
        <v>4.6888603088864602E-3</v>
      </c>
      <c r="AN85" s="1">
        <v>3.2308204927218101E-3</v>
      </c>
      <c r="AO85" s="1">
        <v>2.8174311718458401E-3</v>
      </c>
      <c r="AP85" s="1">
        <v>2.1727128793739502E-3</v>
      </c>
      <c r="AQ85" s="1">
        <v>1.88021518932719E-3</v>
      </c>
      <c r="AR85" s="1">
        <v>1.5868277724666001E-3</v>
      </c>
      <c r="AS85" s="1">
        <v>1.4055459341486499E-3</v>
      </c>
      <c r="AT85" s="1">
        <v>6.1824891976043203E-3</v>
      </c>
    </row>
    <row r="86" spans="1:46" ht="15.75" customHeight="1" x14ac:dyDescent="0.25">
      <c r="A86" s="1">
        <v>4</v>
      </c>
      <c r="B86" s="1" t="s">
        <v>111</v>
      </c>
      <c r="C86" s="1">
        <v>1997</v>
      </c>
      <c r="D86" s="1">
        <v>1</v>
      </c>
      <c r="E86" s="1">
        <v>3</v>
      </c>
      <c r="F86" s="1">
        <v>0</v>
      </c>
      <c r="G86" s="1">
        <v>0</v>
      </c>
      <c r="H86" s="1">
        <v>0</v>
      </c>
      <c r="I86" s="1">
        <v>0</v>
      </c>
      <c r="J86" s="5">
        <v>2.60653175642203E-5</v>
      </c>
      <c r="K86" s="1">
        <v>1.0056363218381699E-3</v>
      </c>
      <c r="L86" s="1">
        <v>1.25895483835184E-2</v>
      </c>
      <c r="M86" s="1">
        <v>4.9196771477026002E-2</v>
      </c>
      <c r="N86" s="1">
        <v>5.7484633207184201E-2</v>
      </c>
      <c r="O86" s="1">
        <v>5.72257985420698E-2</v>
      </c>
      <c r="P86" s="1">
        <v>5.1296544966385603E-2</v>
      </c>
      <c r="Q86" s="1">
        <v>5.9586225207071498E-2</v>
      </c>
      <c r="R86" s="1">
        <v>5.4810361933604002E-2</v>
      </c>
      <c r="S86" s="1">
        <v>5.5565801515334502E-2</v>
      </c>
      <c r="T86" s="1">
        <v>5.33390353741214E-2</v>
      </c>
      <c r="U86" s="1">
        <v>5.6229254772870302E-2</v>
      </c>
      <c r="V86" s="1">
        <v>4.7635883274052403E-2</v>
      </c>
      <c r="W86" s="1">
        <v>5.0822519888822297E-2</v>
      </c>
      <c r="X86" s="1">
        <v>4.8400263865877501E-2</v>
      </c>
      <c r="Y86" s="1">
        <v>4.6863925555028302E-2</v>
      </c>
      <c r="Z86" s="1">
        <v>4.66334293456378E-2</v>
      </c>
      <c r="AA86" s="1">
        <v>4.0157258728736898E-2</v>
      </c>
      <c r="AB86" s="1">
        <v>3.3830660602742299E-2</v>
      </c>
      <c r="AC86" s="1">
        <v>2.92552881149577E-2</v>
      </c>
      <c r="AD86" s="1">
        <v>2.9990875623427098E-2</v>
      </c>
      <c r="AE86" s="1">
        <v>2.23404018332405E-2</v>
      </c>
      <c r="AF86" s="1">
        <v>1.9820249326885898E-2</v>
      </c>
      <c r="AG86" s="1">
        <v>1.50163506827825E-2</v>
      </c>
      <c r="AH86" s="1">
        <v>1.15620899353474E-2</v>
      </c>
      <c r="AI86" s="1">
        <v>9.66114026368705E-3</v>
      </c>
      <c r="AJ86" s="1">
        <v>6.7966830974144198E-3</v>
      </c>
      <c r="AK86" s="1">
        <v>5.0371226192855801E-3</v>
      </c>
      <c r="AL86" s="1">
        <v>4.0740697523052299E-3</v>
      </c>
      <c r="AM86" s="1">
        <v>3.71749014632493E-3</v>
      </c>
      <c r="AN86" s="1">
        <v>3.4460774500602899E-3</v>
      </c>
      <c r="AO86" s="1">
        <v>2.72776579160445E-3</v>
      </c>
      <c r="AP86" s="1">
        <v>2.1731200806448798E-3</v>
      </c>
      <c r="AQ86" s="1">
        <v>2.0180920581553598E-3</v>
      </c>
      <c r="AR86" s="1">
        <v>1.77304776454289E-3</v>
      </c>
      <c r="AS86" s="1">
        <v>1.3190263027847301E-3</v>
      </c>
      <c r="AT86" s="1">
        <v>6.5714908770630803E-3</v>
      </c>
    </row>
    <row r="87" spans="1:46" ht="15.75" customHeight="1" x14ac:dyDescent="0.25">
      <c r="A87" s="1">
        <v>4</v>
      </c>
      <c r="B87" s="1" t="s">
        <v>111</v>
      </c>
      <c r="C87" s="1">
        <v>1998</v>
      </c>
      <c r="D87" s="1">
        <v>1</v>
      </c>
      <c r="E87" s="1">
        <v>9</v>
      </c>
      <c r="F87" s="1">
        <v>0</v>
      </c>
      <c r="G87" s="1">
        <v>0</v>
      </c>
      <c r="H87" s="1">
        <v>0</v>
      </c>
      <c r="I87" s="1">
        <v>0</v>
      </c>
      <c r="J87" s="5">
        <v>2.52241185055639E-5</v>
      </c>
      <c r="K87" s="1">
        <v>7.5406838479791097E-4</v>
      </c>
      <c r="L87" s="1">
        <v>7.8606318774444208E-3</v>
      </c>
      <c r="M87" s="1">
        <v>3.5445860633647602E-2</v>
      </c>
      <c r="N87" s="1">
        <v>5.2482982570576597E-2</v>
      </c>
      <c r="O87" s="1">
        <v>5.0158159648313799E-2</v>
      </c>
      <c r="P87" s="1">
        <v>5.2205959795410303E-2</v>
      </c>
      <c r="Q87" s="1">
        <v>5.1946195627642397E-2</v>
      </c>
      <c r="R87" s="1">
        <v>5.3680021878603802E-2</v>
      </c>
      <c r="S87" s="1">
        <v>5.4243803053622898E-2</v>
      </c>
      <c r="T87" s="1">
        <v>5.2569607503865502E-2</v>
      </c>
      <c r="U87" s="1">
        <v>5.1586862571036902E-2</v>
      </c>
      <c r="V87" s="1">
        <v>5.3296460392381097E-2</v>
      </c>
      <c r="W87" s="1">
        <v>4.7338589980626102E-2</v>
      </c>
      <c r="X87" s="1">
        <v>4.82749800640958E-2</v>
      </c>
      <c r="Y87" s="1">
        <v>4.0783859396338197E-2</v>
      </c>
      <c r="Z87" s="1">
        <v>4.1143856245536001E-2</v>
      </c>
      <c r="AA87" s="1">
        <v>4.0342879850885603E-2</v>
      </c>
      <c r="AB87" s="1">
        <v>4.1271083159050898E-2</v>
      </c>
      <c r="AC87" s="1">
        <v>3.5674869077974403E-2</v>
      </c>
      <c r="AD87" s="1">
        <v>2.9028977644350602E-2</v>
      </c>
      <c r="AE87" s="1">
        <v>2.7718982963541899E-2</v>
      </c>
      <c r="AF87" s="1">
        <v>2.5107622905623701E-2</v>
      </c>
      <c r="AG87" s="1">
        <v>2.1064351594120002E-2</v>
      </c>
      <c r="AH87" s="1">
        <v>1.66887414580957E-2</v>
      </c>
      <c r="AI87" s="1">
        <v>1.2598783400936901E-2</v>
      </c>
      <c r="AJ87" s="1">
        <v>1.0394770730463901E-2</v>
      </c>
      <c r="AK87" s="1">
        <v>8.7523265930358404E-3</v>
      </c>
      <c r="AL87" s="1">
        <v>7.1689599963181702E-3</v>
      </c>
      <c r="AM87" s="1">
        <v>5.7497714340840698E-3</v>
      </c>
      <c r="AN87" s="1">
        <v>4.8180278987601296E-3</v>
      </c>
      <c r="AO87" s="1">
        <v>3.9285458251428701E-3</v>
      </c>
      <c r="AP87" s="1">
        <v>2.8808598503722999E-3</v>
      </c>
      <c r="AQ87" s="1">
        <v>2.3931935592647301E-3</v>
      </c>
      <c r="AR87" s="1">
        <v>2.04614066561581E-3</v>
      </c>
      <c r="AS87" s="1">
        <v>1.53502036958201E-3</v>
      </c>
      <c r="AT87" s="1">
        <v>7.0389672803355396E-3</v>
      </c>
    </row>
    <row r="88" spans="1:46" ht="15.75" customHeight="1" x14ac:dyDescent="0.25">
      <c r="A88" s="1">
        <v>4</v>
      </c>
      <c r="B88" s="1" t="s">
        <v>111</v>
      </c>
      <c r="C88" s="1">
        <v>1999</v>
      </c>
      <c r="D88" s="1">
        <v>1</v>
      </c>
      <c r="E88" s="1">
        <v>5</v>
      </c>
      <c r="F88" s="1">
        <v>0</v>
      </c>
      <c r="G88" s="1">
        <v>0</v>
      </c>
      <c r="H88" s="1">
        <v>0</v>
      </c>
      <c r="I88" s="1">
        <v>0</v>
      </c>
      <c r="J88" s="5">
        <v>2.61191962524041E-5</v>
      </c>
      <c r="K88" s="1">
        <v>8.2269814689390705E-4</v>
      </c>
      <c r="L88" s="1">
        <v>1.1170309597278201E-2</v>
      </c>
      <c r="M88" s="1">
        <v>4.8217845403756399E-2</v>
      </c>
      <c r="N88" s="1">
        <v>6.4232870160457797E-2</v>
      </c>
      <c r="O88" s="1">
        <v>5.7502936996202E-2</v>
      </c>
      <c r="P88" s="1">
        <v>6.22008871481117E-2</v>
      </c>
      <c r="Q88" s="1">
        <v>6.6828733829560394E-2</v>
      </c>
      <c r="R88" s="1">
        <v>6.3152824434903804E-2</v>
      </c>
      <c r="S88" s="1">
        <v>5.9452039615244999E-2</v>
      </c>
      <c r="T88" s="1">
        <v>5.6859115769097197E-2</v>
      </c>
      <c r="U88" s="1">
        <v>4.8315085701492601E-2</v>
      </c>
      <c r="V88" s="1">
        <v>4.99740504089181E-2</v>
      </c>
      <c r="W88" s="1">
        <v>4.6733687092028901E-2</v>
      </c>
      <c r="X88" s="1">
        <v>4.5662800045680303E-2</v>
      </c>
      <c r="Y88" s="1">
        <v>3.9341615342257601E-2</v>
      </c>
      <c r="Z88" s="1">
        <v>3.3081601570317698E-2</v>
      </c>
      <c r="AA88" s="1">
        <v>3.1236523455829699E-2</v>
      </c>
      <c r="AB88" s="1">
        <v>3.2716837383693201E-2</v>
      </c>
      <c r="AC88" s="1">
        <v>3.1788418680539603E-2</v>
      </c>
      <c r="AD88" s="1">
        <v>2.7512898473214201E-2</v>
      </c>
      <c r="AE88" s="1">
        <v>2.3924505346520301E-2</v>
      </c>
      <c r="AF88" s="1">
        <v>1.8520319264772898E-2</v>
      </c>
      <c r="AG88" s="1">
        <v>1.6078230950229901E-2</v>
      </c>
      <c r="AH88" s="1">
        <v>1.2493342997059001E-2</v>
      </c>
      <c r="AI88" s="1">
        <v>1.03119943645855E-2</v>
      </c>
      <c r="AJ88" s="1">
        <v>8.6783573626169792E-3</v>
      </c>
      <c r="AK88" s="1">
        <v>7.0292297550788203E-3</v>
      </c>
      <c r="AL88" s="1">
        <v>5.2012252277514699E-3</v>
      </c>
      <c r="AM88" s="1">
        <v>4.26862293039291E-3</v>
      </c>
      <c r="AN88" s="1">
        <v>3.42783356531552E-3</v>
      </c>
      <c r="AO88" s="1">
        <v>2.8109230252587299E-3</v>
      </c>
      <c r="AP88" s="1">
        <v>2.0441945846199801E-3</v>
      </c>
      <c r="AQ88" s="1">
        <v>1.7462548351607301E-3</v>
      </c>
      <c r="AR88" s="1">
        <v>1.36532162228476E-3</v>
      </c>
      <c r="AS88" s="1">
        <v>1.0309732962312599E-3</v>
      </c>
      <c r="AT88" s="1">
        <v>4.2387724203901602E-3</v>
      </c>
    </row>
    <row r="89" spans="1:46" ht="15.75" customHeight="1" x14ac:dyDescent="0.25">
      <c r="A89" s="1">
        <v>4</v>
      </c>
      <c r="B89" s="1" t="s">
        <v>111</v>
      </c>
      <c r="C89" s="1">
        <v>2000</v>
      </c>
      <c r="D89" s="1">
        <v>1</v>
      </c>
      <c r="E89" s="1">
        <v>6</v>
      </c>
      <c r="F89" s="1">
        <v>0</v>
      </c>
      <c r="G89" s="1">
        <v>0</v>
      </c>
      <c r="H89" s="1">
        <v>0</v>
      </c>
      <c r="I89" s="1">
        <v>0</v>
      </c>
      <c r="J89" s="5">
        <v>2.5056520240177599E-5</v>
      </c>
      <c r="K89" s="1">
        <v>8.7666886865016302E-4</v>
      </c>
      <c r="L89" s="1">
        <v>1.14331973836662E-2</v>
      </c>
      <c r="M89" s="1">
        <v>5.2165355091879299E-2</v>
      </c>
      <c r="N89" s="1">
        <v>7.2251636136637196E-2</v>
      </c>
      <c r="O89" s="1">
        <v>7.0531784427929498E-2</v>
      </c>
      <c r="P89" s="1">
        <v>7.2876115769166402E-2</v>
      </c>
      <c r="Q89" s="1">
        <v>7.6834581957480302E-2</v>
      </c>
      <c r="R89" s="1">
        <v>6.8521849362984402E-2</v>
      </c>
      <c r="S89" s="1">
        <v>6.8874806024639204E-2</v>
      </c>
      <c r="T89" s="1">
        <v>5.8001049589792297E-2</v>
      </c>
      <c r="U89" s="1">
        <v>4.8218334474539298E-2</v>
      </c>
      <c r="V89" s="1">
        <v>4.5096168316710698E-2</v>
      </c>
      <c r="W89" s="1">
        <v>4.3592158422787998E-2</v>
      </c>
      <c r="X89" s="1">
        <v>3.89671423951218E-2</v>
      </c>
      <c r="Y89" s="1">
        <v>3.2692572118310698E-2</v>
      </c>
      <c r="Z89" s="1">
        <v>3.20746659555977E-2</v>
      </c>
      <c r="AA89" s="1">
        <v>2.7595580957848899E-2</v>
      </c>
      <c r="AB89" s="1">
        <v>2.56153425094847E-2</v>
      </c>
      <c r="AC89" s="1">
        <v>2.44512196725237E-2</v>
      </c>
      <c r="AD89" s="1">
        <v>2.3826894709872599E-2</v>
      </c>
      <c r="AE89" s="1">
        <v>2.2036590871724101E-2</v>
      </c>
      <c r="AF89" s="1">
        <v>1.77010395207832E-2</v>
      </c>
      <c r="AG89" s="1">
        <v>1.43781118612772E-2</v>
      </c>
      <c r="AH89" s="1">
        <v>1.1368545374651399E-2</v>
      </c>
      <c r="AI89" s="1">
        <v>8.7015726678527795E-3</v>
      </c>
      <c r="AJ89" s="1">
        <v>6.7097339786366898E-3</v>
      </c>
      <c r="AK89" s="1">
        <v>5.23820475909935E-3</v>
      </c>
      <c r="AL89" s="1">
        <v>3.9836773784321803E-3</v>
      </c>
      <c r="AM89" s="1">
        <v>3.1466813334956301E-3</v>
      </c>
      <c r="AN89" s="1">
        <v>2.4792034748753501E-3</v>
      </c>
      <c r="AO89" s="1">
        <v>1.87421224697748E-3</v>
      </c>
      <c r="AP89" s="1">
        <v>1.4226535380811899E-3</v>
      </c>
      <c r="AQ89" s="1">
        <v>1.09444405691047E-3</v>
      </c>
      <c r="AR89" s="1">
        <v>9.4217156199408495E-4</v>
      </c>
      <c r="AS89" s="1">
        <v>7.9345647427228995E-4</v>
      </c>
      <c r="AT89" s="1">
        <v>3.6075202350734701E-3</v>
      </c>
    </row>
    <row r="90" spans="1:46" ht="15.75" customHeight="1" x14ac:dyDescent="0.25">
      <c r="A90" s="1">
        <v>4</v>
      </c>
      <c r="B90" s="1" t="s">
        <v>111</v>
      </c>
      <c r="C90" s="1">
        <v>2001</v>
      </c>
      <c r="D90" s="1">
        <v>1</v>
      </c>
      <c r="E90" s="1">
        <v>18</v>
      </c>
      <c r="F90" s="1">
        <v>0</v>
      </c>
      <c r="G90" s="1">
        <v>0</v>
      </c>
      <c r="H90" s="1">
        <v>0</v>
      </c>
      <c r="I90" s="1">
        <v>0</v>
      </c>
      <c r="J90" s="5">
        <v>2.7054975710643999E-5</v>
      </c>
      <c r="K90" s="1">
        <v>9.7798727013291E-4</v>
      </c>
      <c r="L90" s="1">
        <v>1.3254647729901399E-2</v>
      </c>
      <c r="M90" s="1">
        <v>5.9717631942392699E-2</v>
      </c>
      <c r="N90" s="1">
        <v>8.6131304525080707E-2</v>
      </c>
      <c r="O90" s="1">
        <v>8.1250815943711904E-2</v>
      </c>
      <c r="P90" s="1">
        <v>7.7445941581865796E-2</v>
      </c>
      <c r="Q90" s="1">
        <v>8.1175663233404596E-2</v>
      </c>
      <c r="R90" s="1">
        <v>8.6650216096250399E-2</v>
      </c>
      <c r="S90" s="1">
        <v>7.9910950479946702E-2</v>
      </c>
      <c r="T90" s="1">
        <v>6.4005058278421803E-2</v>
      </c>
      <c r="U90" s="1">
        <v>4.73281708431533E-2</v>
      </c>
      <c r="V90" s="1">
        <v>3.9831795351010398E-2</v>
      </c>
      <c r="W90" s="1">
        <v>3.2662226787689701E-2</v>
      </c>
      <c r="X90" s="1">
        <v>3.4550492314669098E-2</v>
      </c>
      <c r="Y90" s="1">
        <v>3.55287658808413E-2</v>
      </c>
      <c r="Z90" s="1">
        <v>2.9987219744807201E-2</v>
      </c>
      <c r="AA90" s="1">
        <v>2.6816634257955E-2</v>
      </c>
      <c r="AB90" s="1">
        <v>2.54766256461702E-2</v>
      </c>
      <c r="AC90" s="1">
        <v>2.27880195414225E-2</v>
      </c>
      <c r="AD90" s="1">
        <v>1.9351321886072501E-2</v>
      </c>
      <c r="AE90" s="1">
        <v>1.4807231150841401E-2</v>
      </c>
      <c r="AF90" s="1">
        <v>1.118773347442E-2</v>
      </c>
      <c r="AG90" s="1">
        <v>8.32949696640717E-3</v>
      </c>
      <c r="AH90" s="1">
        <v>5.7725870397218604E-3</v>
      </c>
      <c r="AI90" s="1">
        <v>4.2192878786837702E-3</v>
      </c>
      <c r="AJ90" s="1">
        <v>2.54059105244714E-3</v>
      </c>
      <c r="AK90" s="1">
        <v>1.57749117635607E-3</v>
      </c>
      <c r="AL90" s="1">
        <v>1.3650595152206401E-3</v>
      </c>
      <c r="AM90" s="1">
        <v>1.04283332302668E-3</v>
      </c>
      <c r="AN90" s="1">
        <v>1.09164679772154E-3</v>
      </c>
      <c r="AO90" s="1">
        <v>7.5238599119124296E-4</v>
      </c>
      <c r="AP90" s="1">
        <v>4.4833959749067197E-4</v>
      </c>
      <c r="AQ90" s="1">
        <v>3.4241006296222498E-4</v>
      </c>
      <c r="AR90" s="1">
        <v>3.13494162996351E-4</v>
      </c>
      <c r="AS90" s="1">
        <v>1.9425186264203099E-4</v>
      </c>
      <c r="AT90" s="1">
        <v>1.14661563726063E-3</v>
      </c>
    </row>
    <row r="91" spans="1:46" ht="15.75" customHeight="1" x14ac:dyDescent="0.25">
      <c r="A91" s="1">
        <v>4</v>
      </c>
      <c r="B91" s="1" t="s">
        <v>111</v>
      </c>
      <c r="C91" s="1">
        <v>2002</v>
      </c>
      <c r="D91" s="1">
        <v>1</v>
      </c>
      <c r="E91" s="1">
        <v>11</v>
      </c>
      <c r="F91" s="1">
        <v>0</v>
      </c>
      <c r="G91" s="1">
        <v>0</v>
      </c>
      <c r="H91" s="1">
        <v>0</v>
      </c>
      <c r="I91" s="1">
        <v>0</v>
      </c>
      <c r="J91" s="5">
        <v>2.4039978124815899E-5</v>
      </c>
      <c r="K91" s="1">
        <v>9.1656901671406405E-4</v>
      </c>
      <c r="L91" s="1">
        <v>1.1772951376752201E-2</v>
      </c>
      <c r="M91" s="1">
        <v>5.5337697406642503E-2</v>
      </c>
      <c r="N91" s="1">
        <v>7.7203851539380905E-2</v>
      </c>
      <c r="O91" s="1">
        <v>7.0550937095689603E-2</v>
      </c>
      <c r="P91" s="1">
        <v>7.4738019554309601E-2</v>
      </c>
      <c r="Q91" s="1">
        <v>8.0203646123149896E-2</v>
      </c>
      <c r="R91" s="1">
        <v>8.2412752670186801E-2</v>
      </c>
      <c r="S91" s="1">
        <v>7.9919472053375906E-2</v>
      </c>
      <c r="T91" s="1">
        <v>6.8076433974229994E-2</v>
      </c>
      <c r="U91" s="1">
        <v>5.8861886438611802E-2</v>
      </c>
      <c r="V91" s="1">
        <v>4.8652550255962997E-2</v>
      </c>
      <c r="W91" s="1">
        <v>4.26908748847711E-2</v>
      </c>
      <c r="X91" s="1">
        <v>3.5469552500591299E-2</v>
      </c>
      <c r="Y91" s="1">
        <v>3.30241126362677E-2</v>
      </c>
      <c r="Z91" s="1">
        <v>2.8729567887373301E-2</v>
      </c>
      <c r="AA91" s="1">
        <v>2.6210034657635099E-2</v>
      </c>
      <c r="AB91" s="1">
        <v>2.2081377717990101E-2</v>
      </c>
      <c r="AC91" s="1">
        <v>1.8987516254643198E-2</v>
      </c>
      <c r="AD91" s="1">
        <v>1.6877499866195401E-2</v>
      </c>
      <c r="AE91" s="1">
        <v>1.38778846852482E-2</v>
      </c>
      <c r="AF91" s="1">
        <v>1.1731748528672601E-2</v>
      </c>
      <c r="AG91" s="1">
        <v>9.57771864793662E-3</v>
      </c>
      <c r="AH91" s="1">
        <v>7.6667795907761904E-3</v>
      </c>
      <c r="AI91" s="1">
        <v>5.4628159246316796E-3</v>
      </c>
      <c r="AJ91" s="1">
        <v>4.0037327747128098E-3</v>
      </c>
      <c r="AK91" s="1">
        <v>3.1119213474108702E-3</v>
      </c>
      <c r="AL91" s="1">
        <v>2.4923836027016901E-3</v>
      </c>
      <c r="AM91" s="1">
        <v>1.9483146450410499E-3</v>
      </c>
      <c r="AN91" s="1">
        <v>1.51152857483295E-3</v>
      </c>
      <c r="AO91" s="1">
        <v>1.1988892573291301E-3</v>
      </c>
      <c r="AP91" s="1">
        <v>8.8935958873697198E-4</v>
      </c>
      <c r="AQ91" s="1">
        <v>7.0325906156177903E-4</v>
      </c>
      <c r="AR91" s="1">
        <v>5.82700365294046E-4</v>
      </c>
      <c r="AS91" s="1">
        <v>4.6824136496842998E-4</v>
      </c>
      <c r="AT91" s="1">
        <v>2.0313781515469498E-3</v>
      </c>
    </row>
    <row r="92" spans="1:46" ht="15.75" customHeight="1" x14ac:dyDescent="0.25">
      <c r="A92" s="1">
        <v>4</v>
      </c>
      <c r="B92" s="1" t="s">
        <v>111</v>
      </c>
      <c r="C92" s="1">
        <v>2003</v>
      </c>
      <c r="D92" s="1">
        <v>1</v>
      </c>
      <c r="E92" s="1">
        <v>4</v>
      </c>
      <c r="F92" s="1">
        <v>0</v>
      </c>
      <c r="G92" s="1">
        <v>0</v>
      </c>
      <c r="H92" s="1">
        <v>0</v>
      </c>
      <c r="I92" s="1">
        <v>0</v>
      </c>
      <c r="J92" s="5">
        <v>2.84815814196202E-5</v>
      </c>
      <c r="K92" s="1">
        <v>1.0783715999566599E-3</v>
      </c>
      <c r="L92" s="1">
        <v>1.40677187246319E-2</v>
      </c>
      <c r="M92" s="1">
        <v>5.8161353505858999E-2</v>
      </c>
      <c r="N92" s="1">
        <v>8.3792812536522696E-2</v>
      </c>
      <c r="O92" s="1">
        <v>6.9557914567696E-2</v>
      </c>
      <c r="P92" s="1">
        <v>7.4768516219824097E-2</v>
      </c>
      <c r="Q92" s="1">
        <v>8.0261751189488001E-2</v>
      </c>
      <c r="R92" s="1">
        <v>8.9050883491016905E-2</v>
      </c>
      <c r="S92" s="1">
        <v>8.30765171325442E-2</v>
      </c>
      <c r="T92" s="1">
        <v>7.6880845612696105E-2</v>
      </c>
      <c r="U92" s="1">
        <v>6.2483897266826703E-2</v>
      </c>
      <c r="V92" s="1">
        <v>5.2558338954171599E-2</v>
      </c>
      <c r="W92" s="1">
        <v>4.7090748320268702E-2</v>
      </c>
      <c r="X92" s="1">
        <v>3.7996393860767801E-2</v>
      </c>
      <c r="Y92" s="1">
        <v>2.9234542767495299E-2</v>
      </c>
      <c r="Z92" s="1">
        <v>2.5087799112531398E-2</v>
      </c>
      <c r="AA92" s="1">
        <v>2.0659076889030001E-2</v>
      </c>
      <c r="AB92" s="1">
        <v>1.6680712851424199E-2</v>
      </c>
      <c r="AC92" s="1">
        <v>1.4849707278091699E-2</v>
      </c>
      <c r="AD92" s="1">
        <v>1.3112003436995701E-2</v>
      </c>
      <c r="AE92" s="1">
        <v>1.01382426122215E-2</v>
      </c>
      <c r="AF92" s="1">
        <v>7.9463612160740396E-3</v>
      </c>
      <c r="AG92" s="1">
        <v>6.4216690490436499E-3</v>
      </c>
      <c r="AH92" s="1">
        <v>4.99955422505709E-3</v>
      </c>
      <c r="AI92" s="1">
        <v>3.9481364588576998E-3</v>
      </c>
      <c r="AJ92" s="1">
        <v>3.1653840315667599E-3</v>
      </c>
      <c r="AK92" s="1">
        <v>2.5093255354182698E-3</v>
      </c>
      <c r="AL92" s="1">
        <v>2.0101885491602498E-3</v>
      </c>
      <c r="AM92" s="1">
        <v>1.68532392124374E-3</v>
      </c>
      <c r="AN92" s="1">
        <v>1.3732268987911901E-3</v>
      </c>
      <c r="AO92" s="1">
        <v>1.02904717542919E-3</v>
      </c>
      <c r="AP92" s="1">
        <v>7.8024255613135896E-4</v>
      </c>
      <c r="AQ92" s="1">
        <v>6.2888641272517798E-4</v>
      </c>
      <c r="AR92" s="1">
        <v>4.8320476063631602E-4</v>
      </c>
      <c r="AS92" s="1">
        <v>4.2493209980077099E-4</v>
      </c>
      <c r="AT92" s="1">
        <v>1.9778875985847402E-3</v>
      </c>
    </row>
    <row r="93" spans="1:46" ht="15.75" customHeight="1" x14ac:dyDescent="0.25">
      <c r="A93" s="1">
        <v>4</v>
      </c>
      <c r="B93" s="1" t="s">
        <v>111</v>
      </c>
      <c r="C93" s="1">
        <v>2004</v>
      </c>
      <c r="D93" s="1">
        <v>1</v>
      </c>
      <c r="E93" s="1">
        <v>8</v>
      </c>
      <c r="F93" s="1">
        <v>0</v>
      </c>
      <c r="G93" s="1">
        <v>0</v>
      </c>
      <c r="H93" s="1">
        <v>0</v>
      </c>
      <c r="I93" s="1">
        <v>0</v>
      </c>
      <c r="J93" s="5">
        <v>4.7667967100342099E-5</v>
      </c>
      <c r="K93" s="1">
        <v>1.5021851253783499E-3</v>
      </c>
      <c r="L93" s="1">
        <v>1.85312442911168E-2</v>
      </c>
      <c r="M93" s="1">
        <v>7.1166643004459601E-2</v>
      </c>
      <c r="N93" s="1">
        <v>9.3219991790803106E-2</v>
      </c>
      <c r="O93" s="1">
        <v>8.1919505723548697E-2</v>
      </c>
      <c r="P93" s="1">
        <v>8.0567796775395203E-2</v>
      </c>
      <c r="Q93" s="1">
        <v>8.2289512214122104E-2</v>
      </c>
      <c r="R93" s="1">
        <v>8.7053818165515107E-2</v>
      </c>
      <c r="S93" s="1">
        <v>8.1457770604392896E-2</v>
      </c>
      <c r="T93" s="1">
        <v>7.57018850490839E-2</v>
      </c>
      <c r="U93" s="1">
        <v>6.15921667873826E-2</v>
      </c>
      <c r="V93" s="1">
        <v>5.4055990021162001E-2</v>
      </c>
      <c r="W93" s="1">
        <v>4.5304151261539201E-2</v>
      </c>
      <c r="X93" s="1">
        <v>3.5419274984821399E-2</v>
      </c>
      <c r="Y93" s="1">
        <v>2.7407277429887501E-2</v>
      </c>
      <c r="Z93" s="1">
        <v>2.0523164098308001E-2</v>
      </c>
      <c r="AA93" s="1">
        <v>1.6341609780745399E-2</v>
      </c>
      <c r="AB93" s="1">
        <v>1.3864421479649801E-2</v>
      </c>
      <c r="AC93" s="1">
        <v>1.2542601635191599E-2</v>
      </c>
      <c r="AD93" s="1">
        <v>9.8573920434347102E-3</v>
      </c>
      <c r="AE93" s="1">
        <v>7.6433652760245904E-3</v>
      </c>
      <c r="AF93" s="1">
        <v>5.6799603608645496E-3</v>
      </c>
      <c r="AG93" s="1">
        <v>4.41894938254523E-3</v>
      </c>
      <c r="AH93" s="1">
        <v>3.08424630373565E-3</v>
      </c>
      <c r="AI93" s="1">
        <v>2.4151769997506701E-3</v>
      </c>
      <c r="AJ93" s="1">
        <v>1.7013599284516701E-3</v>
      </c>
      <c r="AK93" s="1">
        <v>1.13269396417894E-3</v>
      </c>
      <c r="AL93" s="1">
        <v>8.5853873718021601E-4</v>
      </c>
      <c r="AM93" s="1">
        <v>6.4003908257972899E-4</v>
      </c>
      <c r="AN93" s="1">
        <v>4.5142853167459099E-4</v>
      </c>
      <c r="AO93" s="1">
        <v>3.3779840469485699E-4</v>
      </c>
      <c r="AP93" s="1">
        <v>2.2803324802055599E-4</v>
      </c>
      <c r="AQ93" s="1">
        <v>1.9479450339383099E-4</v>
      </c>
      <c r="AR93" s="1">
        <v>1.3707761349936201E-4</v>
      </c>
      <c r="AS93" s="1">
        <v>1.2642747310216899E-4</v>
      </c>
      <c r="AT93" s="1">
        <v>5.8403995726545295E-4</v>
      </c>
    </row>
    <row r="94" spans="1:46" ht="15.75" customHeight="1" x14ac:dyDescent="0.25">
      <c r="A94" s="1">
        <v>4</v>
      </c>
      <c r="B94" s="1" t="s">
        <v>111</v>
      </c>
      <c r="C94" s="1">
        <v>2005</v>
      </c>
      <c r="D94" s="1">
        <v>1</v>
      </c>
      <c r="E94" s="1">
        <v>12</v>
      </c>
      <c r="F94" s="1">
        <v>0</v>
      </c>
      <c r="G94" s="1">
        <v>0</v>
      </c>
      <c r="H94" s="1">
        <v>0</v>
      </c>
      <c r="I94" s="1">
        <v>0</v>
      </c>
      <c r="J94" s="5">
        <v>3.7087861143047901E-5</v>
      </c>
      <c r="K94" s="1">
        <v>1.3935218414777601E-3</v>
      </c>
      <c r="L94" s="1">
        <v>1.9596025926596601E-2</v>
      </c>
      <c r="M94" s="1">
        <v>8.7262192270744304E-2</v>
      </c>
      <c r="N94" s="1">
        <v>0.121329665271145</v>
      </c>
      <c r="O94" s="1">
        <v>9.40691783148003E-2</v>
      </c>
      <c r="P94" s="1">
        <v>8.4484693257935894E-2</v>
      </c>
      <c r="Q94" s="1">
        <v>8.8442186205788198E-2</v>
      </c>
      <c r="R94" s="1">
        <v>8.9337567167207393E-2</v>
      </c>
      <c r="S94" s="1">
        <v>8.4474148669963903E-2</v>
      </c>
      <c r="T94" s="1">
        <v>7.7251833122078006E-2</v>
      </c>
      <c r="U94" s="1">
        <v>5.7731073737212903E-2</v>
      </c>
      <c r="V94" s="1">
        <v>4.2893747641103E-2</v>
      </c>
      <c r="W94" s="1">
        <v>3.3957936547760102E-2</v>
      </c>
      <c r="X94" s="1">
        <v>2.4678699132362199E-2</v>
      </c>
      <c r="Y94" s="1">
        <v>1.9128609794249601E-2</v>
      </c>
      <c r="Z94" s="1">
        <v>1.4875050268596099E-2</v>
      </c>
      <c r="AA94" s="1">
        <v>1.1852025978955899E-2</v>
      </c>
      <c r="AB94" s="1">
        <v>1.0463140120120999E-2</v>
      </c>
      <c r="AC94" s="1">
        <v>9.1784275183203097E-3</v>
      </c>
      <c r="AD94" s="1">
        <v>7.2108619437093596E-3</v>
      </c>
      <c r="AE94" s="1">
        <v>5.3319254490358297E-3</v>
      </c>
      <c r="AF94" s="1">
        <v>3.8687729662944099E-3</v>
      </c>
      <c r="AG94" s="1">
        <v>3.2359158847309298E-3</v>
      </c>
      <c r="AH94" s="1">
        <v>2.3038106686504999E-3</v>
      </c>
      <c r="AI94" s="1">
        <v>1.5421459909112901E-3</v>
      </c>
      <c r="AJ94" s="1">
        <v>1.03609666987368E-3</v>
      </c>
      <c r="AK94" s="1">
        <v>6.8857977489849903E-4</v>
      </c>
      <c r="AL94" s="1">
        <v>5.6649889863596699E-4</v>
      </c>
      <c r="AM94" s="1">
        <v>4.1123893090967798E-4</v>
      </c>
      <c r="AN94" s="1">
        <v>3.0679296901418298E-4</v>
      </c>
      <c r="AO94" s="1">
        <v>2.5197929188364903E-4</v>
      </c>
      <c r="AP94" s="1">
        <v>1.7053143996166101E-4</v>
      </c>
      <c r="AQ94" s="1">
        <v>1.51987509390137E-4</v>
      </c>
      <c r="AR94" s="1">
        <v>1.14536041765295E-4</v>
      </c>
      <c r="AS94" s="5">
        <v>7.7629983863144301E-5</v>
      </c>
      <c r="AT94" s="1">
        <v>2.9388493891047498E-4</v>
      </c>
    </row>
    <row r="95" spans="1:46" ht="15.75" customHeight="1" x14ac:dyDescent="0.25">
      <c r="A95" s="1">
        <v>4</v>
      </c>
      <c r="B95" s="1" t="s">
        <v>111</v>
      </c>
      <c r="C95" s="1">
        <v>2006</v>
      </c>
      <c r="D95" s="1">
        <v>1</v>
      </c>
      <c r="E95" s="1">
        <v>7</v>
      </c>
      <c r="F95" s="1">
        <v>0</v>
      </c>
      <c r="G95" s="1">
        <v>0</v>
      </c>
      <c r="H95" s="1">
        <v>0</v>
      </c>
      <c r="I95" s="1">
        <v>0</v>
      </c>
      <c r="J95" s="5">
        <v>6.4399286580951899E-5</v>
      </c>
      <c r="K95" s="1">
        <v>2.00550632657341E-3</v>
      </c>
      <c r="L95" s="1">
        <v>2.3516618704829101E-2</v>
      </c>
      <c r="M95" s="1">
        <v>9.3553531375519999E-2</v>
      </c>
      <c r="N95" s="1">
        <v>0.11931799779992</v>
      </c>
      <c r="O95" s="1">
        <v>0.103617951920118</v>
      </c>
      <c r="P95" s="1">
        <v>0.106200050694118</v>
      </c>
      <c r="Q95" s="1">
        <v>0.104142024561013</v>
      </c>
      <c r="R95" s="1">
        <v>9.1114361503582E-2</v>
      </c>
      <c r="S95" s="1">
        <v>8.5284662978525799E-2</v>
      </c>
      <c r="T95" s="1">
        <v>6.6420548849484895E-2</v>
      </c>
      <c r="U95" s="1">
        <v>4.5175036635691203E-2</v>
      </c>
      <c r="V95" s="1">
        <v>3.7000203701821097E-2</v>
      </c>
      <c r="W95" s="1">
        <v>2.7480363532096999E-2</v>
      </c>
      <c r="X95" s="1">
        <v>2.1855367205357301E-2</v>
      </c>
      <c r="Y95" s="1">
        <v>1.8417945867835399E-2</v>
      </c>
      <c r="Z95" s="1">
        <v>1.2049544184350501E-2</v>
      </c>
      <c r="AA95" s="1">
        <v>9.5323448855649702E-3</v>
      </c>
      <c r="AB95" s="1">
        <v>7.4944513449634702E-3</v>
      </c>
      <c r="AC95" s="1">
        <v>5.6991492916766201E-3</v>
      </c>
      <c r="AD95" s="1">
        <v>5.07566415984628E-3</v>
      </c>
      <c r="AE95" s="1">
        <v>3.5327072722300401E-3</v>
      </c>
      <c r="AF95" s="1">
        <v>2.95373892879352E-3</v>
      </c>
      <c r="AG95" s="1">
        <v>2.00450594930613E-3</v>
      </c>
      <c r="AH95" s="1">
        <v>1.63461645473049E-3</v>
      </c>
      <c r="AI95" s="1">
        <v>1.1816956469708601E-3</v>
      </c>
      <c r="AJ95" s="1">
        <v>8.5532256352176803E-4</v>
      </c>
      <c r="AK95" s="1">
        <v>6.8025654174830698E-4</v>
      </c>
      <c r="AL95" s="1">
        <v>4.40791233393894E-4</v>
      </c>
      <c r="AM95" s="1">
        <v>3.4212902540870698E-4</v>
      </c>
      <c r="AN95" s="1">
        <v>2.6960167353113002E-4</v>
      </c>
      <c r="AO95" s="1">
        <v>2.2008299880092299E-4</v>
      </c>
      <c r="AP95" s="1">
        <v>1.6581253205115001E-4</v>
      </c>
      <c r="AQ95" s="1">
        <v>1.4705545828970799E-4</v>
      </c>
      <c r="AR95" s="1">
        <v>1.1004149940046101E-4</v>
      </c>
      <c r="AS95" s="5">
        <v>9.2284802906296095E-5</v>
      </c>
      <c r="AT95" s="1">
        <v>3.51632609447838E-4</v>
      </c>
    </row>
    <row r="96" spans="1:46" ht="15.75" customHeight="1" x14ac:dyDescent="0.25">
      <c r="A96" s="1">
        <v>4</v>
      </c>
      <c r="B96" s="1" t="s">
        <v>111</v>
      </c>
      <c r="C96" s="1">
        <v>2007</v>
      </c>
      <c r="D96" s="1">
        <v>1</v>
      </c>
      <c r="E96" s="1">
        <v>17</v>
      </c>
      <c r="F96" s="1">
        <v>0</v>
      </c>
      <c r="G96" s="1">
        <v>0</v>
      </c>
      <c r="H96" s="1">
        <v>0</v>
      </c>
      <c r="I96" s="1">
        <v>0</v>
      </c>
      <c r="J96" s="5">
        <v>4.7688250396203E-5</v>
      </c>
      <c r="K96" s="1">
        <v>1.6605925813252501E-3</v>
      </c>
      <c r="L96" s="1">
        <v>1.9383492328426798E-2</v>
      </c>
      <c r="M96" s="1">
        <v>7.5544218176486294E-2</v>
      </c>
      <c r="N96" s="1">
        <v>0.107190031511245</v>
      </c>
      <c r="O96" s="1">
        <v>9.0071594041435304E-2</v>
      </c>
      <c r="P96" s="1">
        <v>8.9531127203611699E-2</v>
      </c>
      <c r="Q96" s="1">
        <v>9.3958597554332807E-2</v>
      </c>
      <c r="R96" s="1">
        <v>9.8083220107997401E-2</v>
      </c>
      <c r="S96" s="1">
        <v>9.4236641979774993E-2</v>
      </c>
      <c r="T96" s="1">
        <v>7.5216841078220395E-2</v>
      </c>
      <c r="U96" s="1">
        <v>5.8798379421697702E-2</v>
      </c>
      <c r="V96" s="1">
        <v>4.71694351203409E-2</v>
      </c>
      <c r="W96" s="1">
        <v>3.5689722154275599E-2</v>
      </c>
      <c r="X96" s="1">
        <v>3.0159803601148099E-2</v>
      </c>
      <c r="Y96" s="1">
        <v>2.2466099203893999E-2</v>
      </c>
      <c r="Z96" s="1">
        <v>1.6204412670548899E-2</v>
      </c>
      <c r="AA96" s="1">
        <v>1.20590978013387E-2</v>
      </c>
      <c r="AB96" s="1">
        <v>7.8822648356022904E-3</v>
      </c>
      <c r="AC96" s="1">
        <v>5.9856976359372099E-3</v>
      </c>
      <c r="AD96" s="1">
        <v>4.8938011441068997E-3</v>
      </c>
      <c r="AE96" s="1">
        <v>3.5789483781541202E-3</v>
      </c>
      <c r="AF96" s="1">
        <v>2.6343647287833498E-3</v>
      </c>
      <c r="AG96" s="1">
        <v>1.9313741410462201E-3</v>
      </c>
      <c r="AH96" s="1">
        <v>1.4306475118860901E-3</v>
      </c>
      <c r="AI96" s="1">
        <v>1.15644007210792E-3</v>
      </c>
      <c r="AJ96" s="1">
        <v>7.7740070257948204E-4</v>
      </c>
      <c r="AK96" s="1">
        <v>5.0648210765622502E-4</v>
      </c>
      <c r="AL96" s="1">
        <v>3.9027625611605198E-4</v>
      </c>
      <c r="AM96" s="1">
        <v>3.0586257150668199E-4</v>
      </c>
      <c r="AN96" s="1">
        <v>2.3679682955355999E-4</v>
      </c>
      <c r="AO96" s="1">
        <v>1.7458284771483499E-4</v>
      </c>
      <c r="AP96" s="1">
        <v>1.4018701194056199E-4</v>
      </c>
      <c r="AQ96" s="1">
        <v>1.1839841477677999E-4</v>
      </c>
      <c r="AR96" s="5">
        <v>8.5372931025386501E-5</v>
      </c>
      <c r="AS96" s="5">
        <v>6.65991083119387E-5</v>
      </c>
      <c r="AT96" s="1">
        <v>2.3350798469864899E-4</v>
      </c>
    </row>
    <row r="97" spans="1:46" ht="15.75" customHeight="1" x14ac:dyDescent="0.25">
      <c r="A97" s="1">
        <v>4</v>
      </c>
      <c r="B97" s="1" t="s">
        <v>111</v>
      </c>
      <c r="C97" s="1">
        <v>2008</v>
      </c>
      <c r="D97" s="1">
        <v>1</v>
      </c>
      <c r="E97" s="1">
        <v>13</v>
      </c>
      <c r="F97" s="1">
        <v>0</v>
      </c>
      <c r="G97" s="1">
        <v>0</v>
      </c>
      <c r="H97" s="1">
        <v>0</v>
      </c>
      <c r="I97" s="1">
        <v>0</v>
      </c>
      <c r="J97" s="5">
        <v>5.0841432187581001E-5</v>
      </c>
      <c r="K97" s="1">
        <v>1.8676444477070599E-3</v>
      </c>
      <c r="L97" s="1">
        <v>2.3280706830792801E-2</v>
      </c>
      <c r="M97" s="1">
        <v>8.9562889489792005E-2</v>
      </c>
      <c r="N97" s="1">
        <v>0.120371759815217</v>
      </c>
      <c r="O97" s="1">
        <v>0.10602980682719999</v>
      </c>
      <c r="P97" s="1">
        <v>9.9763340915018706E-2</v>
      </c>
      <c r="Q97" s="1">
        <v>9.3671188484623094E-2</v>
      </c>
      <c r="R97" s="1">
        <v>9.2546840587597295E-2</v>
      </c>
      <c r="S97" s="1">
        <v>8.3307318170221994E-2</v>
      </c>
      <c r="T97" s="1">
        <v>7.7722153388860293E-2</v>
      </c>
      <c r="U97" s="1">
        <v>6.1940428108204597E-2</v>
      </c>
      <c r="V97" s="1">
        <v>4.4387164250380001E-2</v>
      </c>
      <c r="W97" s="1">
        <v>2.8555246025192198E-2</v>
      </c>
      <c r="X97" s="1">
        <v>2.1986195772975899E-2</v>
      </c>
      <c r="Y97" s="1">
        <v>1.3549241677990299E-2</v>
      </c>
      <c r="Z97" s="1">
        <v>9.6982625848432598E-3</v>
      </c>
      <c r="AA97" s="1">
        <v>7.9219251990241008E-3</v>
      </c>
      <c r="AB97" s="1">
        <v>6.1523320848216696E-3</v>
      </c>
      <c r="AC97" s="1">
        <v>4.54771423016669E-3</v>
      </c>
      <c r="AD97" s="1">
        <v>3.4426912652733401E-3</v>
      </c>
      <c r="AE97" s="1">
        <v>2.5003090043678199E-3</v>
      </c>
      <c r="AF97" s="1">
        <v>1.9738667256704E-3</v>
      </c>
      <c r="AG97" s="1">
        <v>1.3991769654072E-3</v>
      </c>
      <c r="AH97" s="1">
        <v>1.0855683352297299E-3</v>
      </c>
      <c r="AI97" s="1">
        <v>7.0814851975559297E-4</v>
      </c>
      <c r="AJ97" s="1">
        <v>4.6535474155367498E-4</v>
      </c>
      <c r="AK97" s="1">
        <v>3.4862696357198402E-4</v>
      </c>
      <c r="AL97" s="1">
        <v>2.6250780292771399E-4</v>
      </c>
      <c r="AM97" s="1">
        <v>2.0284693862596099E-4</v>
      </c>
      <c r="AN97" s="1">
        <v>1.6186251880127801E-4</v>
      </c>
      <c r="AO97" s="1">
        <v>1.18024753292599E-4</v>
      </c>
      <c r="AP97" s="5">
        <v>9.3382222385352898E-5</v>
      </c>
      <c r="AQ97" s="5">
        <v>6.6923926042836295E-5</v>
      </c>
      <c r="AR97" s="5">
        <v>5.1230524780853297E-5</v>
      </c>
      <c r="AS97" s="5">
        <v>4.4615950695224197E-5</v>
      </c>
      <c r="AT97" s="1">
        <v>1.6186251880127801E-4</v>
      </c>
    </row>
    <row r="98" spans="1:46" ht="15.75" customHeight="1" x14ac:dyDescent="0.25">
      <c r="A98" s="1">
        <v>4</v>
      </c>
      <c r="B98" s="1" t="s">
        <v>111</v>
      </c>
      <c r="C98" s="1">
        <v>2009</v>
      </c>
      <c r="D98" s="1">
        <v>1</v>
      </c>
      <c r="E98" s="1">
        <v>8</v>
      </c>
      <c r="F98" s="1">
        <v>0</v>
      </c>
      <c r="G98" s="1">
        <v>0</v>
      </c>
      <c r="H98" s="1">
        <v>0</v>
      </c>
      <c r="I98" s="1">
        <v>0</v>
      </c>
      <c r="J98" s="5">
        <v>2.4888799527795999E-5</v>
      </c>
      <c r="K98" s="1">
        <v>1.0287370471489001E-3</v>
      </c>
      <c r="L98" s="1">
        <v>1.34460519409725E-2</v>
      </c>
      <c r="M98" s="1">
        <v>6.5032806447207603E-2</v>
      </c>
      <c r="N98" s="1">
        <v>8.9241312121243893E-2</v>
      </c>
      <c r="O98" s="1">
        <v>7.7093056537348201E-2</v>
      </c>
      <c r="P98" s="1">
        <v>8.3705668960909696E-2</v>
      </c>
      <c r="Q98" s="1">
        <v>9.0418243262313194E-2</v>
      </c>
      <c r="R98" s="1">
        <v>9.2489137787728895E-2</v>
      </c>
      <c r="S98" s="1">
        <v>8.8848378165300196E-2</v>
      </c>
      <c r="T98" s="1">
        <v>8.1474217277755806E-2</v>
      </c>
      <c r="U98" s="1">
        <v>7.4472981703397598E-2</v>
      </c>
      <c r="V98" s="1">
        <v>6.4382932237315199E-2</v>
      </c>
      <c r="W98" s="1">
        <v>5.1343885370973598E-2</v>
      </c>
      <c r="X98" s="1">
        <v>3.7383627578318999E-2</v>
      </c>
      <c r="Y98" s="1">
        <v>2.72195624012226E-2</v>
      </c>
      <c r="Z98" s="1">
        <v>1.9966348065631901E-2</v>
      </c>
      <c r="AA98" s="1">
        <v>1.43932090341137E-2</v>
      </c>
      <c r="AB98" s="1">
        <v>9.0892919844157097E-3</v>
      </c>
      <c r="AC98" s="1">
        <v>5.9504564857974802E-3</v>
      </c>
      <c r="AD98" s="1">
        <v>3.7857816144485799E-3</v>
      </c>
      <c r="AE98" s="1">
        <v>2.6209695293584901E-3</v>
      </c>
      <c r="AF98" s="1">
        <v>1.87398019973994E-3</v>
      </c>
      <c r="AG98" s="1">
        <v>1.3583103010267801E-3</v>
      </c>
      <c r="AH98" s="1">
        <v>9.4707575719495704E-4</v>
      </c>
      <c r="AI98" s="1">
        <v>6.7102155589646205E-4</v>
      </c>
      <c r="AJ98" s="1">
        <v>4.4694102420012797E-4</v>
      </c>
      <c r="AK98" s="1">
        <v>3.02569719749677E-4</v>
      </c>
      <c r="AL98" s="1">
        <v>2.2676461791991899E-4</v>
      </c>
      <c r="AM98" s="1">
        <v>1.7023613533227801E-4</v>
      </c>
      <c r="AN98" s="1">
        <v>1.3176423279421401E-4</v>
      </c>
      <c r="AO98" s="5">
        <v>9.2804314579134905E-5</v>
      </c>
      <c r="AP98" s="5">
        <v>7.8570523999512998E-5</v>
      </c>
      <c r="AQ98" s="5">
        <v>5.1729661763654501E-5</v>
      </c>
      <c r="AR98" s="5">
        <v>4.8801567701560799E-5</v>
      </c>
      <c r="AS98" s="5">
        <v>3.8553238484233102E-5</v>
      </c>
      <c r="AT98" s="1">
        <v>1.4933279716677599E-4</v>
      </c>
    </row>
    <row r="99" spans="1:46" ht="15.75" customHeight="1" x14ac:dyDescent="0.25">
      <c r="A99" s="1">
        <v>4</v>
      </c>
      <c r="B99" s="1" t="s">
        <v>111</v>
      </c>
      <c r="C99" s="1">
        <v>2010</v>
      </c>
      <c r="D99" s="1">
        <v>1</v>
      </c>
      <c r="E99" s="1">
        <v>6</v>
      </c>
      <c r="F99" s="1">
        <v>0</v>
      </c>
      <c r="G99" s="1">
        <v>0</v>
      </c>
      <c r="H99" s="1">
        <v>0</v>
      </c>
      <c r="I99" s="1">
        <v>0</v>
      </c>
      <c r="J99" s="5">
        <v>4.08249622294601E-5</v>
      </c>
      <c r="K99" s="1">
        <v>1.29805500344181E-3</v>
      </c>
      <c r="L99" s="1">
        <v>1.5496500078968E-2</v>
      </c>
      <c r="M99" s="1">
        <v>6.7205486636529699E-2</v>
      </c>
      <c r="N99" s="1">
        <v>9.0488528781598396E-2</v>
      </c>
      <c r="O99" s="1">
        <v>9.0603106869023398E-2</v>
      </c>
      <c r="P99" s="1">
        <v>8.9103608986259603E-2</v>
      </c>
      <c r="Q99" s="1">
        <v>8.2955056782456599E-2</v>
      </c>
      <c r="R99" s="1">
        <v>8.6174194451976993E-2</v>
      </c>
      <c r="S99" s="1">
        <v>8.5198269259995393E-2</v>
      </c>
      <c r="T99" s="1">
        <v>8.3173261735686704E-2</v>
      </c>
      <c r="U99" s="1">
        <v>6.9899189162611494E-2</v>
      </c>
      <c r="V99" s="1">
        <v>6.4207012357745896E-2</v>
      </c>
      <c r="W99" s="1">
        <v>4.9689864383647399E-2</v>
      </c>
      <c r="X99" s="1">
        <v>3.7864407486761703E-2</v>
      </c>
      <c r="Y99" s="1">
        <v>2.8525846372985199E-2</v>
      </c>
      <c r="Z99" s="1">
        <v>1.9815751283602401E-2</v>
      </c>
      <c r="AA99" s="1">
        <v>1.39745037681142E-2</v>
      </c>
      <c r="AB99" s="1">
        <v>8.9591422586037892E-3</v>
      </c>
      <c r="AC99" s="1">
        <v>5.6030025716746297E-3</v>
      </c>
      <c r="AD99" s="1">
        <v>3.4094058329037298E-3</v>
      </c>
      <c r="AE99" s="1">
        <v>2.1433105170466601E-3</v>
      </c>
      <c r="AF99" s="1">
        <v>1.33761349786488E-3</v>
      </c>
      <c r="AG99" s="1">
        <v>8.9159333569740703E-4</v>
      </c>
      <c r="AH99" s="1">
        <v>6.0343466069092495E-4</v>
      </c>
      <c r="AI99" s="1">
        <v>4.0988858063228001E-4</v>
      </c>
      <c r="AJ99" s="1">
        <v>2.6141385485981E-4</v>
      </c>
      <c r="AK99" s="1">
        <v>1.7730549289437101E-4</v>
      </c>
      <c r="AL99" s="1">
        <v>1.1368411014992001E-4</v>
      </c>
      <c r="AM99" s="5">
        <v>8.6417803259441095E-5</v>
      </c>
      <c r="AN99" s="5">
        <v>6.1013949025415802E-5</v>
      </c>
      <c r="AO99" s="5">
        <v>5.0062727405469398E-5</v>
      </c>
      <c r="AP99" s="5">
        <v>3.3077159178613699E-5</v>
      </c>
      <c r="AQ99" s="5">
        <v>2.7042812571704401E-5</v>
      </c>
      <c r="AR99" s="5">
        <v>2.52548580215091E-5</v>
      </c>
      <c r="AS99" s="5">
        <v>1.7432556864404501E-5</v>
      </c>
      <c r="AT99" s="5">
        <v>7.6435057020850494E-5</v>
      </c>
    </row>
    <row r="100" spans="1:46" ht="15.75" customHeight="1" x14ac:dyDescent="0.25">
      <c r="A100" s="1">
        <v>4</v>
      </c>
      <c r="B100" s="1" t="s">
        <v>111</v>
      </c>
      <c r="C100" s="1">
        <v>2011</v>
      </c>
      <c r="D100" s="1">
        <v>1</v>
      </c>
      <c r="E100" s="1">
        <v>7</v>
      </c>
      <c r="F100" s="1">
        <v>0</v>
      </c>
      <c r="G100" s="1">
        <v>0</v>
      </c>
      <c r="H100" s="1">
        <v>0</v>
      </c>
      <c r="I100" s="1">
        <v>0</v>
      </c>
      <c r="J100" s="5">
        <v>2.6871499039081601E-5</v>
      </c>
      <c r="K100" s="1">
        <v>1.03854712502397E-3</v>
      </c>
      <c r="L100" s="1">
        <v>1.41211744830182E-2</v>
      </c>
      <c r="M100" s="1">
        <v>6.7106364010202493E-2</v>
      </c>
      <c r="N100" s="1">
        <v>8.74572073395182E-2</v>
      </c>
      <c r="O100" s="1">
        <v>7.7448017771017993E-2</v>
      </c>
      <c r="P100" s="1">
        <v>8.3912509626936402E-2</v>
      </c>
      <c r="Q100" s="1">
        <v>8.8574997143390205E-2</v>
      </c>
      <c r="R100" s="1">
        <v>9.0668311127092394E-2</v>
      </c>
      <c r="S100" s="1">
        <v>8.9866765781881505E-2</v>
      </c>
      <c r="T100" s="1">
        <v>7.6750811309463499E-2</v>
      </c>
      <c r="U100" s="1">
        <v>6.9845804398727201E-2</v>
      </c>
      <c r="V100" s="1">
        <v>6.0654702689861298E-2</v>
      </c>
      <c r="W100" s="1">
        <v>4.8373943457847103E-2</v>
      </c>
      <c r="X100" s="1">
        <v>3.9432189893217701E-2</v>
      </c>
      <c r="Y100" s="1">
        <v>3.29139550392211E-2</v>
      </c>
      <c r="Z100" s="1">
        <v>2.5378315200585699E-2</v>
      </c>
      <c r="AA100" s="1">
        <v>1.7165562003280701E-2</v>
      </c>
      <c r="AB100" s="1">
        <v>1.11630501233345E-2</v>
      </c>
      <c r="AC100" s="1">
        <v>7.0864097030481502E-3</v>
      </c>
      <c r="AD100" s="1">
        <v>4.0583226116321196E-3</v>
      </c>
      <c r="AE100" s="1">
        <v>2.48331384813423E-3</v>
      </c>
      <c r="AF100" s="1">
        <v>1.53385421542001E-3</v>
      </c>
      <c r="AG100" s="1">
        <v>9.3299781348306896E-4</v>
      </c>
      <c r="AH100" s="1">
        <v>6.45803624053365E-4</v>
      </c>
      <c r="AI100" s="1">
        <v>4.0960879616329902E-4</v>
      </c>
      <c r="AJ100" s="1">
        <v>2.73072530775532E-4</v>
      </c>
      <c r="AK100" s="1">
        <v>1.70428246157779E-4</v>
      </c>
      <c r="AL100" s="1">
        <v>1.1539412500266301E-4</v>
      </c>
      <c r="AM100" s="5">
        <v>8.9087492309748194E-5</v>
      </c>
      <c r="AN100" s="5">
        <v>6.9236475001597801E-5</v>
      </c>
      <c r="AO100" s="5">
        <v>4.5189307693350498E-5</v>
      </c>
      <c r="AP100" s="5">
        <v>3.2197381731512201E-5</v>
      </c>
      <c r="AQ100" s="5">
        <v>3.4134066346941601E-5</v>
      </c>
      <c r="AR100" s="5">
        <v>2.2917434615913501E-5</v>
      </c>
      <c r="AS100" s="5">
        <v>2.2110482692817899E-5</v>
      </c>
      <c r="AT100" s="5">
        <v>7.68218230786959E-5</v>
      </c>
    </row>
    <row r="101" spans="1:46" ht="15.75" customHeight="1" x14ac:dyDescent="0.25">
      <c r="A101" s="1">
        <v>4</v>
      </c>
      <c r="B101" s="1" t="s">
        <v>111</v>
      </c>
      <c r="C101" s="1">
        <v>2012</v>
      </c>
      <c r="D101" s="1">
        <v>1</v>
      </c>
      <c r="E101" s="1">
        <v>12</v>
      </c>
      <c r="F101" s="1">
        <v>0</v>
      </c>
      <c r="G101" s="1">
        <v>0</v>
      </c>
      <c r="H101" s="1">
        <v>0</v>
      </c>
      <c r="I101" s="1">
        <v>0</v>
      </c>
      <c r="J101" s="5">
        <v>3.1259237550586203E-5</v>
      </c>
      <c r="K101" s="1">
        <v>1.1334993796496399E-3</v>
      </c>
      <c r="L101" s="1">
        <v>1.3940493488550599E-2</v>
      </c>
      <c r="M101" s="1">
        <v>6.1842599694673303E-2</v>
      </c>
      <c r="N101" s="1">
        <v>8.3427619517066301E-2</v>
      </c>
      <c r="O101" s="1">
        <v>8.6601042293748404E-2</v>
      </c>
      <c r="P101" s="1">
        <v>8.4910508933242396E-2</v>
      </c>
      <c r="Q101" s="1">
        <v>7.7556702895778706E-2</v>
      </c>
      <c r="R101" s="1">
        <v>8.3719935630377204E-2</v>
      </c>
      <c r="S101" s="1">
        <v>8.4431200624133396E-2</v>
      </c>
      <c r="T101" s="1">
        <v>8.5963748108370194E-2</v>
      </c>
      <c r="U101" s="1">
        <v>7.4636639524949699E-2</v>
      </c>
      <c r="V101" s="1">
        <v>6.9744709655659307E-2</v>
      </c>
      <c r="W101" s="1">
        <v>5.6067056602969498E-2</v>
      </c>
      <c r="X101" s="1">
        <v>4.48168288470382E-2</v>
      </c>
      <c r="Y101" s="1">
        <v>3.3162953278892203E-2</v>
      </c>
      <c r="Z101" s="1">
        <v>2.3174641229845399E-2</v>
      </c>
      <c r="AA101" s="1">
        <v>1.4998332371305999E-2</v>
      </c>
      <c r="AB101" s="1">
        <v>8.8248676340258493E-3</v>
      </c>
      <c r="AC101" s="1">
        <v>4.7725252141422002E-3</v>
      </c>
      <c r="AD101" s="1">
        <v>2.4720142992706801E-3</v>
      </c>
      <c r="AE101" s="1">
        <v>1.3509998403244299E-3</v>
      </c>
      <c r="AF101" s="1">
        <v>8.3226546583632796E-4</v>
      </c>
      <c r="AG101" s="1">
        <v>5.0803301388520296E-4</v>
      </c>
      <c r="AH101" s="1">
        <v>3.2855054482598098E-4</v>
      </c>
      <c r="AI101" s="1">
        <v>2.1327623938418E-4</v>
      </c>
      <c r="AJ101" s="1">
        <v>1.30106015751089E-4</v>
      </c>
      <c r="AK101" s="5">
        <v>9.7250961268490404E-5</v>
      </c>
      <c r="AL101" s="5">
        <v>7.8852130758235494E-5</v>
      </c>
      <c r="AM101" s="5">
        <v>5.2568087172157E-5</v>
      </c>
      <c r="AN101" s="5">
        <v>4.1772854985017598E-5</v>
      </c>
      <c r="AO101" s="5">
        <v>3.7173147357453901E-5</v>
      </c>
      <c r="AP101" s="5">
        <v>2.7598245765382399E-5</v>
      </c>
      <c r="AQ101" s="5">
        <v>1.6521398825534999E-5</v>
      </c>
      <c r="AR101" s="5">
        <v>1.6145912488591101E-5</v>
      </c>
      <c r="AS101" s="5">
        <v>7.3219835704075802E-6</v>
      </c>
      <c r="AT101" s="5">
        <v>3.2385696561418099E-5</v>
      </c>
    </row>
    <row r="102" spans="1:46" ht="15.75" customHeight="1" x14ac:dyDescent="0.25">
      <c r="A102" s="1">
        <v>4</v>
      </c>
      <c r="B102" s="1" t="s">
        <v>111</v>
      </c>
      <c r="C102" s="1">
        <v>2013</v>
      </c>
      <c r="D102" s="1">
        <v>1</v>
      </c>
      <c r="E102" s="1">
        <v>18</v>
      </c>
      <c r="F102" s="1">
        <v>0</v>
      </c>
      <c r="G102" s="1">
        <v>0</v>
      </c>
      <c r="H102" s="1">
        <v>0</v>
      </c>
      <c r="I102" s="1">
        <v>0</v>
      </c>
      <c r="J102" s="5">
        <v>2.5930284603140599E-5</v>
      </c>
      <c r="K102" s="1">
        <v>8.8537219181032505E-4</v>
      </c>
      <c r="L102" s="1">
        <v>1.12826143501046E-2</v>
      </c>
      <c r="M102" s="1">
        <v>5.4306570279670098E-2</v>
      </c>
      <c r="N102" s="1">
        <v>6.56651042259324E-2</v>
      </c>
      <c r="O102" s="1">
        <v>6.3413179303284398E-2</v>
      </c>
      <c r="P102" s="1">
        <v>7.1539427532384098E-2</v>
      </c>
      <c r="Q102" s="1">
        <v>7.3446862832091397E-2</v>
      </c>
      <c r="R102" s="1">
        <v>7.6555823759251504E-2</v>
      </c>
      <c r="S102" s="1">
        <v>8.1159117582613099E-2</v>
      </c>
      <c r="T102" s="1">
        <v>7.7712260988047205E-2</v>
      </c>
      <c r="U102" s="1">
        <v>7.8639424600747104E-2</v>
      </c>
      <c r="V102" s="1">
        <v>7.2121388662085506E-2</v>
      </c>
      <c r="W102" s="1">
        <v>6.1671662182034299E-2</v>
      </c>
      <c r="X102" s="1">
        <v>5.1146818073390499E-2</v>
      </c>
      <c r="Y102" s="1">
        <v>4.4995726849490901E-2</v>
      </c>
      <c r="Z102" s="1">
        <v>3.88989912049999E-2</v>
      </c>
      <c r="AA102" s="1">
        <v>2.8771655686097099E-2</v>
      </c>
      <c r="AB102" s="1">
        <v>2.0916918031518902E-2</v>
      </c>
      <c r="AC102" s="1">
        <v>1.2757076272194599E-2</v>
      </c>
      <c r="AD102" s="1">
        <v>6.6655088631227596E-3</v>
      </c>
      <c r="AE102" s="1">
        <v>3.46948990140165E-3</v>
      </c>
      <c r="AF102" s="1">
        <v>1.6761122109452699E-3</v>
      </c>
      <c r="AG102" s="1">
        <v>9.0176797314014598E-4</v>
      </c>
      <c r="AH102" s="1">
        <v>5.0345741583417202E-4</v>
      </c>
      <c r="AI102" s="1">
        <v>3.2346025123505199E-4</v>
      </c>
      <c r="AJ102" s="1">
        <v>1.8792773274234901E-4</v>
      </c>
      <c r="AK102" s="1">
        <v>1.20473349771292E-4</v>
      </c>
      <c r="AL102" s="5">
        <v>7.7790853809421695E-5</v>
      </c>
      <c r="AM102" s="5">
        <v>4.6514118772643903E-5</v>
      </c>
      <c r="AN102" s="5">
        <v>3.2791562659641703E-5</v>
      </c>
      <c r="AO102" s="5">
        <v>2.2989736864640099E-5</v>
      </c>
      <c r="AP102" s="5">
        <v>1.3722556113002201E-5</v>
      </c>
      <c r="AQ102" s="5">
        <v>1.3366126084093101E-5</v>
      </c>
      <c r="AR102" s="5">
        <v>5.7919879697736601E-6</v>
      </c>
      <c r="AS102" s="5">
        <v>5.5246654480918004E-6</v>
      </c>
      <c r="AT102" s="5">
        <v>2.13858017345489E-5</v>
      </c>
    </row>
    <row r="103" spans="1:46" ht="15.75" customHeight="1" x14ac:dyDescent="0.25">
      <c r="A103" s="1">
        <v>4</v>
      </c>
      <c r="B103" s="1" t="s">
        <v>111</v>
      </c>
      <c r="C103" s="1">
        <v>2014</v>
      </c>
      <c r="D103" s="1">
        <v>1</v>
      </c>
      <c r="E103" s="1">
        <v>11</v>
      </c>
      <c r="F103" s="1">
        <v>0</v>
      </c>
      <c r="G103" s="1">
        <v>0</v>
      </c>
      <c r="H103" s="1">
        <v>0</v>
      </c>
      <c r="I103" s="1">
        <v>0</v>
      </c>
      <c r="J103" s="5">
        <v>2.8019580599272799E-5</v>
      </c>
      <c r="K103" s="1">
        <v>1.13521065029574E-3</v>
      </c>
      <c r="L103" s="1">
        <v>1.4023458387733599E-2</v>
      </c>
      <c r="M103" s="1">
        <v>6.1751966420241201E-2</v>
      </c>
      <c r="N103" s="1">
        <v>8.2120151302697897E-2</v>
      </c>
      <c r="O103" s="1">
        <v>7.3746169328476205E-2</v>
      </c>
      <c r="P103" s="1">
        <v>7.7493351614148095E-2</v>
      </c>
      <c r="Q103" s="1">
        <v>7.6442199705650096E-2</v>
      </c>
      <c r="R103" s="1">
        <v>7.4055219987118601E-2</v>
      </c>
      <c r="S103" s="1">
        <v>7.9686472283167595E-2</v>
      </c>
      <c r="T103" s="1">
        <v>7.8179413702804998E-2</v>
      </c>
      <c r="U103" s="1">
        <v>6.7954696666398903E-2</v>
      </c>
      <c r="V103" s="1">
        <v>5.8555076548127402E-2</v>
      </c>
      <c r="W103" s="1">
        <v>5.1128141211396597E-2</v>
      </c>
      <c r="X103" s="1">
        <v>4.9470581794319297E-2</v>
      </c>
      <c r="Y103" s="1">
        <v>4.0915573586632399E-2</v>
      </c>
      <c r="Z103" s="1">
        <v>3.4535917533438598E-2</v>
      </c>
      <c r="AA103" s="1">
        <v>2.79567833278484E-2</v>
      </c>
      <c r="AB103" s="1">
        <v>2.0187462384282501E-2</v>
      </c>
      <c r="AC103" s="1">
        <v>1.30965342132747E-2</v>
      </c>
      <c r="AD103" s="1">
        <v>8.1166422488803906E-3</v>
      </c>
      <c r="AE103" s="1">
        <v>4.3977073452761001E-3</v>
      </c>
      <c r="AF103" s="1">
        <v>2.2659412050485099E-3</v>
      </c>
      <c r="AG103" s="1">
        <v>1.1075707388102801E-3</v>
      </c>
      <c r="AH103" s="1">
        <v>6.0769838356634096E-4</v>
      </c>
      <c r="AI103" s="1">
        <v>3.4170220243015601E-4</v>
      </c>
      <c r="AJ103" s="1">
        <v>2.05021321458093E-4</v>
      </c>
      <c r="AK103" s="1">
        <v>1.39414498591504E-4</v>
      </c>
      <c r="AL103" s="5">
        <v>9.7195293135688703E-5</v>
      </c>
      <c r="AM103" s="5">
        <v>5.77097052993152E-5</v>
      </c>
      <c r="AN103" s="5">
        <v>4.6775234821550197E-5</v>
      </c>
      <c r="AO103" s="5">
        <v>3.5081426116162698E-5</v>
      </c>
      <c r="AP103" s="5">
        <v>2.49062938660202E-5</v>
      </c>
      <c r="AQ103" s="5">
        <v>2.5513764448118299E-5</v>
      </c>
      <c r="AR103" s="5">
        <v>1.2301279287485601E-5</v>
      </c>
      <c r="AS103" s="5">
        <v>1.17697425281498E-5</v>
      </c>
      <c r="AT103" s="5">
        <v>4.4649087784206999E-5</v>
      </c>
    </row>
    <row r="104" spans="1:46" ht="15.75" customHeight="1" x14ac:dyDescent="0.25">
      <c r="A104" s="1">
        <v>4</v>
      </c>
      <c r="B104" s="1" t="s">
        <v>111</v>
      </c>
      <c r="C104" s="1">
        <v>2015</v>
      </c>
      <c r="D104" s="1">
        <v>1</v>
      </c>
      <c r="E104" s="1">
        <v>4</v>
      </c>
      <c r="F104" s="1">
        <v>0</v>
      </c>
      <c r="G104" s="1">
        <v>0</v>
      </c>
      <c r="H104" s="1">
        <v>0</v>
      </c>
      <c r="I104" s="1">
        <v>0</v>
      </c>
      <c r="J104" s="5">
        <v>2.4621134549622498E-5</v>
      </c>
      <c r="K104" s="1">
        <v>8.2782758051749698E-4</v>
      </c>
      <c r="L104" s="1">
        <v>1.14062438422968E-2</v>
      </c>
      <c r="M104" s="1">
        <v>5.0654035663326297E-2</v>
      </c>
      <c r="N104" s="1">
        <v>7.2446294763138894E-2</v>
      </c>
      <c r="O104" s="1">
        <v>7.0106125606653497E-2</v>
      </c>
      <c r="P104" s="1">
        <v>7.337562645496E-2</v>
      </c>
      <c r="Q104" s="1">
        <v>7.8499609739532406E-2</v>
      </c>
      <c r="R104" s="1">
        <v>7.7357746556080104E-2</v>
      </c>
      <c r="S104" s="1">
        <v>7.5436214111889693E-2</v>
      </c>
      <c r="T104" s="1">
        <v>7.1455100535137997E-2</v>
      </c>
      <c r="U104" s="1">
        <v>6.7966022524621694E-2</v>
      </c>
      <c r="V104" s="1">
        <v>6.1175389735913598E-2</v>
      </c>
      <c r="W104" s="1">
        <v>5.4561672961186199E-2</v>
      </c>
      <c r="X104" s="1">
        <v>5.1528782764400601E-2</v>
      </c>
      <c r="Y104" s="1">
        <v>4.7185862389691698E-2</v>
      </c>
      <c r="Z104" s="1">
        <v>4.1799021395069101E-2</v>
      </c>
      <c r="AA104" s="1">
        <v>3.1471384550919398E-2</v>
      </c>
      <c r="AB104" s="1">
        <v>2.3392013445926799E-2</v>
      </c>
      <c r="AC104" s="1">
        <v>1.6740513294909401E-2</v>
      </c>
      <c r="AD104" s="1">
        <v>1.0742247458971199E-2</v>
      </c>
      <c r="AE104" s="1">
        <v>5.7422989465638497E-3</v>
      </c>
      <c r="AF104" s="1">
        <v>2.90769405034929E-3</v>
      </c>
      <c r="AG104" s="1">
        <v>1.4475368916344101E-3</v>
      </c>
      <c r="AH104" s="1">
        <v>7.3398853940384199E-4</v>
      </c>
      <c r="AI104" s="1">
        <v>3.8155016056773601E-4</v>
      </c>
      <c r="AJ104" s="1">
        <v>2.2716480744840401E-4</v>
      </c>
      <c r="AK104" s="1">
        <v>1.3115786769515899E-4</v>
      </c>
      <c r="AL104" s="5">
        <v>7.8044351025218604E-5</v>
      </c>
      <c r="AM104" s="5">
        <v>5.4584590746804703E-5</v>
      </c>
      <c r="AN104" s="5">
        <v>3.5073502990500001E-5</v>
      </c>
      <c r="AO104" s="5">
        <v>2.2917785618516599E-5</v>
      </c>
      <c r="AP104" s="5">
        <v>2.2298386007205301E-5</v>
      </c>
      <c r="AQ104" s="5">
        <v>1.0607218343705301E-5</v>
      </c>
      <c r="AR104" s="5">
        <v>1.05297933922914E-5</v>
      </c>
      <c r="AS104" s="5">
        <v>1.10717680521888E-5</v>
      </c>
      <c r="AT104" s="5">
        <v>3.1124830468390801E-5</v>
      </c>
    </row>
    <row r="105" spans="1:46" ht="15.75" customHeight="1" x14ac:dyDescent="0.25">
      <c r="A105" s="1">
        <v>4</v>
      </c>
      <c r="B105" s="1" t="s">
        <v>111</v>
      </c>
      <c r="C105" s="1">
        <v>2016</v>
      </c>
      <c r="D105" s="1">
        <v>1</v>
      </c>
      <c r="E105" s="1">
        <v>4</v>
      </c>
      <c r="F105" s="1">
        <v>0</v>
      </c>
      <c r="G105" s="1">
        <v>0</v>
      </c>
      <c r="H105" s="1">
        <v>0</v>
      </c>
      <c r="I105" s="1">
        <v>0</v>
      </c>
      <c r="J105" s="5">
        <v>2.3037774196585299E-5</v>
      </c>
      <c r="K105" s="1">
        <v>8.0934949669478101E-4</v>
      </c>
      <c r="L105" s="1">
        <v>9.9124453821999997E-3</v>
      </c>
      <c r="M105" s="1">
        <v>4.3864365104417602E-2</v>
      </c>
      <c r="N105" s="1">
        <v>6.4937726016624897E-2</v>
      </c>
      <c r="O105" s="1">
        <v>6.10949219060066E-2</v>
      </c>
      <c r="P105" s="1">
        <v>6.4534048095045607E-2</v>
      </c>
      <c r="Q105" s="1">
        <v>6.6152377893335806E-2</v>
      </c>
      <c r="R105" s="1">
        <v>6.9372645227507301E-2</v>
      </c>
      <c r="S105" s="1">
        <v>6.7419603152187799E-2</v>
      </c>
      <c r="T105" s="1">
        <v>6.5447879804843498E-2</v>
      </c>
      <c r="U105" s="1">
        <v>6.5735630465241196E-2</v>
      </c>
      <c r="V105" s="1">
        <v>6.4454080436536304E-2</v>
      </c>
      <c r="W105" s="1">
        <v>6.2676775228485596E-2</v>
      </c>
      <c r="X105" s="1">
        <v>6.0018792030554602E-2</v>
      </c>
      <c r="Y105" s="1">
        <v>5.6074016233508502E-2</v>
      </c>
      <c r="Z105" s="1">
        <v>4.9986062885001299E-2</v>
      </c>
      <c r="AA105" s="1">
        <v>4.1015065006027099E-2</v>
      </c>
      <c r="AB105" s="1">
        <v>3.16112227926287E-2</v>
      </c>
      <c r="AC105" s="1">
        <v>2.3336305353882699E-2</v>
      </c>
      <c r="AD105" s="1">
        <v>1.53697396620757E-2</v>
      </c>
      <c r="AE105" s="1">
        <v>8.1790005519466798E-3</v>
      </c>
      <c r="AF105" s="1">
        <v>3.9899652772009096E-3</v>
      </c>
      <c r="AG105" s="1">
        <v>1.9723878985230402E-3</v>
      </c>
      <c r="AH105" s="1">
        <v>9.3790323027252199E-4</v>
      </c>
      <c r="AI105" s="1">
        <v>4.2383597400128101E-4</v>
      </c>
      <c r="AJ105" s="1">
        <v>2.2063099134422099E-4</v>
      </c>
      <c r="AK105" s="1">
        <v>1.36454508702852E-4</v>
      </c>
      <c r="AL105" s="5">
        <v>8.2182829105126494E-5</v>
      </c>
      <c r="AM105" s="5">
        <v>4.9619821346491498E-5</v>
      </c>
      <c r="AN105" s="5">
        <v>3.6550314831120898E-5</v>
      </c>
      <c r="AO105" s="5">
        <v>2.4957588712967402E-5</v>
      </c>
      <c r="AP105" s="5">
        <v>2.4957588712967402E-5</v>
      </c>
      <c r="AQ105" s="5">
        <v>1.1888082197596899E-5</v>
      </c>
      <c r="AR105" s="5">
        <v>1.25526333763446E-5</v>
      </c>
      <c r="AS105" s="5">
        <v>1.2478794356483701E-5</v>
      </c>
      <c r="AT105" s="5">
        <v>3.8543968367363903E-5</v>
      </c>
    </row>
    <row r="106" spans="1:46" ht="15.75" customHeight="1" x14ac:dyDescent="0.25">
      <c r="A106" s="1">
        <v>4</v>
      </c>
      <c r="B106" s="1" t="s">
        <v>111</v>
      </c>
      <c r="C106" s="1">
        <v>2017</v>
      </c>
      <c r="D106" s="1">
        <v>1</v>
      </c>
      <c r="E106" s="1">
        <v>5</v>
      </c>
      <c r="F106" s="1">
        <v>0</v>
      </c>
      <c r="G106" s="1">
        <v>0</v>
      </c>
      <c r="H106" s="1">
        <v>0</v>
      </c>
      <c r="I106" s="1">
        <v>0</v>
      </c>
      <c r="J106" s="5">
        <v>1.9139145638524299E-5</v>
      </c>
      <c r="K106" s="1">
        <v>6.1910975456791798E-4</v>
      </c>
      <c r="L106" s="1">
        <v>8.3441127405520094E-3</v>
      </c>
      <c r="M106" s="1">
        <v>3.9120413685143698E-2</v>
      </c>
      <c r="N106" s="1">
        <v>5.5586625076840902E-2</v>
      </c>
      <c r="O106" s="1">
        <v>5.4608586996820099E-2</v>
      </c>
      <c r="P106" s="1">
        <v>6.0001498955696099E-2</v>
      </c>
      <c r="Q106" s="1">
        <v>6.2985652353340998E-2</v>
      </c>
      <c r="R106" s="1">
        <v>6.3557274836411604E-2</v>
      </c>
      <c r="S106" s="1">
        <v>6.8045654129675601E-2</v>
      </c>
      <c r="T106" s="1">
        <v>6.88117747130612E-2</v>
      </c>
      <c r="U106" s="1">
        <v>6.8259624230335894E-2</v>
      </c>
      <c r="V106" s="1">
        <v>6.7805499458750501E-2</v>
      </c>
      <c r="W106" s="1">
        <v>6.6336001404203093E-2</v>
      </c>
      <c r="X106" s="1">
        <v>6.4896404797479296E-2</v>
      </c>
      <c r="Y106" s="1">
        <v>5.8762669212931197E-2</v>
      </c>
      <c r="Z106" s="1">
        <v>4.9832510285349102E-2</v>
      </c>
      <c r="AA106" s="1">
        <v>4.4854834573152397E-2</v>
      </c>
      <c r="AB106" s="1">
        <v>3.5811837899979701E-2</v>
      </c>
      <c r="AC106" s="1">
        <v>2.5836848047887599E-2</v>
      </c>
      <c r="AD106" s="1">
        <v>1.6977254318137999E-2</v>
      </c>
      <c r="AE106" s="1">
        <v>9.6391394529743695E-3</v>
      </c>
      <c r="AF106" s="1">
        <v>5.0400859697136598E-3</v>
      </c>
      <c r="AG106" s="1">
        <v>2.2833832883526399E-3</v>
      </c>
      <c r="AH106" s="1">
        <v>9.69938615489738E-4</v>
      </c>
      <c r="AI106" s="1">
        <v>4.2938257171645902E-4</v>
      </c>
      <c r="AJ106" s="1">
        <v>2.1552342262512201E-4</v>
      </c>
      <c r="AK106" s="1">
        <v>1.17164856778445E-4</v>
      </c>
      <c r="AL106" s="5">
        <v>7.7666098243287107E-5</v>
      </c>
      <c r="AM106" s="5">
        <v>4.2605402464889001E-5</v>
      </c>
      <c r="AN106" s="5">
        <v>3.0622633021638897E-5</v>
      </c>
      <c r="AO106" s="5">
        <v>1.9860330836497699E-5</v>
      </c>
      <c r="AP106" s="5">
        <v>9.9856412027083507E-6</v>
      </c>
      <c r="AQ106" s="5">
        <v>9.5973107114919101E-6</v>
      </c>
      <c r="AR106" s="5">
        <v>9.9301654182488599E-6</v>
      </c>
      <c r="AS106" s="5">
        <v>1.03739716939248E-5</v>
      </c>
      <c r="AT106" s="5">
        <v>2.1413652801363499E-5</v>
      </c>
    </row>
    <row r="107" spans="1:46" ht="15.75" customHeight="1" x14ac:dyDescent="0.25">
      <c r="A107" s="1">
        <v>4</v>
      </c>
      <c r="B107" s="1" t="s">
        <v>111</v>
      </c>
      <c r="C107" s="1">
        <v>2018</v>
      </c>
      <c r="D107" s="1">
        <v>1</v>
      </c>
      <c r="E107" s="1">
        <v>8</v>
      </c>
      <c r="F107" s="1">
        <v>0</v>
      </c>
      <c r="G107" s="1">
        <v>0</v>
      </c>
      <c r="H107" s="1">
        <v>0</v>
      </c>
      <c r="I107" s="1">
        <v>0</v>
      </c>
      <c r="J107" s="5">
        <v>2.3805181542052499E-5</v>
      </c>
      <c r="K107" s="1">
        <v>8.9269430782696702E-4</v>
      </c>
      <c r="L107" s="1">
        <v>1.1768809585500599E-2</v>
      </c>
      <c r="M107" s="1">
        <v>5.9967908254436902E-2</v>
      </c>
      <c r="N107" s="1">
        <v>7.8066338548635497E-2</v>
      </c>
      <c r="O107" s="1">
        <v>7.3764584854356594E-2</v>
      </c>
      <c r="P107" s="1">
        <v>7.5322742191654607E-2</v>
      </c>
      <c r="Q107" s="1">
        <v>7.6904507973457006E-2</v>
      </c>
      <c r="R107" s="1">
        <v>7.2934354555947795E-2</v>
      </c>
      <c r="S107" s="1">
        <v>6.9071226086859006E-2</v>
      </c>
      <c r="T107" s="1">
        <v>7.0282339289940599E-2</v>
      </c>
      <c r="U107" s="1">
        <v>6.2946900476831602E-2</v>
      </c>
      <c r="V107" s="1">
        <v>5.8331547944717697E-2</v>
      </c>
      <c r="W107" s="1">
        <v>5.3095785164728897E-2</v>
      </c>
      <c r="X107" s="1">
        <v>5.0791797718125802E-2</v>
      </c>
      <c r="Y107" s="1">
        <v>4.64823712793829E-2</v>
      </c>
      <c r="Z107" s="1">
        <v>3.80013326966923E-2</v>
      </c>
      <c r="AA107" s="1">
        <v>3.2886956668864202E-2</v>
      </c>
      <c r="AB107" s="1">
        <v>2.4091925774263501E-2</v>
      </c>
      <c r="AC107" s="1">
        <v>1.8350843913359401E-2</v>
      </c>
      <c r="AD107" s="1">
        <v>1.22241574588815E-2</v>
      </c>
      <c r="AE107" s="1">
        <v>7.2563505240189402E-3</v>
      </c>
      <c r="AF107" s="1">
        <v>3.5402829904895299E-3</v>
      </c>
      <c r="AG107" s="1">
        <v>1.63085167266813E-3</v>
      </c>
      <c r="AH107" s="1">
        <v>7.3186177963995903E-4</v>
      </c>
      <c r="AI107" s="1">
        <v>3.4527350087852897E-4</v>
      </c>
      <c r="AJ107" s="1">
        <v>1.39289822576637E-4</v>
      </c>
      <c r="AK107" s="5">
        <v>6.1381955711738495E-5</v>
      </c>
      <c r="AL107" s="5">
        <v>2.9608924149412302E-5</v>
      </c>
      <c r="AM107" s="5">
        <v>2.0067177828837599E-5</v>
      </c>
      <c r="AN107" s="5">
        <v>1.2984644477483101E-5</v>
      </c>
      <c r="AO107" s="5">
        <v>8.4596926141178106E-6</v>
      </c>
      <c r="AP107" s="5">
        <v>4.52495186336534E-6</v>
      </c>
      <c r="AQ107" s="5">
        <v>3.73800371321484E-6</v>
      </c>
      <c r="AR107" s="5">
        <v>3.44289815690841E-6</v>
      </c>
      <c r="AS107" s="5">
        <v>2.45921296922029E-6</v>
      </c>
      <c r="AT107" s="5">
        <v>6.4923222387415698E-6</v>
      </c>
    </row>
    <row r="108" spans="1:46" ht="15.75" customHeight="1" x14ac:dyDescent="0.25">
      <c r="A108" s="1">
        <v>4</v>
      </c>
      <c r="B108" s="1" t="s">
        <v>111</v>
      </c>
      <c r="C108" s="1">
        <v>2019</v>
      </c>
      <c r="D108" s="1">
        <v>1</v>
      </c>
      <c r="E108" s="1">
        <v>15</v>
      </c>
      <c r="F108" s="1">
        <v>0</v>
      </c>
      <c r="G108" s="1">
        <v>0</v>
      </c>
      <c r="H108" s="1">
        <v>0</v>
      </c>
      <c r="I108" s="1">
        <v>0</v>
      </c>
      <c r="J108" s="5">
        <v>3.5392927239637999E-5</v>
      </c>
      <c r="K108" s="1">
        <v>1.00648636837721E-3</v>
      </c>
      <c r="L108" s="1">
        <v>1.09263373641535E-2</v>
      </c>
      <c r="M108" s="1">
        <v>3.8047396782610897E-2</v>
      </c>
      <c r="N108" s="1">
        <v>5.0947012732482699E-2</v>
      </c>
      <c r="O108" s="1">
        <v>5.5969367421474098E-2</v>
      </c>
      <c r="P108" s="1">
        <v>6.1387066023416599E-2</v>
      </c>
      <c r="Q108" s="1">
        <v>6.43941130255926E-2</v>
      </c>
      <c r="R108" s="1">
        <v>6.9024318996453199E-2</v>
      </c>
      <c r="S108" s="1">
        <v>6.7214609807109804E-2</v>
      </c>
      <c r="T108" s="1">
        <v>6.2832277219035101E-2</v>
      </c>
      <c r="U108" s="1">
        <v>6.2094187215558497E-2</v>
      </c>
      <c r="V108" s="1">
        <v>6.7093561080265901E-2</v>
      </c>
      <c r="W108" s="1">
        <v>6.6054999871577702E-2</v>
      </c>
      <c r="X108" s="1">
        <v>5.6068295568793197E-2</v>
      </c>
      <c r="Y108" s="1">
        <v>5.7738522215022098E-2</v>
      </c>
      <c r="Z108" s="1">
        <v>5.0432463474314702E-2</v>
      </c>
      <c r="AA108" s="1">
        <v>4.3361988905546198E-2</v>
      </c>
      <c r="AB108" s="1">
        <v>3.8346639066737701E-2</v>
      </c>
      <c r="AC108" s="1">
        <v>2.91261670602696E-2</v>
      </c>
      <c r="AD108" s="1">
        <v>2.2145157946467899E-2</v>
      </c>
      <c r="AE108" s="1">
        <v>1.30363948666E-2</v>
      </c>
      <c r="AF108" s="1">
        <v>6.4783803901554103E-3</v>
      </c>
      <c r="AG108" s="1">
        <v>3.4839912751518701E-3</v>
      </c>
      <c r="AH108" s="1">
        <v>1.5877660414448699E-3</v>
      </c>
      <c r="AI108" s="1">
        <v>5.9283153126393697E-4</v>
      </c>
      <c r="AJ108" s="1">
        <v>2.5143725393159501E-4</v>
      </c>
      <c r="AK108" s="1">
        <v>1.2731622437592001E-4</v>
      </c>
      <c r="AL108" s="5">
        <v>6.7836443875972794E-5</v>
      </c>
      <c r="AM108" s="5">
        <v>3.2443516636334802E-5</v>
      </c>
      <c r="AN108" s="5">
        <v>2.58073427789027E-5</v>
      </c>
      <c r="AO108" s="5">
        <v>1.4992837233457801E-5</v>
      </c>
      <c r="AP108" s="5">
        <v>8.6024475929675707E-6</v>
      </c>
      <c r="AQ108" s="5">
        <v>8.4795554844966095E-6</v>
      </c>
      <c r="AR108" s="5">
        <v>8.6024475929675707E-6</v>
      </c>
      <c r="AS108" s="5">
        <v>9.3398002437933599E-6</v>
      </c>
      <c r="AT108" s="5">
        <v>1.9416953138412501E-5</v>
      </c>
    </row>
    <row r="109" spans="1:46" ht="15.75" customHeight="1" x14ac:dyDescent="0.25">
      <c r="A109" s="1">
        <v>4</v>
      </c>
      <c r="B109" s="1" t="s">
        <v>111</v>
      </c>
      <c r="C109" s="1">
        <v>2020</v>
      </c>
      <c r="D109" s="1">
        <v>1</v>
      </c>
      <c r="E109" s="1">
        <v>16</v>
      </c>
      <c r="F109" s="1">
        <v>0</v>
      </c>
      <c r="G109" s="1">
        <v>0</v>
      </c>
      <c r="H109" s="1">
        <v>0</v>
      </c>
      <c r="I109" s="1">
        <v>0</v>
      </c>
      <c r="J109" s="5">
        <v>5.23472872588797E-5</v>
      </c>
      <c r="K109" s="1">
        <v>1.66115391568178E-3</v>
      </c>
      <c r="L109" s="1">
        <v>1.76556930466749E-2</v>
      </c>
      <c r="M109" s="1">
        <v>7.2915816023248703E-2</v>
      </c>
      <c r="N109" s="1">
        <v>9.0442153106741696E-2</v>
      </c>
      <c r="O109" s="1">
        <v>6.80430978705822E-2</v>
      </c>
      <c r="P109" s="1">
        <v>6.8215494936621393E-2</v>
      </c>
      <c r="Q109" s="1">
        <v>6.6387992974761403E-2</v>
      </c>
      <c r="R109" s="1">
        <v>7.40762972181256E-2</v>
      </c>
      <c r="S109" s="1">
        <v>6.5904536695099394E-2</v>
      </c>
      <c r="T109" s="1">
        <v>6.8675453100669401E-2</v>
      </c>
      <c r="U109" s="1">
        <v>8.2015403131112302E-2</v>
      </c>
      <c r="V109" s="1">
        <v>6.9372021003127601E-2</v>
      </c>
      <c r="W109" s="1">
        <v>5.3681794102066097E-2</v>
      </c>
      <c r="X109" s="1">
        <v>4.1845723470918299E-2</v>
      </c>
      <c r="Y109" s="1">
        <v>2.7680314884055399E-2</v>
      </c>
      <c r="Z109" s="1">
        <v>2.3065378039312599E-2</v>
      </c>
      <c r="AA109" s="1">
        <v>2.69846776000374E-2</v>
      </c>
      <c r="AB109" s="1">
        <v>2.07460442318292E-2</v>
      </c>
      <c r="AC109" s="1">
        <v>1.40348893506307E-2</v>
      </c>
      <c r="AD109" s="1">
        <v>1.6078062135997301E-2</v>
      </c>
      <c r="AE109" s="1">
        <v>1.4118877664854999E-2</v>
      </c>
      <c r="AF109" s="1">
        <v>7.8814075696969198E-3</v>
      </c>
      <c r="AG109" s="1">
        <v>4.7587173937472197E-3</v>
      </c>
      <c r="AH109" s="1">
        <v>2.0415442030963099E-3</v>
      </c>
      <c r="AI109" s="1">
        <v>1.00506791537049E-3</v>
      </c>
      <c r="AJ109" s="1">
        <v>3.4432882285840899E-4</v>
      </c>
      <c r="AK109" s="1">
        <v>1.3051923623214E-4</v>
      </c>
      <c r="AL109" s="5">
        <v>7.4449475212628896E-5</v>
      </c>
      <c r="AM109" s="5">
        <v>3.7224737606314401E-5</v>
      </c>
      <c r="AN109" s="5">
        <v>2.09389149035519E-5</v>
      </c>
      <c r="AO109" s="5">
        <v>1.0702112061815401E-5</v>
      </c>
      <c r="AP109" s="5">
        <v>6.9796383011839603E-6</v>
      </c>
      <c r="AQ109" s="5">
        <v>6.9796383011839603E-6</v>
      </c>
      <c r="AR109" s="5">
        <v>7.9102567413418201E-6</v>
      </c>
      <c r="AS109" s="1">
        <v>0</v>
      </c>
      <c r="AT109" s="5">
        <v>2.0008296463394001E-5</v>
      </c>
    </row>
    <row r="110" spans="1:46" ht="15.75" customHeight="1" x14ac:dyDescent="0.25">
      <c r="A110" s="1">
        <v>4</v>
      </c>
      <c r="B110" s="1" t="s">
        <v>111</v>
      </c>
      <c r="C110" s="1">
        <v>2021</v>
      </c>
      <c r="D110" s="1">
        <v>1</v>
      </c>
      <c r="E110" s="1">
        <v>10</v>
      </c>
      <c r="F110" s="1">
        <v>0</v>
      </c>
      <c r="G110" s="1">
        <v>0</v>
      </c>
      <c r="H110" s="1">
        <v>0</v>
      </c>
      <c r="I110" s="1">
        <v>0</v>
      </c>
      <c r="J110" s="5">
        <v>2.7219239136795101E-5</v>
      </c>
      <c r="K110" s="1">
        <v>9.7614503252173095E-4</v>
      </c>
      <c r="L110" s="1">
        <v>1.15044678342887E-2</v>
      </c>
      <c r="M110" s="1">
        <v>5.0189515596163803E-2</v>
      </c>
      <c r="N110" s="1">
        <v>6.79805099728268E-2</v>
      </c>
      <c r="O110" s="1">
        <v>6.0403962437449998E-2</v>
      </c>
      <c r="P110" s="1">
        <v>5.6592874476572103E-2</v>
      </c>
      <c r="Q110" s="1">
        <v>5.5919559916185801E-2</v>
      </c>
      <c r="R110" s="1">
        <v>5.3988177382653199E-2</v>
      </c>
      <c r="S110" s="1">
        <v>5.2612553854974001E-2</v>
      </c>
      <c r="T110" s="1">
        <v>5.8362256514372601E-2</v>
      </c>
      <c r="U110" s="1">
        <v>6.1497071301914598E-2</v>
      </c>
      <c r="V110" s="1">
        <v>6.1447235110451602E-2</v>
      </c>
      <c r="W110" s="1">
        <v>6.3655149334345004E-2</v>
      </c>
      <c r="X110" s="1">
        <v>5.8224845379599897E-2</v>
      </c>
      <c r="Y110" s="1">
        <v>5.41689157603997E-2</v>
      </c>
      <c r="Z110" s="1">
        <v>4.9034078618893202E-2</v>
      </c>
      <c r="AA110" s="1">
        <v>4.5327133833843E-2</v>
      </c>
      <c r="AB110" s="1">
        <v>3.9574406814540303E-2</v>
      </c>
      <c r="AC110" s="1">
        <v>3.22178485887087E-2</v>
      </c>
      <c r="AD110" s="1">
        <v>2.5583454910409899E-2</v>
      </c>
      <c r="AE110" s="1">
        <v>1.7828470140691902E-2</v>
      </c>
      <c r="AF110" s="1">
        <v>1.1705456274001699E-2</v>
      </c>
      <c r="AG110" s="1">
        <v>6.07370365086263E-3</v>
      </c>
      <c r="AH110" s="1">
        <v>2.8304063885000699E-3</v>
      </c>
      <c r="AI110" s="1">
        <v>1.3088903689258901E-3</v>
      </c>
      <c r="AJ110" s="1">
        <v>5.09407402975576E-4</v>
      </c>
      <c r="AK110" s="1">
        <v>2.18411382638728E-4</v>
      </c>
      <c r="AL110" s="5">
        <v>9.4018144844485398E-5</v>
      </c>
      <c r="AM110" s="5">
        <v>4.6680337650059198E-5</v>
      </c>
      <c r="AN110" s="5">
        <v>2.80082025900355E-5</v>
      </c>
      <c r="AO110" s="5">
        <v>1.9198110695517299E-5</v>
      </c>
      <c r="AP110" s="5">
        <v>9.9935370743788708E-6</v>
      </c>
      <c r="AQ110" s="5">
        <v>9.9935370743788708E-6</v>
      </c>
      <c r="AR110" s="5">
        <v>1.0125030983252301E-5</v>
      </c>
      <c r="AS110" s="1">
        <v>0</v>
      </c>
      <c r="AT110" s="5">
        <v>1.98555802398843E-5</v>
      </c>
    </row>
    <row r="111" spans="1:46" ht="15.75" customHeight="1" x14ac:dyDescent="0.25">
      <c r="A111" s="1">
        <v>4</v>
      </c>
      <c r="B111" s="1" t="s">
        <v>111</v>
      </c>
      <c r="C111" s="1">
        <v>2022</v>
      </c>
      <c r="D111" s="1">
        <v>1</v>
      </c>
      <c r="E111" s="1">
        <v>7</v>
      </c>
      <c r="F111" s="1">
        <v>0</v>
      </c>
      <c r="G111" s="1">
        <v>0</v>
      </c>
      <c r="H111" s="1">
        <v>0</v>
      </c>
      <c r="I111" s="1">
        <v>0</v>
      </c>
      <c r="J111" s="5">
        <v>2.0804139986372401E-5</v>
      </c>
      <c r="K111" s="1">
        <v>9.1004055589036898E-4</v>
      </c>
      <c r="L111" s="1">
        <v>1.2325703243187399E-2</v>
      </c>
      <c r="M111" s="1">
        <v>5.99609050850472E-2</v>
      </c>
      <c r="N111" s="1">
        <v>7.4889281210403599E-2</v>
      </c>
      <c r="O111" s="1">
        <v>6.8842304900040299E-2</v>
      </c>
      <c r="P111" s="1">
        <v>6.6715690716658602E-2</v>
      </c>
      <c r="Q111" s="1">
        <v>6.7485069046785195E-2</v>
      </c>
      <c r="R111" s="1">
        <v>6.00977251047774E-2</v>
      </c>
      <c r="S111" s="1">
        <v>5.9682579428472798E-2</v>
      </c>
      <c r="T111" s="1">
        <v>5.4572445403892202E-2</v>
      </c>
      <c r="U111" s="1">
        <v>5.2429056711242199E-2</v>
      </c>
      <c r="V111" s="1">
        <v>5.1702786058564799E-2</v>
      </c>
      <c r="W111" s="1">
        <v>4.79031254284411E-2</v>
      </c>
      <c r="X111" s="1">
        <v>4.8076680686345401E-2</v>
      </c>
      <c r="Y111" s="1">
        <v>4.4114429142364298E-2</v>
      </c>
      <c r="Z111" s="1">
        <v>4.4181246042410603E-2</v>
      </c>
      <c r="AA111" s="1">
        <v>4.4534916422179001E-2</v>
      </c>
      <c r="AB111" s="1">
        <v>3.8077480052625103E-2</v>
      </c>
      <c r="AC111" s="1">
        <v>3.45427442141297E-2</v>
      </c>
      <c r="AD111" s="1">
        <v>2.58274963820007E-2</v>
      </c>
      <c r="AE111" s="1">
        <v>1.8975624763786302E-2</v>
      </c>
      <c r="AF111" s="1">
        <v>1.12454810737148E-2</v>
      </c>
      <c r="AG111" s="1">
        <v>6.8435312197514097E-3</v>
      </c>
      <c r="AH111" s="1">
        <v>3.4362441667581101E-3</v>
      </c>
      <c r="AI111" s="1">
        <v>1.56911945915234E-3</v>
      </c>
      <c r="AJ111" s="1">
        <v>5.9647905861828798E-4</v>
      </c>
      <c r="AK111" s="1">
        <v>2.3615510254801001E-4</v>
      </c>
      <c r="AL111" s="5">
        <v>9.6711137233947096E-5</v>
      </c>
      <c r="AM111" s="5">
        <v>4.27328280801162E-5</v>
      </c>
      <c r="AN111" s="5">
        <v>1.8836180798472301E-5</v>
      </c>
      <c r="AO111" s="5">
        <v>1.38694266575816E-5</v>
      </c>
      <c r="AP111" s="5">
        <v>7.5906997247574798E-6</v>
      </c>
      <c r="AQ111" s="5">
        <v>8.3403984630051295E-6</v>
      </c>
      <c r="AR111" s="5">
        <v>8.6215354898479992E-6</v>
      </c>
      <c r="AS111" s="1">
        <v>0</v>
      </c>
      <c r="AT111" s="5">
        <v>8.1529737784432202E-6</v>
      </c>
    </row>
    <row r="112" spans="1:46" ht="15.75" customHeight="1" x14ac:dyDescent="0.25">
      <c r="A112" s="1">
        <v>4</v>
      </c>
      <c r="B112" s="1" t="s">
        <v>111</v>
      </c>
      <c r="C112" s="1">
        <v>2023</v>
      </c>
      <c r="D112" s="1">
        <v>1</v>
      </c>
      <c r="E112" s="1">
        <v>9</v>
      </c>
      <c r="F112" s="1">
        <v>0</v>
      </c>
      <c r="G112" s="1">
        <v>0</v>
      </c>
      <c r="H112" s="1">
        <v>0</v>
      </c>
      <c r="I112" s="1">
        <v>0</v>
      </c>
      <c r="J112" s="5">
        <v>2.1114046246677899E-5</v>
      </c>
      <c r="K112" s="1">
        <v>9.4503558717889599E-4</v>
      </c>
      <c r="L112" s="1">
        <v>1.1467111323626799E-2</v>
      </c>
      <c r="M112" s="1">
        <v>4.8107080249575301E-2</v>
      </c>
      <c r="N112" s="1">
        <v>6.1147006000939599E-2</v>
      </c>
      <c r="O112" s="1">
        <v>5.89340355331196E-2</v>
      </c>
      <c r="P112" s="1">
        <v>6.67527852794325E-2</v>
      </c>
      <c r="Q112" s="1">
        <v>6.7069860008412793E-2</v>
      </c>
      <c r="R112" s="1">
        <v>7.0048760705595001E-2</v>
      </c>
      <c r="S112" s="1">
        <v>6.7301568464206096E-2</v>
      </c>
      <c r="T112" s="1">
        <v>5.9936406676916701E-2</v>
      </c>
      <c r="U112" s="1">
        <v>5.6413273235962402E-2</v>
      </c>
      <c r="V112" s="1">
        <v>5.12675435427149E-2</v>
      </c>
      <c r="W112" s="1">
        <v>5.1166523752482901E-2</v>
      </c>
      <c r="X112" s="1">
        <v>5.3334808889668697E-2</v>
      </c>
      <c r="Y112" s="1">
        <v>4.9907325718564703E-2</v>
      </c>
      <c r="Z112" s="1">
        <v>4.4202983887980503E-2</v>
      </c>
      <c r="AA112" s="1">
        <v>4.1970173497394299E-2</v>
      </c>
      <c r="AB112" s="1">
        <v>3.4228690239285799E-2</v>
      </c>
      <c r="AC112" s="1">
        <v>3.10857006395918E-2</v>
      </c>
      <c r="AD112" s="1">
        <v>2.50834869410534E-2</v>
      </c>
      <c r="AE112" s="1">
        <v>1.93393742561167E-2</v>
      </c>
      <c r="AF112" s="1">
        <v>1.3521635435776599E-2</v>
      </c>
      <c r="AG112" s="1">
        <v>8.6077052071424406E-3</v>
      </c>
      <c r="AH112" s="1">
        <v>4.3548630471973602E-3</v>
      </c>
      <c r="AI112" s="1">
        <v>2.1099484835473302E-3</v>
      </c>
      <c r="AJ112" s="1">
        <v>9.61053139503962E-4</v>
      </c>
      <c r="AK112" s="1">
        <v>3.9397718190460699E-4</v>
      </c>
      <c r="AL112" s="1">
        <v>1.51529685347926E-4</v>
      </c>
      <c r="AM112" s="5">
        <v>7.5173285343775796E-5</v>
      </c>
      <c r="AN112" s="5">
        <v>3.2217122290189599E-5</v>
      </c>
      <c r="AO112" s="5">
        <v>2.1114046246677899E-5</v>
      </c>
      <c r="AP112" s="5">
        <v>9.9199613831374795E-6</v>
      </c>
      <c r="AQ112" s="5">
        <v>9.6469349230511308E-6</v>
      </c>
      <c r="AR112" s="5">
        <v>1.0466014303310201E-5</v>
      </c>
      <c r="AS112" s="1">
        <v>0</v>
      </c>
      <c r="AT112" s="5">
        <v>1.0101979023195099E-5</v>
      </c>
    </row>
    <row r="113" spans="1:46" ht="15.75" customHeight="1" x14ac:dyDescent="0.25">
      <c r="A113" s="1">
        <v>4</v>
      </c>
      <c r="B113" s="1" t="s">
        <v>111</v>
      </c>
      <c r="C113" s="1">
        <v>2024</v>
      </c>
      <c r="D113" s="1">
        <v>1</v>
      </c>
      <c r="E113" s="1">
        <v>10</v>
      </c>
      <c r="F113" s="1">
        <v>0</v>
      </c>
      <c r="G113" s="1">
        <v>0</v>
      </c>
      <c r="H113" s="1">
        <v>0</v>
      </c>
      <c r="I113" s="1">
        <v>0</v>
      </c>
      <c r="J113" s="5">
        <v>3.1512414458914297E-5</v>
      </c>
      <c r="K113" s="1">
        <v>1.0007578894830999E-3</v>
      </c>
      <c r="L113" s="1">
        <v>1.1630706969877599E-2</v>
      </c>
      <c r="M113" s="1">
        <v>5.0770717263933E-2</v>
      </c>
      <c r="N113" s="1">
        <v>6.4222300667267404E-2</v>
      </c>
      <c r="O113" s="1">
        <v>6.2737079193880593E-2</v>
      </c>
      <c r="P113" s="1">
        <v>6.2495643169970701E-2</v>
      </c>
      <c r="Q113" s="1">
        <v>6.2961804088910903E-2</v>
      </c>
      <c r="R113" s="1">
        <v>6.5183747615481097E-2</v>
      </c>
      <c r="S113" s="1">
        <v>6.2136751783077503E-2</v>
      </c>
      <c r="T113" s="1">
        <v>6.3820994843741402E-2</v>
      </c>
      <c r="U113" s="1">
        <v>6.0278474251651802E-2</v>
      </c>
      <c r="V113" s="1">
        <v>5.2153364236719998E-2</v>
      </c>
      <c r="W113" s="1">
        <v>4.99228264152973E-2</v>
      </c>
      <c r="X113" s="1">
        <v>4.4792748579633598E-2</v>
      </c>
      <c r="Y113" s="1">
        <v>4.48563304461808E-2</v>
      </c>
      <c r="Z113" s="1">
        <v>4.08365877593687E-2</v>
      </c>
      <c r="AA113" s="1">
        <v>4.0276048750660098E-2</v>
      </c>
      <c r="AB113" s="1">
        <v>4.0200212056267802E-2</v>
      </c>
      <c r="AC113" s="1">
        <v>3.2655773981504398E-2</v>
      </c>
      <c r="AD113" s="1">
        <v>2.7305984589474398E-2</v>
      </c>
      <c r="AE113" s="1">
        <v>2.2488086556644801E-2</v>
      </c>
      <c r="AF113" s="1">
        <v>1.6688051606512402E-2</v>
      </c>
      <c r="AG113" s="1">
        <v>9.7222164750085903E-3</v>
      </c>
      <c r="AH113" s="1">
        <v>5.5776177824236502E-3</v>
      </c>
      <c r="AI113" s="1">
        <v>2.90606531218458E-3</v>
      </c>
      <c r="AJ113" s="1">
        <v>1.3426198402798099E-3</v>
      </c>
      <c r="AK113" s="1">
        <v>5.4621518395451499E-4</v>
      </c>
      <c r="AL113" s="1">
        <v>2.3395580431618201E-4</v>
      </c>
      <c r="AM113" s="1">
        <v>1.06712494417687E-4</v>
      </c>
      <c r="AN113" s="5">
        <v>4.9019311380533397E-5</v>
      </c>
      <c r="AO113" s="5">
        <v>2.4668809298645099E-5</v>
      </c>
      <c r="AP113" s="5">
        <v>1.2095674236755E-5</v>
      </c>
      <c r="AQ113" s="5">
        <v>1.16977902158091E-5</v>
      </c>
      <c r="AR113" s="5">
        <v>1.0902022173917299E-5</v>
      </c>
      <c r="AS113" s="1">
        <v>0</v>
      </c>
      <c r="AT113" s="5">
        <v>9.70837011107967E-6</v>
      </c>
    </row>
    <row r="114" spans="1:46" ht="15.75" customHeight="1" x14ac:dyDescent="0.25">
      <c r="A114" s="1">
        <v>4</v>
      </c>
      <c r="B114" s="1" t="s">
        <v>87</v>
      </c>
      <c r="C114" s="1">
        <v>1990</v>
      </c>
      <c r="D114" s="1">
        <v>1</v>
      </c>
      <c r="E114" s="1">
        <v>12</v>
      </c>
      <c r="F114" s="1">
        <v>0</v>
      </c>
      <c r="G114" s="1">
        <v>0</v>
      </c>
      <c r="H114" s="1">
        <v>0</v>
      </c>
      <c r="I114" s="1">
        <v>0</v>
      </c>
      <c r="J114" s="5">
        <v>1.3217820446592099E-5</v>
      </c>
      <c r="K114" s="1">
        <v>1.1850771893554201E-3</v>
      </c>
      <c r="L114" s="1">
        <v>1.2928114792968201E-2</v>
      </c>
      <c r="M114" s="1">
        <v>4.2534946197133501E-2</v>
      </c>
      <c r="N114" s="1">
        <v>5.7816195161662101E-2</v>
      </c>
      <c r="O114" s="1">
        <v>5.2471487984367501E-2</v>
      </c>
      <c r="P114" s="1">
        <v>5.1001412858259501E-2</v>
      </c>
      <c r="Q114" s="1">
        <v>5.0281313242970499E-2</v>
      </c>
      <c r="R114" s="1">
        <v>4.5433089129573903E-2</v>
      </c>
      <c r="S114" s="1">
        <v>4.7753631415101701E-2</v>
      </c>
      <c r="T114" s="1">
        <v>4.18496112602793E-2</v>
      </c>
      <c r="U114" s="1">
        <v>3.2929755251231797E-2</v>
      </c>
      <c r="V114" s="1">
        <v>2.84322560447537E-2</v>
      </c>
      <c r="W114" s="1">
        <v>2.88943365622839E-2</v>
      </c>
      <c r="X114" s="1">
        <v>2.4512357485188301E-2</v>
      </c>
      <c r="Y114" s="1">
        <v>2.0778956940143398E-2</v>
      </c>
      <c r="Z114" s="1">
        <v>1.9717366785645202E-2</v>
      </c>
      <c r="AA114" s="1">
        <v>2.13007892487335E-2</v>
      </c>
      <c r="AB114" s="1">
        <v>1.56900960682054E-2</v>
      </c>
      <c r="AC114" s="1">
        <v>1.42165806874606E-2</v>
      </c>
      <c r="AD114" s="1">
        <v>1.35864708908286E-2</v>
      </c>
      <c r="AE114" s="1">
        <v>1.1945831561149501E-2</v>
      </c>
      <c r="AF114" s="1">
        <v>1.20615327565656E-2</v>
      </c>
      <c r="AG114" s="1">
        <v>1.2115490434553001E-2</v>
      </c>
      <c r="AH114" s="1">
        <v>1.3494670411836499E-2</v>
      </c>
      <c r="AI114" s="1">
        <v>1.4912598520292201E-2</v>
      </c>
      <c r="AJ114" s="1">
        <v>1.6363299580813999E-2</v>
      </c>
      <c r="AK114" s="1">
        <v>1.5805254065520899E-2</v>
      </c>
      <c r="AL114" s="1">
        <v>1.44548635875663E-2</v>
      </c>
      <c r="AM114" s="1">
        <v>1.28397545686129E-2</v>
      </c>
      <c r="AN114" s="1">
        <v>1.0626403374926E-2</v>
      </c>
      <c r="AO114" s="1">
        <v>9.9088386841062193E-3</v>
      </c>
      <c r="AP114" s="1">
        <v>1.06198849977195E-2</v>
      </c>
      <c r="AQ114" s="1">
        <v>9.9626152960601705E-3</v>
      </c>
      <c r="AR114" s="1">
        <v>8.4184841622445793E-3</v>
      </c>
      <c r="AS114" s="1">
        <v>8.3449713526375004E-3</v>
      </c>
      <c r="AT114" s="1">
        <v>0.194798443628802</v>
      </c>
    </row>
    <row r="115" spans="1:46" ht="15.75" customHeight="1" x14ac:dyDescent="0.25">
      <c r="A115" s="1">
        <v>4</v>
      </c>
      <c r="B115" s="1" t="s">
        <v>87</v>
      </c>
      <c r="C115" s="1">
        <v>1991</v>
      </c>
      <c r="D115" s="1">
        <v>1</v>
      </c>
      <c r="E115" s="1">
        <v>18</v>
      </c>
      <c r="F115" s="1">
        <v>0</v>
      </c>
      <c r="G115" s="1">
        <v>0</v>
      </c>
      <c r="H115" s="1">
        <v>0</v>
      </c>
      <c r="I115" s="1">
        <v>0</v>
      </c>
      <c r="J115" s="5">
        <v>1.1023290786889199E-5</v>
      </c>
      <c r="K115" s="1">
        <v>1.1211335159136101E-3</v>
      </c>
      <c r="L115" s="1">
        <v>1.3545030661607499E-2</v>
      </c>
      <c r="M115" s="1">
        <v>3.6242634820682199E-2</v>
      </c>
      <c r="N115" s="1">
        <v>4.4035193606595101E-2</v>
      </c>
      <c r="O115" s="1">
        <v>4.49660780921044E-2</v>
      </c>
      <c r="P115" s="1">
        <v>4.1891747134528E-2</v>
      </c>
      <c r="Q115" s="1">
        <v>4.3012102535797798E-2</v>
      </c>
      <c r="R115" s="1">
        <v>4.1858936633715198E-2</v>
      </c>
      <c r="S115" s="1">
        <v>4.3377038303730797E-2</v>
      </c>
      <c r="T115" s="1">
        <v>3.6713264494395402E-2</v>
      </c>
      <c r="U115" s="1">
        <v>3.1301217775354703E-2</v>
      </c>
      <c r="V115" s="1">
        <v>3.16099996031615E-2</v>
      </c>
      <c r="W115" s="1">
        <v>3.2581994479017197E-2</v>
      </c>
      <c r="X115" s="1">
        <v>2.9116531227167199E-2</v>
      </c>
      <c r="Y115" s="1">
        <v>2.8848989475480698E-2</v>
      </c>
      <c r="Z115" s="1">
        <v>3.0225863337650101E-2</v>
      </c>
      <c r="AA115" s="1">
        <v>2.7154255781326998E-2</v>
      </c>
      <c r="AB115" s="1">
        <v>2.38419514285277E-2</v>
      </c>
      <c r="AC115" s="1">
        <v>2.1037107509247199E-2</v>
      </c>
      <c r="AD115" s="1">
        <v>1.9299318138137699E-2</v>
      </c>
      <c r="AE115" s="1">
        <v>1.59237271276443E-2</v>
      </c>
      <c r="AF115" s="1">
        <v>1.43502496321463E-2</v>
      </c>
      <c r="AG115" s="1">
        <v>1.40102135328143E-2</v>
      </c>
      <c r="AH115" s="1">
        <v>1.5076489966341399E-2</v>
      </c>
      <c r="AI115" s="1">
        <v>1.2901659536975099E-2</v>
      </c>
      <c r="AJ115" s="1">
        <v>1.3620637467828199E-2</v>
      </c>
      <c r="AK115" s="1">
        <v>1.4362829152220801E-2</v>
      </c>
      <c r="AL115" s="1">
        <v>1.3128739327185E-2</v>
      </c>
      <c r="AM115" s="1">
        <v>1.2023297789921001E-2</v>
      </c>
      <c r="AN115" s="1">
        <v>1.15744553262336E-2</v>
      </c>
      <c r="AO115" s="1">
        <v>1.03995022141252E-2</v>
      </c>
      <c r="AP115" s="1">
        <v>1.09130578790203E-2</v>
      </c>
      <c r="AQ115" s="1">
        <v>9.9964388286469703E-3</v>
      </c>
      <c r="AR115" s="1">
        <v>8.7356337341747692E-3</v>
      </c>
      <c r="AS115" s="1">
        <v>7.8947511757960706E-3</v>
      </c>
      <c r="AT115" s="1">
        <v>0.193296905463999</v>
      </c>
    </row>
    <row r="116" spans="1:46" ht="15.75" customHeight="1" x14ac:dyDescent="0.25">
      <c r="A116" s="1">
        <v>4</v>
      </c>
      <c r="B116" s="1" t="s">
        <v>87</v>
      </c>
      <c r="C116" s="1">
        <v>1992</v>
      </c>
      <c r="D116" s="1">
        <v>1</v>
      </c>
      <c r="E116" s="1">
        <v>7</v>
      </c>
      <c r="F116" s="1">
        <v>0</v>
      </c>
      <c r="G116" s="1">
        <v>0</v>
      </c>
      <c r="H116" s="1">
        <v>0</v>
      </c>
      <c r="I116" s="1">
        <v>0</v>
      </c>
      <c r="J116" s="5">
        <v>1.2519054065491099E-5</v>
      </c>
      <c r="K116" s="1">
        <v>1.1157606935868901E-3</v>
      </c>
      <c r="L116" s="1">
        <v>1.33054071489797E-2</v>
      </c>
      <c r="M116" s="1">
        <v>3.5585150367532098E-2</v>
      </c>
      <c r="N116" s="1">
        <v>4.6765839309334201E-2</v>
      </c>
      <c r="O116" s="1">
        <v>4.4402737447659602E-2</v>
      </c>
      <c r="P116" s="1">
        <v>4.7440564160738899E-2</v>
      </c>
      <c r="Q116" s="1">
        <v>4.2557481041131502E-2</v>
      </c>
      <c r="R116" s="1">
        <v>4.5329929889385001E-2</v>
      </c>
      <c r="S116" s="1">
        <v>4.17030556011617E-2</v>
      </c>
      <c r="T116" s="1">
        <v>4.3997433072289302E-2</v>
      </c>
      <c r="U116" s="1">
        <v>3.69621159079229E-2</v>
      </c>
      <c r="V116" s="1">
        <v>3.4853437738766702E-2</v>
      </c>
      <c r="W116" s="1">
        <v>3.7076743496710002E-2</v>
      </c>
      <c r="X116" s="1">
        <v>3.4207011165822601E-2</v>
      </c>
      <c r="Y116" s="1">
        <v>3.0723845185726E-2</v>
      </c>
      <c r="Z116" s="1">
        <v>3.2132238768093797E-2</v>
      </c>
      <c r="AA116" s="1">
        <v>2.8940923235898999E-2</v>
      </c>
      <c r="AB116" s="1">
        <v>2.77458751998973E-2</v>
      </c>
      <c r="AC116" s="1">
        <v>2.28545764510594E-2</v>
      </c>
      <c r="AD116" s="1">
        <v>2.1268829602763901E-2</v>
      </c>
      <c r="AE116" s="1">
        <v>1.9792102850288699E-2</v>
      </c>
      <c r="AF116" s="1">
        <v>1.7454691130810902E-2</v>
      </c>
      <c r="AG116" s="1">
        <v>1.8499510518026702E-2</v>
      </c>
      <c r="AH116" s="1">
        <v>1.6376487599420501E-2</v>
      </c>
      <c r="AI116" s="1">
        <v>1.4846554867166999E-2</v>
      </c>
      <c r="AJ116" s="1">
        <v>1.2188472794074199E-2</v>
      </c>
      <c r="AK116" s="1">
        <v>1.151909462201E-2</v>
      </c>
      <c r="AL116" s="1">
        <v>1.1054585553454999E-2</v>
      </c>
      <c r="AM116" s="1">
        <v>9.8818370825074792E-3</v>
      </c>
      <c r="AN116" s="1">
        <v>8.14025409245921E-3</v>
      </c>
      <c r="AO116" s="1">
        <v>7.4955228080864199E-3</v>
      </c>
      <c r="AP116" s="1">
        <v>7.4059333274302504E-3</v>
      </c>
      <c r="AQ116" s="1">
        <v>7.5482071606120301E-3</v>
      </c>
      <c r="AR116" s="1">
        <v>6.9105178441510803E-3</v>
      </c>
      <c r="AS116" s="1">
        <v>7.5656816735784503E-3</v>
      </c>
      <c r="AT116" s="1">
        <v>0.15433907153739601</v>
      </c>
    </row>
    <row r="117" spans="1:46" ht="15.75" customHeight="1" x14ac:dyDescent="0.25">
      <c r="A117" s="1">
        <v>4</v>
      </c>
      <c r="B117" s="1" t="s">
        <v>87</v>
      </c>
      <c r="C117" s="1">
        <v>1993</v>
      </c>
      <c r="D117" s="1">
        <v>1</v>
      </c>
      <c r="E117" s="1">
        <v>8</v>
      </c>
      <c r="F117" s="1">
        <v>0</v>
      </c>
      <c r="G117" s="1">
        <v>0</v>
      </c>
      <c r="H117" s="1">
        <v>0</v>
      </c>
      <c r="I117" s="1">
        <v>0</v>
      </c>
      <c r="J117" s="5">
        <v>9.3877298126462193E-6</v>
      </c>
      <c r="K117" s="1">
        <v>9.7877287350980999E-4</v>
      </c>
      <c r="L117" s="1">
        <v>1.1083561978975901E-2</v>
      </c>
      <c r="M117" s="1">
        <v>3.1503588602577598E-2</v>
      </c>
      <c r="N117" s="1">
        <v>4.5113021328187397E-2</v>
      </c>
      <c r="O117" s="1">
        <v>5.0761332642940603E-2</v>
      </c>
      <c r="P117" s="1">
        <v>5.2815367925947598E-2</v>
      </c>
      <c r="Q117" s="1">
        <v>5.0034722355441798E-2</v>
      </c>
      <c r="R117" s="1">
        <v>4.6695057882701202E-2</v>
      </c>
      <c r="S117" s="1">
        <v>4.3511392989716798E-2</v>
      </c>
      <c r="T117" s="1">
        <v>3.8382590479552198E-2</v>
      </c>
      <c r="U117" s="1">
        <v>3.4610519008397803E-2</v>
      </c>
      <c r="V117" s="1">
        <v>3.0178286050331501E-2</v>
      </c>
      <c r="W117" s="1">
        <v>2.9584818261305899E-2</v>
      </c>
      <c r="X117" s="1">
        <v>2.7800741434737399E-2</v>
      </c>
      <c r="Y117" s="1">
        <v>2.7117641234109299E-2</v>
      </c>
      <c r="Z117" s="1">
        <v>2.54031968730207E-2</v>
      </c>
      <c r="AA117" s="1">
        <v>2.3164182496487998E-2</v>
      </c>
      <c r="AB117" s="1">
        <v>2.37870379614488E-2</v>
      </c>
      <c r="AC117" s="1">
        <v>2.2971366689379501E-2</v>
      </c>
      <c r="AD117" s="1">
        <v>2.0859372378833601E-2</v>
      </c>
      <c r="AE117" s="1">
        <v>1.9426723176990599E-2</v>
      </c>
      <c r="AF117" s="1">
        <v>1.79349720935446E-2</v>
      </c>
      <c r="AG117" s="1">
        <v>1.5695957717011901E-2</v>
      </c>
      <c r="AH117" s="1">
        <v>1.3404045523795699E-2</v>
      </c>
      <c r="AI117" s="1">
        <v>1.2731231009745001E-2</v>
      </c>
      <c r="AJ117" s="1">
        <v>1.26617618091314E-2</v>
      </c>
      <c r="AK117" s="1">
        <v>1.2655067949612899E-2</v>
      </c>
      <c r="AL117" s="1">
        <v>1.19776820193056E-2</v>
      </c>
      <c r="AM117" s="1">
        <v>1.06927058890372E-2</v>
      </c>
      <c r="AN117" s="1">
        <v>1.01416869652514E-2</v>
      </c>
      <c r="AO117" s="1">
        <v>9.7958919784134502E-3</v>
      </c>
      <c r="AP117" s="1">
        <v>9.46446429981046E-3</v>
      </c>
      <c r="AQ117" s="1">
        <v>8.6527113845326006E-3</v>
      </c>
      <c r="AR117" s="1">
        <v>8.5890380866729104E-3</v>
      </c>
      <c r="AS117" s="1">
        <v>8.7193234499858101E-3</v>
      </c>
      <c r="AT117" s="1">
        <v>0.181090777469742</v>
      </c>
    </row>
    <row r="118" spans="1:46" ht="15.75" customHeight="1" x14ac:dyDescent="0.25">
      <c r="A118" s="1">
        <v>4</v>
      </c>
      <c r="B118" s="1" t="s">
        <v>87</v>
      </c>
      <c r="C118" s="1">
        <v>1994</v>
      </c>
      <c r="D118" s="1">
        <v>1</v>
      </c>
      <c r="E118" s="1">
        <v>5</v>
      </c>
      <c r="F118" s="1">
        <v>0</v>
      </c>
      <c r="G118" s="1">
        <v>0</v>
      </c>
      <c r="H118" s="1">
        <v>0</v>
      </c>
      <c r="I118" s="1">
        <v>0</v>
      </c>
      <c r="J118" s="5">
        <v>7.2458249021710702E-6</v>
      </c>
      <c r="K118" s="1">
        <v>8.4232714487738702E-4</v>
      </c>
      <c r="L118" s="1">
        <v>9.3660520752495407E-3</v>
      </c>
      <c r="M118" s="1">
        <v>2.9239620664598599E-2</v>
      </c>
      <c r="N118" s="1">
        <v>3.7466431451820402E-2</v>
      </c>
      <c r="O118" s="1">
        <v>3.9274182425992697E-2</v>
      </c>
      <c r="P118" s="1">
        <v>3.4946613503171103E-2</v>
      </c>
      <c r="Q118" s="1">
        <v>3.5254231705835998E-2</v>
      </c>
      <c r="R118" s="1">
        <v>3.3665419918196299E-2</v>
      </c>
      <c r="S118" s="1">
        <v>3.2997486604487099E-2</v>
      </c>
      <c r="T118" s="1">
        <v>3.0613692550592101E-2</v>
      </c>
      <c r="U118" s="1">
        <v>3.1822674903303198E-2</v>
      </c>
      <c r="V118" s="1">
        <v>3.0487878681836202E-2</v>
      </c>
      <c r="W118" s="1">
        <v>3.0310191293894399E-2</v>
      </c>
      <c r="X118" s="1">
        <v>2.8479056066628702E-2</v>
      </c>
      <c r="Y118" s="1">
        <v>2.82832541164314E-2</v>
      </c>
      <c r="Z118" s="1">
        <v>2.79662492769614E-2</v>
      </c>
      <c r="AA118" s="1">
        <v>2.76275069627849E-2</v>
      </c>
      <c r="AB118" s="1">
        <v>2.4368450196275399E-2</v>
      </c>
      <c r="AC118" s="1">
        <v>2.3768940524540101E-2</v>
      </c>
      <c r="AD118" s="1">
        <v>2.3270625384677099E-2</v>
      </c>
      <c r="AE118" s="1">
        <v>2.18748160239771E-2</v>
      </c>
      <c r="AF118" s="1">
        <v>2.1809932955534898E-2</v>
      </c>
      <c r="AG118" s="1">
        <v>1.9898681959748601E-2</v>
      </c>
      <c r="AH118" s="1">
        <v>1.97512952941249E-2</v>
      </c>
      <c r="AI118" s="1">
        <v>1.7648523971947098E-2</v>
      </c>
      <c r="AJ118" s="1">
        <v>1.71306121692806E-2</v>
      </c>
      <c r="AK118" s="1">
        <v>1.7045144371002699E-2</v>
      </c>
      <c r="AL118" s="1">
        <v>1.52532848082635E-2</v>
      </c>
      <c r="AM118" s="1">
        <v>1.3351255771443599E-2</v>
      </c>
      <c r="AN118" s="1">
        <v>1.3051377427196999E-2</v>
      </c>
      <c r="AO118" s="1">
        <v>1.1504393810583401E-2</v>
      </c>
      <c r="AP118" s="1">
        <v>1.14219725523212E-2</v>
      </c>
      <c r="AQ118" s="1">
        <v>1.1305298303612399E-2</v>
      </c>
      <c r="AR118" s="1">
        <v>1.00957395784659E-2</v>
      </c>
      <c r="AS118" s="1">
        <v>9.7621022772886607E-3</v>
      </c>
      <c r="AT118" s="1">
        <v>0.20903743744815201</v>
      </c>
    </row>
    <row r="119" spans="1:46" ht="15.75" customHeight="1" x14ac:dyDescent="0.25">
      <c r="A119" s="1">
        <v>4</v>
      </c>
      <c r="B119" s="1" t="s">
        <v>87</v>
      </c>
      <c r="C119" s="1">
        <v>1995</v>
      </c>
      <c r="D119" s="1">
        <v>1</v>
      </c>
      <c r="E119" s="1">
        <v>9</v>
      </c>
      <c r="F119" s="1">
        <v>0</v>
      </c>
      <c r="G119" s="1">
        <v>0</v>
      </c>
      <c r="H119" s="1">
        <v>0</v>
      </c>
      <c r="I119" s="1">
        <v>0</v>
      </c>
      <c r="J119" s="5">
        <v>1.19733050033534E-5</v>
      </c>
      <c r="K119" s="1">
        <v>1.1603843020392801E-3</v>
      </c>
      <c r="L119" s="1">
        <v>1.1627789630399499E-2</v>
      </c>
      <c r="M119" s="1">
        <v>3.9903433584675803E-2</v>
      </c>
      <c r="N119" s="1">
        <v>4.79684807877203E-2</v>
      </c>
      <c r="O119" s="1">
        <v>4.9811172427736403E-2</v>
      </c>
      <c r="P119" s="1">
        <v>4.1663509420168797E-2</v>
      </c>
      <c r="Q119" s="1">
        <v>3.1639800565790001E-2</v>
      </c>
      <c r="R119" s="1">
        <v>3.60558975454554E-2</v>
      </c>
      <c r="S119" s="1">
        <v>3.4515959474809801E-2</v>
      </c>
      <c r="T119" s="1">
        <v>3.4213205905439303E-2</v>
      </c>
      <c r="U119" s="1">
        <v>3.6151170843839203E-2</v>
      </c>
      <c r="V119" s="1">
        <v>3.7656899471618099E-2</v>
      </c>
      <c r="W119" s="1">
        <v>3.29919287950972E-2</v>
      </c>
      <c r="X119" s="1">
        <v>3.5135321437911801E-2</v>
      </c>
      <c r="Y119" s="1">
        <v>3.5997912539796298E-2</v>
      </c>
      <c r="Z119" s="1">
        <v>3.8544634514009503E-2</v>
      </c>
      <c r="AA119" s="1">
        <v>3.43681746816255E-2</v>
      </c>
      <c r="AB119" s="1">
        <v>3.4054816184966301E-2</v>
      </c>
      <c r="AC119" s="1">
        <v>2.8833771014646899E-2</v>
      </c>
      <c r="AD119" s="1">
        <v>2.7350449571945799E-2</v>
      </c>
      <c r="AE119" s="1">
        <v>2.45569064674491E-2</v>
      </c>
      <c r="AF119" s="1">
        <v>2.26370725337686E-2</v>
      </c>
      <c r="AG119" s="1">
        <v>1.9069711831626601E-2</v>
      </c>
      <c r="AH119" s="1">
        <v>1.5287344781067301E-2</v>
      </c>
      <c r="AI119" s="1">
        <v>1.32246864234181E-2</v>
      </c>
      <c r="AJ119" s="1">
        <v>1.135941655111E-2</v>
      </c>
      <c r="AK119" s="1">
        <v>9.6865747949272194E-3</v>
      </c>
      <c r="AL119" s="1">
        <v>1.0694898123423901E-2</v>
      </c>
      <c r="AM119" s="1">
        <v>9.1807881821427094E-3</v>
      </c>
      <c r="AN119" s="1">
        <v>9.4548058195051705E-3</v>
      </c>
      <c r="AO119" s="1">
        <v>8.2975003673238894E-3</v>
      </c>
      <c r="AP119" s="1">
        <v>6.3082212646239002E-3</v>
      </c>
      <c r="AQ119" s="1">
        <v>6.4724265903841702E-3</v>
      </c>
      <c r="AR119" s="1">
        <v>6.8589932947781497E-3</v>
      </c>
      <c r="AS119" s="1">
        <v>6.1412791834342803E-3</v>
      </c>
      <c r="AT119" s="1">
        <v>0.151112687786322</v>
      </c>
    </row>
    <row r="120" spans="1:46" ht="15.75" customHeight="1" x14ac:dyDescent="0.25">
      <c r="A120" s="1">
        <v>4</v>
      </c>
      <c r="B120" s="1" t="s">
        <v>87</v>
      </c>
      <c r="C120" s="1">
        <v>1996</v>
      </c>
      <c r="D120" s="1">
        <v>1</v>
      </c>
      <c r="E120" s="1">
        <v>19</v>
      </c>
      <c r="F120" s="1">
        <v>0</v>
      </c>
      <c r="G120" s="1">
        <v>0</v>
      </c>
      <c r="H120" s="1">
        <v>0</v>
      </c>
      <c r="I120" s="1">
        <v>0</v>
      </c>
      <c r="J120" s="5">
        <v>9.5065903079225301E-6</v>
      </c>
      <c r="K120" s="1">
        <v>1.13984017791991E-3</v>
      </c>
      <c r="L120" s="1">
        <v>1.4733721084517201E-2</v>
      </c>
      <c r="M120" s="1">
        <v>4.0025461365013199E-2</v>
      </c>
      <c r="N120" s="1">
        <v>5.8485901658669098E-2</v>
      </c>
      <c r="O120" s="1">
        <v>6.2349108342942897E-2</v>
      </c>
      <c r="P120" s="1">
        <v>6.5146490445265604E-2</v>
      </c>
      <c r="Q120" s="1">
        <v>5.7591603127559503E-2</v>
      </c>
      <c r="R120" s="1">
        <v>4.9703306106911399E-2</v>
      </c>
      <c r="S120" s="1">
        <v>4.1160276630913303E-2</v>
      </c>
      <c r="T120" s="1">
        <v>3.2555182701047701E-2</v>
      </c>
      <c r="U120" s="1">
        <v>2.8383962490797301E-2</v>
      </c>
      <c r="V120" s="1">
        <v>2.5565122656065298E-2</v>
      </c>
      <c r="W120" s="1">
        <v>2.61648526960622E-2</v>
      </c>
      <c r="X120" s="1">
        <v>2.22963494829026E-2</v>
      </c>
      <c r="Y120" s="1">
        <v>2.4902513311603099E-2</v>
      </c>
      <c r="Z120" s="1">
        <v>2.5019987606122399E-2</v>
      </c>
      <c r="AA120" s="1">
        <v>2.1560946818368301E-2</v>
      </c>
      <c r="AB120" s="1">
        <v>2.2823557819693401E-2</v>
      </c>
      <c r="AC120" s="1">
        <v>2.3775167509516401E-2</v>
      </c>
      <c r="AD120" s="1">
        <v>2.1688335128494499E-2</v>
      </c>
      <c r="AE120" s="1">
        <v>2.1626678099925901E-2</v>
      </c>
      <c r="AF120" s="1">
        <v>1.8527665467976202E-2</v>
      </c>
      <c r="AG120" s="1">
        <v>1.9196386191921998E-2</v>
      </c>
      <c r="AH120" s="1">
        <v>1.7512769048388901E-2</v>
      </c>
      <c r="AI120" s="1">
        <v>1.45499722747084E-2</v>
      </c>
      <c r="AJ120" s="1">
        <v>1.26478393625261E-2</v>
      </c>
      <c r="AK120" s="1">
        <v>1.19777605542505E-2</v>
      </c>
      <c r="AL120" s="1">
        <v>1.14934676822783E-2</v>
      </c>
      <c r="AM120" s="1">
        <v>1.1632263900774001E-2</v>
      </c>
      <c r="AN120" s="1">
        <v>1.1265309514888199E-2</v>
      </c>
      <c r="AO120" s="1">
        <v>1.0492831148153E-2</v>
      </c>
      <c r="AP120" s="1">
        <v>9.52655414756917E-3</v>
      </c>
      <c r="AQ120" s="1">
        <v>9.67390629734197E-3</v>
      </c>
      <c r="AR120" s="1">
        <v>8.1539383155381298E-3</v>
      </c>
      <c r="AS120" s="1">
        <v>7.1064478720380296E-3</v>
      </c>
      <c r="AT120" s="1">
        <v>0.139535016371028</v>
      </c>
    </row>
    <row r="121" spans="1:46" ht="15.75" customHeight="1" x14ac:dyDescent="0.25">
      <c r="A121" s="1">
        <v>4</v>
      </c>
      <c r="B121" s="1" t="s">
        <v>87</v>
      </c>
      <c r="C121" s="1">
        <v>1997</v>
      </c>
      <c r="D121" s="1">
        <v>1</v>
      </c>
      <c r="E121" s="1">
        <v>20</v>
      </c>
      <c r="F121" s="1">
        <v>0</v>
      </c>
      <c r="G121" s="1">
        <v>0</v>
      </c>
      <c r="H121" s="1">
        <v>0</v>
      </c>
      <c r="I121" s="1">
        <v>0</v>
      </c>
      <c r="J121" s="5">
        <v>8.2728090164858898E-6</v>
      </c>
      <c r="K121" s="1">
        <v>1.1279001822329499E-3</v>
      </c>
      <c r="L121" s="1">
        <v>1.27103194411377E-2</v>
      </c>
      <c r="M121" s="1">
        <v>3.4472065217959903E-2</v>
      </c>
      <c r="N121" s="1">
        <v>4.7157201255179797E-2</v>
      </c>
      <c r="O121" s="1">
        <v>4.7750653643156497E-2</v>
      </c>
      <c r="P121" s="1">
        <v>4.2883200467559703E-2</v>
      </c>
      <c r="Q121" s="1">
        <v>4.1151141909211E-2</v>
      </c>
      <c r="R121" s="1">
        <v>4.5518455116178802E-2</v>
      </c>
      <c r="S121" s="1">
        <v>4.4652973302307102E-2</v>
      </c>
      <c r="T121" s="1">
        <v>4.1558212776404597E-2</v>
      </c>
      <c r="U121" s="1">
        <v>3.43351988923195E-2</v>
      </c>
      <c r="V121" s="1">
        <v>3.4014262566062402E-2</v>
      </c>
      <c r="W121" s="1">
        <v>3.5129388557902201E-2</v>
      </c>
      <c r="X121" s="1">
        <v>3.2706793764589202E-2</v>
      </c>
      <c r="Y121" s="1">
        <v>2.7767440145922601E-2</v>
      </c>
      <c r="Z121" s="1">
        <v>2.2729542772795E-2</v>
      </c>
      <c r="AA121" s="1">
        <v>2.1828536543734799E-2</v>
      </c>
      <c r="AB121" s="1">
        <v>2.2862151034970999E-2</v>
      </c>
      <c r="AC121" s="1">
        <v>2.33552347841448E-2</v>
      </c>
      <c r="AD121" s="1">
        <v>2.2730394385487799E-2</v>
      </c>
      <c r="AE121" s="1">
        <v>1.8933175046920801E-2</v>
      </c>
      <c r="AF121" s="1">
        <v>1.8138133768645301E-2</v>
      </c>
      <c r="AG121" s="1">
        <v>1.83782885480357E-2</v>
      </c>
      <c r="AH121" s="1">
        <v>1.9072961187508199E-2</v>
      </c>
      <c r="AI121" s="1">
        <v>1.6094993259485501E-2</v>
      </c>
      <c r="AJ121" s="1">
        <v>1.5872235710821098E-2</v>
      </c>
      <c r="AK121" s="1">
        <v>1.33045017828512E-2</v>
      </c>
      <c r="AL121" s="1">
        <v>1.24365867898569E-2</v>
      </c>
      <c r="AM121" s="1">
        <v>1.10771696141185E-2</v>
      </c>
      <c r="AN121" s="1">
        <v>1.13255972025253E-2</v>
      </c>
      <c r="AO121" s="1">
        <v>1.04456379728747E-2</v>
      </c>
      <c r="AP121" s="1">
        <v>1.08154811994941E-2</v>
      </c>
      <c r="AQ121" s="1">
        <v>1.0274828798475501E-2</v>
      </c>
      <c r="AR121" s="1">
        <v>9.6738335552190007E-3</v>
      </c>
      <c r="AS121" s="1">
        <v>9.1846428926412108E-3</v>
      </c>
      <c r="AT121" s="1">
        <v>0.158522593102254</v>
      </c>
    </row>
    <row r="122" spans="1:46" ht="15.75" customHeight="1" x14ac:dyDescent="0.25">
      <c r="A122" s="1">
        <v>4</v>
      </c>
      <c r="B122" s="1" t="s">
        <v>87</v>
      </c>
      <c r="C122" s="1">
        <v>1998</v>
      </c>
      <c r="D122" s="1">
        <v>1</v>
      </c>
      <c r="E122" s="1">
        <v>6</v>
      </c>
      <c r="F122" s="1">
        <v>0</v>
      </c>
      <c r="G122" s="1">
        <v>0</v>
      </c>
      <c r="H122" s="1">
        <v>0</v>
      </c>
      <c r="I122" s="1">
        <v>0</v>
      </c>
      <c r="J122" s="5">
        <v>1.72418598345443E-5</v>
      </c>
      <c r="K122" s="1">
        <v>1.10347902941083E-3</v>
      </c>
      <c r="L122" s="1">
        <v>1.20551304925362E-2</v>
      </c>
      <c r="M122" s="1">
        <v>3.3659180865220198E-2</v>
      </c>
      <c r="N122" s="1">
        <v>4.3180230341799797E-2</v>
      </c>
      <c r="O122" s="1">
        <v>4.6414141915150198E-2</v>
      </c>
      <c r="P122" s="1">
        <v>4.1728135077926103E-2</v>
      </c>
      <c r="Q122" s="1">
        <v>4.6203224369502999E-2</v>
      </c>
      <c r="R122" s="1">
        <v>4.9274046844007498E-2</v>
      </c>
      <c r="S122" s="1">
        <v>4.2947701423894202E-2</v>
      </c>
      <c r="T122" s="1">
        <v>4.4067123268905502E-2</v>
      </c>
      <c r="U122" s="1">
        <v>3.5747335424086001E-2</v>
      </c>
      <c r="V122" s="1">
        <v>3.0470853934993901E-2</v>
      </c>
      <c r="W122" s="1">
        <v>3.02015974937422E-2</v>
      </c>
      <c r="X122" s="1">
        <v>2.6248251604555801E-2</v>
      </c>
      <c r="Y122" s="1">
        <v>2.77537257769584E-2</v>
      </c>
      <c r="Z122" s="1">
        <v>2.514004877793E-2</v>
      </c>
      <c r="AA122" s="1">
        <v>2.6156846128446699E-2</v>
      </c>
      <c r="AB122" s="1">
        <v>2.4898072265594599E-2</v>
      </c>
      <c r="AC122" s="1">
        <v>2.29211631311406E-2</v>
      </c>
      <c r="AD122" s="1">
        <v>2.2062731082255E-2</v>
      </c>
      <c r="AE122" s="1">
        <v>1.9182750015234201E-2</v>
      </c>
      <c r="AF122" s="1">
        <v>1.8416432012040001E-2</v>
      </c>
      <c r="AG122" s="1">
        <v>1.7538514299642701E-2</v>
      </c>
      <c r="AH122" s="1">
        <v>1.5859204389730298E-2</v>
      </c>
      <c r="AI122" s="1">
        <v>1.49862466644087E-2</v>
      </c>
      <c r="AJ122" s="1">
        <v>1.41696202208753E-2</v>
      </c>
      <c r="AK122" s="1">
        <v>1.3947011277121101E-2</v>
      </c>
      <c r="AL122" s="1">
        <v>1.34409745004703E-2</v>
      </c>
      <c r="AM122" s="1">
        <v>1.2443190433743799E-2</v>
      </c>
      <c r="AN122" s="1">
        <v>1.1054275957619999E-2</v>
      </c>
      <c r="AO122" s="1">
        <v>1.0427546162127301E-2</v>
      </c>
      <c r="AP122" s="1">
        <v>1.0428372826639999E-2</v>
      </c>
      <c r="AQ122" s="1">
        <v>9.9067475191798003E-3</v>
      </c>
      <c r="AR122" s="1">
        <v>9.9276503218559305E-3</v>
      </c>
      <c r="AS122" s="1">
        <v>8.7789409341120107E-3</v>
      </c>
      <c r="AT122" s="1">
        <v>0.16724226135730799</v>
      </c>
    </row>
    <row r="123" spans="1:46" ht="15.75" customHeight="1" x14ac:dyDescent="0.25">
      <c r="A123" s="1">
        <v>4</v>
      </c>
      <c r="B123" s="1" t="s">
        <v>87</v>
      </c>
      <c r="C123" s="1">
        <v>1999</v>
      </c>
      <c r="D123" s="1">
        <v>1</v>
      </c>
      <c r="E123" s="1">
        <v>9</v>
      </c>
      <c r="F123" s="1">
        <v>0</v>
      </c>
      <c r="G123" s="1">
        <v>0</v>
      </c>
      <c r="H123" s="1">
        <v>0</v>
      </c>
      <c r="I123" s="1">
        <v>0</v>
      </c>
      <c r="J123" s="5">
        <v>3.4722551034258503E-5</v>
      </c>
      <c r="K123" s="1">
        <v>2.6746886281541001E-3</v>
      </c>
      <c r="L123" s="1">
        <v>2.61124105762786E-2</v>
      </c>
      <c r="M123" s="1">
        <v>7.6759635420228803E-2</v>
      </c>
      <c r="N123" s="1">
        <v>0.104883148093785</v>
      </c>
      <c r="O123" s="1">
        <v>0.10892429186163</v>
      </c>
      <c r="P123" s="1">
        <v>9.3318784935182794E-2</v>
      </c>
      <c r="Q123" s="1">
        <v>7.7694338435444002E-2</v>
      </c>
      <c r="R123" s="1">
        <v>6.5878324465053498E-2</v>
      </c>
      <c r="S123" s="1">
        <v>6.5814666454824006E-2</v>
      </c>
      <c r="T123" s="1">
        <v>5.31255030824156E-2</v>
      </c>
      <c r="U123" s="1">
        <v>4.7468182393702499E-2</v>
      </c>
      <c r="V123" s="1">
        <v>4.3573644952445902E-2</v>
      </c>
      <c r="W123" s="1">
        <v>4.0100337650503901E-2</v>
      </c>
      <c r="X123" s="1">
        <v>3.1319214933643098E-2</v>
      </c>
      <c r="Y123" s="1">
        <v>2.4568835353028399E-2</v>
      </c>
      <c r="Z123" s="1">
        <v>1.9083724488131702E-2</v>
      </c>
      <c r="AA123" s="1">
        <v>2.0912445509269399E-2</v>
      </c>
      <c r="AB123" s="1">
        <v>1.64614704193678E-2</v>
      </c>
      <c r="AC123" s="1">
        <v>1.22388224074793E-2</v>
      </c>
      <c r="AD123" s="1">
        <v>8.9563137698063303E-3</v>
      </c>
      <c r="AE123" s="1">
        <v>5.8712677203382599E-3</v>
      </c>
      <c r="AF123" s="1">
        <v>5.9529884717623299E-3</v>
      </c>
      <c r="AG123" s="1">
        <v>3.7537182065065901E-3</v>
      </c>
      <c r="AH123" s="1">
        <v>5.8046284809795904E-3</v>
      </c>
      <c r="AI123" s="1">
        <v>3.4568228585217398E-3</v>
      </c>
      <c r="AJ123" s="1">
        <v>3.4224510403262098E-3</v>
      </c>
      <c r="AK123" s="1">
        <v>1.87992801559218E-3</v>
      </c>
      <c r="AL123" s="1">
        <v>2.6357572830550801E-3</v>
      </c>
      <c r="AM123" s="1">
        <v>1.31314374820469E-3</v>
      </c>
      <c r="AN123" s="1">
        <v>0</v>
      </c>
      <c r="AO123" s="1">
        <v>0</v>
      </c>
      <c r="AP123" s="1">
        <v>0</v>
      </c>
      <c r="AQ123" s="1">
        <v>5.0084649370627605E-4</v>
      </c>
      <c r="AR123" s="1">
        <v>0</v>
      </c>
      <c r="AS123" s="1">
        <v>5.4538956422497096E-4</v>
      </c>
      <c r="AT123" s="1">
        <v>2.8091069885973301E-2</v>
      </c>
    </row>
    <row r="124" spans="1:46" ht="15.75" customHeight="1" x14ac:dyDescent="0.25">
      <c r="A124" s="1">
        <v>4</v>
      </c>
      <c r="B124" s="1" t="s">
        <v>87</v>
      </c>
      <c r="C124" s="1">
        <v>2000</v>
      </c>
      <c r="D124" s="1">
        <v>1</v>
      </c>
      <c r="E124" s="1">
        <v>8</v>
      </c>
      <c r="F124" s="1">
        <v>0</v>
      </c>
      <c r="G124" s="1">
        <v>0</v>
      </c>
      <c r="H124" s="1">
        <v>0</v>
      </c>
      <c r="I124" s="1">
        <v>0</v>
      </c>
      <c r="J124" s="5">
        <v>2.0526961731436899E-5</v>
      </c>
      <c r="K124" s="1">
        <v>1.6300386117096401E-3</v>
      </c>
      <c r="L124" s="1">
        <v>1.7386089273735101E-2</v>
      </c>
      <c r="M124" s="1">
        <v>5.0787907641037799E-2</v>
      </c>
      <c r="N124" s="1">
        <v>6.9432077087397306E-2</v>
      </c>
      <c r="O124" s="1">
        <v>7.6651137484272505E-2</v>
      </c>
      <c r="P124" s="1">
        <v>7.3670276402959103E-2</v>
      </c>
      <c r="Q124" s="1">
        <v>6.1699595334444197E-2</v>
      </c>
      <c r="R124" s="1">
        <v>6.1697740488504599E-2</v>
      </c>
      <c r="S124" s="1">
        <v>5.13421356077867E-2</v>
      </c>
      <c r="T124" s="1">
        <v>4.1948082862150897E-2</v>
      </c>
      <c r="U124" s="1">
        <v>4.0776933135895303E-2</v>
      </c>
      <c r="V124" s="1">
        <v>3.8815742695771302E-2</v>
      </c>
      <c r="W124" s="1">
        <v>3.4953087854777902E-2</v>
      </c>
      <c r="X124" s="1">
        <v>3.0020681532226399E-2</v>
      </c>
      <c r="Y124" s="1">
        <v>2.9803664557294701E-2</v>
      </c>
      <c r="Z124" s="1">
        <v>2.5531583389236299E-2</v>
      </c>
      <c r="AA124" s="1">
        <v>2.1135845825205501E-2</v>
      </c>
      <c r="AB124" s="1">
        <v>1.6967636029764099E-2</v>
      </c>
      <c r="AC124" s="1">
        <v>1.7020066341656401E-2</v>
      </c>
      <c r="AD124" s="1">
        <v>1.7564649109519399E-2</v>
      </c>
      <c r="AE124" s="1">
        <v>1.6006578520265699E-2</v>
      </c>
      <c r="AF124" s="1">
        <v>1.4112780815946699E-2</v>
      </c>
      <c r="AG124" s="1">
        <v>1.18316912794418E-2</v>
      </c>
      <c r="AH124" s="1">
        <v>1.04477288957175E-2</v>
      </c>
      <c r="AI124" s="1">
        <v>9.51288654216529E-3</v>
      </c>
      <c r="AJ124" s="1">
        <v>8.4258231651709401E-3</v>
      </c>
      <c r="AK124" s="1">
        <v>8.5304364761636907E-3</v>
      </c>
      <c r="AL124" s="1">
        <v>8.8042117368468207E-3</v>
      </c>
      <c r="AM124" s="1">
        <v>8.4057908290233897E-3</v>
      </c>
      <c r="AN124" s="1">
        <v>6.90559143308489E-3</v>
      </c>
      <c r="AO124" s="1">
        <v>7.1515440046742099E-3</v>
      </c>
      <c r="AP124" s="1">
        <v>6.1034323924112101E-3</v>
      </c>
      <c r="AQ124" s="1">
        <v>6.3272504691214504E-3</v>
      </c>
      <c r="AR124" s="1">
        <v>6.2719760601217403E-3</v>
      </c>
      <c r="AS124" s="1">
        <v>5.7178717497689199E-3</v>
      </c>
      <c r="AT124" s="1">
        <v>8.6588907402999293E-2</v>
      </c>
    </row>
    <row r="125" spans="1:46" ht="15.75" customHeight="1" x14ac:dyDescent="0.25">
      <c r="A125" s="1">
        <v>4</v>
      </c>
      <c r="B125" s="1" t="s">
        <v>87</v>
      </c>
      <c r="C125" s="1">
        <v>2001</v>
      </c>
      <c r="D125" s="1">
        <v>1</v>
      </c>
      <c r="E125" s="1">
        <v>9</v>
      </c>
      <c r="F125" s="1">
        <v>0</v>
      </c>
      <c r="G125" s="1">
        <v>0</v>
      </c>
      <c r="H125" s="1">
        <v>0</v>
      </c>
      <c r="I125" s="1">
        <v>0</v>
      </c>
      <c r="J125" s="5">
        <v>2.3365137473525501E-5</v>
      </c>
      <c r="K125" s="1">
        <v>2.1601730871749999E-3</v>
      </c>
      <c r="L125" s="1">
        <v>2.4827001546397401E-2</v>
      </c>
      <c r="M125" s="1">
        <v>6.7334027895108603E-2</v>
      </c>
      <c r="N125" s="1">
        <v>8.1226916594284299E-2</v>
      </c>
      <c r="O125" s="1">
        <v>7.8528904493567794E-2</v>
      </c>
      <c r="P125" s="1">
        <v>7.4659549557621899E-2</v>
      </c>
      <c r="Q125" s="1">
        <v>7.3877919581384899E-2</v>
      </c>
      <c r="R125" s="1">
        <v>6.7265585676377193E-2</v>
      </c>
      <c r="S125" s="1">
        <v>6.6664594663909602E-2</v>
      </c>
      <c r="T125" s="1">
        <v>5.6107409977817498E-2</v>
      </c>
      <c r="U125" s="1">
        <v>4.5014259897698201E-2</v>
      </c>
      <c r="V125" s="1">
        <v>3.6901266974579502E-2</v>
      </c>
      <c r="W125" s="1">
        <v>3.0652415255362799E-2</v>
      </c>
      <c r="X125" s="1">
        <v>2.60278814422065E-2</v>
      </c>
      <c r="Y125" s="1">
        <v>2.19288427963793E-2</v>
      </c>
      <c r="Z125" s="1">
        <v>2.1066316542285898E-2</v>
      </c>
      <c r="AA125" s="1">
        <v>1.9710477291345702E-2</v>
      </c>
      <c r="AB125" s="1">
        <v>1.98410795927897E-2</v>
      </c>
      <c r="AC125" s="1">
        <v>1.65557428807694E-2</v>
      </c>
      <c r="AD125" s="1">
        <v>1.4936053917038601E-2</v>
      </c>
      <c r="AE125" s="1">
        <v>1.2444580814555E-2</v>
      </c>
      <c r="AF125" s="1">
        <v>1.0612621781135499E-2</v>
      </c>
      <c r="AG125" s="1">
        <v>9.5389275864793902E-3</v>
      </c>
      <c r="AH125" s="1">
        <v>8.9446595616810409E-3</v>
      </c>
      <c r="AI125" s="1">
        <v>7.5590628243359399E-3</v>
      </c>
      <c r="AJ125" s="1">
        <v>6.5572274487022304E-3</v>
      </c>
      <c r="AK125" s="1">
        <v>5.1387872633990497E-3</v>
      </c>
      <c r="AL125" s="1">
        <v>5.1658996399013496E-3</v>
      </c>
      <c r="AM125" s="1">
        <v>4.0947403422353403E-3</v>
      </c>
      <c r="AN125" s="1">
        <v>4.3766649726942001E-3</v>
      </c>
      <c r="AO125" s="1">
        <v>4.5416537028728204E-3</v>
      </c>
      <c r="AP125" s="1">
        <v>4.4211909893890301E-3</v>
      </c>
      <c r="AQ125" s="1">
        <v>4.5884941907324804E-3</v>
      </c>
      <c r="AR125" s="1">
        <v>3.7415079573171802E-3</v>
      </c>
      <c r="AS125" s="1">
        <v>3.3460640268690302E-3</v>
      </c>
      <c r="AT125" s="1">
        <v>5.9618132096127298E-2</v>
      </c>
    </row>
    <row r="126" spans="1:46" ht="15.75" customHeight="1" x14ac:dyDescent="0.25">
      <c r="A126" s="1">
        <v>4</v>
      </c>
      <c r="B126" s="1" t="s">
        <v>87</v>
      </c>
      <c r="C126" s="1">
        <v>2002</v>
      </c>
      <c r="D126" s="1">
        <v>1</v>
      </c>
      <c r="E126" s="1">
        <v>20</v>
      </c>
      <c r="F126" s="1">
        <v>0</v>
      </c>
      <c r="G126" s="1">
        <v>0</v>
      </c>
      <c r="H126" s="1">
        <v>0</v>
      </c>
      <c r="I126" s="1">
        <v>0</v>
      </c>
      <c r="J126" s="5">
        <v>2.3497424433751602E-5</v>
      </c>
      <c r="K126" s="1">
        <v>2.0673214766233402E-3</v>
      </c>
      <c r="L126" s="1">
        <v>2.4888404179197701E-2</v>
      </c>
      <c r="M126" s="1">
        <v>7.2145113767073193E-2</v>
      </c>
      <c r="N126" s="1">
        <v>8.9932664063423207E-2</v>
      </c>
      <c r="O126" s="1">
        <v>9.6604238076808097E-2</v>
      </c>
      <c r="P126" s="1">
        <v>9.0935032558618706E-2</v>
      </c>
      <c r="Q126" s="1">
        <v>8.9491296576583404E-2</v>
      </c>
      <c r="R126" s="1">
        <v>8.0505226256473994E-2</v>
      </c>
      <c r="S126" s="1">
        <v>6.6186822147316707E-2</v>
      </c>
      <c r="T126" s="1">
        <v>5.4546785518447001E-2</v>
      </c>
      <c r="U126" s="1">
        <v>5.1191850370208701E-2</v>
      </c>
      <c r="V126" s="1">
        <v>4.0109425698093802E-2</v>
      </c>
      <c r="W126" s="1">
        <v>3.1199157165460501E-2</v>
      </c>
      <c r="X126" s="1">
        <v>2.59167554033344E-2</v>
      </c>
      <c r="Y126" s="1">
        <v>1.9861198002628599E-2</v>
      </c>
      <c r="Z126" s="1">
        <v>1.9054942626745501E-2</v>
      </c>
      <c r="AA126" s="1">
        <v>1.7076753207229001E-2</v>
      </c>
      <c r="AB126" s="1">
        <v>1.3313663277841E-2</v>
      </c>
      <c r="AC126" s="1">
        <v>1.0032270549344901E-2</v>
      </c>
      <c r="AD126" s="1">
        <v>9.5579162935885698E-3</v>
      </c>
      <c r="AE126" s="1">
        <v>7.9974839680914105E-3</v>
      </c>
      <c r="AF126" s="1">
        <v>7.4516207235534801E-3</v>
      </c>
      <c r="AG126" s="1">
        <v>7.1881784457673804E-3</v>
      </c>
      <c r="AH126" s="1">
        <v>5.7948263642005901E-3</v>
      </c>
      <c r="AI126" s="1">
        <v>4.5169279738419502E-3</v>
      </c>
      <c r="AJ126" s="1">
        <v>4.8937905118755804E-3</v>
      </c>
      <c r="AK126" s="1">
        <v>3.8471384090933199E-3</v>
      </c>
      <c r="AL126" s="1">
        <v>3.4595438743231198E-3</v>
      </c>
      <c r="AM126" s="1">
        <v>3.5145594786463799E-3</v>
      </c>
      <c r="AN126" s="1">
        <v>3.3675876075487301E-3</v>
      </c>
      <c r="AO126" s="1">
        <v>2.9430524103273899E-3</v>
      </c>
      <c r="AP126" s="1">
        <v>2.6790452906077901E-3</v>
      </c>
      <c r="AQ126" s="1">
        <v>2.5377218388451801E-3</v>
      </c>
      <c r="AR126" s="1">
        <v>2.2252512812309601E-3</v>
      </c>
      <c r="AS126" s="1">
        <v>1.7792520905364801E-3</v>
      </c>
      <c r="AT126" s="1">
        <v>3.11636850920365E-2</v>
      </c>
    </row>
    <row r="127" spans="1:46" ht="15.75" customHeight="1" x14ac:dyDescent="0.25">
      <c r="A127" s="1">
        <v>4</v>
      </c>
      <c r="B127" s="1" t="s">
        <v>87</v>
      </c>
      <c r="C127" s="1">
        <v>2003</v>
      </c>
      <c r="D127" s="1">
        <v>1</v>
      </c>
      <c r="E127" s="1">
        <v>21</v>
      </c>
      <c r="F127" s="1">
        <v>0</v>
      </c>
      <c r="G127" s="1">
        <v>0</v>
      </c>
      <c r="H127" s="1">
        <v>0</v>
      </c>
      <c r="I127" s="1">
        <v>0</v>
      </c>
      <c r="J127" s="5">
        <v>1.70085453999204E-5</v>
      </c>
      <c r="K127" s="1">
        <v>1.6423005312382101E-3</v>
      </c>
      <c r="L127" s="1">
        <v>1.7243109970702102E-2</v>
      </c>
      <c r="M127" s="1">
        <v>5.2618514359324998E-2</v>
      </c>
      <c r="N127" s="1">
        <v>7.2863981128879401E-2</v>
      </c>
      <c r="O127" s="1">
        <v>8.1312557813370198E-2</v>
      </c>
      <c r="P127" s="1">
        <v>8.1260138034104895E-2</v>
      </c>
      <c r="Q127" s="1">
        <v>7.1961900858304201E-2</v>
      </c>
      <c r="R127" s="1">
        <v>7.0786359425417902E-2</v>
      </c>
      <c r="S127" s="1">
        <v>6.5405873385320903E-2</v>
      </c>
      <c r="T127" s="1">
        <v>5.8474821427700101E-2</v>
      </c>
      <c r="U127" s="1">
        <v>5.14304953460019E-2</v>
      </c>
      <c r="V127" s="1">
        <v>4.4892382611411201E-2</v>
      </c>
      <c r="W127" s="1">
        <v>3.9324802571915098E-2</v>
      </c>
      <c r="X127" s="1">
        <v>3.2402394301300798E-2</v>
      </c>
      <c r="Y127" s="1">
        <v>2.6193996401716699E-2</v>
      </c>
      <c r="Z127" s="1">
        <v>2.3156716319071902E-2</v>
      </c>
      <c r="AA127" s="1">
        <v>1.9275073488766298E-2</v>
      </c>
      <c r="AB127" s="1">
        <v>1.63521828446513E-2</v>
      </c>
      <c r="AC127" s="1">
        <v>1.3994408092164E-2</v>
      </c>
      <c r="AD127" s="1">
        <v>1.1956449758917799E-2</v>
      </c>
      <c r="AE127" s="1">
        <v>1.0898155757845701E-2</v>
      </c>
      <c r="AF127" s="1">
        <v>9.25264869755669E-3</v>
      </c>
      <c r="AG127" s="1">
        <v>8.8643798537962198E-3</v>
      </c>
      <c r="AH127" s="1">
        <v>8.2206342932705408E-3</v>
      </c>
      <c r="AI127" s="1">
        <v>7.7426523432408099E-3</v>
      </c>
      <c r="AJ127" s="1">
        <v>6.8273974206959102E-3</v>
      </c>
      <c r="AK127" s="1">
        <v>6.4353643906583996E-3</v>
      </c>
      <c r="AL127" s="1">
        <v>5.8554008753824299E-3</v>
      </c>
      <c r="AM127" s="1">
        <v>5.3535093717782204E-3</v>
      </c>
      <c r="AN127" s="1">
        <v>4.63134326381439E-3</v>
      </c>
      <c r="AO127" s="1">
        <v>4.4495470080644197E-3</v>
      </c>
      <c r="AP127" s="1">
        <v>4.3564182512845304E-3</v>
      </c>
      <c r="AQ127" s="1">
        <v>3.9805572808076003E-3</v>
      </c>
      <c r="AR127" s="1">
        <v>3.7135091765981899E-3</v>
      </c>
      <c r="AS127" s="1">
        <v>3.2806974618928399E-3</v>
      </c>
      <c r="AT127" s="1">
        <v>5.3572317337632902E-2</v>
      </c>
    </row>
    <row r="128" spans="1:46" ht="15.75" customHeight="1" x14ac:dyDescent="0.25">
      <c r="A128" s="1">
        <v>4</v>
      </c>
      <c r="B128" s="1" t="s">
        <v>87</v>
      </c>
      <c r="C128" s="1">
        <v>2004</v>
      </c>
      <c r="D128" s="1">
        <v>1</v>
      </c>
      <c r="E128" s="1">
        <v>11</v>
      </c>
      <c r="F128" s="1">
        <v>0</v>
      </c>
      <c r="G128" s="1">
        <v>0</v>
      </c>
      <c r="H128" s="1">
        <v>0</v>
      </c>
      <c r="I128" s="1">
        <v>0</v>
      </c>
      <c r="J128" s="5">
        <v>3.2475494106096597E-5</v>
      </c>
      <c r="K128" s="1">
        <v>2.4597053185059698E-3</v>
      </c>
      <c r="L128" s="1">
        <v>2.4798287299415401E-2</v>
      </c>
      <c r="M128" s="1">
        <v>6.11256029046994E-2</v>
      </c>
      <c r="N128" s="1">
        <v>8.2797012892657201E-2</v>
      </c>
      <c r="O128" s="1">
        <v>8.9796450439889097E-2</v>
      </c>
      <c r="P128" s="1">
        <v>8.4414064600936603E-2</v>
      </c>
      <c r="Q128" s="1">
        <v>8.5145503887487595E-2</v>
      </c>
      <c r="R128" s="1">
        <v>7.8970829941448398E-2</v>
      </c>
      <c r="S128" s="1">
        <v>7.1467965261020894E-2</v>
      </c>
      <c r="T128" s="1">
        <v>6.5561527501387898E-2</v>
      </c>
      <c r="U128" s="1">
        <v>5.1691300943225098E-2</v>
      </c>
      <c r="V128" s="1">
        <v>3.89824436339372E-2</v>
      </c>
      <c r="W128" s="1">
        <v>3.1750777816571103E-2</v>
      </c>
      <c r="X128" s="1">
        <v>2.96942244213893E-2</v>
      </c>
      <c r="Y128" s="1">
        <v>2.27533567126505E-2</v>
      </c>
      <c r="Z128" s="1">
        <v>1.9949069309313502E-2</v>
      </c>
      <c r="AA128" s="1">
        <v>1.6826066267328198E-2</v>
      </c>
      <c r="AB128" s="1">
        <v>1.3794222507044301E-2</v>
      </c>
      <c r="AC128" s="1">
        <v>1.2361882293312299E-2</v>
      </c>
      <c r="AD128" s="1">
        <v>1.04482210721972E-2</v>
      </c>
      <c r="AE128" s="1">
        <v>7.8962169809686806E-3</v>
      </c>
      <c r="AF128" s="1">
        <v>7.3524518656202797E-3</v>
      </c>
      <c r="AG128" s="1">
        <v>6.4344778988879503E-3</v>
      </c>
      <c r="AH128" s="1">
        <v>6.41875292279447E-3</v>
      </c>
      <c r="AI128" s="1">
        <v>5.4381069498924796E-3</v>
      </c>
      <c r="AJ128" s="1">
        <v>5.4408417283435201E-3</v>
      </c>
      <c r="AK128" s="1">
        <v>4.5135239352367997E-3</v>
      </c>
      <c r="AL128" s="1">
        <v>3.8765484543488E-3</v>
      </c>
      <c r="AM128" s="1">
        <v>3.6372553398828201E-3</v>
      </c>
      <c r="AN128" s="1">
        <v>3.03583197885834E-3</v>
      </c>
      <c r="AO128" s="1">
        <v>3.0150932422712902E-3</v>
      </c>
      <c r="AP128" s="1">
        <v>2.9535607271229001E-3</v>
      </c>
      <c r="AQ128" s="1">
        <v>2.8277609183750699E-3</v>
      </c>
      <c r="AR128" s="1">
        <v>2.6028253907770501E-3</v>
      </c>
      <c r="AS128" s="1">
        <v>2.4758860910079599E-3</v>
      </c>
      <c r="AT128" s="1">
        <v>3.7259875057088498E-2</v>
      </c>
    </row>
    <row r="129" spans="1:46" ht="15.75" customHeight="1" x14ac:dyDescent="0.25">
      <c r="A129" s="1">
        <v>4</v>
      </c>
      <c r="B129" s="1" t="s">
        <v>87</v>
      </c>
      <c r="C129" s="1">
        <v>2005</v>
      </c>
      <c r="D129" s="1">
        <v>1</v>
      </c>
      <c r="E129" s="1">
        <v>18</v>
      </c>
      <c r="F129" s="1">
        <v>0</v>
      </c>
      <c r="G129" s="1">
        <v>0</v>
      </c>
      <c r="H129" s="1">
        <v>0</v>
      </c>
      <c r="I129" s="1">
        <v>0</v>
      </c>
      <c r="J129" s="5">
        <v>2.9181106397662599E-5</v>
      </c>
      <c r="K129" s="1">
        <v>2.2936668547758401E-3</v>
      </c>
      <c r="L129" s="1">
        <v>2.53705003890017E-2</v>
      </c>
      <c r="M129" s="1">
        <v>6.8741119097025002E-2</v>
      </c>
      <c r="N129" s="1">
        <v>8.4652954523238996E-2</v>
      </c>
      <c r="O129" s="1">
        <v>9.2161906983708505E-2</v>
      </c>
      <c r="P129" s="1">
        <v>8.3266134401159903E-2</v>
      </c>
      <c r="Q129" s="1">
        <v>8.0970394571612606E-2</v>
      </c>
      <c r="R129" s="1">
        <v>7.6992196525662401E-2</v>
      </c>
      <c r="S129" s="1">
        <v>7.3061836359052695E-2</v>
      </c>
      <c r="T129" s="1">
        <v>6.0788550035471803E-2</v>
      </c>
      <c r="U129" s="1">
        <v>5.0051975855903402E-2</v>
      </c>
      <c r="V129" s="1">
        <v>4.4085954463760499E-2</v>
      </c>
      <c r="W129" s="1">
        <v>3.5196719724721701E-2</v>
      </c>
      <c r="X129" s="1">
        <v>2.96122054203188E-2</v>
      </c>
      <c r="Y129" s="1">
        <v>2.5654019553892699E-2</v>
      </c>
      <c r="Z129" s="1">
        <v>2.2750419737526301E-2</v>
      </c>
      <c r="AA129" s="1">
        <v>1.81496914217593E-2</v>
      </c>
      <c r="AB129" s="1">
        <v>1.5912632724202999E-2</v>
      </c>
      <c r="AC129" s="1">
        <v>1.2722643470185299E-2</v>
      </c>
      <c r="AD129" s="1">
        <v>1.14877086150121E-2</v>
      </c>
      <c r="AE129" s="1">
        <v>9.2071174472559501E-3</v>
      </c>
      <c r="AF129" s="1">
        <v>7.7466269909926104E-3</v>
      </c>
      <c r="AG129" s="1">
        <v>6.3730420155310502E-3</v>
      </c>
      <c r="AH129" s="1">
        <v>5.6799508736871101E-3</v>
      </c>
      <c r="AI129" s="1">
        <v>4.8036406539693297E-3</v>
      </c>
      <c r="AJ129" s="1">
        <v>3.8932858101209302E-3</v>
      </c>
      <c r="AK129" s="1">
        <v>3.6660558832538898E-3</v>
      </c>
      <c r="AL129" s="1">
        <v>3.0845864598709602E-3</v>
      </c>
      <c r="AM129" s="1">
        <v>2.6915982810893201E-3</v>
      </c>
      <c r="AN129" s="1">
        <v>2.6111509139985002E-3</v>
      </c>
      <c r="AO129" s="1">
        <v>2.4145372299093299E-3</v>
      </c>
      <c r="AP129" s="1">
        <v>2.3045898372252402E-3</v>
      </c>
      <c r="AQ129" s="1">
        <v>2.09099370597022E-3</v>
      </c>
      <c r="AR129" s="1">
        <v>1.9246773454633199E-3</v>
      </c>
      <c r="AS129" s="1">
        <v>1.7288609593631599E-3</v>
      </c>
      <c r="AT129" s="1">
        <v>2.5826873757909399E-2</v>
      </c>
    </row>
    <row r="130" spans="1:46" ht="15.75" customHeight="1" x14ac:dyDescent="0.25">
      <c r="A130" s="1">
        <v>4</v>
      </c>
      <c r="B130" s="1" t="s">
        <v>87</v>
      </c>
      <c r="C130" s="1">
        <v>2006</v>
      </c>
      <c r="D130" s="1">
        <v>1</v>
      </c>
      <c r="E130" s="1">
        <v>13</v>
      </c>
      <c r="F130" s="1">
        <v>0</v>
      </c>
      <c r="G130" s="1">
        <v>0</v>
      </c>
      <c r="H130" s="1">
        <v>0</v>
      </c>
      <c r="I130" s="1">
        <v>0</v>
      </c>
      <c r="J130" s="5">
        <v>2.6130657274182101E-5</v>
      </c>
      <c r="K130" s="1">
        <v>2.4691896988121701E-3</v>
      </c>
      <c r="L130" s="1">
        <v>2.5071578586587501E-2</v>
      </c>
      <c r="M130" s="1">
        <v>6.6721957318457203E-2</v>
      </c>
      <c r="N130" s="1">
        <v>9.7176766130722306E-2</v>
      </c>
      <c r="O130" s="1">
        <v>0.102117874030713</v>
      </c>
      <c r="P130" s="1">
        <v>0.10497535060468299</v>
      </c>
      <c r="Q130" s="1">
        <v>9.9786788528578502E-2</v>
      </c>
      <c r="R130" s="1">
        <v>8.4650526595709499E-2</v>
      </c>
      <c r="S130" s="1">
        <v>7.8499013069211504E-2</v>
      </c>
      <c r="T130" s="1">
        <v>6.7148443226739504E-2</v>
      </c>
      <c r="U130" s="1">
        <v>5.0772496738127899E-2</v>
      </c>
      <c r="V130" s="1">
        <v>4.2120730562804999E-2</v>
      </c>
      <c r="W130" s="1">
        <v>3.35570110599843E-2</v>
      </c>
      <c r="X130" s="1">
        <v>2.5391443017799199E-2</v>
      </c>
      <c r="Y130" s="1">
        <v>1.8767478812392099E-2</v>
      </c>
      <c r="Z130" s="1">
        <v>1.50540920346935E-2</v>
      </c>
      <c r="AA130" s="1">
        <v>1.2203541659036501E-2</v>
      </c>
      <c r="AB130" s="1">
        <v>9.8582889330789594E-3</v>
      </c>
      <c r="AC130" s="1">
        <v>7.2145800252428399E-3</v>
      </c>
      <c r="AD130" s="1">
        <v>6.0824614281590004E-3</v>
      </c>
      <c r="AE130" s="1">
        <v>5.0759588823088798E-3</v>
      </c>
      <c r="AF130" s="1">
        <v>4.0795308067331504E-3</v>
      </c>
      <c r="AG130" s="1">
        <v>3.7105533329338499E-3</v>
      </c>
      <c r="AH130" s="1">
        <v>3.3292975984876498E-3</v>
      </c>
      <c r="AI130" s="1">
        <v>3.2290776077372801E-3</v>
      </c>
      <c r="AJ130" s="1">
        <v>3.0122666120406499E-3</v>
      </c>
      <c r="AK130" s="1">
        <v>2.6917725264368302E-3</v>
      </c>
      <c r="AL130" s="1">
        <v>2.32804217257211E-3</v>
      </c>
      <c r="AM130" s="1">
        <v>2.1505845763847898E-3</v>
      </c>
      <c r="AN130" s="1">
        <v>2.00817774136043E-3</v>
      </c>
      <c r="AO130" s="1">
        <v>1.6079274327510701E-3</v>
      </c>
      <c r="AP130" s="1">
        <v>1.2870135775524801E-3</v>
      </c>
      <c r="AQ130" s="1">
        <v>1.0389297470457901E-3</v>
      </c>
      <c r="AR130" s="1">
        <v>8.8665832654443496E-4</v>
      </c>
      <c r="AS130" s="1">
        <v>8.8403476657714704E-4</v>
      </c>
      <c r="AT130" s="1">
        <v>1.3014431573725701E-2</v>
      </c>
    </row>
    <row r="131" spans="1:46" ht="15.75" customHeight="1" x14ac:dyDescent="0.25">
      <c r="A131" s="1">
        <v>4</v>
      </c>
      <c r="B131" s="1" t="s">
        <v>87</v>
      </c>
      <c r="C131" s="1">
        <v>2007</v>
      </c>
      <c r="D131" s="1">
        <v>1</v>
      </c>
      <c r="E131" s="1">
        <v>20</v>
      </c>
      <c r="F131" s="1">
        <v>0</v>
      </c>
      <c r="G131" s="1">
        <v>0</v>
      </c>
      <c r="H131" s="1">
        <v>0</v>
      </c>
      <c r="I131" s="1">
        <v>0</v>
      </c>
      <c r="J131" s="5">
        <v>3.4424970263505202E-5</v>
      </c>
      <c r="K131" s="1">
        <v>2.82113487651969E-3</v>
      </c>
      <c r="L131" s="1">
        <v>2.9830521247142999E-2</v>
      </c>
      <c r="M131" s="1">
        <v>9.5763759069737997E-2</v>
      </c>
      <c r="N131" s="1">
        <v>0.113258152166932</v>
      </c>
      <c r="O131" s="1">
        <v>0.10370650743262499</v>
      </c>
      <c r="P131" s="1">
        <v>9.93083321273176E-2</v>
      </c>
      <c r="Q131" s="1">
        <v>0.105573334178258</v>
      </c>
      <c r="R131" s="1">
        <v>9.0725724615652106E-2</v>
      </c>
      <c r="S131" s="1">
        <v>8.8780628161509598E-2</v>
      </c>
      <c r="T131" s="1">
        <v>6.7415395497522193E-2</v>
      </c>
      <c r="U131" s="1">
        <v>5.0656600645511002E-2</v>
      </c>
      <c r="V131" s="1">
        <v>3.5406510087286999E-2</v>
      </c>
      <c r="W131" s="1">
        <v>2.3867808114188101E-2</v>
      </c>
      <c r="X131" s="1">
        <v>1.73758752891226E-2</v>
      </c>
      <c r="Y131" s="1">
        <v>1.64523954898151E-2</v>
      </c>
      <c r="Z131" s="1">
        <v>1.4690556340060499E-2</v>
      </c>
      <c r="AA131" s="1">
        <v>1.0965808811250999E-2</v>
      </c>
      <c r="AB131" s="1">
        <v>8.51769674684031E-3</v>
      </c>
      <c r="AC131" s="1">
        <v>5.2456118867195804E-3</v>
      </c>
      <c r="AD131" s="1">
        <v>4.4283185628516903E-3</v>
      </c>
      <c r="AE131" s="1">
        <v>2.6156126659913001E-3</v>
      </c>
      <c r="AF131" s="1">
        <v>1.2245698377316499E-3</v>
      </c>
      <c r="AG131" s="1">
        <v>3.9220488509167497E-4</v>
      </c>
      <c r="AH131" s="1">
        <v>4.5917087202217502E-4</v>
      </c>
      <c r="AI131" s="1">
        <v>7.7207843755164795E-4</v>
      </c>
      <c r="AJ131" s="1">
        <v>9.818823607993779E-4</v>
      </c>
      <c r="AK131" s="1">
        <v>5.1654582246135096E-4</v>
      </c>
      <c r="AL131" s="1">
        <v>5.79401365181283E-4</v>
      </c>
      <c r="AM131" s="1">
        <v>5.8916367018138204E-4</v>
      </c>
      <c r="AN131" s="1">
        <v>7.4005122641097399E-4</v>
      </c>
      <c r="AO131" s="1">
        <v>6.2821289018177601E-4</v>
      </c>
      <c r="AP131" s="1">
        <v>3.9391757017941202E-4</v>
      </c>
      <c r="AQ131" s="1">
        <v>2.7951020631860902E-4</v>
      </c>
      <c r="AR131" s="1">
        <v>1.71439777282431E-4</v>
      </c>
      <c r="AS131" s="1">
        <v>2.6683633666935798E-4</v>
      </c>
      <c r="AT131" s="1">
        <v>4.5643057588179697E-3</v>
      </c>
    </row>
    <row r="132" spans="1:46" ht="15.75" customHeight="1" x14ac:dyDescent="0.25">
      <c r="A132" s="1">
        <v>4</v>
      </c>
      <c r="B132" s="1" t="s">
        <v>87</v>
      </c>
      <c r="C132" s="1">
        <v>2008</v>
      </c>
      <c r="D132" s="1">
        <v>1</v>
      </c>
      <c r="E132" s="1">
        <v>22</v>
      </c>
      <c r="F132" s="1">
        <v>0</v>
      </c>
      <c r="G132" s="1">
        <v>0</v>
      </c>
      <c r="H132" s="1">
        <v>0</v>
      </c>
      <c r="I132" s="1">
        <v>0</v>
      </c>
      <c r="J132" s="5">
        <v>3.35134050278319E-5</v>
      </c>
      <c r="K132" s="1">
        <v>2.4905902283504102E-3</v>
      </c>
      <c r="L132" s="1">
        <v>2.59156010247273E-2</v>
      </c>
      <c r="M132" s="1">
        <v>7.5604714066206294E-2</v>
      </c>
      <c r="N132" s="1">
        <v>9.8775748630748297E-2</v>
      </c>
      <c r="O132" s="1">
        <v>0.102251976694148</v>
      </c>
      <c r="P132" s="1">
        <v>9.3677128036770405E-2</v>
      </c>
      <c r="Q132" s="1">
        <v>9.1218332577292602E-2</v>
      </c>
      <c r="R132" s="1">
        <v>8.0357029474896494E-2</v>
      </c>
      <c r="S132" s="1">
        <v>7.76004325616243E-2</v>
      </c>
      <c r="T132" s="1">
        <v>6.5913133827046597E-2</v>
      </c>
      <c r="U132" s="1">
        <v>5.5027101459971903E-2</v>
      </c>
      <c r="V132" s="1">
        <v>4.2867082302907498E-2</v>
      </c>
      <c r="W132" s="1">
        <v>3.3209779307066901E-2</v>
      </c>
      <c r="X132" s="1">
        <v>2.7855750284458199E-2</v>
      </c>
      <c r="Y132" s="1">
        <v>2.1723561002656201E-2</v>
      </c>
      <c r="Z132" s="1">
        <v>1.8183170522792901E-2</v>
      </c>
      <c r="AA132" s="1">
        <v>1.5889650573580501E-2</v>
      </c>
      <c r="AB132" s="1">
        <v>1.2290635504865101E-2</v>
      </c>
      <c r="AC132" s="1">
        <v>1.0284318753156199E-2</v>
      </c>
      <c r="AD132" s="1">
        <v>8.5215709365640893E-3</v>
      </c>
      <c r="AE132" s="1">
        <v>6.7599688774088304E-3</v>
      </c>
      <c r="AF132" s="1">
        <v>5.6096284108124797E-3</v>
      </c>
      <c r="AG132" s="1">
        <v>4.8221111325516298E-3</v>
      </c>
      <c r="AH132" s="1">
        <v>3.6398804172963202E-3</v>
      </c>
      <c r="AI132" s="1">
        <v>2.7362597187681101E-3</v>
      </c>
      <c r="AJ132" s="1">
        <v>2.2773838653101001E-3</v>
      </c>
      <c r="AK132" s="1">
        <v>1.7186361552734299E-3</v>
      </c>
      <c r="AL132" s="1">
        <v>1.42560869079931E-3</v>
      </c>
      <c r="AM132" s="1">
        <v>1.1221739296071499E-3</v>
      </c>
      <c r="AN132" s="1">
        <v>1.0595391897260701E-3</v>
      </c>
      <c r="AO132" s="1">
        <v>9.0132918365450998E-4</v>
      </c>
      <c r="AP132" s="1">
        <v>7.6937611884407195E-4</v>
      </c>
      <c r="AQ132" s="1">
        <v>6.7131837820708301E-4</v>
      </c>
      <c r="AR132" s="1">
        <v>5.5110932712434696E-4</v>
      </c>
      <c r="AS132" s="1">
        <v>4.8093168411734798E-4</v>
      </c>
      <c r="AT132" s="1">
        <v>5.7639237456414702E-3</v>
      </c>
    </row>
    <row r="133" spans="1:46" ht="15.75" customHeight="1" x14ac:dyDescent="0.25">
      <c r="A133" s="1">
        <v>4</v>
      </c>
      <c r="B133" s="1" t="s">
        <v>87</v>
      </c>
      <c r="C133" s="1">
        <v>2009</v>
      </c>
      <c r="D133" s="1">
        <v>1</v>
      </c>
      <c r="E133" s="1">
        <v>17</v>
      </c>
      <c r="F133" s="1">
        <v>0</v>
      </c>
      <c r="G133" s="1">
        <v>0</v>
      </c>
      <c r="H133" s="1">
        <v>0</v>
      </c>
      <c r="I133" s="1">
        <v>0</v>
      </c>
      <c r="J133" s="5">
        <v>1.6098387621269999E-5</v>
      </c>
      <c r="K133" s="1">
        <v>1.6999897328061201E-3</v>
      </c>
      <c r="L133" s="1">
        <v>2.11092790748507E-2</v>
      </c>
      <c r="M133" s="1">
        <v>6.5877642952787696E-2</v>
      </c>
      <c r="N133" s="1">
        <v>8.8935274107245998E-2</v>
      </c>
      <c r="O133" s="1">
        <v>8.5358480684260093E-2</v>
      </c>
      <c r="P133" s="1">
        <v>8.2147388966737497E-2</v>
      </c>
      <c r="Q133" s="1">
        <v>8.0685655370726195E-2</v>
      </c>
      <c r="R133" s="1">
        <v>7.4874316310421199E-2</v>
      </c>
      <c r="S133" s="1">
        <v>7.1639971366334501E-2</v>
      </c>
      <c r="T133" s="1">
        <v>6.0652106330923397E-2</v>
      </c>
      <c r="U133" s="1">
        <v>5.3538586583031303E-2</v>
      </c>
      <c r="V133" s="1">
        <v>4.6888521527658301E-2</v>
      </c>
      <c r="W133" s="1">
        <v>4.0272799699210597E-2</v>
      </c>
      <c r="X133" s="1">
        <v>3.6532875948329199E-2</v>
      </c>
      <c r="Y133" s="1">
        <v>3.19964397521421E-2</v>
      </c>
      <c r="Z133" s="1">
        <v>2.79355320391899E-2</v>
      </c>
      <c r="AA133" s="1">
        <v>2.21513813668676E-2</v>
      </c>
      <c r="AB133" s="1">
        <v>1.7171881769148401E-2</v>
      </c>
      <c r="AC133" s="1">
        <v>1.49638090359176E-2</v>
      </c>
      <c r="AD133" s="1">
        <v>1.26336568632256E-2</v>
      </c>
      <c r="AE133" s="1">
        <v>9.8400499980145304E-3</v>
      </c>
      <c r="AF133" s="1">
        <v>7.7435927522912498E-3</v>
      </c>
      <c r="AG133" s="1">
        <v>5.9274263221516304E-3</v>
      </c>
      <c r="AH133" s="1">
        <v>5.1434348449957796E-3</v>
      </c>
      <c r="AI133" s="1">
        <v>4.4999465175789002E-3</v>
      </c>
      <c r="AJ133" s="1">
        <v>3.8488561737853098E-3</v>
      </c>
      <c r="AK133" s="1">
        <v>3.3627743031097398E-3</v>
      </c>
      <c r="AL133" s="1">
        <v>2.89502670722506E-3</v>
      </c>
      <c r="AM133" s="1">
        <v>2.2747021708854598E-3</v>
      </c>
      <c r="AN133" s="1">
        <v>1.87313683522155E-3</v>
      </c>
      <c r="AO133" s="1">
        <v>1.6250427948804301E-3</v>
      </c>
      <c r="AP133" s="1">
        <v>1.3848190773763599E-3</v>
      </c>
      <c r="AQ133" s="1">
        <v>1.1343997143788301E-3</v>
      </c>
      <c r="AR133" s="1">
        <v>1.0302968077612799E-3</v>
      </c>
      <c r="AS133" s="1">
        <v>9.3710503053148601E-4</v>
      </c>
      <c r="AT133" s="1">
        <v>9.3977020803767408E-3</v>
      </c>
    </row>
    <row r="134" spans="1:46" ht="15.75" customHeight="1" x14ac:dyDescent="0.25">
      <c r="A134" s="1">
        <v>4</v>
      </c>
      <c r="B134" s="1" t="s">
        <v>87</v>
      </c>
      <c r="C134" s="1">
        <v>2010</v>
      </c>
      <c r="D134" s="1">
        <v>1</v>
      </c>
      <c r="E134" s="1">
        <v>10</v>
      </c>
      <c r="F134" s="1">
        <v>0</v>
      </c>
      <c r="G134" s="1">
        <v>0</v>
      </c>
      <c r="H134" s="1">
        <v>0</v>
      </c>
      <c r="I134" s="1">
        <v>0</v>
      </c>
      <c r="J134" s="5">
        <v>1.8020099380848101E-5</v>
      </c>
      <c r="K134" s="1">
        <v>1.8296350904375199E-3</v>
      </c>
      <c r="L134" s="1">
        <v>2.13420877016137E-2</v>
      </c>
      <c r="M134" s="1">
        <v>6.1221162634712001E-2</v>
      </c>
      <c r="N134" s="1">
        <v>7.8278631706653903E-2</v>
      </c>
      <c r="O134" s="1">
        <v>8.2233703518874907E-2</v>
      </c>
      <c r="P134" s="1">
        <v>7.4217734310804695E-2</v>
      </c>
      <c r="Q134" s="1">
        <v>7.1212967739517102E-2</v>
      </c>
      <c r="R134" s="1">
        <v>7.0750395188429502E-2</v>
      </c>
      <c r="S134" s="1">
        <v>7.0065546411488502E-2</v>
      </c>
      <c r="T134" s="1">
        <v>6.5912083505140606E-2</v>
      </c>
      <c r="U134" s="1">
        <v>5.7823438896265497E-2</v>
      </c>
      <c r="V134" s="1">
        <v>5.1255282672883998E-2</v>
      </c>
      <c r="W134" s="1">
        <v>4.4393194828469498E-2</v>
      </c>
      <c r="X134" s="1">
        <v>3.7761458254442298E-2</v>
      </c>
      <c r="Y134" s="1">
        <v>3.4266068977370397E-2</v>
      </c>
      <c r="Z134" s="1">
        <v>2.94270772903313E-2</v>
      </c>
      <c r="AA134" s="1">
        <v>2.6409305647320701E-2</v>
      </c>
      <c r="AB134" s="1">
        <v>2.23453482345955E-2</v>
      </c>
      <c r="AC134" s="1">
        <v>1.7281275306233301E-2</v>
      </c>
      <c r="AD134" s="1">
        <v>1.43395790827786E-2</v>
      </c>
      <c r="AE134" s="1">
        <v>1.2004616205458399E-2</v>
      </c>
      <c r="AF134" s="1">
        <v>9.2198308473671296E-3</v>
      </c>
      <c r="AG134" s="1">
        <v>7.53274154306961E-3</v>
      </c>
      <c r="AH134" s="1">
        <v>6.4591856224087097E-3</v>
      </c>
      <c r="AI134" s="1">
        <v>4.96079735879744E-3</v>
      </c>
      <c r="AJ134" s="1">
        <v>3.8778063861022202E-3</v>
      </c>
      <c r="AK134" s="1">
        <v>3.07531696037304E-3</v>
      </c>
      <c r="AL134" s="1">
        <v>2.6299145039784901E-3</v>
      </c>
      <c r="AM134" s="1">
        <v>2.1846820485215E-3</v>
      </c>
      <c r="AN134" s="1">
        <v>1.73511456915685E-3</v>
      </c>
      <c r="AO134" s="1">
        <v>1.4966882542357201E-3</v>
      </c>
      <c r="AP134" s="1">
        <v>1.2641269716602501E-3</v>
      </c>
      <c r="AQ134" s="1">
        <v>1.1018610767638401E-3</v>
      </c>
      <c r="AR134" s="1">
        <v>9.8124541156844507E-4</v>
      </c>
      <c r="AS134" s="1">
        <v>8.8357987294300001E-4</v>
      </c>
      <c r="AT134" s="1">
        <v>8.2084952698514204E-3</v>
      </c>
    </row>
    <row r="135" spans="1:46" ht="15.75" customHeight="1" x14ac:dyDescent="0.25">
      <c r="A135" s="1">
        <v>4</v>
      </c>
      <c r="B135" s="1" t="s">
        <v>87</v>
      </c>
      <c r="C135" s="1">
        <v>2011</v>
      </c>
      <c r="D135" s="1">
        <v>1</v>
      </c>
      <c r="E135" s="1">
        <v>12</v>
      </c>
      <c r="F135" s="1">
        <v>0</v>
      </c>
      <c r="G135" s="1">
        <v>0</v>
      </c>
      <c r="H135" s="1">
        <v>0</v>
      </c>
      <c r="I135" s="1">
        <v>0</v>
      </c>
      <c r="J135" s="5">
        <v>1.6478436464346599E-5</v>
      </c>
      <c r="K135" s="1">
        <v>1.4451742783311099E-3</v>
      </c>
      <c r="L135" s="1">
        <v>1.7450664215743102E-2</v>
      </c>
      <c r="M135" s="1">
        <v>4.6778893032539702E-2</v>
      </c>
      <c r="N135" s="1">
        <v>6.7868673637558594E-2</v>
      </c>
      <c r="O135" s="1">
        <v>7.5974909347423902E-2</v>
      </c>
      <c r="P135" s="1">
        <v>6.9472780125527198E-2</v>
      </c>
      <c r="Q135" s="1">
        <v>7.0135921690157796E-2</v>
      </c>
      <c r="R135" s="1">
        <v>6.9620778045548101E-2</v>
      </c>
      <c r="S135" s="1">
        <v>6.9665901240726205E-2</v>
      </c>
      <c r="T135" s="1">
        <v>6.6127349515106598E-2</v>
      </c>
      <c r="U135" s="1">
        <v>5.8495754377046197E-2</v>
      </c>
      <c r="V135" s="1">
        <v>5.40443434725255E-2</v>
      </c>
      <c r="W135" s="1">
        <v>4.5848554390660101E-2</v>
      </c>
      <c r="X135" s="1">
        <v>4.1641470957641299E-2</v>
      </c>
      <c r="Y135" s="1">
        <v>3.8895886235338697E-2</v>
      </c>
      <c r="Z135" s="1">
        <v>3.5027919784511301E-2</v>
      </c>
      <c r="AA135" s="1">
        <v>3.03711444405028E-2</v>
      </c>
      <c r="AB135" s="1">
        <v>2.5817243821337099E-2</v>
      </c>
      <c r="AC135" s="1">
        <v>2.0752434669737099E-2</v>
      </c>
      <c r="AD135" s="1">
        <v>1.64094426369071E-2</v>
      </c>
      <c r="AE135" s="1">
        <v>1.43829029599507E-2</v>
      </c>
      <c r="AF135" s="1">
        <v>1.1400228957864401E-2</v>
      </c>
      <c r="AG135" s="1">
        <v>9.5211481866520203E-3</v>
      </c>
      <c r="AH135" s="1">
        <v>7.5195571705107796E-3</v>
      </c>
      <c r="AI135" s="1">
        <v>5.7323398324851402E-3</v>
      </c>
      <c r="AJ135" s="1">
        <v>4.8576736652023696E-3</v>
      </c>
      <c r="AK135" s="1">
        <v>3.8137570149820599E-3</v>
      </c>
      <c r="AL135" s="1">
        <v>3.1747940907710802E-3</v>
      </c>
      <c r="AM135" s="1">
        <v>2.4667603370810498E-3</v>
      </c>
      <c r="AN135" s="1">
        <v>2.08868032287571E-3</v>
      </c>
      <c r="AO135" s="1">
        <v>1.76180666497314E-3</v>
      </c>
      <c r="AP135" s="1">
        <v>1.42653978475928E-3</v>
      </c>
      <c r="AQ135" s="1">
        <v>1.2398868408827501E-3</v>
      </c>
      <c r="AR135" s="1">
        <v>1.0603180846451099E-3</v>
      </c>
      <c r="AS135" s="1">
        <v>9.3726882543937896E-4</v>
      </c>
      <c r="AT135" s="1">
        <v>6.75461890959106E-3</v>
      </c>
    </row>
    <row r="136" spans="1:46" ht="15.75" customHeight="1" x14ac:dyDescent="0.25">
      <c r="A136" s="1">
        <v>4</v>
      </c>
      <c r="B136" s="1" t="s">
        <v>87</v>
      </c>
      <c r="C136" s="1">
        <v>2012</v>
      </c>
      <c r="D136" s="1">
        <v>1</v>
      </c>
      <c r="E136" s="1">
        <v>11</v>
      </c>
      <c r="F136" s="1">
        <v>0</v>
      </c>
      <c r="G136" s="1">
        <v>0</v>
      </c>
      <c r="H136" s="1">
        <v>0</v>
      </c>
      <c r="I136" s="1">
        <v>0</v>
      </c>
      <c r="J136" s="5">
        <v>1.6687354814798298E-5</v>
      </c>
      <c r="K136" s="1">
        <v>1.56819416872067E-3</v>
      </c>
      <c r="L136" s="1">
        <v>1.8858045929107298E-2</v>
      </c>
      <c r="M136" s="1">
        <v>5.8414586149845897E-2</v>
      </c>
      <c r="N136" s="1">
        <v>8.1656400188800798E-2</v>
      </c>
      <c r="O136" s="1">
        <v>9.0697442153910304E-2</v>
      </c>
      <c r="P136" s="1">
        <v>8.2310377623992695E-2</v>
      </c>
      <c r="Q136" s="1">
        <v>8.1586146425030495E-2</v>
      </c>
      <c r="R136" s="1">
        <v>8.1936247129044903E-2</v>
      </c>
      <c r="S136" s="1">
        <v>7.3828946102597395E-2</v>
      </c>
      <c r="T136" s="1">
        <v>6.5441130641713099E-2</v>
      </c>
      <c r="U136" s="1">
        <v>5.9842940285218603E-2</v>
      </c>
      <c r="V136" s="1">
        <v>5.1272064542016001E-2</v>
      </c>
      <c r="W136" s="1">
        <v>4.4705757295941E-2</v>
      </c>
      <c r="X136" s="1">
        <v>3.7001539325044901E-2</v>
      </c>
      <c r="Y136" s="1">
        <v>3.1177819368228402E-2</v>
      </c>
      <c r="Z136" s="1">
        <v>2.4989313835160499E-2</v>
      </c>
      <c r="AA136" s="1">
        <v>2.0881888321046E-2</v>
      </c>
      <c r="AB136" s="1">
        <v>1.62601585315395E-2</v>
      </c>
      <c r="AC136" s="1">
        <v>1.46001004745633E-2</v>
      </c>
      <c r="AD136" s="1">
        <v>1.1628916949788499E-2</v>
      </c>
      <c r="AE136" s="1">
        <v>8.8392084086245902E-3</v>
      </c>
      <c r="AF136" s="1">
        <v>8.0151033910957799E-3</v>
      </c>
      <c r="AG136" s="1">
        <v>6.7073153942600302E-3</v>
      </c>
      <c r="AH136" s="1">
        <v>5.3336123459058402E-3</v>
      </c>
      <c r="AI136" s="1">
        <v>3.8985832686072599E-3</v>
      </c>
      <c r="AJ136" s="1">
        <v>3.34189311198558E-3</v>
      </c>
      <c r="AK136" s="1">
        <v>2.8875798771526998E-3</v>
      </c>
      <c r="AL136" s="1">
        <v>2.1458269556349201E-3</v>
      </c>
      <c r="AM136" s="1">
        <v>1.9599298229980599E-3</v>
      </c>
      <c r="AN136" s="1">
        <v>1.4252669747319201E-3</v>
      </c>
      <c r="AO136" s="1">
        <v>1.0544739507471099E-3</v>
      </c>
      <c r="AP136" s="1">
        <v>8.5305757813248996E-4</v>
      </c>
      <c r="AQ136" s="1">
        <v>7.2856991121409505E-4</v>
      </c>
      <c r="AR136" s="1">
        <v>5.6069512177722301E-4</v>
      </c>
      <c r="AS136" s="1">
        <v>4.8777138123655498E-4</v>
      </c>
      <c r="AT136" s="1">
        <v>3.0864097097710202E-3</v>
      </c>
    </row>
    <row r="137" spans="1:46" ht="15.75" customHeight="1" x14ac:dyDescent="0.25">
      <c r="A137" s="1">
        <v>4</v>
      </c>
      <c r="B137" s="1" t="s">
        <v>87</v>
      </c>
      <c r="C137" s="1">
        <v>2013</v>
      </c>
      <c r="D137" s="1">
        <v>1</v>
      </c>
      <c r="E137" s="1">
        <v>19</v>
      </c>
      <c r="F137" s="1">
        <v>0</v>
      </c>
      <c r="G137" s="1">
        <v>0</v>
      </c>
      <c r="H137" s="1">
        <v>0</v>
      </c>
      <c r="I137" s="1">
        <v>0</v>
      </c>
      <c r="J137" s="5">
        <v>2.16977594485418E-5</v>
      </c>
      <c r="K137" s="1">
        <v>1.7608483695046801E-3</v>
      </c>
      <c r="L137" s="1">
        <v>2.0698803196702999E-2</v>
      </c>
      <c r="M137" s="1">
        <v>6.4581554949522099E-2</v>
      </c>
      <c r="N137" s="1">
        <v>7.7749731812470801E-2</v>
      </c>
      <c r="O137" s="1">
        <v>7.35921403411081E-2</v>
      </c>
      <c r="P137" s="1">
        <v>7.8592184918188104E-2</v>
      </c>
      <c r="Q137" s="1">
        <v>6.9404902426142501E-2</v>
      </c>
      <c r="R137" s="1">
        <v>6.74163349970789E-2</v>
      </c>
      <c r="S137" s="1">
        <v>6.5044726923492904E-2</v>
      </c>
      <c r="T137" s="1">
        <v>5.4788561241979797E-2</v>
      </c>
      <c r="U137" s="1">
        <v>5.1480082584680099E-2</v>
      </c>
      <c r="V137" s="1">
        <v>4.8369461714034903E-2</v>
      </c>
      <c r="W137" s="1">
        <v>4.7029893604714303E-2</v>
      </c>
      <c r="X137" s="1">
        <v>4.2115351089619599E-2</v>
      </c>
      <c r="Y137" s="1">
        <v>3.56745538022262E-2</v>
      </c>
      <c r="Z137" s="1">
        <v>2.88861627050532E-2</v>
      </c>
      <c r="AA137" s="1">
        <v>2.5235998043764401E-2</v>
      </c>
      <c r="AB137" s="1">
        <v>2.4612993069499298E-2</v>
      </c>
      <c r="AC137" s="1">
        <v>2.0574631860452899E-2</v>
      </c>
      <c r="AD137" s="1">
        <v>1.9343552548375002E-2</v>
      </c>
      <c r="AE137" s="1">
        <v>1.5164155902913101E-2</v>
      </c>
      <c r="AF137" s="1">
        <v>1.2984712639492701E-2</v>
      </c>
      <c r="AG137" s="1">
        <v>9.7717256066967503E-3</v>
      </c>
      <c r="AH137" s="1">
        <v>8.4666376002621793E-3</v>
      </c>
      <c r="AI137" s="1">
        <v>6.5602423790110899E-3</v>
      </c>
      <c r="AJ137" s="1">
        <v>4.8929521702969101E-3</v>
      </c>
      <c r="AK137" s="1">
        <v>4.29808983452451E-3</v>
      </c>
      <c r="AL137" s="1">
        <v>3.78958887794334E-3</v>
      </c>
      <c r="AM137" s="1">
        <v>2.8737715657736998E-3</v>
      </c>
      <c r="AN137" s="1">
        <v>2.0378707537511598E-3</v>
      </c>
      <c r="AO137" s="1">
        <v>1.65805254875094E-3</v>
      </c>
      <c r="AP137" s="1">
        <v>1.5020864758832099E-3</v>
      </c>
      <c r="AQ137" s="1">
        <v>1.32839698564414E-3</v>
      </c>
      <c r="AR137" s="1">
        <v>1.07876533733517E-3</v>
      </c>
      <c r="AS137" s="1">
        <v>9.0389428593801505E-4</v>
      </c>
      <c r="AT137" s="1">
        <v>5.7148890777238498E-3</v>
      </c>
    </row>
    <row r="138" spans="1:46" ht="15.75" customHeight="1" x14ac:dyDescent="0.25">
      <c r="A138" s="1">
        <v>4</v>
      </c>
      <c r="B138" s="1" t="s">
        <v>87</v>
      </c>
      <c r="C138" s="1">
        <v>2014</v>
      </c>
      <c r="D138" s="1">
        <v>1</v>
      </c>
      <c r="E138" s="1">
        <v>29</v>
      </c>
      <c r="F138" s="1">
        <v>0</v>
      </c>
      <c r="G138" s="1">
        <v>0</v>
      </c>
      <c r="H138" s="1">
        <v>0</v>
      </c>
      <c r="I138" s="1">
        <v>0</v>
      </c>
      <c r="J138" s="5">
        <v>2.0224432048817998E-5</v>
      </c>
      <c r="K138" s="1">
        <v>1.62863916951613E-3</v>
      </c>
      <c r="L138" s="1">
        <v>1.9101785273579801E-2</v>
      </c>
      <c r="M138" s="1">
        <v>5.4467829844984501E-2</v>
      </c>
      <c r="N138" s="1">
        <v>7.4855106731101198E-2</v>
      </c>
      <c r="O138" s="1">
        <v>8.1657479972803898E-2</v>
      </c>
      <c r="P138" s="1">
        <v>7.7345860015830395E-2</v>
      </c>
      <c r="Q138" s="1">
        <v>7.1177694435734101E-2</v>
      </c>
      <c r="R138" s="1">
        <v>7.0913727438191201E-2</v>
      </c>
      <c r="S138" s="1">
        <v>7.1844814498551901E-2</v>
      </c>
      <c r="T138" s="1">
        <v>6.4324283122587506E-2</v>
      </c>
      <c r="U138" s="1">
        <v>5.9838465934853903E-2</v>
      </c>
      <c r="V138" s="1">
        <v>5.51764481528082E-2</v>
      </c>
      <c r="W138" s="1">
        <v>4.6558836736459698E-2</v>
      </c>
      <c r="X138" s="1">
        <v>3.87530645499954E-2</v>
      </c>
      <c r="Y138" s="1">
        <v>3.2896660497896899E-2</v>
      </c>
      <c r="Z138" s="1">
        <v>2.6998472005999401E-2</v>
      </c>
      <c r="AA138" s="1">
        <v>2.2239052596020499E-2</v>
      </c>
      <c r="AB138" s="1">
        <v>1.7723566548064399E-2</v>
      </c>
      <c r="AC138" s="1">
        <v>1.7428881309390801E-2</v>
      </c>
      <c r="AD138" s="1">
        <v>1.49677014866198E-2</v>
      </c>
      <c r="AE138" s="1">
        <v>1.15050306843747E-2</v>
      </c>
      <c r="AF138" s="1">
        <v>1.03173222928286E-2</v>
      </c>
      <c r="AG138" s="1">
        <v>8.8291093684816201E-3</v>
      </c>
      <c r="AH138" s="1">
        <v>7.7129496752213799E-3</v>
      </c>
      <c r="AI138" s="1">
        <v>6.7770927016416399E-3</v>
      </c>
      <c r="AJ138" s="1">
        <v>5.9860502933925903E-3</v>
      </c>
      <c r="AK138" s="1">
        <v>5.1789809767274998E-3</v>
      </c>
      <c r="AL138" s="1">
        <v>4.3075178316050802E-3</v>
      </c>
      <c r="AM138" s="1">
        <v>3.3968459998219899E-3</v>
      </c>
      <c r="AN138" s="1">
        <v>2.8961005100849799E-3</v>
      </c>
      <c r="AO138" s="1">
        <v>2.1302432436325698E-3</v>
      </c>
      <c r="AP138" s="1">
        <v>1.67309476071778E-3</v>
      </c>
      <c r="AQ138" s="1">
        <v>1.3808898769181099E-3</v>
      </c>
      <c r="AR138" s="1">
        <v>1.27308983816734E-3</v>
      </c>
      <c r="AS138" s="1">
        <v>1.1388644801829701E-3</v>
      </c>
      <c r="AT138" s="1">
        <v>5.5782227131628897E-3</v>
      </c>
    </row>
    <row r="139" spans="1:46" ht="15.75" customHeight="1" x14ac:dyDescent="0.25">
      <c r="A139" s="1">
        <v>4</v>
      </c>
      <c r="B139" s="1" t="s">
        <v>87</v>
      </c>
      <c r="C139" s="1">
        <v>2015</v>
      </c>
      <c r="D139" s="1">
        <v>1</v>
      </c>
      <c r="E139" s="1">
        <v>27</v>
      </c>
      <c r="F139" s="1">
        <v>0</v>
      </c>
      <c r="G139" s="1">
        <v>0</v>
      </c>
      <c r="H139" s="1">
        <v>0</v>
      </c>
      <c r="I139" s="1">
        <v>0</v>
      </c>
      <c r="J139" s="5">
        <v>1.9298221181488801E-5</v>
      </c>
      <c r="K139" s="1">
        <v>1.53629756663357E-3</v>
      </c>
      <c r="L139" s="1">
        <v>1.74455919480659E-2</v>
      </c>
      <c r="M139" s="1">
        <v>5.6141410202591502E-2</v>
      </c>
      <c r="N139" s="1">
        <v>7.9449383949052696E-2</v>
      </c>
      <c r="O139" s="1">
        <v>7.5283753484124694E-2</v>
      </c>
      <c r="P139" s="1">
        <v>7.3605305618169803E-2</v>
      </c>
      <c r="Q139" s="1">
        <v>7.3543133513848002E-2</v>
      </c>
      <c r="R139" s="1">
        <v>6.9025360250041301E-2</v>
      </c>
      <c r="S139" s="1">
        <v>5.8792926107707998E-2</v>
      </c>
      <c r="T139" s="1">
        <v>5.2410586566448598E-2</v>
      </c>
      <c r="U139" s="1">
        <v>5.0215264694003801E-2</v>
      </c>
      <c r="V139" s="1">
        <v>4.9999502623165402E-2</v>
      </c>
      <c r="W139" s="1">
        <v>4.1726235832220897E-2</v>
      </c>
      <c r="X139" s="1">
        <v>3.6121694184868998E-2</v>
      </c>
      <c r="Y139" s="1">
        <v>3.2823289968705101E-2</v>
      </c>
      <c r="Z139" s="1">
        <v>3.22300188804246E-2</v>
      </c>
      <c r="AA139" s="1">
        <v>2.94276983190652E-2</v>
      </c>
      <c r="AB139" s="1">
        <v>2.57822245477352E-2</v>
      </c>
      <c r="AC139" s="1">
        <v>2.14535539564338E-2</v>
      </c>
      <c r="AD139" s="1">
        <v>1.92972264278197E-2</v>
      </c>
      <c r="AE139" s="1">
        <v>1.5847420703211299E-2</v>
      </c>
      <c r="AF139" s="1">
        <v>1.39842470808954E-2</v>
      </c>
      <c r="AG139" s="1">
        <v>1.29588549987367E-2</v>
      </c>
      <c r="AH139" s="1">
        <v>1.08424170922554E-2</v>
      </c>
      <c r="AI139" s="1">
        <v>1.00171694483295E-2</v>
      </c>
      <c r="AJ139" s="1">
        <v>7.78494221475936E-3</v>
      </c>
      <c r="AK139" s="1">
        <v>6.1809019232567401E-3</v>
      </c>
      <c r="AL139" s="1">
        <v>5.0942330150784802E-3</v>
      </c>
      <c r="AM139" s="1">
        <v>4.0707309648911599E-3</v>
      </c>
      <c r="AN139" s="1">
        <v>3.0150983711903401E-3</v>
      </c>
      <c r="AO139" s="1">
        <v>2.4709681141658899E-3</v>
      </c>
      <c r="AP139" s="1">
        <v>1.8379068791195201E-3</v>
      </c>
      <c r="AQ139" s="1">
        <v>1.29168763938986E-3</v>
      </c>
      <c r="AR139" s="1">
        <v>1.25965657124326E-3</v>
      </c>
      <c r="AS139" s="1">
        <v>1.0604074113127399E-3</v>
      </c>
      <c r="AT139" s="1">
        <v>5.9536007098562197E-3</v>
      </c>
    </row>
    <row r="140" spans="1:46" ht="15.75" customHeight="1" x14ac:dyDescent="0.25">
      <c r="A140" s="1">
        <v>4</v>
      </c>
      <c r="B140" s="1" t="s">
        <v>87</v>
      </c>
      <c r="C140" s="1">
        <v>2016</v>
      </c>
      <c r="D140" s="1">
        <v>1</v>
      </c>
      <c r="E140" s="1">
        <v>6</v>
      </c>
      <c r="F140" s="1">
        <v>0</v>
      </c>
      <c r="G140" s="1">
        <v>0</v>
      </c>
      <c r="H140" s="1">
        <v>0</v>
      </c>
      <c r="I140" s="1">
        <v>0</v>
      </c>
      <c r="J140" s="5">
        <v>2.2783117254452101E-5</v>
      </c>
      <c r="K140" s="1">
        <v>1.7373266062382399E-3</v>
      </c>
      <c r="L140" s="1">
        <v>1.9307324886112899E-2</v>
      </c>
      <c r="M140" s="1">
        <v>5.1593166431810701E-2</v>
      </c>
      <c r="N140" s="1">
        <v>7.4383916030543007E-2</v>
      </c>
      <c r="O140" s="1">
        <v>8.12311540901961E-2</v>
      </c>
      <c r="P140" s="1">
        <v>8.3774775216069394E-2</v>
      </c>
      <c r="Q140" s="1">
        <v>7.3028206638316898E-2</v>
      </c>
      <c r="R140" s="1">
        <v>6.2904186739542206E-2</v>
      </c>
      <c r="S140" s="1">
        <v>5.9604166120821103E-2</v>
      </c>
      <c r="T140" s="1">
        <v>5.7169676126596701E-2</v>
      </c>
      <c r="U140" s="1">
        <v>4.6854847620816001E-2</v>
      </c>
      <c r="V140" s="1">
        <v>3.91983532362849E-2</v>
      </c>
      <c r="W140" s="1">
        <v>3.6787671599591301E-2</v>
      </c>
      <c r="X140" s="1">
        <v>2.9784369186745201E-2</v>
      </c>
      <c r="Y140" s="1">
        <v>2.8347893643851999E-2</v>
      </c>
      <c r="Z140" s="1">
        <v>2.9436812733028599E-2</v>
      </c>
      <c r="AA140" s="1">
        <v>2.8874183652429899E-2</v>
      </c>
      <c r="AB140" s="1">
        <v>2.6046798801152401E-2</v>
      </c>
      <c r="AC140" s="1">
        <v>2.3296876548539999E-2</v>
      </c>
      <c r="AD140" s="1">
        <v>1.85358885358771E-2</v>
      </c>
      <c r="AE140" s="1">
        <v>1.6864519054090501E-2</v>
      </c>
      <c r="AF140" s="1">
        <v>1.37464216266462E-2</v>
      </c>
      <c r="AG140" s="1">
        <v>1.0746340746579999E-2</v>
      </c>
      <c r="AH140" s="1">
        <v>1.0294551531424201E-2</v>
      </c>
      <c r="AI140" s="1">
        <v>9.4750428037815408E-3</v>
      </c>
      <c r="AJ140" s="1">
        <v>8.6543949202761792E-3</v>
      </c>
      <c r="AK140" s="1">
        <v>8.3249510447767992E-3</v>
      </c>
      <c r="AL140" s="1">
        <v>7.0536531019783702E-3</v>
      </c>
      <c r="AM140" s="1">
        <v>6.4348636373474499E-3</v>
      </c>
      <c r="AN140" s="1">
        <v>5.8756520243369303E-3</v>
      </c>
      <c r="AO140" s="1">
        <v>5.1626543698588502E-3</v>
      </c>
      <c r="AP140" s="1">
        <v>4.0773805794430198E-3</v>
      </c>
      <c r="AQ140" s="1">
        <v>3.6489440594730501E-3</v>
      </c>
      <c r="AR140" s="1">
        <v>2.9162390085698698E-3</v>
      </c>
      <c r="AS140" s="1">
        <v>2.60821126328968E-3</v>
      </c>
      <c r="AT140" s="1">
        <v>1.21958026663082E-2</v>
      </c>
    </row>
    <row r="141" spans="1:46" ht="15.75" customHeight="1" x14ac:dyDescent="0.25">
      <c r="A141" s="1">
        <v>4</v>
      </c>
      <c r="B141" s="1" t="s">
        <v>87</v>
      </c>
      <c r="C141" s="1">
        <v>2017</v>
      </c>
      <c r="D141" s="1">
        <v>1</v>
      </c>
      <c r="E141" s="1">
        <v>17</v>
      </c>
      <c r="F141" s="1">
        <v>0</v>
      </c>
      <c r="G141" s="1">
        <v>0</v>
      </c>
      <c r="H141" s="1">
        <v>0</v>
      </c>
      <c r="I141" s="1">
        <v>0</v>
      </c>
      <c r="J141" s="5">
        <v>2.2870828013823799E-5</v>
      </c>
      <c r="K141" s="1">
        <v>1.75965350228807E-3</v>
      </c>
      <c r="L141" s="1">
        <v>1.82797426658447E-2</v>
      </c>
      <c r="M141" s="1">
        <v>5.6797134238574701E-2</v>
      </c>
      <c r="N141" s="1">
        <v>6.9760692958083695E-2</v>
      </c>
      <c r="O141" s="1">
        <v>7.5439309515699701E-2</v>
      </c>
      <c r="P141" s="1">
        <v>6.7464275124859002E-2</v>
      </c>
      <c r="Q141" s="1">
        <v>7.1222558944600001E-2</v>
      </c>
      <c r="R141" s="1">
        <v>7.1051261110292294E-2</v>
      </c>
      <c r="S141" s="1">
        <v>6.9168501875582905E-2</v>
      </c>
      <c r="T141" s="1">
        <v>6.5264941622794906E-2</v>
      </c>
      <c r="U141" s="1">
        <v>5.6276706213362199E-2</v>
      </c>
      <c r="V141" s="1">
        <v>5.0071943923530197E-2</v>
      </c>
      <c r="W141" s="1">
        <v>4.44388356461458E-2</v>
      </c>
      <c r="X141" s="1">
        <v>3.9951952591107301E-2</v>
      </c>
      <c r="Y141" s="1">
        <v>3.2900269537375702E-2</v>
      </c>
      <c r="Z141" s="1">
        <v>2.6561782916401599E-2</v>
      </c>
      <c r="AA141" s="1">
        <v>2.2237796167012599E-2</v>
      </c>
      <c r="AB141" s="1">
        <v>1.9232499353257299E-2</v>
      </c>
      <c r="AC141" s="1">
        <v>1.6468396424729501E-2</v>
      </c>
      <c r="AD141" s="1">
        <v>1.40011475087892E-2</v>
      </c>
      <c r="AE141" s="1">
        <v>1.3222605853135E-2</v>
      </c>
      <c r="AF141" s="1">
        <v>1.24202598662827E-2</v>
      </c>
      <c r="AG141" s="1">
        <v>1.10410089115715E-2</v>
      </c>
      <c r="AH141" s="1">
        <v>1.02624672559172E-2</v>
      </c>
      <c r="AI141" s="1">
        <v>1.0046828020358301E-2</v>
      </c>
      <c r="AJ141" s="1">
        <v>8.06546751181377E-3</v>
      </c>
      <c r="AK141" s="1">
        <v>7.2624213975732797E-3</v>
      </c>
      <c r="AL141" s="1">
        <v>5.6453605066775197E-3</v>
      </c>
      <c r="AM141" s="1">
        <v>4.7984397427778599E-3</v>
      </c>
      <c r="AN141" s="1">
        <v>3.9148789788968803E-3</v>
      </c>
      <c r="AO141" s="1">
        <v>3.2891984696615498E-3</v>
      </c>
      <c r="AP141" s="1">
        <v>2.80401018965401E-3</v>
      </c>
      <c r="AQ141" s="1">
        <v>2.3755322280888998E-3</v>
      </c>
      <c r="AR141" s="1">
        <v>2.3377253491272702E-3</v>
      </c>
      <c r="AS141" s="1">
        <v>2.2037676421891601E-3</v>
      </c>
      <c r="AT141" s="1">
        <v>1.1937755407929801E-2</v>
      </c>
    </row>
    <row r="142" spans="1:46" ht="15.75" customHeight="1" x14ac:dyDescent="0.25">
      <c r="A142" s="1">
        <v>4</v>
      </c>
      <c r="B142" s="1" t="s">
        <v>87</v>
      </c>
      <c r="C142" s="1">
        <v>2018</v>
      </c>
      <c r="D142" s="1">
        <v>1</v>
      </c>
      <c r="E142" s="1">
        <v>11</v>
      </c>
      <c r="F142" s="1">
        <v>0</v>
      </c>
      <c r="G142" s="1">
        <v>0</v>
      </c>
      <c r="H142" s="1">
        <v>0</v>
      </c>
      <c r="I142" s="1">
        <v>0</v>
      </c>
      <c r="J142" s="5">
        <v>1.22726843183322E-5</v>
      </c>
      <c r="K142" s="1">
        <v>1.2981772745613599E-3</v>
      </c>
      <c r="L142" s="1">
        <v>1.39514511699209E-2</v>
      </c>
      <c r="M142" s="1">
        <v>4.2524578436702702E-2</v>
      </c>
      <c r="N142" s="1">
        <v>5.19022728874994E-2</v>
      </c>
      <c r="O142" s="1">
        <v>6.0424970330785602E-2</v>
      </c>
      <c r="P142" s="1">
        <v>6.6380767667313101E-2</v>
      </c>
      <c r="Q142" s="1">
        <v>6.5896542089375398E-2</v>
      </c>
      <c r="R142" s="1">
        <v>5.6841755599309901E-2</v>
      </c>
      <c r="S142" s="1">
        <v>5.0201824293614999E-2</v>
      </c>
      <c r="T142" s="1">
        <v>5.2271135232844899E-2</v>
      </c>
      <c r="U142" s="1">
        <v>5.5390987949723997E-2</v>
      </c>
      <c r="V142" s="1">
        <v>4.57015673172416E-2</v>
      </c>
      <c r="W142" s="1">
        <v>4.6751018189618097E-2</v>
      </c>
      <c r="X142" s="1">
        <v>3.9528270741961503E-2</v>
      </c>
      <c r="Y142" s="1">
        <v>3.5374785279160603E-2</v>
      </c>
      <c r="Z142" s="1">
        <v>3.2375886684396601E-2</v>
      </c>
      <c r="AA142" s="1">
        <v>3.2318886883895899E-2</v>
      </c>
      <c r="AB142" s="1">
        <v>2.9866804557093101E-2</v>
      </c>
      <c r="AC142" s="1">
        <v>3.0192848870483499E-2</v>
      </c>
      <c r="AD142" s="1">
        <v>2.8202628563527302E-2</v>
      </c>
      <c r="AE142" s="1">
        <v>2.4839913060304301E-2</v>
      </c>
      <c r="AF142" s="1">
        <v>2.08092908038458E-2</v>
      </c>
      <c r="AG142" s="1">
        <v>1.9345159564668798E-2</v>
      </c>
      <c r="AH142" s="1">
        <v>1.52488102655277E-2</v>
      </c>
      <c r="AI142" s="1">
        <v>1.26763192692462E-2</v>
      </c>
      <c r="AJ142" s="1">
        <v>9.9594196874856402E-3</v>
      </c>
      <c r="AK142" s="1">
        <v>8.3752888683071396E-3</v>
      </c>
      <c r="AL142" s="1">
        <v>8.1190624923721897E-3</v>
      </c>
      <c r="AM142" s="1">
        <v>6.9992482299039201E-3</v>
      </c>
      <c r="AN142" s="1">
        <v>5.7190708923427896E-3</v>
      </c>
      <c r="AO142" s="1">
        <v>5.3802084419977301E-3</v>
      </c>
      <c r="AP142" s="1">
        <v>3.9299862450481397E-3</v>
      </c>
      <c r="AQ142" s="1">
        <v>3.7431687170913098E-3</v>
      </c>
      <c r="AR142" s="1">
        <v>2.9924895262866602E-3</v>
      </c>
      <c r="AS142" s="1">
        <v>2.22953765116367E-3</v>
      </c>
      <c r="AT142" s="1">
        <v>1.22235935810588E-2</v>
      </c>
    </row>
    <row r="143" spans="1:46" ht="15.75" customHeight="1" x14ac:dyDescent="0.25">
      <c r="A143" s="1">
        <v>4</v>
      </c>
      <c r="B143" s="1" t="s">
        <v>87</v>
      </c>
      <c r="C143" s="1">
        <v>2019</v>
      </c>
      <c r="D143" s="1">
        <v>1</v>
      </c>
      <c r="E143" s="1">
        <v>25</v>
      </c>
      <c r="F143" s="1">
        <v>0</v>
      </c>
      <c r="G143" s="1">
        <v>0</v>
      </c>
      <c r="H143" s="1">
        <v>0</v>
      </c>
      <c r="I143" s="1">
        <v>0</v>
      </c>
      <c r="J143" s="5">
        <v>1.73118767048141E-5</v>
      </c>
      <c r="K143" s="1">
        <v>1.13052737695545E-3</v>
      </c>
      <c r="L143" s="1">
        <v>1.14538931396588E-2</v>
      </c>
      <c r="M143" s="1">
        <v>3.3474986734001601E-2</v>
      </c>
      <c r="N143" s="1">
        <v>4.80589290100219E-2</v>
      </c>
      <c r="O143" s="1">
        <v>5.3485584075670202E-2</v>
      </c>
      <c r="P143" s="1">
        <v>5.7654732240139797E-2</v>
      </c>
      <c r="Q143" s="1">
        <v>5.5479000307131203E-2</v>
      </c>
      <c r="R143" s="1">
        <v>5.0793741818399303E-2</v>
      </c>
      <c r="S143" s="1">
        <v>4.6502483095029697E-2</v>
      </c>
      <c r="T143" s="1">
        <v>4.7612529903561997E-2</v>
      </c>
      <c r="U143" s="1">
        <v>4.6132982726611302E-2</v>
      </c>
      <c r="V143" s="1">
        <v>4.6471028033338399E-2</v>
      </c>
      <c r="W143" s="1">
        <v>4.35168026447601E-2</v>
      </c>
      <c r="X143" s="1">
        <v>4.2640775312398203E-2</v>
      </c>
      <c r="Y143" s="1">
        <v>4.0604233959502897E-2</v>
      </c>
      <c r="Z143" s="1">
        <v>3.9244478786536398E-2</v>
      </c>
      <c r="AA143" s="1">
        <v>3.6573194382852503E-2</v>
      </c>
      <c r="AB143" s="1">
        <v>3.4196521023805798E-2</v>
      </c>
      <c r="AC143" s="1">
        <v>2.9503147592868598E-2</v>
      </c>
      <c r="AD143" s="1">
        <v>2.6207785491008901E-2</v>
      </c>
      <c r="AE143" s="1">
        <v>2.27345902271055E-2</v>
      </c>
      <c r="AF143" s="1">
        <v>2.0401737555968E-2</v>
      </c>
      <c r="AG143" s="1">
        <v>1.88255839241913E-2</v>
      </c>
      <c r="AH143" s="1">
        <v>1.7941364364460099E-2</v>
      </c>
      <c r="AI143" s="1">
        <v>1.7103052192062301E-2</v>
      </c>
      <c r="AJ143" s="1">
        <v>1.43119757843942E-2</v>
      </c>
      <c r="AK143" s="1">
        <v>1.29423281104535E-2</v>
      </c>
      <c r="AL143" s="1">
        <v>1.14980229682233E-2</v>
      </c>
      <c r="AM143" s="1">
        <v>1.0177837799153501E-2</v>
      </c>
      <c r="AN143" s="1">
        <v>8.6741776510782E-3</v>
      </c>
      <c r="AO143" s="1">
        <v>8.0493271012638101E-3</v>
      </c>
      <c r="AP143" s="1">
        <v>6.7054153868887599E-3</v>
      </c>
      <c r="AQ143" s="1">
        <v>5.9206618330464303E-3</v>
      </c>
      <c r="AR143" s="1">
        <v>5.1549204295138398E-3</v>
      </c>
      <c r="AS143" s="1">
        <v>4.2648271973292698E-3</v>
      </c>
      <c r="AT143" s="1">
        <v>2.4539507943910101E-2</v>
      </c>
    </row>
    <row r="144" spans="1:46" ht="15.75" customHeight="1" x14ac:dyDescent="0.25">
      <c r="A144" s="1">
        <v>4</v>
      </c>
      <c r="B144" s="1" t="s">
        <v>87</v>
      </c>
      <c r="C144" s="1">
        <v>2020</v>
      </c>
      <c r="D144" s="1">
        <v>1</v>
      </c>
      <c r="E144" s="1">
        <v>24</v>
      </c>
      <c r="F144" s="1">
        <v>0</v>
      </c>
      <c r="G144" s="1">
        <v>0</v>
      </c>
      <c r="H144" s="1">
        <v>0</v>
      </c>
      <c r="I144" s="1">
        <v>0</v>
      </c>
      <c r="J144" s="5">
        <v>2.6616829118663199E-5</v>
      </c>
      <c r="K144" s="1">
        <v>1.83988831282759E-3</v>
      </c>
      <c r="L144" s="1">
        <v>1.8408494761013201E-2</v>
      </c>
      <c r="M144" s="1">
        <v>4.1397302199529702E-2</v>
      </c>
      <c r="N144" s="1">
        <v>4.9693619964544203E-2</v>
      </c>
      <c r="O144" s="1">
        <v>5.5632130283463699E-2</v>
      </c>
      <c r="P144" s="1">
        <v>6.2804626374578995E-2</v>
      </c>
      <c r="Q144" s="1">
        <v>5.6847632146549303E-2</v>
      </c>
      <c r="R144" s="1">
        <v>6.2008894087385601E-2</v>
      </c>
      <c r="S144" s="1">
        <v>5.1264012882545298E-2</v>
      </c>
      <c r="T144" s="1">
        <v>5.3611469339538503E-2</v>
      </c>
      <c r="U144" s="1">
        <v>4.6502927573944398E-2</v>
      </c>
      <c r="V144" s="1">
        <v>4.2937936023863497E-2</v>
      </c>
      <c r="W144" s="1">
        <v>3.4928673367330201E-2</v>
      </c>
      <c r="X144" s="1">
        <v>3.6340289506074798E-2</v>
      </c>
      <c r="Y144" s="1">
        <v>3.5708139814506601E-2</v>
      </c>
      <c r="Z144" s="1">
        <v>2.9146906597665001E-2</v>
      </c>
      <c r="AA144" s="1">
        <v>2.7747674678024199E-2</v>
      </c>
      <c r="AB144" s="1">
        <v>2.7780760875331399E-2</v>
      </c>
      <c r="AC144" s="1">
        <v>2.9433961706146101E-2</v>
      </c>
      <c r="AD144" s="1">
        <v>2.4583968794725301E-2</v>
      </c>
      <c r="AE144" s="1">
        <v>2.1973486311094199E-2</v>
      </c>
      <c r="AF144" s="1">
        <v>1.7713684617561402E-2</v>
      </c>
      <c r="AG144" s="1">
        <v>1.64137112898423E-2</v>
      </c>
      <c r="AH144" s="1">
        <v>1.42418519693958E-2</v>
      </c>
      <c r="AI144" s="1">
        <v>1.45424003315274E-2</v>
      </c>
      <c r="AJ144" s="1">
        <v>1.2848719739761301E-2</v>
      </c>
      <c r="AK144" s="1">
        <v>1.17742501031864E-2</v>
      </c>
      <c r="AL144" s="1">
        <v>1.0350619423520099E-2</v>
      </c>
      <c r="AM144" s="1">
        <v>1.0154320308770001E-2</v>
      </c>
      <c r="AN144" s="1">
        <v>1.0004600644977499E-2</v>
      </c>
      <c r="AO144" s="1">
        <v>8.5839273907688807E-3</v>
      </c>
      <c r="AP144" s="1">
        <v>7.3329364221917104E-3</v>
      </c>
      <c r="AQ144" s="1">
        <v>7.3440267676578201E-3</v>
      </c>
      <c r="AR144" s="1">
        <v>7.02684288732708E-3</v>
      </c>
      <c r="AS144" s="1">
        <v>5.4534925438683201E-3</v>
      </c>
      <c r="AT144" s="1">
        <v>3.5595203129843399E-2</v>
      </c>
    </row>
    <row r="145" spans="1:46" ht="15.75" customHeight="1" x14ac:dyDescent="0.25">
      <c r="A145" s="1">
        <v>4</v>
      </c>
      <c r="B145" s="1" t="s">
        <v>87</v>
      </c>
      <c r="C145" s="1">
        <v>2021</v>
      </c>
      <c r="D145" s="1">
        <v>1</v>
      </c>
      <c r="E145" s="1">
        <v>29</v>
      </c>
      <c r="F145" s="1">
        <v>0</v>
      </c>
      <c r="G145" s="1">
        <v>0</v>
      </c>
      <c r="H145" s="1">
        <v>0</v>
      </c>
      <c r="I145" s="1">
        <v>0</v>
      </c>
      <c r="J145" s="5">
        <v>2.1800759111808899E-5</v>
      </c>
      <c r="K145" s="1">
        <v>1.7077261304250301E-3</v>
      </c>
      <c r="L145" s="1">
        <v>1.9263197634547299E-2</v>
      </c>
      <c r="M145" s="1">
        <v>4.71634809623699E-2</v>
      </c>
      <c r="N145" s="1">
        <v>5.8483466526985502E-2</v>
      </c>
      <c r="O145" s="1">
        <v>5.38865537723342E-2</v>
      </c>
      <c r="P145" s="1">
        <v>5.6433843545328502E-2</v>
      </c>
      <c r="Q145" s="1">
        <v>4.9605869233186398E-2</v>
      </c>
      <c r="R145" s="1">
        <v>4.2474442419213797E-2</v>
      </c>
      <c r="S145" s="1">
        <v>4.58079660208211E-2</v>
      </c>
      <c r="T145" s="1">
        <v>4.7713891525751902E-2</v>
      </c>
      <c r="U145" s="1">
        <v>4.1099002052670398E-2</v>
      </c>
      <c r="V145" s="1">
        <v>4.0747494114088102E-2</v>
      </c>
      <c r="W145" s="1">
        <v>4.1202614262642601E-2</v>
      </c>
      <c r="X145" s="1">
        <v>3.7709218427548701E-2</v>
      </c>
      <c r="Y145" s="1">
        <v>3.7611701053457201E-2</v>
      </c>
      <c r="Z145" s="1">
        <v>3.8384807543250202E-2</v>
      </c>
      <c r="AA145" s="1">
        <v>3.6768972784565201E-2</v>
      </c>
      <c r="AB145" s="1">
        <v>3.1807776377658498E-2</v>
      </c>
      <c r="AC145" s="1">
        <v>2.7768775522857801E-2</v>
      </c>
      <c r="AD145" s="1">
        <v>2.3212534076872099E-2</v>
      </c>
      <c r="AE145" s="1">
        <v>2.3104116323224601E-2</v>
      </c>
      <c r="AF145" s="1">
        <v>2.13638062625142E-2</v>
      </c>
      <c r="AG145" s="1">
        <v>2.0153746923426499E-2</v>
      </c>
      <c r="AH145" s="1">
        <v>2.01365172912252E-2</v>
      </c>
      <c r="AI145" s="1">
        <v>1.8289782019366801E-2</v>
      </c>
      <c r="AJ145" s="1">
        <v>1.6420894363249599E-2</v>
      </c>
      <c r="AK145" s="1">
        <v>1.4541809577870501E-2</v>
      </c>
      <c r="AL145" s="1">
        <v>1.29836413432878E-2</v>
      </c>
      <c r="AM145" s="1">
        <v>1.07236293153636E-2</v>
      </c>
      <c r="AN145" s="1">
        <v>8.7533564085382608E-3</v>
      </c>
      <c r="AO145" s="1">
        <v>8.7994193027906304E-3</v>
      </c>
      <c r="AP145" s="1">
        <v>7.8501486143683595E-3</v>
      </c>
      <c r="AQ145" s="1">
        <v>6.5156139732551596E-3</v>
      </c>
      <c r="AR145" s="1">
        <v>5.0897740023134602E-3</v>
      </c>
      <c r="AS145" s="1">
        <v>4.01286338554303E-3</v>
      </c>
      <c r="AT145" s="1">
        <v>2.23857461479758E-2</v>
      </c>
    </row>
    <row r="146" spans="1:46" ht="15.75" customHeight="1" x14ac:dyDescent="0.25">
      <c r="A146" s="1">
        <v>4</v>
      </c>
      <c r="B146" s="1" t="s">
        <v>87</v>
      </c>
      <c r="C146" s="1">
        <v>2022</v>
      </c>
      <c r="D146" s="1">
        <v>1</v>
      </c>
      <c r="E146" s="1">
        <v>11</v>
      </c>
      <c r="F146" s="1">
        <v>0</v>
      </c>
      <c r="G146" s="1">
        <v>0</v>
      </c>
      <c r="H146" s="1">
        <v>0</v>
      </c>
      <c r="I146" s="1">
        <v>0</v>
      </c>
      <c r="J146" s="5">
        <v>1.15524399908505E-5</v>
      </c>
      <c r="K146" s="1">
        <v>1.575752814752E-3</v>
      </c>
      <c r="L146" s="1">
        <v>1.6998773644314801E-2</v>
      </c>
      <c r="M146" s="1">
        <v>5.1749154939014698E-2</v>
      </c>
      <c r="N146" s="1">
        <v>6.2355450094614497E-2</v>
      </c>
      <c r="O146" s="1">
        <v>6.6105372115644503E-2</v>
      </c>
      <c r="P146" s="1">
        <v>6.1420857699354701E-2</v>
      </c>
      <c r="Q146" s="1">
        <v>5.7242981956885798E-2</v>
      </c>
      <c r="R146" s="1">
        <v>5.5090762386590303E-2</v>
      </c>
      <c r="S146" s="1">
        <v>4.8518707636239902E-2</v>
      </c>
      <c r="T146" s="1">
        <v>4.3244633699083601E-2</v>
      </c>
      <c r="U146" s="1">
        <v>4.4426833391480597E-2</v>
      </c>
      <c r="V146" s="1">
        <v>3.8897065449193503E-2</v>
      </c>
      <c r="W146" s="1">
        <v>3.69214698503137E-2</v>
      </c>
      <c r="X146" s="1">
        <v>3.4873093879491598E-2</v>
      </c>
      <c r="Y146" s="1">
        <v>3.6751777342892603E-2</v>
      </c>
      <c r="Z146" s="1">
        <v>3.26367982181517E-2</v>
      </c>
      <c r="AA146" s="1">
        <v>3.3906668094034802E-2</v>
      </c>
      <c r="AB146" s="1">
        <v>3.3543151315656002E-2</v>
      </c>
      <c r="AC146" s="1">
        <v>2.7861404607267101E-2</v>
      </c>
      <c r="AD146" s="1">
        <v>2.73149741956999E-2</v>
      </c>
      <c r="AE146" s="1">
        <v>2.4352030058935398E-2</v>
      </c>
      <c r="AF146" s="1">
        <v>2.2159505309116301E-2</v>
      </c>
      <c r="AG146" s="1">
        <v>2.1066516125537501E-2</v>
      </c>
      <c r="AH146" s="1">
        <v>1.9731567504372601E-2</v>
      </c>
      <c r="AI146" s="1">
        <v>1.62196257471541E-2</v>
      </c>
      <c r="AJ146" s="1">
        <v>1.49673412521459E-2</v>
      </c>
      <c r="AK146" s="1">
        <v>1.3111634308282299E-2</v>
      </c>
      <c r="AL146" s="1">
        <v>1.03891092837718E-2</v>
      </c>
      <c r="AM146" s="1">
        <v>8.0428087216300893E-3</v>
      </c>
      <c r="AN146" s="1">
        <v>6.6472739707353597E-3</v>
      </c>
      <c r="AO146" s="1">
        <v>5.8778814673447199E-3</v>
      </c>
      <c r="AP146" s="1">
        <v>4.2831313068299797E-3</v>
      </c>
      <c r="AQ146" s="1">
        <v>3.4792098439111298E-3</v>
      </c>
      <c r="AR146" s="1">
        <v>2.5507787499797802E-3</v>
      </c>
      <c r="AS146" s="1">
        <v>1.70359981731742E-3</v>
      </c>
      <c r="AT146" s="1">
        <v>1.3970750762268501E-2</v>
      </c>
    </row>
    <row r="147" spans="1:46" ht="15.75" customHeight="1" x14ac:dyDescent="0.25">
      <c r="A147" s="1">
        <v>4</v>
      </c>
      <c r="B147" s="1" t="s">
        <v>87</v>
      </c>
      <c r="C147" s="1">
        <v>2023</v>
      </c>
      <c r="D147" s="1">
        <v>1</v>
      </c>
      <c r="E147" s="1">
        <v>9</v>
      </c>
      <c r="F147" s="1">
        <v>0</v>
      </c>
      <c r="G147" s="1">
        <v>0</v>
      </c>
      <c r="H147" s="1">
        <v>0</v>
      </c>
      <c r="I147" s="1">
        <v>0</v>
      </c>
      <c r="J147" s="5">
        <v>1.0032444740504799E-5</v>
      </c>
      <c r="K147" s="1">
        <v>1.3794611518194099E-3</v>
      </c>
      <c r="L147" s="1">
        <v>1.52892599985156E-2</v>
      </c>
      <c r="M147" s="1">
        <v>3.9452588942035099E-2</v>
      </c>
      <c r="N147" s="1">
        <v>5.0383309058842397E-2</v>
      </c>
      <c r="O147" s="1">
        <v>5.0332403691085097E-2</v>
      </c>
      <c r="P147" s="1">
        <v>5.4602881002293303E-2</v>
      </c>
      <c r="Q147" s="1">
        <v>5.4481748521352298E-2</v>
      </c>
      <c r="R147" s="1">
        <v>4.6884122383564E-2</v>
      </c>
      <c r="S147" s="1">
        <v>4.7915513438691999E-2</v>
      </c>
      <c r="T147" s="1">
        <v>4.3390323502683202E-2</v>
      </c>
      <c r="U147" s="1">
        <v>4.1833901172802099E-2</v>
      </c>
      <c r="V147" s="1">
        <v>3.5109097727437602E-2</v>
      </c>
      <c r="W147" s="1">
        <v>3.30639652884843E-2</v>
      </c>
      <c r="X147" s="1">
        <v>2.7977144233021001E-2</v>
      </c>
      <c r="Y147" s="1">
        <v>2.8879042436591E-2</v>
      </c>
      <c r="Z147" s="1">
        <v>2.9369053047759199E-2</v>
      </c>
      <c r="AA147" s="1">
        <v>2.8279603863345801E-2</v>
      </c>
      <c r="AB147" s="1">
        <v>2.55353586547904E-2</v>
      </c>
      <c r="AC147" s="1">
        <v>2.2679734731013899E-2</v>
      </c>
      <c r="AD147" s="1">
        <v>2.2853073081808201E-2</v>
      </c>
      <c r="AE147" s="1">
        <v>2.16384041241523E-2</v>
      </c>
      <c r="AF147" s="1">
        <v>2.1943464758669099E-2</v>
      </c>
      <c r="AG147" s="1">
        <v>2.1158611743738301E-2</v>
      </c>
      <c r="AH147" s="1">
        <v>2.1102690153610701E-2</v>
      </c>
      <c r="AI147" s="1">
        <v>2.0881047439251E-2</v>
      </c>
      <c r="AJ147" s="1">
        <v>1.8074006558060501E-2</v>
      </c>
      <c r="AK147" s="1">
        <v>1.6530496356132501E-2</v>
      </c>
      <c r="AL147" s="1">
        <v>1.6099844376345599E-2</v>
      </c>
      <c r="AM147" s="1">
        <v>1.4754382065035701E-2</v>
      </c>
      <c r="AN147" s="1">
        <v>1.39618189305358E-2</v>
      </c>
      <c r="AO147" s="1">
        <v>1.2652027533858801E-2</v>
      </c>
      <c r="AP147" s="1">
        <v>1.1439773794381099E-2</v>
      </c>
      <c r="AQ147" s="1">
        <v>1.06003925844256E-2</v>
      </c>
      <c r="AR147" s="1">
        <v>9.4656116126662602E-3</v>
      </c>
      <c r="AS147" s="1">
        <v>8.8880028960323897E-3</v>
      </c>
      <c r="AT147" s="1">
        <v>6.1107806700428299E-2</v>
      </c>
    </row>
    <row r="148" spans="1:46" ht="15.75" customHeight="1" x14ac:dyDescent="0.25">
      <c r="A148" s="1">
        <v>4</v>
      </c>
      <c r="B148" s="1" t="s">
        <v>87</v>
      </c>
      <c r="C148" s="1">
        <v>2024</v>
      </c>
      <c r="D148" s="1">
        <v>1</v>
      </c>
      <c r="E148" s="1">
        <v>11</v>
      </c>
      <c r="F148" s="1">
        <v>0</v>
      </c>
      <c r="G148" s="1">
        <v>0</v>
      </c>
      <c r="H148" s="1">
        <v>0</v>
      </c>
      <c r="I148" s="1">
        <v>0</v>
      </c>
      <c r="J148" s="5">
        <v>2.61124022243322E-5</v>
      </c>
      <c r="K148" s="1">
        <v>1.8048114601222E-3</v>
      </c>
      <c r="L148" s="1">
        <v>1.8318544639151599E-2</v>
      </c>
      <c r="M148" s="1">
        <v>5.1898121629347302E-2</v>
      </c>
      <c r="N148" s="1">
        <v>6.5348231106982499E-2</v>
      </c>
      <c r="O148" s="1">
        <v>6.4113864518856797E-2</v>
      </c>
      <c r="P148" s="1">
        <v>5.8997361536209297E-2</v>
      </c>
      <c r="Q148" s="1">
        <v>5.1573938933647298E-2</v>
      </c>
      <c r="R148" s="1">
        <v>4.2047495681730898E-2</v>
      </c>
      <c r="S148" s="1">
        <v>4.55112780576373E-2</v>
      </c>
      <c r="T148" s="1">
        <v>4.9304521167991097E-2</v>
      </c>
      <c r="U148" s="1">
        <v>4.08999389414254E-2</v>
      </c>
      <c r="V148" s="1">
        <v>3.7145169955625598E-2</v>
      </c>
      <c r="W148" s="1">
        <v>2.9004767457946501E-2</v>
      </c>
      <c r="X148" s="1">
        <v>2.9675356170388401E-2</v>
      </c>
      <c r="Y148" s="1">
        <v>3.0488174137499002E-2</v>
      </c>
      <c r="Z148" s="1">
        <v>2.9851059302376599E-2</v>
      </c>
      <c r="AA148" s="1">
        <v>2.8704613728123201E-2</v>
      </c>
      <c r="AB148" s="1">
        <v>2.6024759001972899E-2</v>
      </c>
      <c r="AC148" s="1">
        <v>2.72902382395574E-2</v>
      </c>
      <c r="AD148" s="1">
        <v>2.50727674868369E-2</v>
      </c>
      <c r="AE148" s="1">
        <v>2.3054473248955099E-2</v>
      </c>
      <c r="AF148" s="1">
        <v>1.8995105869123501E-2</v>
      </c>
      <c r="AG148" s="1">
        <v>1.8676756795197098E-2</v>
      </c>
      <c r="AH148" s="1">
        <v>1.6388310310898699E-2</v>
      </c>
      <c r="AI148" s="1">
        <v>1.7139180770604799E-2</v>
      </c>
      <c r="AJ148" s="1">
        <v>1.7248769522493101E-2</v>
      </c>
      <c r="AK148" s="1">
        <v>1.5131998193244E-2</v>
      </c>
      <c r="AL148" s="1">
        <v>1.25221469283759E-2</v>
      </c>
      <c r="AM148" s="1">
        <v>1.22639397170193E-2</v>
      </c>
      <c r="AN148" s="1">
        <v>1.163307519094E-2</v>
      </c>
      <c r="AO148" s="1">
        <v>9.9543810777310698E-3</v>
      </c>
      <c r="AP148" s="1">
        <v>9.8913224042744292E-3</v>
      </c>
      <c r="AQ148" s="1">
        <v>8.1045673924988494E-3</v>
      </c>
      <c r="AR148" s="1">
        <v>6.9425654935160704E-3</v>
      </c>
      <c r="AS148" s="1">
        <v>6.0953013787904001E-3</v>
      </c>
      <c r="AT148" s="1">
        <v>4.2856980150685203E-2</v>
      </c>
    </row>
    <row r="149" spans="1:46" ht="15.75" customHeight="1" x14ac:dyDescent="0.25"/>
    <row r="150" spans="1:46" ht="15.75" customHeight="1" x14ac:dyDescent="0.25"/>
    <row r="151" spans="1:46" ht="15.75" customHeight="1" x14ac:dyDescent="0.25"/>
    <row r="152" spans="1:46" ht="15.75" customHeight="1" x14ac:dyDescent="0.25"/>
    <row r="153" spans="1:46" ht="15.75" customHeight="1" x14ac:dyDescent="0.25"/>
    <row r="154" spans="1:46" ht="15.75" customHeight="1" x14ac:dyDescent="0.25"/>
    <row r="155" spans="1:46" ht="15.75" customHeight="1" x14ac:dyDescent="0.25"/>
    <row r="156" spans="1:46" ht="15.75" customHeight="1" x14ac:dyDescent="0.25"/>
    <row r="157" spans="1:46" ht="15.75" customHeight="1" x14ac:dyDescent="0.25"/>
    <row r="158" spans="1:46" ht="15.75" customHeight="1" x14ac:dyDescent="0.25"/>
    <row r="159" spans="1:46" ht="15.75" customHeight="1" x14ac:dyDescent="0.25"/>
    <row r="160" spans="1:46"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activeCell="G33" sqref="G33"/>
    </sheetView>
  </sheetViews>
  <sheetFormatPr defaultColWidth="14.42578125" defaultRowHeight="15" customHeight="1" x14ac:dyDescent="0.25"/>
  <cols>
    <col min="1" max="1" width="12.42578125" customWidth="1"/>
    <col min="2" max="7" width="11.42578125" customWidth="1"/>
    <col min="8" max="8" width="14.7109375" customWidth="1"/>
    <col min="9" max="26" width="11.42578125" customWidth="1"/>
  </cols>
  <sheetData>
    <row r="1" spans="1:21" ht="19.5" customHeight="1" x14ac:dyDescent="0.25">
      <c r="A1" s="9" t="s">
        <v>123</v>
      </c>
      <c r="B1" s="10"/>
      <c r="C1" s="10"/>
      <c r="D1" s="10"/>
      <c r="E1" s="10"/>
      <c r="F1" s="10"/>
      <c r="G1" s="10"/>
      <c r="H1" s="10"/>
      <c r="I1" s="10"/>
      <c r="J1" s="10"/>
      <c r="K1" s="10"/>
      <c r="L1" s="10"/>
      <c r="M1" s="10"/>
      <c r="N1" s="10"/>
      <c r="O1" s="10"/>
      <c r="P1" s="10"/>
      <c r="Q1" s="10"/>
      <c r="R1" s="10"/>
      <c r="S1" s="10"/>
      <c r="T1" s="10"/>
      <c r="U1" s="11"/>
    </row>
    <row r="2" spans="1:21" x14ac:dyDescent="0.25">
      <c r="A2" s="1" t="s">
        <v>124</v>
      </c>
      <c r="B2" s="1" t="s">
        <v>74</v>
      </c>
      <c r="C2" s="1" t="s">
        <v>125</v>
      </c>
      <c r="D2" s="1" t="s">
        <v>126</v>
      </c>
      <c r="E2" s="1" t="s">
        <v>127</v>
      </c>
      <c r="F2" s="1" t="s">
        <v>128</v>
      </c>
      <c r="G2" s="1" t="s">
        <v>129</v>
      </c>
      <c r="H2" s="1" t="s">
        <v>130</v>
      </c>
    </row>
    <row r="3" spans="1:21" x14ac:dyDescent="0.25">
      <c r="A3" s="1">
        <v>1</v>
      </c>
      <c r="B3" s="1">
        <v>0</v>
      </c>
      <c r="C3" s="1">
        <v>5</v>
      </c>
      <c r="D3" s="1">
        <v>0</v>
      </c>
      <c r="E3" s="1">
        <v>3</v>
      </c>
      <c r="F3" s="1">
        <v>2</v>
      </c>
      <c r="G3" s="1">
        <v>0.5</v>
      </c>
      <c r="H3"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O34" sqref="O34"/>
    </sheetView>
  </sheetViews>
  <sheetFormatPr defaultColWidth="14.42578125" defaultRowHeight="15" customHeight="1" x14ac:dyDescent="0.25"/>
  <cols>
    <col min="1" max="26" width="11.42578125" customWidth="1"/>
  </cols>
  <sheetData>
    <row r="1" spans="1:20" x14ac:dyDescent="0.25">
      <c r="A1" s="9" t="s">
        <v>265</v>
      </c>
      <c r="B1" s="10"/>
      <c r="C1" s="10"/>
      <c r="D1" s="10"/>
      <c r="E1" s="10"/>
      <c r="F1" s="10"/>
      <c r="G1" s="10"/>
      <c r="H1" s="10"/>
      <c r="I1" s="10"/>
      <c r="J1" s="10"/>
      <c r="K1" s="10"/>
      <c r="L1" s="10"/>
      <c r="M1" s="10"/>
      <c r="N1" s="10"/>
      <c r="O1" s="10"/>
      <c r="P1" s="10"/>
      <c r="Q1" s="10"/>
      <c r="R1" s="10"/>
      <c r="S1" s="10"/>
      <c r="T1" s="11"/>
    </row>
    <row r="2" spans="1:20" x14ac:dyDescent="0.25">
      <c r="A2" s="1" t="s">
        <v>106</v>
      </c>
      <c r="B2" s="1" t="s">
        <v>132</v>
      </c>
      <c r="C2" s="1" t="s">
        <v>42</v>
      </c>
      <c r="D2" s="1" t="s">
        <v>266</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I30" sqref="I30"/>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32" width="8" customWidth="1"/>
    <col min="33" max="38" width="11.42578125" customWidth="1"/>
  </cols>
  <sheetData>
    <row r="1" spans="1:38" ht="34.5" customHeight="1" x14ac:dyDescent="0.25">
      <c r="A1" s="9" t="s">
        <v>99</v>
      </c>
      <c r="B1" s="10"/>
      <c r="C1" s="10"/>
      <c r="D1" s="10"/>
      <c r="E1" s="10"/>
      <c r="F1" s="10"/>
      <c r="G1" s="10"/>
      <c r="H1" s="10"/>
      <c r="I1" s="10"/>
      <c r="J1" s="10"/>
      <c r="K1" s="10"/>
      <c r="L1" s="10"/>
      <c r="M1" s="10"/>
      <c r="N1" s="10"/>
      <c r="O1" s="10"/>
      <c r="P1" s="10"/>
      <c r="Q1" s="10"/>
      <c r="R1" s="10"/>
      <c r="S1" s="10"/>
      <c r="T1" s="10"/>
      <c r="U1" s="10"/>
      <c r="V1" s="10"/>
      <c r="W1" s="11"/>
    </row>
    <row r="2" spans="1:38" x14ac:dyDescent="0.25">
      <c r="A2" s="1" t="s">
        <v>100</v>
      </c>
      <c r="B2" s="1" t="s">
        <v>47</v>
      </c>
      <c r="C2" s="1" t="s">
        <v>48</v>
      </c>
      <c r="D2" s="1" t="s">
        <v>101</v>
      </c>
      <c r="E2" s="1" t="s">
        <v>102</v>
      </c>
      <c r="F2" s="1" t="s">
        <v>103</v>
      </c>
      <c r="G2" s="1" t="s">
        <v>104</v>
      </c>
      <c r="H2" s="1" t="s">
        <v>105</v>
      </c>
      <c r="I2" s="1" t="s">
        <v>79</v>
      </c>
      <c r="J2" s="1" t="s">
        <v>80</v>
      </c>
      <c r="K2" s="1" t="s">
        <v>81</v>
      </c>
      <c r="L2" s="1" t="s">
        <v>44</v>
      </c>
      <c r="M2" s="1" t="s">
        <v>83</v>
      </c>
      <c r="N2" s="1" t="s">
        <v>106</v>
      </c>
      <c r="O2" s="1" t="s">
        <v>107</v>
      </c>
      <c r="P2" s="1" t="s">
        <v>108</v>
      </c>
      <c r="Q2" s="1" t="s">
        <v>109</v>
      </c>
      <c r="R2" s="1" t="s">
        <v>110</v>
      </c>
      <c r="AG2" s="1"/>
      <c r="AH2" s="1"/>
      <c r="AI2" s="1"/>
      <c r="AJ2" s="1"/>
      <c r="AK2" s="1"/>
      <c r="AL2" s="1"/>
    </row>
    <row r="3" spans="1:38" x14ac:dyDescent="0.25">
      <c r="A3" s="1">
        <v>0</v>
      </c>
      <c r="B3" s="1" t="s">
        <v>111</v>
      </c>
      <c r="C3" s="1" t="s">
        <v>112</v>
      </c>
      <c r="D3" s="1">
        <v>50</v>
      </c>
      <c r="E3" s="1">
        <v>80</v>
      </c>
      <c r="F3" s="1">
        <v>65</v>
      </c>
      <c r="G3" s="1">
        <v>5</v>
      </c>
      <c r="H3" s="1">
        <v>0</v>
      </c>
      <c r="I3" s="1">
        <v>0</v>
      </c>
      <c r="J3" s="1">
        <v>65</v>
      </c>
      <c r="K3" s="1">
        <f t="shared" ref="K3:K5" si="0">J3*0.05</f>
        <v>3.25</v>
      </c>
      <c r="L3" s="1" t="s">
        <v>113</v>
      </c>
      <c r="M3" s="1" t="s">
        <v>114</v>
      </c>
      <c r="N3" s="1">
        <v>1970</v>
      </c>
      <c r="O3" s="1">
        <v>1</v>
      </c>
      <c r="P3" s="1">
        <v>1</v>
      </c>
      <c r="Q3" s="1">
        <v>1</v>
      </c>
      <c r="R3" s="1">
        <v>0</v>
      </c>
      <c r="AG3" s="1"/>
      <c r="AH3" s="1"/>
      <c r="AI3" s="1"/>
      <c r="AJ3" s="1"/>
      <c r="AK3" s="1"/>
      <c r="AL3" s="1"/>
    </row>
    <row r="4" spans="1:38" x14ac:dyDescent="0.25">
      <c r="A4" s="1">
        <v>0</v>
      </c>
      <c r="B4" s="1" t="s">
        <v>111</v>
      </c>
      <c r="C4" s="1" t="s">
        <v>115</v>
      </c>
      <c r="D4" s="1">
        <v>0.01</v>
      </c>
      <c r="E4" s="1">
        <v>2</v>
      </c>
      <c r="F4" s="1">
        <v>1.5</v>
      </c>
      <c r="G4" s="1">
        <v>5</v>
      </c>
      <c r="H4" s="1">
        <v>0</v>
      </c>
      <c r="I4" s="1">
        <v>0</v>
      </c>
      <c r="J4" s="1">
        <v>1.5</v>
      </c>
      <c r="K4" s="1">
        <f t="shared" si="0"/>
        <v>7.5000000000000011E-2</v>
      </c>
      <c r="L4" s="1" t="s">
        <v>113</v>
      </c>
      <c r="M4" s="1" t="s">
        <v>114</v>
      </c>
      <c r="N4" s="1">
        <v>1971</v>
      </c>
      <c r="O4" s="1">
        <v>1</v>
      </c>
      <c r="P4" s="1">
        <v>1</v>
      </c>
      <c r="Q4" s="1">
        <v>1</v>
      </c>
      <c r="R4" s="1">
        <v>0</v>
      </c>
      <c r="AG4" s="1"/>
      <c r="AH4" s="1"/>
      <c r="AI4" s="1"/>
      <c r="AJ4" s="1"/>
      <c r="AK4" s="1"/>
      <c r="AL4" s="1"/>
    </row>
    <row r="5" spans="1:38" x14ac:dyDescent="0.25">
      <c r="A5" s="1">
        <v>0</v>
      </c>
      <c r="B5" s="1" t="s">
        <v>111</v>
      </c>
      <c r="C5" s="1" t="s">
        <v>116</v>
      </c>
      <c r="D5" s="1">
        <v>75</v>
      </c>
      <c r="E5" s="1">
        <v>150</v>
      </c>
      <c r="F5" s="1">
        <v>149</v>
      </c>
      <c r="G5" s="1">
        <v>5</v>
      </c>
      <c r="H5" s="1">
        <v>0</v>
      </c>
      <c r="I5" s="1">
        <v>0</v>
      </c>
      <c r="J5" s="1">
        <v>120</v>
      </c>
      <c r="K5" s="1">
        <f t="shared" si="0"/>
        <v>6</v>
      </c>
      <c r="L5" s="1" t="s">
        <v>113</v>
      </c>
      <c r="M5" s="1" t="s">
        <v>114</v>
      </c>
      <c r="N5" s="1">
        <v>1972</v>
      </c>
      <c r="O5" s="1">
        <v>1</v>
      </c>
      <c r="P5" s="1">
        <v>1</v>
      </c>
      <c r="Q5" s="1">
        <v>1</v>
      </c>
      <c r="R5" s="1">
        <v>0</v>
      </c>
      <c r="AG5" s="1"/>
      <c r="AH5" s="1"/>
      <c r="AI5" s="1"/>
      <c r="AJ5" s="1"/>
      <c r="AK5" s="1"/>
      <c r="AL5" s="1"/>
    </row>
    <row r="6" spans="1:38" x14ac:dyDescent="0.25">
      <c r="A6" s="1">
        <v>0</v>
      </c>
      <c r="B6" s="1" t="s">
        <v>111</v>
      </c>
      <c r="C6" s="1" t="s">
        <v>117</v>
      </c>
      <c r="D6" s="1">
        <v>-10</v>
      </c>
      <c r="E6" s="1">
        <v>0</v>
      </c>
      <c r="F6" s="1">
        <v>-5</v>
      </c>
      <c r="G6" s="1">
        <v>5</v>
      </c>
      <c r="H6" s="1">
        <v>0</v>
      </c>
      <c r="I6" s="1">
        <v>0</v>
      </c>
      <c r="J6" s="1">
        <v>-0.1</v>
      </c>
      <c r="K6" s="1">
        <v>1E-3</v>
      </c>
      <c r="L6" s="1" t="s">
        <v>113</v>
      </c>
      <c r="M6" s="1" t="s">
        <v>114</v>
      </c>
      <c r="N6" s="1">
        <v>1973</v>
      </c>
      <c r="O6" s="1">
        <v>1</v>
      </c>
      <c r="P6" s="1">
        <v>1</v>
      </c>
      <c r="Q6" s="1">
        <v>1</v>
      </c>
      <c r="R6" s="1">
        <v>0</v>
      </c>
      <c r="AG6" s="1"/>
      <c r="AH6" s="1"/>
      <c r="AI6" s="1"/>
      <c r="AJ6" s="1"/>
      <c r="AK6" s="1"/>
      <c r="AL6" s="1"/>
    </row>
    <row r="7" spans="1:38" x14ac:dyDescent="0.25">
      <c r="A7" s="1">
        <v>0</v>
      </c>
      <c r="B7" s="1" t="s">
        <v>87</v>
      </c>
      <c r="C7" s="1" t="s">
        <v>112</v>
      </c>
      <c r="D7" s="1">
        <v>50</v>
      </c>
      <c r="E7" s="1">
        <v>80</v>
      </c>
      <c r="F7" s="1">
        <v>65</v>
      </c>
      <c r="G7" s="1">
        <v>5</v>
      </c>
      <c r="H7" s="1">
        <v>0</v>
      </c>
      <c r="I7" s="1">
        <v>0</v>
      </c>
      <c r="J7" s="1">
        <v>65</v>
      </c>
      <c r="K7" s="1">
        <f t="shared" ref="K7:K9" si="1">J7*0.05</f>
        <v>3.25</v>
      </c>
      <c r="L7" s="1" t="s">
        <v>113</v>
      </c>
      <c r="M7" s="1" t="s">
        <v>118</v>
      </c>
      <c r="N7" s="1">
        <v>1974</v>
      </c>
      <c r="O7" s="1">
        <v>1</v>
      </c>
      <c r="P7" s="1">
        <v>1</v>
      </c>
      <c r="Q7" s="1">
        <v>1</v>
      </c>
      <c r="R7" s="1">
        <v>0</v>
      </c>
      <c r="AG7" s="1"/>
      <c r="AH7" s="1"/>
      <c r="AI7" s="1"/>
      <c r="AJ7" s="1"/>
      <c r="AK7" s="1"/>
      <c r="AL7" s="1"/>
    </row>
    <row r="8" spans="1:38" x14ac:dyDescent="0.25">
      <c r="A8" s="1">
        <v>0</v>
      </c>
      <c r="B8" s="1" t="s">
        <v>87</v>
      </c>
      <c r="C8" s="1" t="s">
        <v>115</v>
      </c>
      <c r="D8" s="1">
        <v>0.01</v>
      </c>
      <c r="E8" s="1">
        <v>2</v>
      </c>
      <c r="F8" s="1">
        <v>1.5</v>
      </c>
      <c r="G8" s="1">
        <v>5</v>
      </c>
      <c r="H8" s="1">
        <v>0</v>
      </c>
      <c r="I8" s="1">
        <v>0</v>
      </c>
      <c r="J8" s="1">
        <v>1.5</v>
      </c>
      <c r="K8" s="1">
        <f t="shared" si="1"/>
        <v>7.5000000000000011E-2</v>
      </c>
      <c r="L8" s="1" t="s">
        <v>113</v>
      </c>
      <c r="M8" s="1" t="s">
        <v>118</v>
      </c>
      <c r="N8" s="1">
        <v>1975</v>
      </c>
      <c r="O8" s="1">
        <v>1</v>
      </c>
      <c r="P8" s="1">
        <v>1</v>
      </c>
      <c r="Q8" s="1">
        <v>1</v>
      </c>
      <c r="R8" s="1">
        <v>0</v>
      </c>
      <c r="AG8" s="1"/>
      <c r="AH8" s="1"/>
      <c r="AI8" s="1"/>
      <c r="AJ8" s="1"/>
      <c r="AK8" s="1"/>
      <c r="AL8" s="1"/>
    </row>
    <row r="9" spans="1:38" x14ac:dyDescent="0.25">
      <c r="A9" s="1">
        <v>0</v>
      </c>
      <c r="B9" s="1" t="s">
        <v>87</v>
      </c>
      <c r="C9" s="1" t="s">
        <v>116</v>
      </c>
      <c r="D9" s="1">
        <v>75</v>
      </c>
      <c r="E9" s="1">
        <v>150</v>
      </c>
      <c r="F9" s="1">
        <v>120</v>
      </c>
      <c r="G9" s="1">
        <v>5</v>
      </c>
      <c r="H9" s="1">
        <v>0</v>
      </c>
      <c r="I9" s="1">
        <v>0</v>
      </c>
      <c r="J9" s="1">
        <v>120</v>
      </c>
      <c r="K9" s="1">
        <f t="shared" si="1"/>
        <v>6</v>
      </c>
      <c r="L9" s="1" t="s">
        <v>113</v>
      </c>
      <c r="M9" s="1" t="s">
        <v>118</v>
      </c>
      <c r="N9" s="1">
        <v>1976</v>
      </c>
      <c r="O9" s="1">
        <v>1</v>
      </c>
      <c r="P9" s="1">
        <v>1</v>
      </c>
      <c r="Q9" s="1">
        <v>1</v>
      </c>
      <c r="R9" s="1">
        <v>0</v>
      </c>
      <c r="AG9" s="1"/>
      <c r="AH9" s="1"/>
      <c r="AI9" s="1"/>
      <c r="AJ9" s="1"/>
      <c r="AK9" s="1"/>
      <c r="AL9" s="1"/>
    </row>
    <row r="10" spans="1:38" x14ac:dyDescent="0.25">
      <c r="A10" s="1">
        <v>0</v>
      </c>
      <c r="B10" s="1" t="s">
        <v>87</v>
      </c>
      <c r="C10" s="1" t="s">
        <v>117</v>
      </c>
      <c r="D10" s="1">
        <v>-10</v>
      </c>
      <c r="E10" s="1">
        <v>0</v>
      </c>
      <c r="F10" s="1">
        <v>-5</v>
      </c>
      <c r="G10" s="1">
        <v>5</v>
      </c>
      <c r="H10" s="1">
        <v>0</v>
      </c>
      <c r="I10" s="1">
        <v>0</v>
      </c>
      <c r="J10" s="1">
        <v>-0.1</v>
      </c>
      <c r="K10" s="1">
        <v>1E-3</v>
      </c>
      <c r="L10" s="1" t="s">
        <v>113</v>
      </c>
      <c r="M10" s="1" t="s">
        <v>118</v>
      </c>
      <c r="N10" s="1">
        <v>1977</v>
      </c>
      <c r="O10" s="1">
        <v>1</v>
      </c>
      <c r="P10" s="1">
        <v>1</v>
      </c>
      <c r="Q10" s="1">
        <v>1</v>
      </c>
      <c r="R10" s="1">
        <v>0</v>
      </c>
      <c r="AG10" s="1"/>
      <c r="AH10" s="1"/>
      <c r="AI10" s="1"/>
      <c r="AJ10" s="1"/>
      <c r="AK10" s="1"/>
      <c r="AL10" s="1"/>
    </row>
    <row r="11" spans="1:38" x14ac:dyDescent="0.25">
      <c r="A11" s="1">
        <v>1</v>
      </c>
      <c r="B11" s="1" t="s">
        <v>111</v>
      </c>
      <c r="C11" s="1" t="s">
        <v>112</v>
      </c>
      <c r="D11" s="1">
        <v>50</v>
      </c>
      <c r="E11" s="1">
        <v>80</v>
      </c>
      <c r="F11" s="1">
        <v>75</v>
      </c>
      <c r="G11" s="1">
        <v>5</v>
      </c>
      <c r="H11" s="1">
        <v>0</v>
      </c>
      <c r="I11" s="1">
        <v>0</v>
      </c>
      <c r="J11" s="1">
        <v>65</v>
      </c>
      <c r="K11" s="1">
        <f t="shared" ref="K11:K13" si="2">J11*0.05</f>
        <v>3.25</v>
      </c>
      <c r="L11" s="1" t="s">
        <v>113</v>
      </c>
      <c r="M11" s="1" t="s">
        <v>119</v>
      </c>
      <c r="N11" s="1">
        <v>1978</v>
      </c>
      <c r="O11" s="1">
        <v>1</v>
      </c>
      <c r="P11" s="1">
        <v>1</v>
      </c>
      <c r="Q11" s="1">
        <v>1</v>
      </c>
      <c r="R11" s="1">
        <v>0</v>
      </c>
      <c r="AG11" s="1"/>
      <c r="AH11" s="1"/>
      <c r="AI11" s="1"/>
      <c r="AJ11" s="1"/>
      <c r="AK11" s="1"/>
      <c r="AL11" s="1"/>
    </row>
    <row r="12" spans="1:38" x14ac:dyDescent="0.25">
      <c r="A12" s="1">
        <v>1</v>
      </c>
      <c r="B12" s="1" t="s">
        <v>111</v>
      </c>
      <c r="C12" s="1" t="s">
        <v>115</v>
      </c>
      <c r="D12" s="1">
        <v>0.01</v>
      </c>
      <c r="E12" s="1">
        <v>2</v>
      </c>
      <c r="F12" s="1">
        <v>1.5</v>
      </c>
      <c r="G12" s="1">
        <v>5</v>
      </c>
      <c r="H12" s="1">
        <v>0</v>
      </c>
      <c r="I12" s="1">
        <v>0</v>
      </c>
      <c r="J12" s="1">
        <v>1.5</v>
      </c>
      <c r="K12" s="1">
        <f t="shared" si="2"/>
        <v>7.5000000000000011E-2</v>
      </c>
      <c r="L12" s="1" t="s">
        <v>113</v>
      </c>
      <c r="M12" s="1" t="s">
        <v>119</v>
      </c>
      <c r="N12" s="1">
        <v>1979</v>
      </c>
      <c r="O12" s="1">
        <v>1</v>
      </c>
      <c r="P12" s="1">
        <v>1</v>
      </c>
      <c r="Q12" s="1">
        <v>1</v>
      </c>
      <c r="R12" s="1">
        <v>0</v>
      </c>
      <c r="AG12" s="1"/>
      <c r="AH12" s="1"/>
      <c r="AI12" s="1"/>
      <c r="AJ12" s="1"/>
      <c r="AK12" s="1"/>
      <c r="AL12" s="1"/>
    </row>
    <row r="13" spans="1:38" x14ac:dyDescent="0.25">
      <c r="A13" s="1">
        <v>1</v>
      </c>
      <c r="B13" s="1" t="s">
        <v>111</v>
      </c>
      <c r="C13" s="1" t="s">
        <v>116</v>
      </c>
      <c r="D13" s="1">
        <v>75</v>
      </c>
      <c r="E13" s="1">
        <v>150</v>
      </c>
      <c r="F13" s="1">
        <v>149</v>
      </c>
      <c r="G13" s="1">
        <v>5</v>
      </c>
      <c r="H13" s="1">
        <v>0</v>
      </c>
      <c r="I13" s="1">
        <v>0</v>
      </c>
      <c r="J13" s="1">
        <v>120</v>
      </c>
      <c r="K13" s="1">
        <f t="shared" si="2"/>
        <v>6</v>
      </c>
      <c r="L13" s="1" t="s">
        <v>113</v>
      </c>
      <c r="M13" s="1" t="s">
        <v>119</v>
      </c>
      <c r="N13" s="1">
        <v>1980</v>
      </c>
      <c r="O13" s="1">
        <v>1</v>
      </c>
      <c r="P13" s="1">
        <v>1</v>
      </c>
      <c r="Q13" s="1">
        <v>1</v>
      </c>
      <c r="R13" s="1">
        <v>0</v>
      </c>
      <c r="AG13" s="1"/>
      <c r="AH13" s="1"/>
      <c r="AI13" s="1"/>
      <c r="AJ13" s="1"/>
      <c r="AK13" s="1"/>
      <c r="AL13" s="1"/>
    </row>
    <row r="14" spans="1:38" x14ac:dyDescent="0.25">
      <c r="A14" s="1">
        <v>1</v>
      </c>
      <c r="B14" s="1" t="s">
        <v>111</v>
      </c>
      <c r="C14" s="1" t="s">
        <v>117</v>
      </c>
      <c r="D14" s="1">
        <v>-10</v>
      </c>
      <c r="E14" s="1">
        <v>0</v>
      </c>
      <c r="F14" s="1">
        <v>-5</v>
      </c>
      <c r="G14" s="1">
        <v>5</v>
      </c>
      <c r="H14" s="1">
        <v>0</v>
      </c>
      <c r="I14" s="1">
        <v>0</v>
      </c>
      <c r="J14" s="1">
        <v>-0.1</v>
      </c>
      <c r="K14" s="1">
        <v>1E-3</v>
      </c>
      <c r="L14" s="1" t="s">
        <v>113</v>
      </c>
      <c r="M14" s="1" t="s">
        <v>119</v>
      </c>
      <c r="N14" s="1">
        <v>1981</v>
      </c>
      <c r="O14" s="1">
        <v>1</v>
      </c>
      <c r="P14" s="1">
        <v>1</v>
      </c>
      <c r="Q14" s="1">
        <v>1</v>
      </c>
      <c r="R14" s="1">
        <v>0</v>
      </c>
      <c r="AG14" s="1"/>
      <c r="AH14" s="1"/>
      <c r="AI14" s="1"/>
      <c r="AJ14" s="1"/>
      <c r="AK14" s="1"/>
      <c r="AL14" s="1"/>
    </row>
    <row r="15" spans="1:38" x14ac:dyDescent="0.25">
      <c r="A15" s="1">
        <v>1</v>
      </c>
      <c r="B15" s="1" t="s">
        <v>87</v>
      </c>
      <c r="C15" s="1" t="s">
        <v>112</v>
      </c>
      <c r="D15" s="1">
        <v>50</v>
      </c>
      <c r="E15" s="1">
        <v>80</v>
      </c>
      <c r="F15" s="1">
        <v>75</v>
      </c>
      <c r="G15" s="1">
        <v>5</v>
      </c>
      <c r="H15" s="1">
        <v>0</v>
      </c>
      <c r="I15" s="1">
        <v>0</v>
      </c>
      <c r="J15" s="1">
        <v>65</v>
      </c>
      <c r="K15" s="1">
        <f t="shared" ref="K15:K17" si="3">J15*0.05</f>
        <v>3.25</v>
      </c>
      <c r="L15" s="1" t="s">
        <v>113</v>
      </c>
      <c r="M15" s="1" t="s">
        <v>120</v>
      </c>
      <c r="N15" s="1">
        <v>1982</v>
      </c>
      <c r="O15" s="1">
        <v>1</v>
      </c>
      <c r="P15" s="1">
        <v>1</v>
      </c>
      <c r="Q15" s="1">
        <v>1</v>
      </c>
      <c r="R15" s="1">
        <v>0</v>
      </c>
      <c r="AG15" s="1"/>
      <c r="AH15" s="1"/>
      <c r="AI15" s="1"/>
      <c r="AJ15" s="1"/>
      <c r="AK15" s="1"/>
      <c r="AL15" s="1"/>
    </row>
    <row r="16" spans="1:38" x14ac:dyDescent="0.25">
      <c r="A16" s="1">
        <v>1</v>
      </c>
      <c r="B16" s="1" t="s">
        <v>87</v>
      </c>
      <c r="C16" s="1" t="s">
        <v>115</v>
      </c>
      <c r="D16" s="1">
        <v>0.01</v>
      </c>
      <c r="E16" s="1">
        <v>2</v>
      </c>
      <c r="F16" s="1">
        <v>1.5</v>
      </c>
      <c r="G16" s="1">
        <v>5</v>
      </c>
      <c r="H16" s="1">
        <v>0</v>
      </c>
      <c r="I16" s="1">
        <v>0</v>
      </c>
      <c r="J16" s="1">
        <v>1.5</v>
      </c>
      <c r="K16" s="1">
        <f t="shared" si="3"/>
        <v>7.5000000000000011E-2</v>
      </c>
      <c r="L16" s="1" t="s">
        <v>113</v>
      </c>
      <c r="M16" s="1" t="s">
        <v>120</v>
      </c>
      <c r="N16" s="1">
        <v>1983</v>
      </c>
      <c r="O16" s="1">
        <v>1</v>
      </c>
      <c r="P16" s="1">
        <v>1</v>
      </c>
      <c r="Q16" s="1">
        <v>1</v>
      </c>
      <c r="R16" s="1">
        <v>0</v>
      </c>
      <c r="AG16" s="1"/>
      <c r="AH16" s="1"/>
      <c r="AI16" s="1"/>
      <c r="AJ16" s="1"/>
      <c r="AK16" s="1"/>
      <c r="AL16" s="1"/>
    </row>
    <row r="17" spans="1:38" x14ac:dyDescent="0.25">
      <c r="A17" s="1">
        <v>1</v>
      </c>
      <c r="B17" s="1" t="s">
        <v>87</v>
      </c>
      <c r="C17" s="1" t="s">
        <v>116</v>
      </c>
      <c r="D17" s="1">
        <v>75</v>
      </c>
      <c r="E17" s="1">
        <v>150</v>
      </c>
      <c r="F17" s="1">
        <v>120</v>
      </c>
      <c r="G17" s="1">
        <v>5</v>
      </c>
      <c r="H17" s="1">
        <v>0</v>
      </c>
      <c r="I17" s="1">
        <v>0</v>
      </c>
      <c r="J17" s="1">
        <v>120</v>
      </c>
      <c r="K17" s="1">
        <f t="shared" si="3"/>
        <v>6</v>
      </c>
      <c r="L17" s="1" t="s">
        <v>113</v>
      </c>
      <c r="M17" s="1" t="s">
        <v>120</v>
      </c>
      <c r="N17" s="1">
        <v>1984</v>
      </c>
      <c r="O17" s="1">
        <v>1</v>
      </c>
      <c r="P17" s="1">
        <v>1</v>
      </c>
      <c r="Q17" s="1">
        <v>1</v>
      </c>
      <c r="R17" s="1">
        <v>0</v>
      </c>
      <c r="AG17" s="1"/>
      <c r="AH17" s="1"/>
      <c r="AI17" s="1"/>
      <c r="AJ17" s="1"/>
      <c r="AK17" s="1"/>
      <c r="AL17" s="1"/>
    </row>
    <row r="18" spans="1:38" x14ac:dyDescent="0.25">
      <c r="A18" s="1">
        <v>1</v>
      </c>
      <c r="B18" s="1" t="s">
        <v>87</v>
      </c>
      <c r="C18" s="1" t="s">
        <v>117</v>
      </c>
      <c r="D18" s="1">
        <v>-10</v>
      </c>
      <c r="E18" s="1">
        <v>0</v>
      </c>
      <c r="F18" s="1">
        <v>-5</v>
      </c>
      <c r="G18" s="1">
        <v>5</v>
      </c>
      <c r="H18" s="1">
        <v>0</v>
      </c>
      <c r="I18" s="1">
        <v>0</v>
      </c>
      <c r="J18" s="1">
        <v>-0.1</v>
      </c>
      <c r="K18" s="1">
        <v>1E-3</v>
      </c>
      <c r="L18" s="1" t="s">
        <v>113</v>
      </c>
      <c r="M18" s="1" t="s">
        <v>120</v>
      </c>
      <c r="N18" s="1">
        <v>1985</v>
      </c>
      <c r="O18" s="1">
        <v>1</v>
      </c>
      <c r="P18" s="1">
        <v>1</v>
      </c>
      <c r="Q18" s="1">
        <v>1</v>
      </c>
      <c r="R18" s="1">
        <v>0</v>
      </c>
      <c r="AG18" s="1"/>
      <c r="AH18" s="1"/>
      <c r="AI18" s="1"/>
      <c r="AJ18" s="1"/>
      <c r="AK18" s="1"/>
      <c r="AL18" s="1"/>
    </row>
    <row r="19" spans="1:38" x14ac:dyDescent="0.25">
      <c r="A19" s="1">
        <v>2</v>
      </c>
      <c r="B19" s="1" t="s">
        <v>111</v>
      </c>
      <c r="C19" s="1" t="s">
        <v>112</v>
      </c>
      <c r="D19" s="1">
        <v>50</v>
      </c>
      <c r="E19" s="1">
        <v>80</v>
      </c>
      <c r="F19" s="1">
        <v>78</v>
      </c>
      <c r="G19" s="1">
        <v>5</v>
      </c>
      <c r="H19" s="1">
        <v>0</v>
      </c>
      <c r="I19" s="1">
        <v>0</v>
      </c>
      <c r="J19" s="1">
        <v>65</v>
      </c>
      <c r="K19" s="1">
        <f t="shared" ref="K19:K21" si="4">J19*0.05</f>
        <v>3.25</v>
      </c>
      <c r="L19" s="1" t="s">
        <v>113</v>
      </c>
      <c r="M19" s="1" t="s">
        <v>121</v>
      </c>
      <c r="N19" s="1">
        <v>1986</v>
      </c>
      <c r="O19" s="1">
        <v>1</v>
      </c>
      <c r="P19" s="1">
        <v>1</v>
      </c>
      <c r="Q19" s="1">
        <v>1</v>
      </c>
      <c r="R19" s="1">
        <v>0</v>
      </c>
      <c r="AG19" s="1"/>
      <c r="AH19" s="1"/>
      <c r="AI19" s="1"/>
      <c r="AJ19" s="1"/>
      <c r="AK19" s="1"/>
      <c r="AL19" s="1"/>
    </row>
    <row r="20" spans="1:38" x14ac:dyDescent="0.25">
      <c r="A20" s="1">
        <v>2</v>
      </c>
      <c r="B20" s="1" t="s">
        <v>111</v>
      </c>
      <c r="C20" s="1" t="s">
        <v>115</v>
      </c>
      <c r="D20" s="1">
        <v>0.01</v>
      </c>
      <c r="E20" s="1">
        <v>2</v>
      </c>
      <c r="F20" s="1">
        <v>1.5</v>
      </c>
      <c r="G20" s="1">
        <v>5</v>
      </c>
      <c r="H20" s="1">
        <v>0</v>
      </c>
      <c r="I20" s="1">
        <v>0</v>
      </c>
      <c r="J20" s="1">
        <v>1.5</v>
      </c>
      <c r="K20" s="1">
        <f t="shared" si="4"/>
        <v>7.5000000000000011E-2</v>
      </c>
      <c r="L20" s="1" t="s">
        <v>113</v>
      </c>
      <c r="M20" s="1" t="s">
        <v>121</v>
      </c>
      <c r="N20" s="1">
        <v>1987</v>
      </c>
      <c r="O20" s="1">
        <v>1</v>
      </c>
      <c r="P20" s="1">
        <v>1</v>
      </c>
      <c r="Q20" s="1">
        <v>1</v>
      </c>
      <c r="R20" s="1">
        <v>0</v>
      </c>
      <c r="AG20" s="1"/>
      <c r="AH20" s="1"/>
      <c r="AI20" s="1"/>
      <c r="AJ20" s="1"/>
      <c r="AK20" s="1"/>
      <c r="AL20" s="1"/>
    </row>
    <row r="21" spans="1:38" ht="15.75" customHeight="1" x14ac:dyDescent="0.25">
      <c r="A21" s="1">
        <v>2</v>
      </c>
      <c r="B21" s="1" t="s">
        <v>111</v>
      </c>
      <c r="C21" s="1" t="s">
        <v>116</v>
      </c>
      <c r="D21" s="1">
        <v>75</v>
      </c>
      <c r="E21" s="1">
        <v>150</v>
      </c>
      <c r="F21" s="1">
        <v>149</v>
      </c>
      <c r="G21" s="1">
        <v>5</v>
      </c>
      <c r="H21" s="1">
        <v>0</v>
      </c>
      <c r="I21" s="1">
        <v>0</v>
      </c>
      <c r="J21" s="1">
        <v>120</v>
      </c>
      <c r="K21" s="1">
        <f t="shared" si="4"/>
        <v>6</v>
      </c>
      <c r="L21" s="1" t="s">
        <v>113</v>
      </c>
      <c r="M21" s="1" t="s">
        <v>121</v>
      </c>
      <c r="N21" s="1">
        <v>1988</v>
      </c>
      <c r="O21" s="1">
        <v>1</v>
      </c>
      <c r="P21" s="1">
        <v>1</v>
      </c>
      <c r="Q21" s="1">
        <v>1</v>
      </c>
      <c r="R21" s="1">
        <v>0</v>
      </c>
      <c r="AG21" s="1"/>
      <c r="AH21" s="1"/>
      <c r="AI21" s="1"/>
      <c r="AJ21" s="1"/>
      <c r="AK21" s="1"/>
      <c r="AL21" s="1"/>
    </row>
    <row r="22" spans="1:38" ht="15.75" customHeight="1" x14ac:dyDescent="0.25">
      <c r="A22" s="1">
        <v>2</v>
      </c>
      <c r="B22" s="1" t="s">
        <v>111</v>
      </c>
      <c r="C22" s="1" t="s">
        <v>117</v>
      </c>
      <c r="D22" s="1">
        <v>-10</v>
      </c>
      <c r="E22" s="1">
        <v>0</v>
      </c>
      <c r="F22" s="1">
        <v>-5</v>
      </c>
      <c r="G22" s="1">
        <v>5</v>
      </c>
      <c r="H22" s="1">
        <v>0</v>
      </c>
      <c r="I22" s="1">
        <v>0</v>
      </c>
      <c r="J22" s="1">
        <v>-0.1</v>
      </c>
      <c r="K22" s="1">
        <v>1E-3</v>
      </c>
      <c r="L22" s="1" t="s">
        <v>113</v>
      </c>
      <c r="M22" s="1" t="s">
        <v>121</v>
      </c>
      <c r="N22" s="1">
        <v>1989</v>
      </c>
      <c r="O22" s="1">
        <v>1</v>
      </c>
      <c r="P22" s="1">
        <v>1</v>
      </c>
      <c r="Q22" s="1">
        <v>1</v>
      </c>
      <c r="R22" s="1">
        <v>0</v>
      </c>
      <c r="AG22" s="1"/>
      <c r="AH22" s="1"/>
      <c r="AI22" s="1"/>
      <c r="AJ22" s="1"/>
      <c r="AK22" s="1"/>
      <c r="AL22" s="1"/>
    </row>
    <row r="23" spans="1:38" ht="15.75" customHeight="1" x14ac:dyDescent="0.25">
      <c r="A23" s="1">
        <v>2</v>
      </c>
      <c r="B23" s="1" t="s">
        <v>87</v>
      </c>
      <c r="C23" s="1" t="s">
        <v>112</v>
      </c>
      <c r="D23" s="1">
        <v>50</v>
      </c>
      <c r="E23" s="1">
        <v>80</v>
      </c>
      <c r="F23" s="1">
        <v>78</v>
      </c>
      <c r="G23" s="1">
        <v>5</v>
      </c>
      <c r="H23" s="1">
        <v>0</v>
      </c>
      <c r="I23" s="1">
        <v>0</v>
      </c>
      <c r="J23" s="1">
        <v>65</v>
      </c>
      <c r="K23" s="1">
        <f t="shared" ref="K23:K25" si="5">J23*0.05</f>
        <v>3.25</v>
      </c>
      <c r="L23" s="1" t="s">
        <v>113</v>
      </c>
      <c r="M23" s="1" t="s">
        <v>122</v>
      </c>
      <c r="N23" s="1">
        <v>1990</v>
      </c>
      <c r="O23" s="1">
        <v>2</v>
      </c>
      <c r="P23" s="1">
        <v>2</v>
      </c>
      <c r="Q23" s="1">
        <v>2</v>
      </c>
      <c r="R23" s="1">
        <v>0</v>
      </c>
      <c r="AG23" s="1"/>
      <c r="AH23" s="1"/>
      <c r="AI23" s="1"/>
      <c r="AJ23" s="1"/>
      <c r="AK23" s="1"/>
      <c r="AL23" s="1"/>
    </row>
    <row r="24" spans="1:38" ht="15.75" customHeight="1" x14ac:dyDescent="0.25">
      <c r="A24" s="1">
        <v>2</v>
      </c>
      <c r="B24" s="1" t="s">
        <v>87</v>
      </c>
      <c r="C24" s="1" t="s">
        <v>115</v>
      </c>
      <c r="D24" s="1">
        <v>0.01</v>
      </c>
      <c r="E24" s="1">
        <v>2</v>
      </c>
      <c r="F24" s="1">
        <v>1.5</v>
      </c>
      <c r="G24" s="1">
        <v>5</v>
      </c>
      <c r="H24" s="1">
        <v>0</v>
      </c>
      <c r="I24" s="1">
        <v>0</v>
      </c>
      <c r="J24" s="1">
        <v>1.5</v>
      </c>
      <c r="K24" s="1">
        <f t="shared" si="5"/>
        <v>7.5000000000000011E-2</v>
      </c>
      <c r="L24" s="1" t="s">
        <v>113</v>
      </c>
      <c r="M24" s="1" t="s">
        <v>122</v>
      </c>
      <c r="N24" s="1">
        <v>1991</v>
      </c>
      <c r="O24" s="1">
        <v>2</v>
      </c>
      <c r="P24" s="1">
        <v>2</v>
      </c>
      <c r="Q24" s="1">
        <v>2</v>
      </c>
      <c r="R24" s="1">
        <v>0</v>
      </c>
      <c r="AG24" s="1"/>
      <c r="AH24" s="1"/>
      <c r="AI24" s="1"/>
      <c r="AJ24" s="1"/>
      <c r="AK24" s="1"/>
      <c r="AL24" s="1"/>
    </row>
    <row r="25" spans="1:38" ht="15.75" customHeight="1" x14ac:dyDescent="0.25">
      <c r="A25" s="1">
        <v>2</v>
      </c>
      <c r="B25" s="1" t="s">
        <v>87</v>
      </c>
      <c r="C25" s="1" t="s">
        <v>116</v>
      </c>
      <c r="D25" s="1">
        <v>75</v>
      </c>
      <c r="E25" s="1">
        <v>150</v>
      </c>
      <c r="F25" s="1">
        <v>120</v>
      </c>
      <c r="G25" s="1">
        <v>5</v>
      </c>
      <c r="H25" s="1">
        <v>0</v>
      </c>
      <c r="I25" s="1">
        <v>0</v>
      </c>
      <c r="J25" s="1">
        <v>120</v>
      </c>
      <c r="K25" s="1">
        <f t="shared" si="5"/>
        <v>6</v>
      </c>
      <c r="L25" s="1" t="s">
        <v>113</v>
      </c>
      <c r="M25" s="1" t="s">
        <v>122</v>
      </c>
      <c r="N25" s="1">
        <v>1992</v>
      </c>
      <c r="O25" s="1">
        <v>2</v>
      </c>
      <c r="P25" s="1">
        <v>2</v>
      </c>
      <c r="Q25" s="1">
        <v>2</v>
      </c>
      <c r="R25" s="1">
        <v>0</v>
      </c>
      <c r="AG25" s="1"/>
      <c r="AH25" s="1"/>
      <c r="AI25" s="1"/>
      <c r="AJ25" s="1"/>
      <c r="AK25" s="1"/>
      <c r="AL25" s="1"/>
    </row>
    <row r="26" spans="1:38" ht="15.75" customHeight="1" x14ac:dyDescent="0.25">
      <c r="A26" s="1">
        <v>2</v>
      </c>
      <c r="B26" s="1" t="s">
        <v>87</v>
      </c>
      <c r="C26" s="1" t="s">
        <v>117</v>
      </c>
      <c r="D26" s="1">
        <v>-10</v>
      </c>
      <c r="E26" s="1">
        <v>0</v>
      </c>
      <c r="F26" s="1">
        <v>-5</v>
      </c>
      <c r="G26" s="1">
        <v>5</v>
      </c>
      <c r="H26" s="1">
        <v>0</v>
      </c>
      <c r="I26" s="1">
        <v>0</v>
      </c>
      <c r="J26" s="1">
        <v>-0.1</v>
      </c>
      <c r="K26" s="1">
        <v>1E-3</v>
      </c>
      <c r="L26" s="1" t="s">
        <v>113</v>
      </c>
      <c r="M26" s="1" t="s">
        <v>122</v>
      </c>
      <c r="N26" s="1">
        <v>1993</v>
      </c>
      <c r="O26" s="1">
        <v>2</v>
      </c>
      <c r="P26" s="1">
        <v>2</v>
      </c>
      <c r="Q26" s="1">
        <v>2</v>
      </c>
      <c r="R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1994</v>
      </c>
      <c r="O27" s="1">
        <v>2</v>
      </c>
      <c r="P27" s="1">
        <v>2</v>
      </c>
      <c r="Q27" s="1">
        <v>2</v>
      </c>
      <c r="R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1995</v>
      </c>
      <c r="O28" s="1">
        <v>2</v>
      </c>
      <c r="P28" s="1">
        <v>2</v>
      </c>
      <c r="Q28" s="1">
        <v>2</v>
      </c>
      <c r="R28" s="1">
        <v>0</v>
      </c>
      <c r="AG28" s="1"/>
      <c r="AH28" s="1"/>
      <c r="AI28" s="1"/>
      <c r="AJ28" s="1"/>
      <c r="AK28" s="1"/>
      <c r="AL28" s="1"/>
    </row>
    <row r="29" spans="1:38" ht="15.75" customHeight="1" x14ac:dyDescent="0.25">
      <c r="A29" s="1"/>
      <c r="B29" s="1"/>
      <c r="C29" s="1"/>
      <c r="D29" s="1"/>
      <c r="E29" s="1"/>
      <c r="H29" s="1"/>
      <c r="I29" s="1"/>
      <c r="J29" s="1"/>
      <c r="K29" s="1"/>
      <c r="L29" s="1"/>
      <c r="M29" s="1"/>
      <c r="N29" s="1">
        <v>1996</v>
      </c>
      <c r="O29" s="1">
        <v>2</v>
      </c>
      <c r="P29" s="1">
        <v>2</v>
      </c>
      <c r="Q29" s="1">
        <v>2</v>
      </c>
      <c r="R29" s="1">
        <v>0</v>
      </c>
      <c r="AG29" s="1"/>
      <c r="AH29" s="1"/>
      <c r="AI29" s="1"/>
      <c r="AJ29" s="1"/>
      <c r="AK29" s="1"/>
      <c r="AL29" s="1"/>
    </row>
    <row r="30" spans="1:38" ht="15.75" customHeight="1" x14ac:dyDescent="0.25">
      <c r="A30" s="1"/>
      <c r="B30" s="1"/>
      <c r="C30" s="1"/>
      <c r="D30" s="1"/>
      <c r="E30" s="1"/>
      <c r="H30" s="1"/>
      <c r="I30" s="1"/>
      <c r="J30" s="1"/>
      <c r="K30" s="1"/>
      <c r="L30" s="1"/>
      <c r="M30" s="1"/>
      <c r="N30" s="1">
        <v>1997</v>
      </c>
      <c r="O30" s="1">
        <v>2</v>
      </c>
      <c r="P30" s="1">
        <v>2</v>
      </c>
      <c r="Q30" s="1">
        <v>2</v>
      </c>
      <c r="R30" s="1">
        <v>0</v>
      </c>
      <c r="AG30" s="1"/>
      <c r="AH30" s="1"/>
      <c r="AI30" s="1"/>
      <c r="AJ30" s="1"/>
      <c r="AK30" s="1"/>
      <c r="AL30" s="1"/>
    </row>
    <row r="31" spans="1:38" ht="15.75" customHeight="1" x14ac:dyDescent="0.25">
      <c r="A31" s="1"/>
      <c r="B31" s="1"/>
      <c r="C31" s="1"/>
      <c r="D31" s="1"/>
      <c r="E31" s="1"/>
      <c r="F31" s="1"/>
      <c r="G31" s="1"/>
      <c r="H31" s="1"/>
      <c r="I31" s="1"/>
      <c r="J31" s="1"/>
      <c r="K31" s="1"/>
      <c r="L31" s="1"/>
      <c r="M31" s="1"/>
      <c r="N31" s="1">
        <v>1998</v>
      </c>
      <c r="O31" s="1">
        <v>2</v>
      </c>
      <c r="P31" s="1">
        <v>2</v>
      </c>
      <c r="Q31" s="1">
        <v>2</v>
      </c>
      <c r="R31" s="1">
        <v>0</v>
      </c>
      <c r="AG31" s="1"/>
      <c r="AH31" s="1"/>
      <c r="AI31" s="1"/>
      <c r="AJ31" s="1"/>
      <c r="AK31" s="1"/>
      <c r="AL31" s="1"/>
    </row>
    <row r="32" spans="1:38" ht="15.75" customHeight="1" x14ac:dyDescent="0.25">
      <c r="A32" s="1"/>
      <c r="B32" s="1"/>
      <c r="C32" s="1"/>
      <c r="D32" s="1"/>
      <c r="E32" s="1"/>
      <c r="F32" s="1"/>
      <c r="G32" s="1"/>
      <c r="H32" s="1"/>
      <c r="I32" s="1"/>
      <c r="J32" s="1"/>
      <c r="K32" s="1"/>
      <c r="L32" s="1"/>
      <c r="M32" s="1"/>
      <c r="N32" s="1">
        <v>1999</v>
      </c>
      <c r="O32" s="1">
        <v>2</v>
      </c>
      <c r="P32" s="1">
        <v>2</v>
      </c>
      <c r="Q32" s="1">
        <v>2</v>
      </c>
      <c r="R32" s="1">
        <v>0</v>
      </c>
      <c r="AG32" s="1"/>
      <c r="AH32" s="1"/>
      <c r="AI32" s="1"/>
      <c r="AJ32" s="1"/>
      <c r="AK32" s="1"/>
      <c r="AL32" s="1"/>
    </row>
    <row r="33" spans="1:38" ht="15.75" customHeight="1" x14ac:dyDescent="0.25">
      <c r="A33" s="1"/>
      <c r="B33" s="1"/>
      <c r="C33" s="1"/>
      <c r="D33" s="1"/>
      <c r="E33" s="1"/>
      <c r="F33" s="1"/>
      <c r="G33" s="1"/>
      <c r="H33" s="1"/>
      <c r="I33" s="1"/>
      <c r="J33" s="1"/>
      <c r="K33" s="1"/>
      <c r="L33" s="1"/>
      <c r="M33" s="1"/>
      <c r="N33" s="1">
        <v>2000</v>
      </c>
      <c r="O33" s="1">
        <v>2</v>
      </c>
      <c r="P33" s="1">
        <v>2</v>
      </c>
      <c r="Q33" s="1">
        <v>2</v>
      </c>
      <c r="R33" s="1">
        <v>0</v>
      </c>
      <c r="AG33" s="1"/>
      <c r="AH33" s="1"/>
      <c r="AI33" s="1"/>
      <c r="AJ33" s="1"/>
      <c r="AK33" s="1"/>
      <c r="AL33" s="1"/>
    </row>
    <row r="34" spans="1:38" ht="15.75" customHeight="1" x14ac:dyDescent="0.25">
      <c r="A34" s="1"/>
      <c r="B34" s="1"/>
      <c r="C34" s="1"/>
      <c r="D34" s="1"/>
      <c r="E34" s="1"/>
      <c r="F34" s="1"/>
      <c r="G34" s="1"/>
      <c r="H34" s="1"/>
      <c r="I34" s="1"/>
      <c r="J34" s="1"/>
      <c r="K34" s="1"/>
      <c r="L34" s="1"/>
      <c r="M34" s="1"/>
      <c r="N34" s="1">
        <v>2001</v>
      </c>
      <c r="O34" s="1">
        <v>2</v>
      </c>
      <c r="P34" s="1">
        <v>2</v>
      </c>
      <c r="Q34" s="1">
        <v>2</v>
      </c>
      <c r="R34" s="1">
        <v>0</v>
      </c>
      <c r="AG34" s="1"/>
      <c r="AH34" s="1"/>
      <c r="AI34" s="1"/>
      <c r="AJ34" s="1"/>
      <c r="AK34" s="1"/>
      <c r="AL34" s="1"/>
    </row>
    <row r="35" spans="1:38" ht="15.75" customHeight="1" x14ac:dyDescent="0.25">
      <c r="N35" s="1">
        <v>2002</v>
      </c>
      <c r="O35" s="1">
        <v>2</v>
      </c>
      <c r="P35" s="1">
        <v>2</v>
      </c>
      <c r="Q35" s="1">
        <v>2</v>
      </c>
      <c r="R35" s="1">
        <v>0</v>
      </c>
      <c r="AG35" s="1"/>
      <c r="AH35" s="1"/>
      <c r="AI35" s="1"/>
      <c r="AJ35" s="1"/>
      <c r="AK35" s="1"/>
      <c r="AL35" s="1"/>
    </row>
    <row r="36" spans="1:38" ht="15.75" customHeight="1" x14ac:dyDescent="0.25">
      <c r="N36" s="1">
        <v>2003</v>
      </c>
      <c r="O36" s="1">
        <v>2</v>
      </c>
      <c r="P36" s="1">
        <v>2</v>
      </c>
      <c r="Q36" s="1">
        <v>2</v>
      </c>
      <c r="R36" s="1">
        <v>0</v>
      </c>
      <c r="AG36" s="1"/>
      <c r="AH36" s="1"/>
      <c r="AI36" s="1"/>
      <c r="AJ36" s="1"/>
      <c r="AK36" s="1"/>
      <c r="AL36" s="1"/>
    </row>
    <row r="37" spans="1:38" ht="15.75" customHeight="1" x14ac:dyDescent="0.25">
      <c r="N37" s="1">
        <v>2004</v>
      </c>
      <c r="O37" s="1">
        <v>2</v>
      </c>
      <c r="P37" s="1">
        <v>2</v>
      </c>
      <c r="Q37" s="1">
        <v>2</v>
      </c>
      <c r="R37" s="1">
        <v>0</v>
      </c>
      <c r="AG37" s="1"/>
      <c r="AH37" s="1"/>
      <c r="AI37" s="1"/>
      <c r="AJ37" s="1"/>
      <c r="AK37" s="1"/>
      <c r="AL37" s="1"/>
    </row>
    <row r="38" spans="1:38" ht="15.75" customHeight="1" x14ac:dyDescent="0.25">
      <c r="N38" s="1">
        <v>2005</v>
      </c>
      <c r="O38" s="1">
        <v>2</v>
      </c>
      <c r="P38" s="1">
        <v>2</v>
      </c>
      <c r="Q38" s="1">
        <v>2</v>
      </c>
      <c r="R38" s="1">
        <v>0</v>
      </c>
      <c r="AG38" s="1"/>
      <c r="AH38" s="1"/>
      <c r="AI38" s="1"/>
      <c r="AJ38" s="1"/>
      <c r="AK38" s="1"/>
      <c r="AL38" s="1"/>
    </row>
    <row r="39" spans="1:38" ht="15.75" customHeight="1" x14ac:dyDescent="0.25">
      <c r="N39" s="1">
        <v>2006</v>
      </c>
      <c r="O39" s="1">
        <v>2</v>
      </c>
      <c r="P39" s="1">
        <v>2</v>
      </c>
      <c r="Q39" s="1">
        <v>2</v>
      </c>
      <c r="R39" s="1">
        <v>0</v>
      </c>
      <c r="AG39" s="1"/>
      <c r="AH39" s="1"/>
      <c r="AI39" s="1"/>
      <c r="AJ39" s="1"/>
      <c r="AK39" s="1"/>
      <c r="AL39" s="1"/>
    </row>
    <row r="40" spans="1:38" ht="15.75" customHeight="1" x14ac:dyDescent="0.25">
      <c r="N40" s="1">
        <v>2007</v>
      </c>
      <c r="O40" s="1">
        <v>2</v>
      </c>
      <c r="P40" s="1">
        <v>2</v>
      </c>
      <c r="Q40" s="1">
        <v>2</v>
      </c>
      <c r="R40" s="1">
        <v>0</v>
      </c>
      <c r="AG40" s="1"/>
      <c r="AH40" s="1"/>
      <c r="AI40" s="1"/>
      <c r="AJ40" s="1"/>
      <c r="AK40" s="1"/>
      <c r="AL40" s="1"/>
    </row>
    <row r="41" spans="1:38" ht="15.75" customHeight="1" x14ac:dyDescent="0.25">
      <c r="N41" s="1">
        <v>2008</v>
      </c>
      <c r="O41" s="1">
        <v>2</v>
      </c>
      <c r="P41" s="1">
        <v>2</v>
      </c>
      <c r="Q41" s="1">
        <v>2</v>
      </c>
      <c r="R41" s="1">
        <v>0</v>
      </c>
      <c r="AG41" s="1"/>
      <c r="AH41" s="1"/>
      <c r="AI41" s="1"/>
      <c r="AJ41" s="1"/>
      <c r="AK41" s="1"/>
      <c r="AL41" s="1"/>
    </row>
    <row r="42" spans="1:38" ht="15.75" customHeight="1" x14ac:dyDescent="0.25">
      <c r="N42" s="1">
        <v>2009</v>
      </c>
      <c r="O42" s="1">
        <v>2</v>
      </c>
      <c r="P42" s="1">
        <v>2</v>
      </c>
      <c r="Q42" s="1">
        <v>2</v>
      </c>
      <c r="R42" s="1">
        <v>0</v>
      </c>
      <c r="AG42" s="1"/>
      <c r="AH42" s="1"/>
      <c r="AI42" s="1"/>
      <c r="AJ42" s="1"/>
      <c r="AK42" s="1"/>
      <c r="AL42" s="1"/>
    </row>
    <row r="43" spans="1:38" ht="15.75" customHeight="1" x14ac:dyDescent="0.25">
      <c r="N43" s="1">
        <v>2010</v>
      </c>
      <c r="O43" s="1">
        <v>2</v>
      </c>
      <c r="P43" s="1">
        <v>2</v>
      </c>
      <c r="Q43" s="1">
        <v>2</v>
      </c>
      <c r="R43" s="1">
        <v>0</v>
      </c>
      <c r="AG43" s="1"/>
      <c r="AH43" s="1"/>
      <c r="AI43" s="1"/>
      <c r="AJ43" s="1"/>
      <c r="AK43" s="1"/>
      <c r="AL43" s="1"/>
    </row>
    <row r="44" spans="1:38" ht="15.75" customHeight="1" x14ac:dyDescent="0.25">
      <c r="N44" s="1">
        <v>2011</v>
      </c>
      <c r="O44" s="1">
        <v>2</v>
      </c>
      <c r="P44" s="1">
        <v>2</v>
      </c>
      <c r="Q44" s="1">
        <v>2</v>
      </c>
      <c r="R44" s="1">
        <v>0</v>
      </c>
      <c r="AG44" s="1"/>
      <c r="AH44" s="1"/>
      <c r="AI44" s="1"/>
      <c r="AJ44" s="1"/>
      <c r="AK44" s="1"/>
      <c r="AL44" s="1"/>
    </row>
    <row r="45" spans="1:38" ht="15.75" customHeight="1" x14ac:dyDescent="0.25">
      <c r="N45" s="1">
        <v>2012</v>
      </c>
      <c r="O45" s="1">
        <v>2</v>
      </c>
      <c r="P45" s="1">
        <v>2</v>
      </c>
      <c r="Q45" s="1">
        <v>2</v>
      </c>
      <c r="R45" s="1">
        <v>0</v>
      </c>
      <c r="AG45" s="1"/>
      <c r="AH45" s="1"/>
      <c r="AI45" s="1"/>
      <c r="AJ45" s="1"/>
      <c r="AK45" s="1"/>
      <c r="AL45" s="1"/>
    </row>
    <row r="46" spans="1:38" ht="15.75" customHeight="1" x14ac:dyDescent="0.25">
      <c r="N46" s="1">
        <v>2013</v>
      </c>
      <c r="O46" s="1">
        <v>2</v>
      </c>
      <c r="P46" s="1">
        <v>2</v>
      </c>
      <c r="Q46" s="1">
        <v>2</v>
      </c>
      <c r="R46" s="1">
        <v>0</v>
      </c>
      <c r="AG46" s="1"/>
      <c r="AH46" s="1"/>
      <c r="AI46" s="1"/>
      <c r="AJ46" s="1"/>
      <c r="AK46" s="1"/>
      <c r="AL46" s="1"/>
    </row>
    <row r="47" spans="1:38" ht="15.75" customHeight="1" x14ac:dyDescent="0.25">
      <c r="N47" s="1">
        <v>2014</v>
      </c>
      <c r="O47" s="1">
        <v>2</v>
      </c>
      <c r="P47" s="1">
        <v>2</v>
      </c>
      <c r="Q47" s="1">
        <v>2</v>
      </c>
      <c r="R47" s="1">
        <v>0</v>
      </c>
      <c r="AG47" s="1"/>
      <c r="AH47" s="1"/>
      <c r="AI47" s="1"/>
      <c r="AJ47" s="1"/>
      <c r="AK47" s="1"/>
      <c r="AL47" s="1"/>
    </row>
    <row r="48" spans="1:38" ht="15.75" customHeight="1" x14ac:dyDescent="0.25">
      <c r="N48" s="1">
        <v>2015</v>
      </c>
      <c r="O48" s="1">
        <v>2</v>
      </c>
      <c r="P48" s="1">
        <v>2</v>
      </c>
      <c r="Q48" s="1">
        <v>2</v>
      </c>
      <c r="R48" s="1">
        <v>0</v>
      </c>
      <c r="AG48" s="1"/>
      <c r="AH48" s="1"/>
      <c r="AI48" s="1"/>
      <c r="AJ48" s="1"/>
      <c r="AK48" s="1"/>
      <c r="AL48" s="1"/>
    </row>
    <row r="49" spans="14:38" ht="15.75" customHeight="1" x14ac:dyDescent="0.25">
      <c r="N49" s="1">
        <v>2016</v>
      </c>
      <c r="O49" s="1">
        <v>2</v>
      </c>
      <c r="P49" s="1">
        <v>2</v>
      </c>
      <c r="Q49" s="1">
        <v>2</v>
      </c>
      <c r="R49" s="1">
        <v>0</v>
      </c>
      <c r="AG49" s="1"/>
      <c r="AH49" s="1"/>
      <c r="AI49" s="1"/>
      <c r="AJ49" s="1"/>
      <c r="AK49" s="1"/>
      <c r="AL49" s="1"/>
    </row>
    <row r="50" spans="14:38" ht="15.75" customHeight="1" x14ac:dyDescent="0.25">
      <c r="N50" s="1">
        <v>2017</v>
      </c>
      <c r="O50" s="1">
        <v>2</v>
      </c>
      <c r="P50" s="1">
        <v>2</v>
      </c>
      <c r="Q50" s="1">
        <v>2</v>
      </c>
      <c r="R50" s="1">
        <v>0</v>
      </c>
      <c r="AG50" s="1"/>
      <c r="AH50" s="1"/>
      <c r="AI50" s="1"/>
      <c r="AJ50" s="1"/>
      <c r="AK50" s="1"/>
      <c r="AL50" s="1"/>
    </row>
    <row r="51" spans="14:38" ht="15.75" customHeight="1" x14ac:dyDescent="0.25">
      <c r="N51" s="1">
        <v>2018</v>
      </c>
      <c r="O51" s="1">
        <v>2</v>
      </c>
      <c r="P51" s="1">
        <v>2</v>
      </c>
      <c r="Q51" s="1">
        <v>2</v>
      </c>
      <c r="R51" s="1">
        <v>0</v>
      </c>
      <c r="AG51" s="1"/>
      <c r="AH51" s="1"/>
      <c r="AI51" s="1"/>
      <c r="AJ51" s="1"/>
      <c r="AK51" s="1"/>
      <c r="AL51" s="1"/>
    </row>
    <row r="52" spans="14:38" ht="15.75" customHeight="1" x14ac:dyDescent="0.25">
      <c r="N52" s="1">
        <v>2019</v>
      </c>
      <c r="O52" s="1">
        <v>2</v>
      </c>
      <c r="P52" s="1">
        <v>2</v>
      </c>
      <c r="Q52" s="1">
        <v>2</v>
      </c>
      <c r="R52" s="1">
        <v>0</v>
      </c>
      <c r="AG52" s="1"/>
      <c r="AH52" s="1"/>
      <c r="AI52" s="1"/>
      <c r="AJ52" s="1"/>
      <c r="AK52" s="1"/>
      <c r="AL52" s="1"/>
    </row>
    <row r="53" spans="14:38" ht="15.75" customHeight="1" x14ac:dyDescent="0.25">
      <c r="N53" s="1">
        <v>2020</v>
      </c>
      <c r="O53" s="1">
        <v>2</v>
      </c>
      <c r="P53" s="1">
        <v>2</v>
      </c>
      <c r="Q53" s="1">
        <v>2</v>
      </c>
      <c r="R53" s="1">
        <v>0</v>
      </c>
      <c r="AG53" s="1"/>
      <c r="AH53" s="1"/>
      <c r="AI53" s="1"/>
      <c r="AJ53" s="1"/>
      <c r="AK53" s="1"/>
      <c r="AL53" s="1"/>
    </row>
    <row r="54" spans="14:38" ht="15.75" customHeight="1" x14ac:dyDescent="0.25">
      <c r="N54" s="1">
        <v>2021</v>
      </c>
      <c r="O54" s="1">
        <v>2</v>
      </c>
      <c r="P54" s="1">
        <v>2</v>
      </c>
      <c r="Q54" s="1">
        <v>2</v>
      </c>
      <c r="R54" s="1">
        <v>0</v>
      </c>
      <c r="AG54" s="1"/>
      <c r="AH54" s="1"/>
      <c r="AI54" s="1"/>
      <c r="AJ54" s="1"/>
      <c r="AK54" s="1"/>
      <c r="AL54" s="1"/>
    </row>
    <row r="55" spans="14:38" ht="15.75" customHeight="1" x14ac:dyDescent="0.25">
      <c r="N55" s="1">
        <v>2022</v>
      </c>
      <c r="O55" s="1">
        <v>2</v>
      </c>
      <c r="P55" s="1">
        <v>2</v>
      </c>
      <c r="Q55" s="1">
        <v>2</v>
      </c>
      <c r="R55" s="1">
        <v>0</v>
      </c>
      <c r="AG55" s="1"/>
      <c r="AH55" s="1"/>
      <c r="AI55" s="1"/>
      <c r="AJ55" s="1"/>
      <c r="AK55" s="1"/>
      <c r="AL55" s="1"/>
    </row>
    <row r="56" spans="14:38" ht="15.75" customHeight="1" x14ac:dyDescent="0.25">
      <c r="N56" s="1">
        <v>2023</v>
      </c>
      <c r="O56" s="1">
        <v>2</v>
      </c>
      <c r="P56" s="1">
        <v>2</v>
      </c>
      <c r="Q56" s="1">
        <v>2</v>
      </c>
      <c r="R56" s="1">
        <v>0</v>
      </c>
      <c r="AG56" s="1"/>
      <c r="AH56" s="1"/>
      <c r="AI56" s="1"/>
      <c r="AJ56" s="1"/>
      <c r="AK56" s="1"/>
      <c r="AL56" s="1"/>
    </row>
    <row r="57" spans="14:38" ht="15.75" customHeight="1" x14ac:dyDescent="0.25">
      <c r="N57" s="1">
        <v>2024</v>
      </c>
      <c r="O57" s="1">
        <v>2</v>
      </c>
      <c r="P57" s="1">
        <v>2</v>
      </c>
      <c r="Q57" s="1">
        <v>2</v>
      </c>
      <c r="R57" s="1">
        <v>0</v>
      </c>
      <c r="AG57" s="1"/>
      <c r="AH57" s="1"/>
      <c r="AI57" s="1"/>
      <c r="AJ57" s="1"/>
      <c r="AK57" s="1"/>
      <c r="AL57" s="1"/>
    </row>
    <row r="58" spans="14:38" ht="15.75" customHeight="1" x14ac:dyDescent="0.25">
      <c r="N58" s="1">
        <v>2025</v>
      </c>
      <c r="O58" s="1">
        <v>2</v>
      </c>
      <c r="P58" s="1">
        <v>2</v>
      </c>
      <c r="Q58" s="1">
        <v>2</v>
      </c>
      <c r="R58" s="1">
        <v>0</v>
      </c>
      <c r="AG58" s="1"/>
      <c r="AH58" s="1"/>
      <c r="AI58" s="1"/>
      <c r="AJ58" s="1"/>
      <c r="AK58" s="1"/>
      <c r="AL58" s="1"/>
    </row>
    <row r="59" spans="14:38" ht="15.75" customHeight="1" x14ac:dyDescent="0.25">
      <c r="N59" s="1">
        <v>2026</v>
      </c>
      <c r="O59" s="1">
        <v>2</v>
      </c>
      <c r="P59" s="1">
        <v>2</v>
      </c>
      <c r="Q59" s="1">
        <v>2</v>
      </c>
      <c r="R59" s="1">
        <v>0</v>
      </c>
      <c r="AG59" s="1"/>
      <c r="AH59" s="1"/>
      <c r="AI59" s="1"/>
      <c r="AJ59" s="1"/>
      <c r="AK59" s="1"/>
      <c r="AL59" s="1"/>
    </row>
    <row r="60" spans="14:38" ht="15.75" customHeight="1" x14ac:dyDescent="0.25">
      <c r="N60" s="1">
        <v>2027</v>
      </c>
      <c r="O60" s="1">
        <v>2</v>
      </c>
      <c r="P60" s="1">
        <v>2</v>
      </c>
      <c r="Q60" s="1">
        <v>2</v>
      </c>
      <c r="R60" s="1">
        <v>0</v>
      </c>
      <c r="AG60" s="1"/>
      <c r="AH60" s="1"/>
      <c r="AI60" s="1"/>
      <c r="AJ60" s="1"/>
      <c r="AK60" s="1"/>
      <c r="AL60" s="1"/>
    </row>
    <row r="61" spans="14:38" ht="15.75" customHeight="1" x14ac:dyDescent="0.25">
      <c r="N61" s="1">
        <v>2028</v>
      </c>
      <c r="O61" s="1">
        <v>2</v>
      </c>
      <c r="P61" s="1">
        <v>2</v>
      </c>
      <c r="Q61" s="1">
        <v>2</v>
      </c>
      <c r="R61" s="1">
        <v>0</v>
      </c>
      <c r="AG61" s="1"/>
      <c r="AH61" s="1"/>
      <c r="AI61" s="1"/>
      <c r="AJ61" s="1"/>
      <c r="AK61" s="1"/>
      <c r="AL61" s="1"/>
    </row>
    <row r="62" spans="14:38" ht="15.75" customHeight="1" x14ac:dyDescent="0.25">
      <c r="N62" s="1">
        <v>2029</v>
      </c>
      <c r="O62" s="1">
        <v>2</v>
      </c>
      <c r="P62" s="1">
        <v>2</v>
      </c>
      <c r="Q62" s="1">
        <v>2</v>
      </c>
      <c r="R62" s="1">
        <v>0</v>
      </c>
      <c r="AG62" s="1"/>
      <c r="AH62" s="1"/>
      <c r="AI62" s="1"/>
      <c r="AJ62" s="1"/>
      <c r="AK62" s="1"/>
      <c r="AL62" s="1"/>
    </row>
    <row r="63" spans="14:38" ht="15.75" customHeight="1" x14ac:dyDescent="0.25">
      <c r="N63" s="1">
        <v>2030</v>
      </c>
      <c r="O63" s="1">
        <v>2</v>
      </c>
      <c r="P63" s="1">
        <v>2</v>
      </c>
      <c r="Q63" s="1">
        <v>2</v>
      </c>
      <c r="R63" s="1">
        <v>0</v>
      </c>
      <c r="AG63" s="1"/>
      <c r="AH63" s="1"/>
      <c r="AI63" s="1"/>
      <c r="AJ63" s="1"/>
      <c r="AK63" s="1"/>
      <c r="AL63" s="1"/>
    </row>
    <row r="64" spans="14:38" ht="15.75" customHeight="1" x14ac:dyDescent="0.25">
      <c r="N64" s="1">
        <v>2031</v>
      </c>
      <c r="O64" s="1">
        <v>2</v>
      </c>
      <c r="P64" s="1">
        <v>2</v>
      </c>
      <c r="Q64" s="1">
        <v>2</v>
      </c>
      <c r="R64" s="1">
        <v>0</v>
      </c>
      <c r="AG64" s="1"/>
      <c r="AH64" s="1"/>
      <c r="AI64" s="1"/>
      <c r="AJ64" s="1"/>
      <c r="AK64" s="1"/>
      <c r="AL64" s="1"/>
    </row>
    <row r="65" spans="14:38" ht="15.75" customHeight="1" x14ac:dyDescent="0.25">
      <c r="N65" s="1">
        <v>2032</v>
      </c>
      <c r="O65" s="1">
        <v>2</v>
      </c>
      <c r="P65" s="1">
        <v>2</v>
      </c>
      <c r="Q65" s="1">
        <v>2</v>
      </c>
      <c r="R65" s="1">
        <v>0</v>
      </c>
      <c r="AG65" s="1"/>
      <c r="AH65" s="1"/>
      <c r="AI65" s="1"/>
      <c r="AJ65" s="1"/>
      <c r="AK65" s="1"/>
      <c r="AL65" s="1"/>
    </row>
    <row r="66" spans="14:38" ht="15.75" customHeight="1" x14ac:dyDescent="0.25">
      <c r="N66" s="1">
        <v>2033</v>
      </c>
      <c r="O66" s="1">
        <v>2</v>
      </c>
      <c r="P66" s="1">
        <v>2</v>
      </c>
      <c r="Q66" s="1">
        <v>2</v>
      </c>
      <c r="R66" s="1">
        <v>0</v>
      </c>
      <c r="AG66" s="1"/>
      <c r="AH66" s="1"/>
      <c r="AI66" s="1"/>
      <c r="AJ66" s="1"/>
      <c r="AK66" s="1"/>
      <c r="AL66" s="1"/>
    </row>
    <row r="67" spans="14:38" ht="15.75" customHeight="1" x14ac:dyDescent="0.25">
      <c r="N67" s="1">
        <v>2034</v>
      </c>
      <c r="O67" s="1">
        <v>2</v>
      </c>
      <c r="P67" s="1">
        <v>2</v>
      </c>
      <c r="Q67" s="1">
        <v>2</v>
      </c>
      <c r="R67" s="1">
        <v>0</v>
      </c>
      <c r="AG67" s="1"/>
      <c r="AH67" s="1"/>
      <c r="AI67" s="1"/>
      <c r="AJ67" s="1"/>
      <c r="AK67" s="1"/>
      <c r="AL67" s="1"/>
    </row>
    <row r="68" spans="14:38" ht="15.75" customHeight="1" x14ac:dyDescent="0.25">
      <c r="N68" s="1">
        <v>2035</v>
      </c>
      <c r="O68" s="1">
        <v>2</v>
      </c>
      <c r="P68" s="1">
        <v>2</v>
      </c>
      <c r="Q68" s="1">
        <v>2</v>
      </c>
      <c r="R68" s="1">
        <v>0</v>
      </c>
      <c r="AG68" s="1"/>
      <c r="AH68" s="1"/>
      <c r="AI68" s="1"/>
      <c r="AJ68" s="1"/>
      <c r="AK68" s="1"/>
      <c r="AL68" s="1"/>
    </row>
    <row r="69" spans="14:38" ht="15.75" customHeight="1" x14ac:dyDescent="0.25">
      <c r="N69" s="1">
        <v>2036</v>
      </c>
      <c r="O69" s="1">
        <v>2</v>
      </c>
      <c r="P69" s="1">
        <v>2</v>
      </c>
      <c r="Q69" s="1">
        <v>2</v>
      </c>
      <c r="R69" s="1">
        <v>0</v>
      </c>
      <c r="AG69" s="1"/>
      <c r="AH69" s="1"/>
      <c r="AI69" s="1"/>
      <c r="AJ69" s="1"/>
      <c r="AK69" s="1"/>
      <c r="AL69" s="1"/>
    </row>
    <row r="70" spans="14:38" ht="15.75" customHeight="1" x14ac:dyDescent="0.25">
      <c r="N70" s="1">
        <v>2037</v>
      </c>
      <c r="O70" s="1">
        <v>2</v>
      </c>
      <c r="P70" s="1">
        <v>2</v>
      </c>
      <c r="Q70" s="1">
        <v>2</v>
      </c>
      <c r="R70" s="1">
        <v>0</v>
      </c>
      <c r="AG70" s="1"/>
      <c r="AH70" s="1"/>
      <c r="AI70" s="1"/>
      <c r="AJ70" s="1"/>
      <c r="AK70" s="1"/>
      <c r="AL70" s="1"/>
    </row>
    <row r="71" spans="14:38" ht="15.75" customHeight="1" x14ac:dyDescent="0.25">
      <c r="N71" s="1">
        <v>2038</v>
      </c>
      <c r="O71" s="1">
        <v>2</v>
      </c>
      <c r="P71" s="1">
        <v>2</v>
      </c>
      <c r="Q71" s="1">
        <v>2</v>
      </c>
      <c r="R71" s="1">
        <v>0</v>
      </c>
      <c r="AG71" s="1"/>
      <c r="AH71" s="1"/>
      <c r="AI71" s="1"/>
      <c r="AJ71" s="1"/>
      <c r="AK71" s="1"/>
      <c r="AL71" s="1"/>
    </row>
    <row r="72" spans="14:38" ht="15.75" customHeight="1" x14ac:dyDescent="0.25">
      <c r="N72" s="1">
        <v>2039</v>
      </c>
      <c r="O72" s="1">
        <v>2</v>
      </c>
      <c r="P72" s="1">
        <v>2</v>
      </c>
      <c r="Q72" s="1">
        <v>2</v>
      </c>
      <c r="R72" s="1">
        <v>0</v>
      </c>
      <c r="AG72" s="1"/>
      <c r="AH72" s="1"/>
      <c r="AI72" s="1"/>
      <c r="AJ72" s="1"/>
      <c r="AK72" s="1"/>
      <c r="AL72" s="1"/>
    </row>
    <row r="73" spans="14:38" ht="15.75" customHeight="1" x14ac:dyDescent="0.25">
      <c r="N73" s="1">
        <v>2040</v>
      </c>
      <c r="O73" s="1">
        <v>2</v>
      </c>
      <c r="P73" s="1">
        <v>2</v>
      </c>
      <c r="Q73" s="1">
        <v>2</v>
      </c>
      <c r="R73" s="1">
        <v>0</v>
      </c>
      <c r="AG73" s="1"/>
      <c r="AH73" s="1"/>
      <c r="AI73" s="1"/>
      <c r="AJ73" s="1"/>
      <c r="AK73" s="1"/>
      <c r="AL73" s="1"/>
    </row>
    <row r="74" spans="14:38" ht="15.75" customHeight="1" x14ac:dyDescent="0.25">
      <c r="N74" s="1">
        <v>2041</v>
      </c>
      <c r="O74" s="1">
        <v>2</v>
      </c>
      <c r="P74" s="1">
        <v>2</v>
      </c>
      <c r="Q74" s="1">
        <v>2</v>
      </c>
      <c r="R74" s="1">
        <v>0</v>
      </c>
      <c r="AG74" s="1"/>
      <c r="AH74" s="1"/>
      <c r="AI74" s="1"/>
      <c r="AJ74" s="1"/>
      <c r="AK74" s="1"/>
      <c r="AL74" s="1"/>
    </row>
    <row r="75" spans="14:38" ht="15.75" customHeight="1" x14ac:dyDescent="0.25">
      <c r="N75" s="1">
        <v>2042</v>
      </c>
      <c r="O75" s="1">
        <v>2</v>
      </c>
      <c r="P75" s="1">
        <v>2</v>
      </c>
      <c r="Q75" s="1">
        <v>2</v>
      </c>
      <c r="R75" s="1">
        <v>0</v>
      </c>
      <c r="AG75" s="1"/>
      <c r="AH75" s="1"/>
      <c r="AI75" s="1"/>
      <c r="AJ75" s="1"/>
      <c r="AK75" s="1"/>
      <c r="AL75" s="1"/>
    </row>
    <row r="76" spans="14:38" ht="15.75" customHeight="1" x14ac:dyDescent="0.25">
      <c r="N76" s="1">
        <v>2043</v>
      </c>
      <c r="O76" s="1">
        <v>2</v>
      </c>
      <c r="P76" s="1">
        <v>2</v>
      </c>
      <c r="Q76" s="1">
        <v>2</v>
      </c>
      <c r="R76" s="1">
        <v>0</v>
      </c>
      <c r="AG76" s="1"/>
      <c r="AH76" s="1"/>
      <c r="AI76" s="1"/>
      <c r="AJ76" s="1"/>
      <c r="AK76" s="1"/>
      <c r="AL76" s="1"/>
    </row>
    <row r="77" spans="14:38" ht="15.75" customHeight="1" x14ac:dyDescent="0.25">
      <c r="N77" s="1">
        <v>2044</v>
      </c>
      <c r="O77" s="1">
        <v>2</v>
      </c>
      <c r="P77" s="1">
        <v>2</v>
      </c>
      <c r="Q77" s="1">
        <v>2</v>
      </c>
      <c r="R77" s="1">
        <v>0</v>
      </c>
      <c r="AG77" s="1"/>
      <c r="AH77" s="1"/>
      <c r="AI77" s="1"/>
      <c r="AJ77" s="1"/>
      <c r="AK77" s="1"/>
      <c r="AL77" s="1"/>
    </row>
    <row r="78" spans="14:38" ht="15.75" customHeight="1" x14ac:dyDescent="0.25">
      <c r="N78" s="1">
        <v>2045</v>
      </c>
      <c r="O78" s="1">
        <v>2</v>
      </c>
      <c r="P78" s="1">
        <v>2</v>
      </c>
      <c r="Q78" s="1">
        <v>2</v>
      </c>
      <c r="R78" s="1">
        <v>0</v>
      </c>
      <c r="AG78" s="1"/>
      <c r="AH78" s="1"/>
      <c r="AI78" s="1"/>
      <c r="AJ78" s="1"/>
      <c r="AK78" s="1"/>
      <c r="AL78" s="1"/>
    </row>
    <row r="79" spans="14:38" ht="15.75" customHeight="1" x14ac:dyDescent="0.25">
      <c r="N79" s="1">
        <v>2046</v>
      </c>
      <c r="O79" s="1">
        <v>2</v>
      </c>
      <c r="P79" s="1">
        <v>2</v>
      </c>
      <c r="Q79" s="1">
        <v>2</v>
      </c>
      <c r="R79" s="1">
        <v>0</v>
      </c>
      <c r="AG79" s="1"/>
      <c r="AH79" s="1"/>
      <c r="AI79" s="1"/>
      <c r="AJ79" s="1"/>
      <c r="AK79" s="1"/>
      <c r="AL79" s="1"/>
    </row>
    <row r="80" spans="14:38" ht="15.75" customHeight="1" x14ac:dyDescent="0.25">
      <c r="N80" s="1">
        <v>2047</v>
      </c>
      <c r="O80" s="1">
        <v>2</v>
      </c>
      <c r="P80" s="1">
        <v>2</v>
      </c>
      <c r="Q80" s="1">
        <v>2</v>
      </c>
      <c r="R80" s="1">
        <v>0</v>
      </c>
      <c r="AG80" s="1"/>
      <c r="AH80" s="1"/>
      <c r="AI80" s="1"/>
      <c r="AJ80" s="1"/>
      <c r="AK80" s="1"/>
      <c r="AL80" s="1"/>
    </row>
    <row r="81" spans="14:38" ht="15.75" customHeight="1" x14ac:dyDescent="0.25">
      <c r="N81" s="1">
        <v>2048</v>
      </c>
      <c r="O81" s="1">
        <v>2</v>
      </c>
      <c r="P81" s="1">
        <v>2</v>
      </c>
      <c r="Q81" s="1">
        <v>2</v>
      </c>
      <c r="R81" s="1">
        <v>0</v>
      </c>
      <c r="AG81" s="1"/>
      <c r="AH81" s="1"/>
      <c r="AI81" s="1"/>
      <c r="AJ81" s="1"/>
      <c r="AK81" s="1"/>
      <c r="AL81" s="1"/>
    </row>
    <row r="82" spans="14:38" ht="15.75" customHeight="1" x14ac:dyDescent="0.25">
      <c r="N82" s="1">
        <v>2049</v>
      </c>
      <c r="O82" s="1">
        <v>2</v>
      </c>
      <c r="P82" s="1">
        <v>2</v>
      </c>
      <c r="Q82" s="1">
        <v>2</v>
      </c>
      <c r="R82" s="1">
        <v>0</v>
      </c>
      <c r="AG82" s="1"/>
      <c r="AH82" s="1"/>
      <c r="AI82" s="1"/>
      <c r="AJ82" s="1"/>
      <c r="AK82" s="1"/>
      <c r="AL82" s="1"/>
    </row>
    <row r="83" spans="14:38" ht="15.75" customHeight="1" x14ac:dyDescent="0.25">
      <c r="N83" s="1">
        <v>2050</v>
      </c>
      <c r="O83" s="1">
        <v>2</v>
      </c>
      <c r="P83" s="1">
        <v>2</v>
      </c>
      <c r="Q83" s="1">
        <v>2</v>
      </c>
      <c r="R83" s="1">
        <v>0</v>
      </c>
      <c r="AG83" s="1"/>
      <c r="AH83" s="1"/>
      <c r="AI83" s="1"/>
      <c r="AJ83" s="1"/>
      <c r="AK83" s="1"/>
      <c r="AL83" s="1"/>
    </row>
    <row r="84" spans="14:38" ht="15.75" customHeight="1" x14ac:dyDescent="0.25">
      <c r="N84" s="1">
        <v>2051</v>
      </c>
      <c r="O84" s="1">
        <v>2</v>
      </c>
      <c r="P84" s="1">
        <v>2</v>
      </c>
      <c r="Q84" s="1">
        <v>2</v>
      </c>
      <c r="R84" s="1">
        <v>0</v>
      </c>
      <c r="AG84" s="1"/>
      <c r="AH84" s="1"/>
      <c r="AI84" s="1"/>
      <c r="AJ84" s="1"/>
      <c r="AK84" s="1"/>
      <c r="AL84" s="1"/>
    </row>
    <row r="85" spans="14:38" ht="15.75" customHeight="1" x14ac:dyDescent="0.25">
      <c r="N85" s="1">
        <v>2052</v>
      </c>
      <c r="O85" s="1">
        <v>2</v>
      </c>
      <c r="P85" s="1">
        <v>2</v>
      </c>
      <c r="Q85" s="1">
        <v>2</v>
      </c>
      <c r="R85" s="1">
        <v>0</v>
      </c>
      <c r="AG85" s="1"/>
      <c r="AH85" s="1"/>
      <c r="AI85" s="1"/>
      <c r="AJ85" s="1"/>
      <c r="AK85" s="1"/>
      <c r="AL85" s="1"/>
    </row>
    <row r="86" spans="14:38" ht="15.75" customHeight="1" x14ac:dyDescent="0.25">
      <c r="N86" s="1">
        <v>2053</v>
      </c>
      <c r="O86" s="1">
        <v>2</v>
      </c>
      <c r="P86" s="1">
        <v>2</v>
      </c>
      <c r="Q86" s="1">
        <v>2</v>
      </c>
      <c r="R86" s="1">
        <v>0</v>
      </c>
      <c r="AG86" s="1"/>
      <c r="AH86" s="1"/>
      <c r="AI86" s="1"/>
      <c r="AJ86" s="1"/>
      <c r="AK86" s="1"/>
      <c r="AL86" s="1"/>
    </row>
    <row r="87" spans="14:38" ht="15.75" customHeight="1" x14ac:dyDescent="0.25">
      <c r="N87" s="1">
        <v>2054</v>
      </c>
      <c r="O87" s="1">
        <v>2</v>
      </c>
      <c r="P87" s="1">
        <v>2</v>
      </c>
      <c r="Q87" s="1">
        <v>2</v>
      </c>
      <c r="R87" s="1">
        <v>0</v>
      </c>
      <c r="AG87" s="1"/>
      <c r="AH87" s="1"/>
      <c r="AI87" s="1"/>
      <c r="AJ87" s="1"/>
      <c r="AK87" s="1"/>
      <c r="AL87" s="1"/>
    </row>
    <row r="88" spans="14:38" ht="15.75" customHeight="1" x14ac:dyDescent="0.25">
      <c r="N88" s="1">
        <v>2055</v>
      </c>
      <c r="O88" s="1">
        <v>2</v>
      </c>
      <c r="P88" s="1">
        <v>2</v>
      </c>
      <c r="Q88" s="1">
        <v>2</v>
      </c>
      <c r="R88" s="1">
        <v>0</v>
      </c>
      <c r="AG88" s="1"/>
      <c r="AH88" s="1"/>
      <c r="AI88" s="1"/>
      <c r="AJ88" s="1"/>
      <c r="AK88" s="1"/>
      <c r="AL88" s="1"/>
    </row>
    <row r="89" spans="14:38" ht="15.75" customHeight="1" x14ac:dyDescent="0.25">
      <c r="N89" s="1">
        <v>2056</v>
      </c>
      <c r="O89" s="1">
        <v>2</v>
      </c>
      <c r="P89" s="1">
        <v>2</v>
      </c>
      <c r="Q89" s="1">
        <v>2</v>
      </c>
      <c r="R89" s="1">
        <v>0</v>
      </c>
      <c r="AG89" s="1"/>
      <c r="AH89" s="1"/>
      <c r="AI89" s="1"/>
      <c r="AJ89" s="1"/>
      <c r="AK89" s="1"/>
      <c r="AL89" s="1"/>
    </row>
    <row r="90" spans="14:38" ht="15.75" customHeight="1" x14ac:dyDescent="0.25">
      <c r="N90" s="1">
        <v>2057</v>
      </c>
      <c r="O90" s="1">
        <v>2</v>
      </c>
      <c r="P90" s="1">
        <v>2</v>
      </c>
      <c r="Q90" s="1">
        <v>2</v>
      </c>
      <c r="R90" s="1">
        <v>0</v>
      </c>
      <c r="AG90" s="1"/>
      <c r="AH90" s="1"/>
      <c r="AI90" s="1"/>
      <c r="AJ90" s="1"/>
      <c r="AK90" s="1"/>
      <c r="AL90" s="1"/>
    </row>
    <row r="91" spans="14:38" ht="15.75" customHeight="1" x14ac:dyDescent="0.25">
      <c r="N91" s="1">
        <v>2058</v>
      </c>
      <c r="O91" s="1">
        <v>2</v>
      </c>
      <c r="P91" s="1">
        <v>2</v>
      </c>
      <c r="Q91" s="1">
        <v>2</v>
      </c>
      <c r="R91" s="1">
        <v>0</v>
      </c>
      <c r="AG91" s="1"/>
      <c r="AH91" s="1"/>
      <c r="AI91" s="1"/>
      <c r="AJ91" s="1"/>
      <c r="AK91" s="1"/>
      <c r="AL91" s="1"/>
    </row>
    <row r="92" spans="14:38" ht="15.75" customHeight="1" x14ac:dyDescent="0.25">
      <c r="N92" s="1">
        <v>2059</v>
      </c>
      <c r="O92" s="1">
        <v>2</v>
      </c>
      <c r="P92" s="1">
        <v>2</v>
      </c>
      <c r="Q92" s="1">
        <v>2</v>
      </c>
      <c r="R92" s="1">
        <v>0</v>
      </c>
      <c r="AG92" s="1"/>
      <c r="AH92" s="1"/>
      <c r="AI92" s="1"/>
      <c r="AJ92" s="1"/>
      <c r="AK92" s="1"/>
      <c r="AL92" s="1"/>
    </row>
    <row r="93" spans="14:38" ht="15.75" customHeight="1" x14ac:dyDescent="0.25">
      <c r="N93" s="1">
        <v>2060</v>
      </c>
      <c r="O93" s="1">
        <v>2</v>
      </c>
      <c r="P93" s="1">
        <v>2</v>
      </c>
      <c r="Q93" s="1">
        <v>2</v>
      </c>
      <c r="R93" s="1">
        <v>0</v>
      </c>
      <c r="AG93" s="1"/>
      <c r="AH93" s="1"/>
      <c r="AI93" s="1"/>
      <c r="AJ93" s="1"/>
      <c r="AK93" s="1"/>
      <c r="AL93" s="1"/>
    </row>
    <row r="94" spans="14:38" ht="15.75" customHeight="1" x14ac:dyDescent="0.25">
      <c r="N94" s="1">
        <v>2061</v>
      </c>
      <c r="O94" s="1">
        <v>2</v>
      </c>
      <c r="P94" s="1">
        <v>2</v>
      </c>
      <c r="Q94" s="1">
        <v>2</v>
      </c>
      <c r="R94" s="1">
        <v>0</v>
      </c>
      <c r="AG94" s="1"/>
      <c r="AH94" s="1"/>
      <c r="AI94" s="1"/>
      <c r="AJ94" s="1"/>
      <c r="AK94" s="1"/>
      <c r="AL94" s="1"/>
    </row>
    <row r="95" spans="14:38" ht="15.75" customHeight="1" x14ac:dyDescent="0.25">
      <c r="N95" s="1">
        <v>2062</v>
      </c>
      <c r="O95" s="1">
        <v>2</v>
      </c>
      <c r="P95" s="1">
        <v>2</v>
      </c>
      <c r="Q95" s="1">
        <v>2</v>
      </c>
      <c r="R95" s="1">
        <v>0</v>
      </c>
      <c r="AG95" s="1"/>
      <c r="AH95" s="1"/>
      <c r="AI95" s="1"/>
      <c r="AJ95" s="1"/>
      <c r="AK95" s="1"/>
      <c r="AL95" s="1"/>
    </row>
    <row r="96" spans="14:38" ht="15.75" customHeight="1" x14ac:dyDescent="0.25">
      <c r="N96" s="1">
        <v>2063</v>
      </c>
      <c r="O96" s="1">
        <v>2</v>
      </c>
      <c r="P96" s="1">
        <v>2</v>
      </c>
      <c r="Q96" s="1">
        <v>2</v>
      </c>
      <c r="R96" s="1">
        <v>0</v>
      </c>
      <c r="AG96" s="1"/>
      <c r="AH96" s="1"/>
      <c r="AI96" s="1"/>
      <c r="AJ96" s="1"/>
      <c r="AK96" s="1"/>
      <c r="AL96" s="1"/>
    </row>
    <row r="97" spans="14:38" ht="15.75" customHeight="1" x14ac:dyDescent="0.25">
      <c r="N97" s="1">
        <v>2064</v>
      </c>
      <c r="O97" s="1">
        <v>2</v>
      </c>
      <c r="P97" s="1">
        <v>2</v>
      </c>
      <c r="Q97" s="1">
        <v>2</v>
      </c>
      <c r="R97" s="1">
        <v>0</v>
      </c>
      <c r="AG97" s="1"/>
      <c r="AH97" s="1"/>
      <c r="AI97" s="1"/>
      <c r="AJ97" s="1"/>
      <c r="AK97" s="1"/>
      <c r="AL97" s="1"/>
    </row>
    <row r="98" spans="14:38" ht="15.75" customHeight="1" x14ac:dyDescent="0.25">
      <c r="N98" s="1">
        <v>2065</v>
      </c>
      <c r="O98" s="1">
        <v>2</v>
      </c>
      <c r="P98" s="1">
        <v>2</v>
      </c>
      <c r="Q98" s="1">
        <v>2</v>
      </c>
      <c r="R98" s="1">
        <v>0</v>
      </c>
      <c r="AG98" s="1"/>
      <c r="AH98" s="1"/>
      <c r="AI98" s="1"/>
      <c r="AJ98" s="1"/>
      <c r="AK98" s="1"/>
      <c r="AL98" s="1"/>
    </row>
    <row r="99" spans="14:38" ht="15.75" customHeight="1" x14ac:dyDescent="0.25">
      <c r="N99" s="1">
        <v>2066</v>
      </c>
      <c r="O99" s="1">
        <v>2</v>
      </c>
      <c r="P99" s="1">
        <v>2</v>
      </c>
      <c r="Q99" s="1">
        <v>2</v>
      </c>
      <c r="R99" s="1">
        <v>0</v>
      </c>
      <c r="AG99" s="1"/>
      <c r="AH99" s="1"/>
      <c r="AI99" s="1"/>
      <c r="AJ99" s="1"/>
      <c r="AK99" s="1"/>
      <c r="AL99" s="1"/>
    </row>
    <row r="100" spans="14:38" ht="15.75" customHeight="1" x14ac:dyDescent="0.25">
      <c r="N100" s="1">
        <v>2067</v>
      </c>
      <c r="O100" s="1">
        <v>2</v>
      </c>
      <c r="P100" s="1">
        <v>2</v>
      </c>
      <c r="Q100" s="1">
        <v>2</v>
      </c>
      <c r="R100" s="1">
        <v>0</v>
      </c>
      <c r="AG100" s="1"/>
      <c r="AH100" s="1"/>
      <c r="AI100" s="1"/>
      <c r="AJ100" s="1"/>
      <c r="AK100" s="1"/>
      <c r="AL100" s="1"/>
    </row>
    <row r="101" spans="14:38" ht="15.75" customHeight="1" x14ac:dyDescent="0.25">
      <c r="N101" s="1">
        <v>2068</v>
      </c>
      <c r="O101" s="1">
        <v>2</v>
      </c>
      <c r="P101" s="1">
        <v>2</v>
      </c>
      <c r="Q101" s="1">
        <v>2</v>
      </c>
      <c r="R101" s="1">
        <v>0</v>
      </c>
      <c r="AG101" s="1"/>
      <c r="AH101" s="1"/>
      <c r="AI101" s="1"/>
      <c r="AJ101" s="1"/>
      <c r="AK101" s="1"/>
      <c r="AL101" s="1"/>
    </row>
    <row r="102" spans="14:38" ht="15.75" customHeight="1" x14ac:dyDescent="0.25">
      <c r="N102" s="1">
        <v>2069</v>
      </c>
      <c r="O102" s="1">
        <v>2</v>
      </c>
      <c r="P102" s="1">
        <v>2</v>
      </c>
      <c r="Q102" s="1">
        <v>2</v>
      </c>
      <c r="R102" s="1">
        <v>0</v>
      </c>
      <c r="AG102" s="1"/>
      <c r="AH102" s="1"/>
      <c r="AI102" s="1"/>
      <c r="AJ102" s="1"/>
      <c r="AK102" s="1"/>
      <c r="AL102" s="1"/>
    </row>
    <row r="103" spans="14:38" ht="15.75" customHeight="1" x14ac:dyDescent="0.25">
      <c r="N103" s="1">
        <v>2070</v>
      </c>
      <c r="O103" s="1">
        <v>2</v>
      </c>
      <c r="P103" s="1">
        <v>2</v>
      </c>
      <c r="Q103" s="1">
        <v>2</v>
      </c>
      <c r="R103" s="1">
        <v>0</v>
      </c>
      <c r="AG103" s="1"/>
      <c r="AH103" s="1"/>
      <c r="AI103" s="1"/>
      <c r="AJ103" s="1"/>
      <c r="AK103" s="1"/>
      <c r="AL103" s="1"/>
    </row>
    <row r="104" spans="14:38" ht="15.75" customHeight="1" x14ac:dyDescent="0.25">
      <c r="N104" s="1">
        <v>2071</v>
      </c>
      <c r="O104" s="1">
        <v>2</v>
      </c>
      <c r="P104" s="1">
        <v>2</v>
      </c>
      <c r="Q104" s="1">
        <v>2</v>
      </c>
      <c r="R104" s="1">
        <v>0</v>
      </c>
      <c r="AG104" s="1"/>
      <c r="AH104" s="1"/>
      <c r="AI104" s="1"/>
      <c r="AJ104" s="1"/>
      <c r="AK104" s="1"/>
      <c r="AL104" s="1"/>
    </row>
    <row r="105" spans="14:38" ht="15.75" customHeight="1" x14ac:dyDescent="0.25">
      <c r="N105" s="1">
        <v>2072</v>
      </c>
      <c r="O105" s="1">
        <v>2</v>
      </c>
      <c r="P105" s="1">
        <v>2</v>
      </c>
      <c r="Q105" s="1">
        <v>2</v>
      </c>
      <c r="R105" s="1">
        <v>0</v>
      </c>
      <c r="AG105" s="1"/>
      <c r="AH105" s="1"/>
      <c r="AI105" s="1"/>
      <c r="AJ105" s="1"/>
      <c r="AK105" s="1"/>
      <c r="AL105" s="1"/>
    </row>
    <row r="106" spans="14:38" ht="15.75" customHeight="1" x14ac:dyDescent="0.25">
      <c r="N106" s="1">
        <v>2073</v>
      </c>
      <c r="O106" s="1">
        <v>2</v>
      </c>
      <c r="P106" s="1">
        <v>2</v>
      </c>
      <c r="Q106" s="1">
        <v>2</v>
      </c>
      <c r="R106" s="1">
        <v>0</v>
      </c>
      <c r="AG106" s="1"/>
      <c r="AH106" s="1"/>
      <c r="AI106" s="1"/>
      <c r="AJ106" s="1"/>
      <c r="AK106" s="1"/>
      <c r="AL106" s="1"/>
    </row>
    <row r="107" spans="14:38" ht="15.75" customHeight="1" x14ac:dyDescent="0.25">
      <c r="N107" s="1">
        <v>2074</v>
      </c>
      <c r="O107" s="1">
        <v>2</v>
      </c>
      <c r="P107" s="1">
        <v>2</v>
      </c>
      <c r="Q107" s="1">
        <v>2</v>
      </c>
      <c r="R107" s="1">
        <v>0</v>
      </c>
      <c r="AG107" s="1"/>
      <c r="AH107" s="1"/>
      <c r="AI107" s="1"/>
      <c r="AJ107" s="1"/>
      <c r="AK107" s="1"/>
      <c r="AL107" s="1"/>
    </row>
    <row r="108" spans="14:38" ht="15.75" customHeight="1" x14ac:dyDescent="0.25">
      <c r="N108" s="1">
        <v>2075</v>
      </c>
      <c r="O108" s="1">
        <v>2</v>
      </c>
      <c r="P108" s="1">
        <v>2</v>
      </c>
      <c r="Q108" s="1">
        <v>2</v>
      </c>
      <c r="R108" s="1">
        <v>0</v>
      </c>
      <c r="AG108" s="1"/>
      <c r="AH108" s="1"/>
      <c r="AI108" s="1"/>
      <c r="AJ108" s="1"/>
      <c r="AK108" s="1"/>
      <c r="AL108" s="1"/>
    </row>
    <row r="109" spans="14:38" ht="15.75" customHeight="1" x14ac:dyDescent="0.25">
      <c r="N109" s="1">
        <v>2076</v>
      </c>
      <c r="O109" s="1">
        <v>2</v>
      </c>
      <c r="P109" s="1">
        <v>2</v>
      </c>
      <c r="Q109" s="1">
        <v>2</v>
      </c>
      <c r="R109" s="1">
        <v>0</v>
      </c>
      <c r="AG109" s="1"/>
      <c r="AH109" s="1"/>
      <c r="AI109" s="1"/>
      <c r="AJ109" s="1"/>
      <c r="AK109" s="1"/>
      <c r="AL109" s="1"/>
    </row>
    <row r="110" spans="14:38" ht="15.75" customHeight="1" x14ac:dyDescent="0.25">
      <c r="N110" s="1">
        <v>2077</v>
      </c>
      <c r="O110" s="1">
        <v>2</v>
      </c>
      <c r="P110" s="1">
        <v>2</v>
      </c>
      <c r="Q110" s="1">
        <v>2</v>
      </c>
      <c r="R110" s="1">
        <v>0</v>
      </c>
      <c r="AG110" s="1"/>
      <c r="AH110" s="1"/>
      <c r="AI110" s="1"/>
      <c r="AJ110" s="1"/>
      <c r="AK110" s="1"/>
      <c r="AL110" s="1"/>
    </row>
    <row r="111" spans="14:38" ht="15.75" customHeight="1" x14ac:dyDescent="0.25">
      <c r="N111" s="1">
        <v>2078</v>
      </c>
      <c r="O111" s="1">
        <v>2</v>
      </c>
      <c r="P111" s="1">
        <v>2</v>
      </c>
      <c r="Q111" s="1">
        <v>2</v>
      </c>
      <c r="R111" s="1">
        <v>0</v>
      </c>
      <c r="AG111" s="1"/>
      <c r="AH111" s="1"/>
      <c r="AI111" s="1"/>
      <c r="AJ111" s="1"/>
      <c r="AK111" s="1"/>
      <c r="AL111" s="1"/>
    </row>
    <row r="112" spans="14:38" ht="15.75" customHeight="1" x14ac:dyDescent="0.25">
      <c r="N112" s="1">
        <v>2079</v>
      </c>
      <c r="O112" s="1">
        <v>2</v>
      </c>
      <c r="P112" s="1">
        <v>2</v>
      </c>
      <c r="Q112" s="1">
        <v>2</v>
      </c>
      <c r="R112" s="1">
        <v>0</v>
      </c>
      <c r="AG112" s="1"/>
      <c r="AH112" s="1"/>
      <c r="AI112" s="1"/>
      <c r="AJ112" s="1"/>
      <c r="AK112" s="1"/>
      <c r="AL112" s="1"/>
    </row>
    <row r="113" spans="14:38" ht="15.75" customHeight="1" x14ac:dyDescent="0.25">
      <c r="N113" s="1">
        <v>2080</v>
      </c>
      <c r="O113" s="1">
        <v>2</v>
      </c>
      <c r="P113" s="1">
        <v>2</v>
      </c>
      <c r="Q113" s="1">
        <v>2</v>
      </c>
      <c r="R113" s="1">
        <v>0</v>
      </c>
      <c r="AG113" s="1"/>
      <c r="AH113" s="1"/>
      <c r="AI113" s="1"/>
      <c r="AJ113" s="1"/>
      <c r="AK113" s="1"/>
      <c r="AL113" s="1"/>
    </row>
    <row r="114" spans="14:38" ht="15.75" customHeight="1" x14ac:dyDescent="0.25">
      <c r="N114" s="1">
        <v>2081</v>
      </c>
      <c r="O114" s="1">
        <v>2</v>
      </c>
      <c r="P114" s="1">
        <v>2</v>
      </c>
      <c r="Q114" s="1">
        <v>2</v>
      </c>
      <c r="R114" s="1">
        <v>0</v>
      </c>
      <c r="AG114" s="1"/>
      <c r="AH114" s="1"/>
      <c r="AI114" s="1"/>
      <c r="AJ114" s="1"/>
      <c r="AK114" s="1"/>
      <c r="AL114" s="1"/>
    </row>
    <row r="115" spans="14:38" ht="15.75" customHeight="1" x14ac:dyDescent="0.25">
      <c r="N115" s="1">
        <v>2082</v>
      </c>
      <c r="O115" s="1">
        <v>2</v>
      </c>
      <c r="P115" s="1">
        <v>2</v>
      </c>
      <c r="Q115" s="1">
        <v>2</v>
      </c>
      <c r="R115" s="1">
        <v>0</v>
      </c>
      <c r="AG115" s="1"/>
      <c r="AH115" s="1"/>
      <c r="AI115" s="1"/>
      <c r="AJ115" s="1"/>
      <c r="AK115" s="1"/>
      <c r="AL115" s="1"/>
    </row>
    <row r="116" spans="14:38" ht="15.75" customHeight="1" x14ac:dyDescent="0.25">
      <c r="N116" s="1">
        <v>2083</v>
      </c>
      <c r="O116" s="1">
        <v>2</v>
      </c>
      <c r="P116" s="1">
        <v>2</v>
      </c>
      <c r="Q116" s="1">
        <v>2</v>
      </c>
      <c r="R116" s="1">
        <v>0</v>
      </c>
      <c r="AG116" s="1"/>
      <c r="AH116" s="1"/>
      <c r="AI116" s="1"/>
      <c r="AJ116" s="1"/>
      <c r="AK116" s="1"/>
      <c r="AL116" s="1"/>
    </row>
    <row r="117" spans="14:38" ht="15.75" customHeight="1" x14ac:dyDescent="0.25">
      <c r="N117" s="1">
        <v>2084</v>
      </c>
      <c r="O117" s="1">
        <v>2</v>
      </c>
      <c r="P117" s="1">
        <v>2</v>
      </c>
      <c r="Q117" s="1">
        <v>2</v>
      </c>
      <c r="R117" s="1">
        <v>0</v>
      </c>
      <c r="AG117" s="1"/>
      <c r="AH117" s="1"/>
      <c r="AI117" s="1"/>
      <c r="AJ117" s="1"/>
      <c r="AK117" s="1"/>
      <c r="AL117" s="1"/>
    </row>
    <row r="118" spans="14:38" ht="15.75" customHeight="1" x14ac:dyDescent="0.25">
      <c r="N118" s="1">
        <v>2085</v>
      </c>
      <c r="O118" s="1">
        <v>2</v>
      </c>
      <c r="P118" s="1">
        <v>2</v>
      </c>
      <c r="Q118" s="1">
        <v>2</v>
      </c>
      <c r="R118" s="1">
        <v>0</v>
      </c>
      <c r="AG118" s="1"/>
      <c r="AH118" s="1"/>
      <c r="AI118" s="1"/>
      <c r="AJ118" s="1"/>
      <c r="AK118" s="1"/>
      <c r="AL118" s="1"/>
    </row>
    <row r="119" spans="14:38" ht="15.75" customHeight="1" x14ac:dyDescent="0.25">
      <c r="N119" s="1">
        <v>2086</v>
      </c>
      <c r="O119" s="1">
        <v>2</v>
      </c>
      <c r="P119" s="1">
        <v>2</v>
      </c>
      <c r="Q119" s="1">
        <v>2</v>
      </c>
      <c r="R119" s="1">
        <v>0</v>
      </c>
      <c r="AG119" s="1"/>
      <c r="AH119" s="1"/>
      <c r="AI119" s="1"/>
      <c r="AJ119" s="1"/>
      <c r="AK119" s="1"/>
      <c r="AL119" s="1"/>
    </row>
    <row r="120" spans="14:38" ht="15.75" customHeight="1" x14ac:dyDescent="0.25">
      <c r="N120" s="1">
        <v>2087</v>
      </c>
      <c r="O120" s="1">
        <v>2</v>
      </c>
      <c r="P120" s="1">
        <v>2</v>
      </c>
      <c r="Q120" s="1">
        <v>2</v>
      </c>
      <c r="R120" s="1">
        <v>0</v>
      </c>
      <c r="AG120" s="1"/>
      <c r="AH120" s="1"/>
      <c r="AI120" s="1"/>
      <c r="AJ120" s="1"/>
      <c r="AK120" s="1"/>
      <c r="AL120" s="1"/>
    </row>
    <row r="121" spans="14:38" ht="15.75" customHeight="1" x14ac:dyDescent="0.25">
      <c r="N121" s="1">
        <v>2088</v>
      </c>
      <c r="O121" s="1">
        <v>2</v>
      </c>
      <c r="P121" s="1">
        <v>2</v>
      </c>
      <c r="Q121" s="1">
        <v>2</v>
      </c>
      <c r="R121" s="1">
        <v>0</v>
      </c>
      <c r="AG121" s="1"/>
      <c r="AH121" s="1"/>
      <c r="AI121" s="1"/>
      <c r="AJ121" s="1"/>
      <c r="AK121" s="1"/>
      <c r="AL121" s="1"/>
    </row>
    <row r="122" spans="14:38" ht="15.75" customHeight="1" x14ac:dyDescent="0.25">
      <c r="N122" s="1">
        <v>2089</v>
      </c>
      <c r="O122" s="1">
        <v>2</v>
      </c>
      <c r="P122" s="1">
        <v>2</v>
      </c>
      <c r="Q122" s="1">
        <v>2</v>
      </c>
      <c r="R122" s="1">
        <v>0</v>
      </c>
      <c r="AG122" s="1"/>
      <c r="AH122" s="1"/>
      <c r="AI122" s="1"/>
      <c r="AJ122" s="1"/>
      <c r="AK122" s="1"/>
      <c r="AL122" s="1"/>
    </row>
    <row r="123" spans="14:38" ht="15.75" customHeight="1" x14ac:dyDescent="0.25">
      <c r="N123" s="1">
        <v>2090</v>
      </c>
      <c r="O123" s="1">
        <v>2</v>
      </c>
      <c r="P123" s="1">
        <v>2</v>
      </c>
      <c r="Q123" s="1">
        <v>2</v>
      </c>
      <c r="R123" s="1">
        <v>0</v>
      </c>
      <c r="AG123" s="1"/>
      <c r="AH123" s="1"/>
      <c r="AI123" s="1"/>
      <c r="AJ123" s="1"/>
      <c r="AK123" s="1"/>
      <c r="AL123" s="1"/>
    </row>
    <row r="124" spans="14:38" ht="15.75" customHeight="1" x14ac:dyDescent="0.25">
      <c r="N124" s="1">
        <v>2091</v>
      </c>
      <c r="O124" s="1">
        <v>2</v>
      </c>
      <c r="P124" s="1">
        <v>2</v>
      </c>
      <c r="Q124" s="1">
        <v>2</v>
      </c>
      <c r="R124" s="1">
        <v>0</v>
      </c>
      <c r="AG124" s="1"/>
      <c r="AH124" s="1"/>
      <c r="AI124" s="1"/>
      <c r="AJ124" s="1"/>
      <c r="AK124" s="1"/>
      <c r="AL124" s="1"/>
    </row>
    <row r="125" spans="14:38" ht="15.75" customHeight="1" x14ac:dyDescent="0.25">
      <c r="N125" s="1">
        <v>2092</v>
      </c>
      <c r="O125" s="1">
        <v>2</v>
      </c>
      <c r="P125" s="1">
        <v>2</v>
      </c>
      <c r="Q125" s="1">
        <v>2</v>
      </c>
      <c r="R125" s="1">
        <v>0</v>
      </c>
      <c r="AG125" s="1"/>
      <c r="AH125" s="1"/>
      <c r="AI125" s="1"/>
      <c r="AJ125" s="1"/>
      <c r="AK125" s="1"/>
      <c r="AL125" s="1"/>
    </row>
    <row r="126" spans="14:38" ht="15.75" customHeight="1" x14ac:dyDescent="0.25">
      <c r="N126" s="1">
        <v>2093</v>
      </c>
      <c r="O126" s="1">
        <v>2</v>
      </c>
      <c r="P126" s="1">
        <v>2</v>
      </c>
      <c r="Q126" s="1">
        <v>2</v>
      </c>
      <c r="R126" s="1">
        <v>0</v>
      </c>
      <c r="AG126" s="1"/>
      <c r="AH126" s="1"/>
      <c r="AI126" s="1"/>
      <c r="AJ126" s="1"/>
      <c r="AK126" s="1"/>
      <c r="AL126" s="1"/>
    </row>
    <row r="127" spans="14:38" ht="15.75" customHeight="1" x14ac:dyDescent="0.25">
      <c r="N127" s="1">
        <v>2094</v>
      </c>
      <c r="O127" s="1">
        <v>2</v>
      </c>
      <c r="P127" s="1">
        <v>2</v>
      </c>
      <c r="Q127" s="1">
        <v>2</v>
      </c>
      <c r="R127" s="1">
        <v>0</v>
      </c>
      <c r="AG127" s="1"/>
      <c r="AH127" s="1"/>
      <c r="AI127" s="1"/>
      <c r="AJ127" s="1"/>
      <c r="AK127" s="1"/>
      <c r="AL127" s="1"/>
    </row>
    <row r="128" spans="14:38" ht="15.75" customHeight="1" x14ac:dyDescent="0.25">
      <c r="N128" s="1">
        <v>2095</v>
      </c>
      <c r="O128" s="1">
        <v>2</v>
      </c>
      <c r="P128" s="1">
        <v>2</v>
      </c>
      <c r="Q128" s="1">
        <v>2</v>
      </c>
      <c r="R128" s="1">
        <v>0</v>
      </c>
      <c r="AG128" s="1"/>
      <c r="AH128" s="1"/>
      <c r="AI128" s="1"/>
      <c r="AJ128" s="1"/>
      <c r="AK128" s="1"/>
      <c r="AL128" s="1"/>
    </row>
    <row r="129" spans="14:38" ht="15.75" customHeight="1" x14ac:dyDescent="0.25">
      <c r="N129" s="1">
        <v>2096</v>
      </c>
      <c r="O129" s="1">
        <v>2</v>
      </c>
      <c r="P129" s="1">
        <v>2</v>
      </c>
      <c r="Q129" s="1">
        <v>2</v>
      </c>
      <c r="R129" s="1">
        <v>0</v>
      </c>
      <c r="AG129" s="1"/>
      <c r="AH129" s="1"/>
      <c r="AI129" s="1"/>
      <c r="AJ129" s="1"/>
      <c r="AK129" s="1"/>
      <c r="AL129" s="1"/>
    </row>
    <row r="130" spans="14:38" ht="15.75" customHeight="1" x14ac:dyDescent="0.25">
      <c r="N130" s="1">
        <v>2097</v>
      </c>
      <c r="O130" s="1">
        <v>2</v>
      </c>
      <c r="P130" s="1">
        <v>2</v>
      </c>
      <c r="Q130" s="1">
        <v>2</v>
      </c>
      <c r="R130" s="1">
        <v>0</v>
      </c>
      <c r="AG130" s="1"/>
      <c r="AH130" s="1"/>
      <c r="AI130" s="1"/>
      <c r="AJ130" s="1"/>
      <c r="AK130" s="1"/>
      <c r="AL130" s="1"/>
    </row>
    <row r="131" spans="14:38" ht="15.75" customHeight="1" x14ac:dyDescent="0.25">
      <c r="N131" s="1">
        <v>2098</v>
      </c>
      <c r="O131" s="1">
        <v>2</v>
      </c>
      <c r="P131" s="1">
        <v>2</v>
      </c>
      <c r="Q131" s="1">
        <v>2</v>
      </c>
      <c r="R131" s="1">
        <v>0</v>
      </c>
      <c r="AG131" s="1"/>
      <c r="AH131" s="1"/>
      <c r="AI131" s="1"/>
      <c r="AJ131" s="1"/>
      <c r="AK131" s="1"/>
      <c r="AL131" s="1"/>
    </row>
    <row r="132" spans="14:38" ht="15.75" customHeight="1" x14ac:dyDescent="0.25">
      <c r="N132" s="1">
        <v>2099</v>
      </c>
      <c r="O132" s="1">
        <v>2</v>
      </c>
      <c r="P132" s="1">
        <v>2</v>
      </c>
      <c r="Q132" s="1">
        <v>2</v>
      </c>
      <c r="R132" s="1">
        <v>0</v>
      </c>
      <c r="AG132" s="1"/>
      <c r="AH132" s="1"/>
      <c r="AI132" s="1"/>
      <c r="AJ132" s="1"/>
      <c r="AK132" s="1"/>
      <c r="AL132" s="1"/>
    </row>
    <row r="133" spans="14:38" ht="15.75" customHeight="1" x14ac:dyDescent="0.25">
      <c r="N133" s="1">
        <v>2100</v>
      </c>
      <c r="O133" s="1">
        <v>2</v>
      </c>
      <c r="P133" s="1">
        <v>2</v>
      </c>
      <c r="Q133" s="1">
        <v>2</v>
      </c>
      <c r="R133" s="1">
        <v>0</v>
      </c>
      <c r="AG133" s="1"/>
      <c r="AH133" s="1"/>
      <c r="AI133" s="1"/>
      <c r="AJ133" s="1"/>
      <c r="AK133" s="1"/>
      <c r="AL133" s="1"/>
    </row>
    <row r="134" spans="14:38" ht="15.75" customHeight="1" x14ac:dyDescent="0.25">
      <c r="N134" s="1">
        <v>2101</v>
      </c>
      <c r="O134" s="1">
        <v>2</v>
      </c>
      <c r="P134" s="1">
        <v>2</v>
      </c>
      <c r="Q134" s="1">
        <v>2</v>
      </c>
      <c r="R134" s="1">
        <v>0</v>
      </c>
      <c r="AG134" s="1"/>
      <c r="AH134" s="1"/>
      <c r="AI134" s="1"/>
      <c r="AJ134" s="1"/>
      <c r="AK134" s="1"/>
      <c r="AL134" s="1"/>
    </row>
    <row r="135" spans="14:38" ht="15.75" customHeight="1" x14ac:dyDescent="0.25">
      <c r="N135" s="1">
        <v>2102</v>
      </c>
      <c r="O135" s="1">
        <v>2</v>
      </c>
      <c r="P135" s="1">
        <v>2</v>
      </c>
      <c r="Q135" s="1">
        <v>2</v>
      </c>
      <c r="R135" s="1">
        <v>0</v>
      </c>
      <c r="AG135" s="1"/>
      <c r="AH135" s="1"/>
      <c r="AI135" s="1"/>
      <c r="AJ135" s="1"/>
      <c r="AK135" s="1"/>
      <c r="AL135" s="1"/>
    </row>
    <row r="136" spans="14:38" ht="15.75" customHeight="1" x14ac:dyDescent="0.25">
      <c r="N136" s="1">
        <v>2103</v>
      </c>
      <c r="O136" s="1">
        <v>2</v>
      </c>
      <c r="P136" s="1">
        <v>2</v>
      </c>
      <c r="Q136" s="1">
        <v>2</v>
      </c>
      <c r="R136" s="1">
        <v>0</v>
      </c>
      <c r="AG136" s="1"/>
      <c r="AH136" s="1"/>
      <c r="AI136" s="1"/>
      <c r="AJ136" s="1"/>
      <c r="AK136" s="1"/>
      <c r="AL136" s="1"/>
    </row>
    <row r="137" spans="14:38" ht="15.75" customHeight="1" x14ac:dyDescent="0.25">
      <c r="N137" s="1">
        <v>2104</v>
      </c>
      <c r="O137" s="1">
        <v>2</v>
      </c>
      <c r="P137" s="1">
        <v>2</v>
      </c>
      <c r="Q137" s="1">
        <v>2</v>
      </c>
      <c r="R137" s="1">
        <v>0</v>
      </c>
      <c r="AG137" s="1"/>
      <c r="AH137" s="1"/>
      <c r="AI137" s="1"/>
      <c r="AJ137" s="1"/>
      <c r="AK137" s="1"/>
      <c r="AL137" s="1"/>
    </row>
    <row r="138" spans="14:38" ht="15.75" customHeight="1" x14ac:dyDescent="0.25">
      <c r="N138" s="1">
        <v>2105</v>
      </c>
      <c r="O138" s="1">
        <v>2</v>
      </c>
      <c r="P138" s="1">
        <v>2</v>
      </c>
      <c r="Q138" s="1">
        <v>2</v>
      </c>
      <c r="R138" s="1">
        <v>0</v>
      </c>
      <c r="AG138" s="1"/>
      <c r="AH138" s="1"/>
      <c r="AI138" s="1"/>
      <c r="AJ138" s="1"/>
      <c r="AK138" s="1"/>
      <c r="AL138" s="1"/>
    </row>
    <row r="139" spans="14:38" ht="15.75" customHeight="1" x14ac:dyDescent="0.25">
      <c r="N139" s="1">
        <v>2106</v>
      </c>
      <c r="O139" s="1">
        <v>2</v>
      </c>
      <c r="P139" s="1">
        <v>2</v>
      </c>
      <c r="Q139" s="1">
        <v>2</v>
      </c>
      <c r="R139" s="1">
        <v>0</v>
      </c>
      <c r="AG139" s="1"/>
      <c r="AH139" s="1"/>
      <c r="AI139" s="1"/>
      <c r="AJ139" s="1"/>
      <c r="AK139" s="1"/>
      <c r="AL139" s="1"/>
    </row>
    <row r="140" spans="14:38" ht="15.75" customHeight="1" x14ac:dyDescent="0.25">
      <c r="N140" s="1">
        <v>2107</v>
      </c>
      <c r="O140" s="1">
        <v>2</v>
      </c>
      <c r="P140" s="1">
        <v>2</v>
      </c>
      <c r="Q140" s="1">
        <v>2</v>
      </c>
      <c r="R140" s="1">
        <v>0</v>
      </c>
      <c r="AG140" s="1"/>
      <c r="AH140" s="1"/>
      <c r="AI140" s="1"/>
      <c r="AJ140" s="1"/>
      <c r="AK140" s="1"/>
      <c r="AL140" s="1"/>
    </row>
    <row r="141" spans="14:38" ht="15.75" customHeight="1" x14ac:dyDescent="0.25">
      <c r="N141" s="1">
        <v>2108</v>
      </c>
      <c r="O141" s="1">
        <v>2</v>
      </c>
      <c r="P141" s="1">
        <v>2</v>
      </c>
      <c r="Q141" s="1">
        <v>2</v>
      </c>
      <c r="R141" s="1">
        <v>0</v>
      </c>
      <c r="AG141" s="1"/>
      <c r="AH141" s="1"/>
      <c r="AI141" s="1"/>
      <c r="AJ141" s="1"/>
      <c r="AK141" s="1"/>
      <c r="AL141" s="1"/>
    </row>
    <row r="142" spans="14:38" ht="15.75" customHeight="1" x14ac:dyDescent="0.25">
      <c r="N142" s="1">
        <v>2109</v>
      </c>
      <c r="O142" s="1">
        <v>2</v>
      </c>
      <c r="P142" s="1">
        <v>2</v>
      </c>
      <c r="Q142" s="1">
        <v>2</v>
      </c>
      <c r="R142" s="1">
        <v>0</v>
      </c>
      <c r="AG142" s="1"/>
      <c r="AH142" s="1"/>
      <c r="AI142" s="1"/>
      <c r="AJ142" s="1"/>
      <c r="AK142" s="1"/>
      <c r="AL142" s="1"/>
    </row>
    <row r="143" spans="14:38" ht="15.75" customHeight="1" x14ac:dyDescent="0.25">
      <c r="N143" s="1">
        <v>2110</v>
      </c>
      <c r="O143" s="1">
        <v>2</v>
      </c>
      <c r="P143" s="1">
        <v>2</v>
      </c>
      <c r="Q143" s="1">
        <v>2</v>
      </c>
      <c r="R143" s="1">
        <v>0</v>
      </c>
      <c r="AG143" s="1"/>
      <c r="AH143" s="1"/>
      <c r="AI143" s="1"/>
      <c r="AJ143" s="1"/>
      <c r="AK143" s="1"/>
      <c r="AL143" s="1"/>
    </row>
    <row r="144" spans="14:38" ht="15.75" customHeight="1" x14ac:dyDescent="0.25">
      <c r="N144" s="1">
        <v>2111</v>
      </c>
      <c r="O144" s="1">
        <v>2</v>
      </c>
      <c r="P144" s="1">
        <v>2</v>
      </c>
      <c r="Q144" s="1">
        <v>2</v>
      </c>
      <c r="R144" s="1">
        <v>0</v>
      </c>
      <c r="AG144" s="1"/>
      <c r="AH144" s="1"/>
      <c r="AI144" s="1"/>
      <c r="AJ144" s="1"/>
      <c r="AK144" s="1"/>
      <c r="AL144" s="1"/>
    </row>
    <row r="145" spans="14:38" ht="15.75" customHeight="1" x14ac:dyDescent="0.25">
      <c r="N145" s="1">
        <v>2112</v>
      </c>
      <c r="O145" s="1">
        <v>2</v>
      </c>
      <c r="P145" s="1">
        <v>2</v>
      </c>
      <c r="Q145" s="1">
        <v>2</v>
      </c>
      <c r="R145" s="1">
        <v>0</v>
      </c>
      <c r="AG145" s="1"/>
      <c r="AH145" s="1"/>
      <c r="AI145" s="1"/>
      <c r="AJ145" s="1"/>
      <c r="AK145" s="1"/>
      <c r="AL145" s="1"/>
    </row>
    <row r="146" spans="14:38" ht="15.75" customHeight="1" x14ac:dyDescent="0.25">
      <c r="N146" s="1">
        <v>2113</v>
      </c>
      <c r="O146" s="1">
        <v>2</v>
      </c>
      <c r="P146" s="1">
        <v>2</v>
      </c>
      <c r="Q146" s="1">
        <v>2</v>
      </c>
      <c r="R146" s="1">
        <v>0</v>
      </c>
      <c r="AG146" s="1"/>
      <c r="AH146" s="1"/>
      <c r="AI146" s="1"/>
      <c r="AJ146" s="1"/>
      <c r="AK146" s="1"/>
      <c r="AL146" s="1"/>
    </row>
    <row r="147" spans="14:38" ht="15.75" customHeight="1" x14ac:dyDescent="0.25">
      <c r="N147" s="1">
        <v>2114</v>
      </c>
      <c r="O147" s="1">
        <v>2</v>
      </c>
      <c r="P147" s="1">
        <v>2</v>
      </c>
      <c r="Q147" s="1">
        <v>2</v>
      </c>
      <c r="R147" s="1">
        <v>0</v>
      </c>
      <c r="AG147" s="1"/>
      <c r="AH147" s="1"/>
      <c r="AI147" s="1"/>
      <c r="AJ147" s="1"/>
      <c r="AK147" s="1"/>
      <c r="AL147" s="1"/>
    </row>
    <row r="148" spans="14:38" ht="15.75" customHeight="1" x14ac:dyDescent="0.25">
      <c r="N148" s="1">
        <v>2115</v>
      </c>
      <c r="O148" s="1">
        <v>2</v>
      </c>
      <c r="P148" s="1">
        <v>2</v>
      </c>
      <c r="Q148" s="1">
        <v>2</v>
      </c>
      <c r="R148" s="1">
        <v>0</v>
      </c>
      <c r="AG148" s="1"/>
      <c r="AH148" s="1"/>
      <c r="AI148" s="1"/>
      <c r="AJ148" s="1"/>
      <c r="AK148" s="1"/>
      <c r="AL148" s="1"/>
    </row>
    <row r="149" spans="14:38" ht="15.75" customHeight="1" x14ac:dyDescent="0.25">
      <c r="N149" s="1">
        <v>2116</v>
      </c>
      <c r="O149" s="1">
        <v>2</v>
      </c>
      <c r="P149" s="1">
        <v>2</v>
      </c>
      <c r="Q149" s="1">
        <v>2</v>
      </c>
      <c r="R149" s="1">
        <v>0</v>
      </c>
      <c r="AG149" s="1"/>
      <c r="AH149" s="1"/>
      <c r="AI149" s="1"/>
      <c r="AJ149" s="1"/>
      <c r="AK149" s="1"/>
      <c r="AL149" s="1"/>
    </row>
    <row r="150" spans="14:38" ht="15.75" customHeight="1" x14ac:dyDescent="0.25">
      <c r="N150" s="1">
        <v>2117</v>
      </c>
      <c r="O150" s="1">
        <v>2</v>
      </c>
      <c r="P150" s="1">
        <v>2</v>
      </c>
      <c r="Q150" s="1">
        <v>2</v>
      </c>
      <c r="R150" s="1">
        <v>0</v>
      </c>
      <c r="AG150" s="1"/>
      <c r="AH150" s="1"/>
      <c r="AI150" s="1"/>
      <c r="AJ150" s="1"/>
      <c r="AK150" s="1"/>
      <c r="AL150" s="1"/>
    </row>
    <row r="151" spans="14:38" ht="15.75" customHeight="1" x14ac:dyDescent="0.25">
      <c r="N151" s="1">
        <v>2118</v>
      </c>
      <c r="O151" s="1">
        <v>2</v>
      </c>
      <c r="P151" s="1">
        <v>2</v>
      </c>
      <c r="Q151" s="1">
        <v>2</v>
      </c>
      <c r="R151" s="1">
        <v>0</v>
      </c>
      <c r="AG151" s="1"/>
      <c r="AH151" s="1"/>
      <c r="AI151" s="1"/>
      <c r="AJ151" s="1"/>
      <c r="AK151" s="1"/>
      <c r="AL151" s="1"/>
    </row>
    <row r="152" spans="14:38" ht="15.75" customHeight="1" x14ac:dyDescent="0.25">
      <c r="N152" s="1">
        <v>2119</v>
      </c>
      <c r="O152" s="1">
        <v>2</v>
      </c>
      <c r="P152" s="1">
        <v>2</v>
      </c>
      <c r="Q152" s="1">
        <v>2</v>
      </c>
      <c r="R152" s="1">
        <v>0</v>
      </c>
      <c r="AG152" s="1"/>
      <c r="AH152" s="1"/>
      <c r="AI152" s="1"/>
      <c r="AJ152" s="1"/>
      <c r="AK152" s="1"/>
      <c r="AL152" s="1"/>
    </row>
    <row r="153" spans="14:38" ht="15.75" customHeight="1" x14ac:dyDescent="0.25">
      <c r="N153" s="1">
        <v>2120</v>
      </c>
      <c r="O153" s="1">
        <v>2</v>
      </c>
      <c r="P153" s="1">
        <v>2</v>
      </c>
      <c r="Q153" s="1">
        <v>2</v>
      </c>
      <c r="R153" s="1">
        <v>0</v>
      </c>
      <c r="AG153" s="1"/>
      <c r="AH153" s="1"/>
      <c r="AI153" s="1"/>
      <c r="AJ153" s="1"/>
      <c r="AK153" s="1"/>
      <c r="AL153" s="1"/>
    </row>
    <row r="154" spans="14:38" ht="15.75" customHeight="1" x14ac:dyDescent="0.25">
      <c r="N154" s="1">
        <v>2121</v>
      </c>
      <c r="O154" s="1">
        <v>2</v>
      </c>
      <c r="P154" s="1">
        <v>2</v>
      </c>
      <c r="Q154" s="1">
        <v>2</v>
      </c>
      <c r="R154" s="1">
        <v>0</v>
      </c>
      <c r="AG154" s="1"/>
      <c r="AH154" s="1"/>
      <c r="AI154" s="1"/>
      <c r="AJ154" s="1"/>
      <c r="AK154" s="1"/>
      <c r="AL154" s="1"/>
    </row>
    <row r="155" spans="14:38" ht="15.75" customHeight="1" x14ac:dyDescent="0.25">
      <c r="N155" s="1">
        <v>2122</v>
      </c>
      <c r="O155" s="1">
        <v>2</v>
      </c>
      <c r="P155" s="1">
        <v>2</v>
      </c>
      <c r="Q155" s="1">
        <v>2</v>
      </c>
      <c r="R155" s="1">
        <v>0</v>
      </c>
      <c r="AG155" s="1"/>
      <c r="AH155" s="1"/>
      <c r="AI155" s="1"/>
      <c r="AJ155" s="1"/>
      <c r="AK155" s="1"/>
      <c r="AL155" s="1"/>
    </row>
    <row r="156" spans="14:38" ht="15.75" customHeight="1" x14ac:dyDescent="0.25">
      <c r="N156" s="1">
        <v>2123</v>
      </c>
      <c r="O156" s="1">
        <v>2</v>
      </c>
      <c r="P156" s="1">
        <v>2</v>
      </c>
      <c r="Q156" s="1">
        <v>2</v>
      </c>
      <c r="R156" s="1">
        <v>0</v>
      </c>
      <c r="AG156" s="1"/>
      <c r="AH156" s="1"/>
      <c r="AI156" s="1"/>
      <c r="AJ156" s="1"/>
      <c r="AK156" s="1"/>
      <c r="AL156" s="1"/>
    </row>
    <row r="157" spans="14:38" ht="15.75" customHeight="1" x14ac:dyDescent="0.25">
      <c r="N157" s="1">
        <v>2124</v>
      </c>
      <c r="O157" s="1">
        <v>2</v>
      </c>
      <c r="P157" s="1">
        <v>2</v>
      </c>
      <c r="Q157" s="1">
        <v>2</v>
      </c>
      <c r="R157" s="1">
        <v>0</v>
      </c>
      <c r="AG157" s="1"/>
      <c r="AH157" s="1"/>
      <c r="AI157" s="1"/>
      <c r="AJ157" s="1"/>
      <c r="AK157" s="1"/>
      <c r="AL157" s="1"/>
    </row>
    <row r="158" spans="14:38" ht="15.75" customHeight="1" x14ac:dyDescent="0.25">
      <c r="N158" s="1">
        <v>2125</v>
      </c>
      <c r="O158" s="1">
        <v>2</v>
      </c>
      <c r="P158" s="1">
        <v>2</v>
      </c>
      <c r="Q158" s="1">
        <v>2</v>
      </c>
      <c r="R158" s="1">
        <v>0</v>
      </c>
      <c r="AG158" s="1"/>
      <c r="AH158" s="1"/>
      <c r="AI158" s="1"/>
      <c r="AJ158" s="1"/>
      <c r="AK158" s="1"/>
      <c r="AL158" s="1"/>
    </row>
    <row r="159" spans="14:38" ht="15.75" customHeight="1" x14ac:dyDescent="0.25">
      <c r="N159" s="1">
        <v>2126</v>
      </c>
      <c r="O159" s="1">
        <v>2</v>
      </c>
      <c r="P159" s="1">
        <v>2</v>
      </c>
      <c r="Q159" s="1">
        <v>2</v>
      </c>
      <c r="R159" s="1">
        <v>0</v>
      </c>
      <c r="AG159" s="1"/>
      <c r="AH159" s="1"/>
      <c r="AI159" s="1"/>
      <c r="AJ159" s="1"/>
      <c r="AK159" s="1"/>
      <c r="AL159" s="1"/>
    </row>
    <row r="160" spans="14:38" ht="15.75" customHeight="1" x14ac:dyDescent="0.25">
      <c r="N160" s="1">
        <v>2127</v>
      </c>
      <c r="O160" s="1">
        <v>2</v>
      </c>
      <c r="P160" s="1">
        <v>2</v>
      </c>
      <c r="Q160" s="1">
        <v>2</v>
      </c>
      <c r="R160" s="1">
        <v>0</v>
      </c>
      <c r="AG160" s="1"/>
      <c r="AH160" s="1"/>
      <c r="AI160" s="1"/>
      <c r="AJ160" s="1"/>
      <c r="AK160" s="1"/>
      <c r="AL160" s="1"/>
    </row>
    <row r="161" spans="14:38" ht="15.75" customHeight="1" x14ac:dyDescent="0.25">
      <c r="N161" s="1">
        <v>2128</v>
      </c>
      <c r="O161" s="1">
        <v>2</v>
      </c>
      <c r="P161" s="1">
        <v>2</v>
      </c>
      <c r="Q161" s="1">
        <v>2</v>
      </c>
      <c r="R161" s="1">
        <v>0</v>
      </c>
      <c r="AG161" s="1"/>
      <c r="AH161" s="1"/>
      <c r="AI161" s="1"/>
      <c r="AJ161" s="1"/>
      <c r="AK161" s="1"/>
      <c r="AL161" s="1"/>
    </row>
    <row r="162" spans="14:38" ht="15.75" customHeight="1" x14ac:dyDescent="0.25">
      <c r="N162" s="1">
        <v>2129</v>
      </c>
      <c r="O162" s="1">
        <v>2</v>
      </c>
      <c r="P162" s="1">
        <v>2</v>
      </c>
      <c r="Q162" s="1">
        <v>2</v>
      </c>
      <c r="R162" s="1">
        <v>0</v>
      </c>
      <c r="AG162" s="1"/>
      <c r="AH162" s="1"/>
      <c r="AI162" s="1"/>
      <c r="AJ162" s="1"/>
      <c r="AK162" s="1"/>
      <c r="AL162" s="1"/>
    </row>
    <row r="163" spans="14:38" ht="15.75" customHeight="1" x14ac:dyDescent="0.25">
      <c r="N163" s="1">
        <v>2130</v>
      </c>
      <c r="O163" s="1">
        <v>2</v>
      </c>
      <c r="P163" s="1">
        <v>2</v>
      </c>
      <c r="Q163" s="1">
        <v>2</v>
      </c>
      <c r="R163" s="1">
        <v>0</v>
      </c>
      <c r="AG163" s="1"/>
      <c r="AH163" s="1"/>
      <c r="AI163" s="1"/>
      <c r="AJ163" s="1"/>
      <c r="AK163" s="1"/>
      <c r="AL163" s="1"/>
    </row>
    <row r="164" spans="14:38" ht="15.75" customHeight="1" x14ac:dyDescent="0.25">
      <c r="N164" s="1">
        <v>2131</v>
      </c>
      <c r="O164" s="1">
        <v>2</v>
      </c>
      <c r="P164" s="1">
        <v>2</v>
      </c>
      <c r="Q164" s="1">
        <v>2</v>
      </c>
      <c r="R164" s="1">
        <v>0</v>
      </c>
      <c r="AG164" s="1"/>
      <c r="AH164" s="1"/>
      <c r="AI164" s="1"/>
      <c r="AJ164" s="1"/>
      <c r="AK164" s="1"/>
      <c r="AL164" s="1"/>
    </row>
    <row r="165" spans="14:38" ht="15.75" customHeight="1" x14ac:dyDescent="0.25">
      <c r="N165" s="1">
        <v>2132</v>
      </c>
      <c r="O165" s="1">
        <v>2</v>
      </c>
      <c r="P165" s="1">
        <v>2</v>
      </c>
      <c r="Q165" s="1">
        <v>2</v>
      </c>
      <c r="R165" s="1">
        <v>0</v>
      </c>
      <c r="AG165" s="1"/>
      <c r="AH165" s="1"/>
      <c r="AI165" s="1"/>
      <c r="AJ165" s="1"/>
      <c r="AK165" s="1"/>
      <c r="AL165" s="1"/>
    </row>
    <row r="166" spans="14:38" ht="15.75" customHeight="1" x14ac:dyDescent="0.25">
      <c r="N166" s="1">
        <v>2133</v>
      </c>
      <c r="O166" s="1">
        <v>2</v>
      </c>
      <c r="P166" s="1">
        <v>2</v>
      </c>
      <c r="Q166" s="1">
        <v>2</v>
      </c>
      <c r="R166" s="1">
        <v>0</v>
      </c>
      <c r="AG166" s="1"/>
      <c r="AH166" s="1"/>
      <c r="AI166" s="1"/>
      <c r="AJ166" s="1"/>
      <c r="AK166" s="1"/>
      <c r="AL166" s="1"/>
    </row>
    <row r="167" spans="14:38" ht="15.75" customHeight="1" x14ac:dyDescent="0.25">
      <c r="N167" s="1">
        <v>2134</v>
      </c>
      <c r="O167" s="1">
        <v>2</v>
      </c>
      <c r="P167" s="1">
        <v>2</v>
      </c>
      <c r="Q167" s="1">
        <v>2</v>
      </c>
      <c r="R167" s="1">
        <v>0</v>
      </c>
      <c r="AG167" s="1"/>
      <c r="AH167" s="1"/>
      <c r="AI167" s="1"/>
      <c r="AJ167" s="1"/>
      <c r="AK167" s="1"/>
      <c r="AL167" s="1"/>
    </row>
    <row r="168" spans="14:38" ht="15.75" customHeight="1" x14ac:dyDescent="0.25">
      <c r="N168" s="1">
        <v>2135</v>
      </c>
      <c r="O168" s="1">
        <v>2</v>
      </c>
      <c r="P168" s="1">
        <v>2</v>
      </c>
      <c r="Q168" s="1">
        <v>2</v>
      </c>
      <c r="R168" s="1">
        <v>0</v>
      </c>
      <c r="AG168" s="1"/>
      <c r="AH168" s="1"/>
      <c r="AI168" s="1"/>
      <c r="AJ168" s="1"/>
      <c r="AK168" s="1"/>
      <c r="AL168" s="1"/>
    </row>
    <row r="169" spans="14:38" ht="15.75" customHeight="1" x14ac:dyDescent="0.25">
      <c r="N169" s="1">
        <v>2136</v>
      </c>
      <c r="O169" s="1">
        <v>2</v>
      </c>
      <c r="P169" s="1">
        <v>2</v>
      </c>
      <c r="Q169" s="1">
        <v>2</v>
      </c>
      <c r="R169" s="1">
        <v>0</v>
      </c>
      <c r="AG169" s="1"/>
      <c r="AH169" s="1"/>
      <c r="AI169" s="1"/>
      <c r="AJ169" s="1"/>
      <c r="AK169" s="1"/>
      <c r="AL169" s="1"/>
    </row>
    <row r="170" spans="14:38" ht="15.75" customHeight="1" x14ac:dyDescent="0.25">
      <c r="N170" s="1">
        <v>2137</v>
      </c>
      <c r="O170" s="1">
        <v>2</v>
      </c>
      <c r="P170" s="1">
        <v>2</v>
      </c>
      <c r="Q170" s="1">
        <v>2</v>
      </c>
      <c r="R170" s="1">
        <v>0</v>
      </c>
      <c r="AG170" s="1"/>
      <c r="AH170" s="1"/>
      <c r="AI170" s="1"/>
      <c r="AJ170" s="1"/>
      <c r="AK170" s="1"/>
      <c r="AL170" s="1"/>
    </row>
    <row r="171" spans="14:38" ht="15.75" customHeight="1" x14ac:dyDescent="0.25">
      <c r="N171" s="1">
        <v>2138</v>
      </c>
      <c r="O171" s="1">
        <v>2</v>
      </c>
      <c r="P171" s="1">
        <v>2</v>
      </c>
      <c r="Q171" s="1">
        <v>2</v>
      </c>
      <c r="R171" s="1">
        <v>0</v>
      </c>
      <c r="AG171" s="1"/>
      <c r="AH171" s="1"/>
      <c r="AI171" s="1"/>
      <c r="AJ171" s="1"/>
      <c r="AK171" s="1"/>
      <c r="AL171" s="1"/>
    </row>
    <row r="172" spans="14:38" ht="15.75" customHeight="1" x14ac:dyDescent="0.25">
      <c r="N172" s="1">
        <v>2139</v>
      </c>
      <c r="O172" s="1">
        <v>2</v>
      </c>
      <c r="P172" s="1">
        <v>2</v>
      </c>
      <c r="Q172" s="1">
        <v>2</v>
      </c>
      <c r="R172" s="1">
        <v>0</v>
      </c>
      <c r="AG172" s="1"/>
      <c r="AH172" s="1"/>
      <c r="AI172" s="1"/>
      <c r="AJ172" s="1"/>
      <c r="AK172" s="1"/>
      <c r="AL172" s="1"/>
    </row>
    <row r="173" spans="14:38" ht="15.75" customHeight="1" x14ac:dyDescent="0.25">
      <c r="N173" s="1">
        <v>2140</v>
      </c>
      <c r="O173" s="1">
        <v>2</v>
      </c>
      <c r="P173" s="1">
        <v>2</v>
      </c>
      <c r="Q173" s="1">
        <v>2</v>
      </c>
      <c r="R173" s="1">
        <v>0</v>
      </c>
      <c r="AG173" s="1"/>
      <c r="AH173" s="1"/>
      <c r="AI173" s="1"/>
      <c r="AJ173" s="1"/>
      <c r="AK173" s="1"/>
      <c r="AL173" s="1"/>
    </row>
    <row r="174" spans="14:38" ht="15.75" customHeight="1" x14ac:dyDescent="0.25">
      <c r="N174" s="1">
        <v>2141</v>
      </c>
      <c r="O174" s="1">
        <v>2</v>
      </c>
      <c r="P174" s="1">
        <v>2</v>
      </c>
      <c r="Q174" s="1">
        <v>2</v>
      </c>
      <c r="R174" s="1">
        <v>0</v>
      </c>
      <c r="AG174" s="1"/>
      <c r="AH174" s="1"/>
      <c r="AI174" s="1"/>
      <c r="AJ174" s="1"/>
      <c r="AK174" s="1"/>
      <c r="AL174" s="1"/>
    </row>
    <row r="175" spans="14:38" ht="15.75" customHeight="1" x14ac:dyDescent="0.25">
      <c r="N175" s="1">
        <v>2142</v>
      </c>
      <c r="O175" s="1">
        <v>2</v>
      </c>
      <c r="P175" s="1">
        <v>2</v>
      </c>
      <c r="Q175" s="1">
        <v>2</v>
      </c>
      <c r="R175" s="1">
        <v>0</v>
      </c>
      <c r="AG175" s="1"/>
      <c r="AH175" s="1"/>
      <c r="AI175" s="1"/>
      <c r="AJ175" s="1"/>
      <c r="AK175" s="1"/>
      <c r="AL175" s="1"/>
    </row>
    <row r="176" spans="14:38" ht="15.75" customHeight="1" x14ac:dyDescent="0.25">
      <c r="N176" s="1">
        <v>2143</v>
      </c>
      <c r="O176" s="1">
        <v>2</v>
      </c>
      <c r="P176" s="1">
        <v>2</v>
      </c>
      <c r="Q176" s="1">
        <v>2</v>
      </c>
      <c r="R176" s="1">
        <v>0</v>
      </c>
      <c r="AG176" s="1"/>
      <c r="AH176" s="1"/>
      <c r="AI176" s="1"/>
      <c r="AJ176" s="1"/>
      <c r="AK176" s="1"/>
      <c r="AL176" s="1"/>
    </row>
    <row r="177" spans="14:38" ht="15.75" customHeight="1" x14ac:dyDescent="0.25">
      <c r="N177" s="1">
        <v>2144</v>
      </c>
      <c r="O177" s="1">
        <v>2</v>
      </c>
      <c r="P177" s="1">
        <v>2</v>
      </c>
      <c r="Q177" s="1">
        <v>2</v>
      </c>
      <c r="R177" s="1">
        <v>0</v>
      </c>
      <c r="AG177" s="1"/>
      <c r="AH177" s="1"/>
      <c r="AI177" s="1"/>
      <c r="AJ177" s="1"/>
      <c r="AK177" s="1"/>
      <c r="AL177" s="1"/>
    </row>
    <row r="178" spans="14:38" ht="15.75" customHeight="1" x14ac:dyDescent="0.25">
      <c r="N178" s="1">
        <v>2145</v>
      </c>
      <c r="O178" s="1">
        <v>2</v>
      </c>
      <c r="P178" s="1">
        <v>2</v>
      </c>
      <c r="Q178" s="1">
        <v>2</v>
      </c>
      <c r="R178" s="1">
        <v>0</v>
      </c>
      <c r="AG178" s="1"/>
      <c r="AH178" s="1"/>
      <c r="AI178" s="1"/>
      <c r="AJ178" s="1"/>
      <c r="AK178" s="1"/>
      <c r="AL178" s="1"/>
    </row>
    <row r="179" spans="14:38" ht="15.75" customHeight="1" x14ac:dyDescent="0.25">
      <c r="N179" s="1">
        <v>2146</v>
      </c>
      <c r="O179" s="1">
        <v>2</v>
      </c>
      <c r="P179" s="1">
        <v>2</v>
      </c>
      <c r="Q179" s="1">
        <v>2</v>
      </c>
      <c r="R179" s="1">
        <v>0</v>
      </c>
      <c r="AG179" s="1"/>
      <c r="AH179" s="1"/>
      <c r="AI179" s="1"/>
      <c r="AJ179" s="1"/>
      <c r="AK179" s="1"/>
      <c r="AL179" s="1"/>
    </row>
    <row r="180" spans="14:38" ht="15.75" customHeight="1" x14ac:dyDescent="0.25">
      <c r="N180" s="1">
        <v>2147</v>
      </c>
      <c r="O180" s="1">
        <v>2</v>
      </c>
      <c r="P180" s="1">
        <v>2</v>
      </c>
      <c r="Q180" s="1">
        <v>2</v>
      </c>
      <c r="R180" s="1">
        <v>0</v>
      </c>
      <c r="AG180" s="1"/>
      <c r="AH180" s="1"/>
      <c r="AI180" s="1"/>
      <c r="AJ180" s="1"/>
      <c r="AK180" s="1"/>
      <c r="AL180" s="1"/>
    </row>
    <row r="181" spans="14:38" ht="15.75" customHeight="1" x14ac:dyDescent="0.25">
      <c r="N181" s="1">
        <v>2148</v>
      </c>
      <c r="O181" s="1">
        <v>2</v>
      </c>
      <c r="P181" s="1">
        <v>2</v>
      </c>
      <c r="Q181" s="1">
        <v>2</v>
      </c>
      <c r="R181" s="1">
        <v>0</v>
      </c>
      <c r="AG181" s="1"/>
      <c r="AH181" s="1"/>
      <c r="AI181" s="1"/>
      <c r="AJ181" s="1"/>
      <c r="AK181" s="1"/>
      <c r="AL181" s="1"/>
    </row>
    <row r="182" spans="14:38" ht="15.75" customHeight="1" x14ac:dyDescent="0.25">
      <c r="N182" s="1">
        <v>2149</v>
      </c>
      <c r="O182" s="1">
        <v>2</v>
      </c>
      <c r="P182" s="1">
        <v>2</v>
      </c>
      <c r="Q182" s="1">
        <v>2</v>
      </c>
      <c r="R182" s="1">
        <v>0</v>
      </c>
      <c r="AG182" s="1"/>
      <c r="AH182" s="1"/>
      <c r="AI182" s="1"/>
      <c r="AJ182" s="1"/>
      <c r="AK182" s="1"/>
      <c r="AL182" s="1"/>
    </row>
    <row r="183" spans="14:38" ht="15.75" customHeight="1" x14ac:dyDescent="0.25">
      <c r="N183" s="1">
        <v>2150</v>
      </c>
      <c r="O183" s="1">
        <v>2</v>
      </c>
      <c r="P183" s="1">
        <v>2</v>
      </c>
      <c r="Q183" s="1">
        <v>2</v>
      </c>
      <c r="R183" s="1">
        <v>0</v>
      </c>
      <c r="AG183" s="1"/>
      <c r="AH183" s="1"/>
      <c r="AI183" s="1"/>
      <c r="AJ183" s="1"/>
      <c r="AK183" s="1"/>
      <c r="AL183" s="1"/>
    </row>
    <row r="184" spans="14:38" ht="15.75" customHeight="1" x14ac:dyDescent="0.25">
      <c r="N184" s="1">
        <v>2151</v>
      </c>
      <c r="O184" s="1">
        <v>2</v>
      </c>
      <c r="P184" s="1">
        <v>2</v>
      </c>
      <c r="Q184" s="1">
        <v>2</v>
      </c>
      <c r="R184" s="1">
        <v>0</v>
      </c>
      <c r="AG184" s="1"/>
      <c r="AH184" s="1"/>
      <c r="AI184" s="1"/>
      <c r="AJ184" s="1"/>
      <c r="AK184" s="1"/>
      <c r="AL184" s="1"/>
    </row>
    <row r="185" spans="14:38" ht="15.75" customHeight="1" x14ac:dyDescent="0.25">
      <c r="N185" s="1">
        <v>2152</v>
      </c>
      <c r="O185" s="1">
        <v>2</v>
      </c>
      <c r="P185" s="1">
        <v>2</v>
      </c>
      <c r="Q185" s="1">
        <v>2</v>
      </c>
      <c r="R185" s="1">
        <v>0</v>
      </c>
      <c r="AG185" s="1"/>
      <c r="AH185" s="1"/>
      <c r="AI185" s="1"/>
      <c r="AJ185" s="1"/>
      <c r="AK185" s="1"/>
      <c r="AL185" s="1"/>
    </row>
    <row r="186" spans="14:38" ht="15.75" customHeight="1" x14ac:dyDescent="0.25">
      <c r="N186" s="1">
        <v>2153</v>
      </c>
      <c r="O186" s="1">
        <v>2</v>
      </c>
      <c r="P186" s="1">
        <v>2</v>
      </c>
      <c r="Q186" s="1">
        <v>2</v>
      </c>
      <c r="R186" s="1">
        <v>0</v>
      </c>
      <c r="AG186" s="1"/>
      <c r="AH186" s="1"/>
      <c r="AI186" s="1"/>
      <c r="AJ186" s="1"/>
      <c r="AK186" s="1"/>
      <c r="AL186" s="1"/>
    </row>
    <row r="187" spans="14:38" ht="15.75" customHeight="1" x14ac:dyDescent="0.25">
      <c r="N187" s="1">
        <v>2154</v>
      </c>
      <c r="O187" s="1">
        <v>2</v>
      </c>
      <c r="P187" s="1">
        <v>2</v>
      </c>
      <c r="Q187" s="1">
        <v>2</v>
      </c>
      <c r="R187" s="1">
        <v>0</v>
      </c>
      <c r="AG187" s="1"/>
      <c r="AH187" s="1"/>
      <c r="AI187" s="1"/>
      <c r="AJ187" s="1"/>
      <c r="AK187" s="1"/>
      <c r="AL187" s="1"/>
    </row>
    <row r="188" spans="14:38" ht="15.75" customHeight="1" x14ac:dyDescent="0.25">
      <c r="N188" s="1">
        <v>2155</v>
      </c>
      <c r="O188" s="1">
        <v>2</v>
      </c>
      <c r="P188" s="1">
        <v>2</v>
      </c>
      <c r="Q188" s="1">
        <v>2</v>
      </c>
      <c r="R188" s="1">
        <v>0</v>
      </c>
      <c r="AG188" s="1"/>
      <c r="AH188" s="1"/>
      <c r="AI188" s="1"/>
      <c r="AJ188" s="1"/>
      <c r="AK188" s="1"/>
      <c r="AL188" s="1"/>
    </row>
    <row r="189" spans="14:38" ht="15.75" customHeight="1" x14ac:dyDescent="0.25">
      <c r="N189" s="1">
        <v>2156</v>
      </c>
      <c r="O189" s="1">
        <v>2</v>
      </c>
      <c r="P189" s="1">
        <v>2</v>
      </c>
      <c r="Q189" s="1">
        <v>2</v>
      </c>
      <c r="R189" s="1">
        <v>0</v>
      </c>
      <c r="AG189" s="1"/>
      <c r="AH189" s="1"/>
      <c r="AI189" s="1"/>
      <c r="AJ189" s="1"/>
      <c r="AK189" s="1"/>
      <c r="AL189" s="1"/>
    </row>
    <row r="190" spans="14:38" ht="15.75" customHeight="1" x14ac:dyDescent="0.25">
      <c r="N190" s="1">
        <v>2157</v>
      </c>
      <c r="O190" s="1">
        <v>2</v>
      </c>
      <c r="P190" s="1">
        <v>2</v>
      </c>
      <c r="Q190" s="1">
        <v>2</v>
      </c>
      <c r="R190" s="1">
        <v>0</v>
      </c>
      <c r="AG190" s="1"/>
      <c r="AH190" s="1"/>
      <c r="AI190" s="1"/>
      <c r="AJ190" s="1"/>
      <c r="AK190" s="1"/>
      <c r="AL190" s="1"/>
    </row>
    <row r="191" spans="14:38" ht="15.75" customHeight="1" x14ac:dyDescent="0.25">
      <c r="N191" s="1">
        <v>2158</v>
      </c>
      <c r="O191" s="1">
        <v>2</v>
      </c>
      <c r="P191" s="1">
        <v>2</v>
      </c>
      <c r="Q191" s="1">
        <v>2</v>
      </c>
      <c r="R191" s="1">
        <v>0</v>
      </c>
      <c r="AG191" s="1"/>
      <c r="AH191" s="1"/>
      <c r="AI191" s="1"/>
      <c r="AJ191" s="1"/>
      <c r="AK191" s="1"/>
      <c r="AL191" s="1"/>
    </row>
    <row r="192" spans="14:38" ht="15.75" customHeight="1" x14ac:dyDescent="0.25">
      <c r="N192" s="1">
        <v>2159</v>
      </c>
      <c r="O192" s="1">
        <v>2</v>
      </c>
      <c r="P192" s="1">
        <v>2</v>
      </c>
      <c r="Q192" s="1">
        <v>2</v>
      </c>
      <c r="R192" s="1">
        <v>0</v>
      </c>
      <c r="AG192" s="1"/>
      <c r="AH192" s="1"/>
      <c r="AI192" s="1"/>
      <c r="AJ192" s="1"/>
      <c r="AK192" s="1"/>
      <c r="AL192" s="1"/>
    </row>
    <row r="193" spans="14:38" ht="15.75" customHeight="1" x14ac:dyDescent="0.25">
      <c r="N193" s="1">
        <v>2160</v>
      </c>
      <c r="O193" s="1">
        <v>2</v>
      </c>
      <c r="P193" s="1">
        <v>2</v>
      </c>
      <c r="Q193" s="1">
        <v>2</v>
      </c>
      <c r="R193" s="1">
        <v>0</v>
      </c>
      <c r="AG193" s="1"/>
      <c r="AH193" s="1"/>
      <c r="AI193" s="1"/>
      <c r="AJ193" s="1"/>
      <c r="AK193" s="1"/>
      <c r="AL193" s="1"/>
    </row>
    <row r="194" spans="14:38" ht="15.75" customHeight="1" x14ac:dyDescent="0.25">
      <c r="N194" s="1">
        <v>2161</v>
      </c>
      <c r="O194" s="1">
        <v>2</v>
      </c>
      <c r="P194" s="1">
        <v>2</v>
      </c>
      <c r="Q194" s="1">
        <v>2</v>
      </c>
      <c r="R194" s="1">
        <v>0</v>
      </c>
      <c r="AG194" s="1"/>
      <c r="AH194" s="1"/>
      <c r="AI194" s="1"/>
      <c r="AJ194" s="1"/>
      <c r="AK194" s="1"/>
      <c r="AL194" s="1"/>
    </row>
    <row r="195" spans="14:38" ht="15.75" customHeight="1" x14ac:dyDescent="0.25">
      <c r="N195" s="1">
        <v>2162</v>
      </c>
      <c r="O195" s="1">
        <v>2</v>
      </c>
      <c r="P195" s="1">
        <v>2</v>
      </c>
      <c r="Q195" s="1">
        <v>2</v>
      </c>
      <c r="R195" s="1">
        <v>0</v>
      </c>
      <c r="AG195" s="1"/>
      <c r="AH195" s="1"/>
      <c r="AI195" s="1"/>
      <c r="AJ195" s="1"/>
      <c r="AK195" s="1"/>
      <c r="AL195" s="1"/>
    </row>
    <row r="196" spans="14:38" ht="15.75" customHeight="1" x14ac:dyDescent="0.25">
      <c r="N196" s="1">
        <v>2163</v>
      </c>
      <c r="O196" s="1">
        <v>2</v>
      </c>
      <c r="P196" s="1">
        <v>2</v>
      </c>
      <c r="Q196" s="1">
        <v>2</v>
      </c>
      <c r="R196" s="1">
        <v>0</v>
      </c>
      <c r="AG196" s="1"/>
      <c r="AH196" s="1"/>
      <c r="AI196" s="1"/>
      <c r="AJ196" s="1"/>
      <c r="AK196" s="1"/>
      <c r="AL196" s="1"/>
    </row>
    <row r="197" spans="14:38" ht="15.75" customHeight="1" x14ac:dyDescent="0.25">
      <c r="N197" s="1">
        <v>2164</v>
      </c>
      <c r="O197" s="1">
        <v>2</v>
      </c>
      <c r="P197" s="1">
        <v>2</v>
      </c>
      <c r="Q197" s="1">
        <v>2</v>
      </c>
      <c r="R197" s="1">
        <v>0</v>
      </c>
      <c r="AG197" s="1"/>
      <c r="AH197" s="1"/>
      <c r="AI197" s="1"/>
      <c r="AJ197" s="1"/>
      <c r="AK197" s="1"/>
      <c r="AL197" s="1"/>
    </row>
    <row r="198" spans="14:38" ht="15.75" customHeight="1" x14ac:dyDescent="0.25">
      <c r="N198" s="1">
        <v>2165</v>
      </c>
      <c r="O198" s="1">
        <v>2</v>
      </c>
      <c r="P198" s="1">
        <v>2</v>
      </c>
      <c r="Q198" s="1">
        <v>2</v>
      </c>
      <c r="R198" s="1">
        <v>0</v>
      </c>
      <c r="AG198" s="1"/>
      <c r="AH198" s="1"/>
      <c r="AI198" s="1"/>
      <c r="AJ198" s="1"/>
      <c r="AK198" s="1"/>
      <c r="AL198" s="1"/>
    </row>
    <row r="199" spans="14:38" ht="15.75" customHeight="1" x14ac:dyDescent="0.25">
      <c r="N199" s="1">
        <v>2166</v>
      </c>
      <c r="O199" s="1">
        <v>2</v>
      </c>
      <c r="P199" s="1">
        <v>2</v>
      </c>
      <c r="Q199" s="1">
        <v>2</v>
      </c>
      <c r="R199" s="1">
        <v>0</v>
      </c>
      <c r="AG199" s="1"/>
      <c r="AH199" s="1"/>
      <c r="AI199" s="1"/>
      <c r="AJ199" s="1"/>
      <c r="AK199" s="1"/>
      <c r="AL199" s="1"/>
    </row>
    <row r="200" spans="14:38" ht="15.75" customHeight="1" x14ac:dyDescent="0.25">
      <c r="N200" s="1">
        <v>2167</v>
      </c>
      <c r="O200" s="1">
        <v>2</v>
      </c>
      <c r="P200" s="1">
        <v>2</v>
      </c>
      <c r="Q200" s="1">
        <v>2</v>
      </c>
      <c r="R200" s="1">
        <v>0</v>
      </c>
      <c r="AG200" s="1"/>
      <c r="AH200" s="1"/>
      <c r="AI200" s="1"/>
      <c r="AJ200" s="1"/>
      <c r="AK200" s="1"/>
      <c r="AL200" s="1"/>
    </row>
    <row r="201" spans="14:38" ht="15.75" customHeight="1" x14ac:dyDescent="0.25">
      <c r="N201" s="1">
        <v>2168</v>
      </c>
      <c r="O201" s="1">
        <v>2</v>
      </c>
      <c r="P201" s="1">
        <v>2</v>
      </c>
      <c r="Q201" s="1">
        <v>2</v>
      </c>
      <c r="R201" s="1">
        <v>0</v>
      </c>
      <c r="AG201" s="1"/>
      <c r="AH201" s="1"/>
      <c r="AI201" s="1"/>
      <c r="AJ201" s="1"/>
      <c r="AK201" s="1"/>
      <c r="AL201" s="1"/>
    </row>
    <row r="202" spans="14:38" ht="15.75" customHeight="1" x14ac:dyDescent="0.25">
      <c r="N202" s="1">
        <v>2169</v>
      </c>
      <c r="O202" s="1">
        <v>2</v>
      </c>
      <c r="P202" s="1">
        <v>2</v>
      </c>
      <c r="Q202" s="1">
        <v>2</v>
      </c>
      <c r="R202" s="1">
        <v>0</v>
      </c>
      <c r="AG202" s="1"/>
      <c r="AH202" s="1"/>
      <c r="AI202" s="1"/>
      <c r="AJ202" s="1"/>
      <c r="AK202" s="1"/>
      <c r="AL202" s="1"/>
    </row>
    <row r="203" spans="14:38" ht="15.75" customHeight="1" x14ac:dyDescent="0.25">
      <c r="N203" s="1">
        <v>2170</v>
      </c>
      <c r="O203" s="1">
        <v>2</v>
      </c>
      <c r="P203" s="1">
        <v>2</v>
      </c>
      <c r="Q203" s="1">
        <v>2</v>
      </c>
      <c r="R203" s="1">
        <v>0</v>
      </c>
      <c r="AG203" s="1"/>
      <c r="AH203" s="1"/>
      <c r="AI203" s="1"/>
      <c r="AJ203" s="1"/>
      <c r="AK203" s="1"/>
      <c r="AL203" s="1"/>
    </row>
    <row r="204" spans="14:38" ht="15.75" customHeight="1" x14ac:dyDescent="0.25">
      <c r="N204" s="1">
        <v>2171</v>
      </c>
      <c r="O204" s="1">
        <v>2</v>
      </c>
      <c r="P204" s="1">
        <v>2</v>
      </c>
      <c r="Q204" s="1">
        <v>2</v>
      </c>
      <c r="R204" s="1">
        <v>0</v>
      </c>
      <c r="AG204" s="1"/>
      <c r="AH204" s="1"/>
      <c r="AI204" s="1"/>
      <c r="AJ204" s="1"/>
      <c r="AK204" s="1"/>
      <c r="AL204" s="1"/>
    </row>
    <row r="205" spans="14:38" ht="15.75" customHeight="1" x14ac:dyDescent="0.25">
      <c r="N205" s="1">
        <v>2172</v>
      </c>
      <c r="O205" s="1">
        <v>2</v>
      </c>
      <c r="P205" s="1">
        <v>2</v>
      </c>
      <c r="Q205" s="1">
        <v>2</v>
      </c>
      <c r="R205" s="1">
        <v>0</v>
      </c>
      <c r="AG205" s="1"/>
      <c r="AH205" s="1"/>
      <c r="AI205" s="1"/>
      <c r="AJ205" s="1"/>
      <c r="AK205" s="1"/>
      <c r="AL205" s="1"/>
    </row>
    <row r="206" spans="14:38" ht="15.75" customHeight="1" x14ac:dyDescent="0.25">
      <c r="N206" s="1">
        <v>2173</v>
      </c>
      <c r="O206" s="1">
        <v>2</v>
      </c>
      <c r="P206" s="1">
        <v>2</v>
      </c>
      <c r="Q206" s="1">
        <v>2</v>
      </c>
      <c r="R206" s="1">
        <v>0</v>
      </c>
      <c r="AG206" s="1"/>
      <c r="AH206" s="1"/>
      <c r="AI206" s="1"/>
      <c r="AJ206" s="1"/>
      <c r="AK206" s="1"/>
      <c r="AL206" s="1"/>
    </row>
    <row r="207" spans="14:38" ht="15.75" customHeight="1" x14ac:dyDescent="0.25">
      <c r="N207" s="1">
        <v>2174</v>
      </c>
      <c r="O207" s="1">
        <v>2</v>
      </c>
      <c r="P207" s="1">
        <v>2</v>
      </c>
      <c r="Q207" s="1">
        <v>2</v>
      </c>
      <c r="R207" s="1">
        <v>0</v>
      </c>
      <c r="AG207" s="1"/>
      <c r="AH207" s="1"/>
      <c r="AI207" s="1"/>
      <c r="AJ207" s="1"/>
      <c r="AK207" s="1"/>
      <c r="AL207" s="1"/>
    </row>
    <row r="208" spans="14:38" ht="15.75" customHeight="1" x14ac:dyDescent="0.25">
      <c r="N208" s="1">
        <v>2175</v>
      </c>
      <c r="O208" s="1">
        <v>2</v>
      </c>
      <c r="P208" s="1">
        <v>2</v>
      </c>
      <c r="Q208" s="1">
        <v>2</v>
      </c>
      <c r="R208" s="1">
        <v>0</v>
      </c>
      <c r="AG208" s="1"/>
      <c r="AH208" s="1"/>
      <c r="AI208" s="1"/>
      <c r="AJ208" s="1"/>
      <c r="AK208" s="1"/>
      <c r="AL208" s="1"/>
    </row>
    <row r="209" spans="14:38" ht="15.75" customHeight="1" x14ac:dyDescent="0.25">
      <c r="N209" s="1">
        <v>2176</v>
      </c>
      <c r="O209" s="1">
        <v>2</v>
      </c>
      <c r="P209" s="1">
        <v>2</v>
      </c>
      <c r="Q209" s="1">
        <v>2</v>
      </c>
      <c r="R209" s="1">
        <v>0</v>
      </c>
      <c r="AG209" s="1"/>
      <c r="AH209" s="1"/>
      <c r="AI209" s="1"/>
      <c r="AJ209" s="1"/>
      <c r="AK209" s="1"/>
      <c r="AL209" s="1"/>
    </row>
    <row r="210" spans="14:38" ht="15.75" customHeight="1" x14ac:dyDescent="0.25">
      <c r="N210" s="1">
        <v>2177</v>
      </c>
      <c r="O210" s="1">
        <v>2</v>
      </c>
      <c r="P210" s="1">
        <v>2</v>
      </c>
      <c r="Q210" s="1">
        <v>2</v>
      </c>
      <c r="R210" s="1">
        <v>0</v>
      </c>
      <c r="AG210" s="1"/>
      <c r="AH210" s="1"/>
      <c r="AI210" s="1"/>
      <c r="AJ210" s="1"/>
      <c r="AK210" s="1"/>
      <c r="AL210" s="1"/>
    </row>
    <row r="211" spans="14:38" ht="15.75" customHeight="1" x14ac:dyDescent="0.25">
      <c r="N211" s="1">
        <v>2178</v>
      </c>
      <c r="O211" s="1">
        <v>2</v>
      </c>
      <c r="P211" s="1">
        <v>2</v>
      </c>
      <c r="Q211" s="1">
        <v>2</v>
      </c>
      <c r="R211" s="1">
        <v>0</v>
      </c>
      <c r="AG211" s="1"/>
      <c r="AH211" s="1"/>
      <c r="AI211" s="1"/>
      <c r="AJ211" s="1"/>
      <c r="AK211" s="1"/>
      <c r="AL211" s="1"/>
    </row>
    <row r="212" spans="14:38" ht="15.75" customHeight="1" x14ac:dyDescent="0.25">
      <c r="N212" s="1">
        <v>2179</v>
      </c>
      <c r="O212" s="1">
        <v>2</v>
      </c>
      <c r="P212" s="1">
        <v>2</v>
      </c>
      <c r="Q212" s="1">
        <v>2</v>
      </c>
      <c r="R212" s="1">
        <v>0</v>
      </c>
      <c r="AG212" s="1"/>
      <c r="AH212" s="1"/>
      <c r="AI212" s="1"/>
      <c r="AJ212" s="1"/>
      <c r="AK212" s="1"/>
      <c r="AL212" s="1"/>
    </row>
    <row r="213" spans="14:38" ht="15.75" customHeight="1" x14ac:dyDescent="0.25">
      <c r="N213" s="1">
        <v>2180</v>
      </c>
      <c r="O213" s="1">
        <v>2</v>
      </c>
      <c r="P213" s="1">
        <v>2</v>
      </c>
      <c r="Q213" s="1">
        <v>2</v>
      </c>
      <c r="R213" s="1">
        <v>0</v>
      </c>
      <c r="AG213" s="1"/>
      <c r="AH213" s="1"/>
      <c r="AI213" s="1"/>
      <c r="AJ213" s="1"/>
      <c r="AK213" s="1"/>
      <c r="AL213" s="1"/>
    </row>
    <row r="214" spans="14:38" ht="15.75" customHeight="1" x14ac:dyDescent="0.25">
      <c r="N214" s="1">
        <v>2181</v>
      </c>
      <c r="O214" s="1">
        <v>2</v>
      </c>
      <c r="P214" s="1">
        <v>2</v>
      </c>
      <c r="Q214" s="1">
        <v>2</v>
      </c>
      <c r="R214" s="1">
        <v>0</v>
      </c>
      <c r="AG214" s="1"/>
      <c r="AH214" s="1"/>
      <c r="AI214" s="1"/>
      <c r="AJ214" s="1"/>
      <c r="AK214" s="1"/>
      <c r="AL214" s="1"/>
    </row>
    <row r="215" spans="14:38" ht="15.75" customHeight="1" x14ac:dyDescent="0.25">
      <c r="N215" s="1">
        <v>2182</v>
      </c>
      <c r="O215" s="1">
        <v>2</v>
      </c>
      <c r="P215" s="1">
        <v>2</v>
      </c>
      <c r="Q215" s="1">
        <v>2</v>
      </c>
      <c r="R215" s="1">
        <v>0</v>
      </c>
      <c r="AG215" s="1"/>
      <c r="AH215" s="1"/>
      <c r="AI215" s="1"/>
      <c r="AJ215" s="1"/>
      <c r="AK215" s="1"/>
      <c r="AL215" s="1"/>
    </row>
    <row r="216" spans="14:38" ht="15.75" customHeight="1" x14ac:dyDescent="0.25">
      <c r="N216" s="1">
        <v>2183</v>
      </c>
      <c r="O216" s="1">
        <v>2</v>
      </c>
      <c r="P216" s="1">
        <v>2</v>
      </c>
      <c r="Q216" s="1">
        <v>2</v>
      </c>
      <c r="R216" s="1">
        <v>0</v>
      </c>
      <c r="AG216" s="1"/>
      <c r="AH216" s="1"/>
      <c r="AI216" s="1"/>
      <c r="AJ216" s="1"/>
      <c r="AK216" s="1"/>
      <c r="AL216" s="1"/>
    </row>
    <row r="217" spans="14:38" ht="15.75" customHeight="1" x14ac:dyDescent="0.25">
      <c r="N217" s="1">
        <v>2184</v>
      </c>
      <c r="O217" s="1">
        <v>2</v>
      </c>
      <c r="P217" s="1">
        <v>2</v>
      </c>
      <c r="Q217" s="1">
        <v>2</v>
      </c>
      <c r="R217" s="1">
        <v>0</v>
      </c>
      <c r="AG217" s="1"/>
      <c r="AH217" s="1"/>
      <c r="AI217" s="1"/>
      <c r="AJ217" s="1"/>
      <c r="AK217" s="1"/>
      <c r="AL217" s="1"/>
    </row>
    <row r="218" spans="14:38" ht="15.75" customHeight="1" x14ac:dyDescent="0.25">
      <c r="N218" s="1">
        <v>2185</v>
      </c>
      <c r="O218" s="1">
        <v>2</v>
      </c>
      <c r="P218" s="1">
        <v>2</v>
      </c>
      <c r="Q218" s="1">
        <v>2</v>
      </c>
      <c r="R218" s="1">
        <v>0</v>
      </c>
      <c r="AG218" s="1"/>
      <c r="AH218" s="1"/>
      <c r="AI218" s="1"/>
      <c r="AJ218" s="1"/>
      <c r="AK218" s="1"/>
      <c r="AL218" s="1"/>
    </row>
    <row r="219" spans="14:38" ht="15.75" customHeight="1" x14ac:dyDescent="0.25">
      <c r="N219" s="1">
        <v>2186</v>
      </c>
      <c r="O219" s="1">
        <v>2</v>
      </c>
      <c r="P219" s="1">
        <v>2</v>
      </c>
      <c r="Q219" s="1">
        <v>2</v>
      </c>
      <c r="R219" s="1">
        <v>0</v>
      </c>
      <c r="AG219" s="1"/>
      <c r="AH219" s="1"/>
      <c r="AI219" s="1"/>
      <c r="AJ219" s="1"/>
      <c r="AK219" s="1"/>
      <c r="AL219" s="1"/>
    </row>
    <row r="220" spans="14:38" ht="15.75" customHeight="1" x14ac:dyDescent="0.25">
      <c r="N220" s="1">
        <v>2187</v>
      </c>
      <c r="O220" s="1">
        <v>2</v>
      </c>
      <c r="P220" s="1">
        <v>2</v>
      </c>
      <c r="Q220" s="1">
        <v>2</v>
      </c>
      <c r="R220" s="1">
        <v>0</v>
      </c>
      <c r="AG220" s="1"/>
      <c r="AH220" s="1"/>
      <c r="AI220" s="1"/>
      <c r="AJ220" s="1"/>
      <c r="AK220" s="1"/>
      <c r="AL220" s="1"/>
    </row>
    <row r="221" spans="14:38" ht="15.75" customHeight="1" x14ac:dyDescent="0.25">
      <c r="N221" s="1">
        <v>2188</v>
      </c>
      <c r="O221" s="1">
        <v>2</v>
      </c>
      <c r="P221" s="1">
        <v>2</v>
      </c>
      <c r="Q221" s="1">
        <v>2</v>
      </c>
      <c r="R221" s="1">
        <v>0</v>
      </c>
      <c r="AG221" s="1"/>
      <c r="AH221" s="1"/>
      <c r="AI221" s="1"/>
      <c r="AJ221" s="1"/>
      <c r="AK221" s="1"/>
      <c r="AL221" s="1"/>
    </row>
    <row r="222" spans="14:38" ht="15.75" customHeight="1" x14ac:dyDescent="0.25">
      <c r="N222" s="1">
        <v>2189</v>
      </c>
      <c r="O222" s="1">
        <v>2</v>
      </c>
      <c r="P222" s="1">
        <v>2</v>
      </c>
      <c r="Q222" s="1">
        <v>2</v>
      </c>
      <c r="R222" s="1">
        <v>0</v>
      </c>
      <c r="AG222" s="1"/>
      <c r="AH222" s="1"/>
      <c r="AI222" s="1"/>
      <c r="AJ222" s="1"/>
      <c r="AK222" s="1"/>
      <c r="AL222" s="1"/>
    </row>
    <row r="223" spans="14:38" ht="15.75" customHeight="1" x14ac:dyDescent="0.25">
      <c r="N223" s="1">
        <v>2190</v>
      </c>
      <c r="O223" s="1">
        <v>2</v>
      </c>
      <c r="P223" s="1">
        <v>2</v>
      </c>
      <c r="Q223" s="1">
        <v>2</v>
      </c>
      <c r="R223" s="1">
        <v>0</v>
      </c>
      <c r="AG223" s="1"/>
      <c r="AH223" s="1"/>
      <c r="AI223" s="1"/>
      <c r="AJ223" s="1"/>
      <c r="AK223" s="1"/>
      <c r="AL223" s="1"/>
    </row>
    <row r="224" spans="14:38" ht="15.75" customHeight="1" x14ac:dyDescent="0.25">
      <c r="N224" s="1">
        <v>2191</v>
      </c>
      <c r="O224" s="1">
        <v>2</v>
      </c>
      <c r="P224" s="1">
        <v>2</v>
      </c>
      <c r="Q224" s="1">
        <v>2</v>
      </c>
      <c r="R224" s="1">
        <v>0</v>
      </c>
      <c r="AG224" s="1"/>
      <c r="AH224" s="1"/>
      <c r="AI224" s="1"/>
      <c r="AJ224" s="1"/>
      <c r="AK224" s="1"/>
      <c r="AL224" s="1"/>
    </row>
    <row r="225" spans="14:38" ht="15.75" customHeight="1" x14ac:dyDescent="0.25">
      <c r="N225" s="1">
        <v>2192</v>
      </c>
      <c r="O225" s="1">
        <v>2</v>
      </c>
      <c r="P225" s="1">
        <v>2</v>
      </c>
      <c r="Q225" s="1">
        <v>2</v>
      </c>
      <c r="R225" s="1">
        <v>0</v>
      </c>
      <c r="AG225" s="1"/>
      <c r="AH225" s="1"/>
      <c r="AI225" s="1"/>
      <c r="AJ225" s="1"/>
      <c r="AK225" s="1"/>
      <c r="AL225" s="1"/>
    </row>
    <row r="226" spans="14:38" ht="15.75" customHeight="1" x14ac:dyDescent="0.25">
      <c r="N226" s="1">
        <v>2193</v>
      </c>
      <c r="O226" s="1">
        <v>2</v>
      </c>
      <c r="P226" s="1">
        <v>2</v>
      </c>
      <c r="Q226" s="1">
        <v>2</v>
      </c>
      <c r="R226" s="1">
        <v>0</v>
      </c>
      <c r="AG226" s="1"/>
      <c r="AH226" s="1"/>
      <c r="AI226" s="1"/>
      <c r="AJ226" s="1"/>
      <c r="AK226" s="1"/>
      <c r="AL226" s="1"/>
    </row>
    <row r="227" spans="14:38" ht="15.75" customHeight="1" x14ac:dyDescent="0.25">
      <c r="N227" s="1">
        <v>2194</v>
      </c>
      <c r="O227" s="1">
        <v>2</v>
      </c>
      <c r="P227" s="1">
        <v>2</v>
      </c>
      <c r="Q227" s="1">
        <v>2</v>
      </c>
      <c r="R227" s="1">
        <v>0</v>
      </c>
      <c r="AG227" s="1"/>
      <c r="AH227" s="1"/>
      <c r="AI227" s="1"/>
      <c r="AJ227" s="1"/>
      <c r="AK227" s="1"/>
      <c r="AL227" s="1"/>
    </row>
    <row r="228" spans="14:38" ht="15.75" customHeight="1" x14ac:dyDescent="0.25">
      <c r="N228" s="1">
        <v>2195</v>
      </c>
      <c r="O228" s="1">
        <v>2</v>
      </c>
      <c r="P228" s="1">
        <v>2</v>
      </c>
      <c r="Q228" s="1">
        <v>2</v>
      </c>
      <c r="R228" s="1">
        <v>0</v>
      </c>
      <c r="AG228" s="1"/>
      <c r="AH228" s="1"/>
      <c r="AI228" s="1"/>
      <c r="AJ228" s="1"/>
      <c r="AK228" s="1"/>
      <c r="AL228" s="1"/>
    </row>
    <row r="229" spans="14:38" ht="15.75" customHeight="1" x14ac:dyDescent="0.25">
      <c r="N229" s="1">
        <v>2196</v>
      </c>
      <c r="O229" s="1">
        <v>2</v>
      </c>
      <c r="P229" s="1">
        <v>2</v>
      </c>
      <c r="Q229" s="1">
        <v>2</v>
      </c>
      <c r="R229" s="1">
        <v>0</v>
      </c>
      <c r="AG229" s="1"/>
      <c r="AH229" s="1"/>
      <c r="AI229" s="1"/>
      <c r="AJ229" s="1"/>
      <c r="AK229" s="1"/>
      <c r="AL229" s="1"/>
    </row>
    <row r="230" spans="14:38" ht="15.75" customHeight="1" x14ac:dyDescent="0.25">
      <c r="N230" s="1">
        <v>2197</v>
      </c>
      <c r="O230" s="1">
        <v>2</v>
      </c>
      <c r="P230" s="1">
        <v>2</v>
      </c>
      <c r="Q230" s="1">
        <v>2</v>
      </c>
      <c r="R230" s="1">
        <v>0</v>
      </c>
      <c r="AG230" s="1"/>
      <c r="AH230" s="1"/>
      <c r="AI230" s="1"/>
      <c r="AJ230" s="1"/>
      <c r="AK230" s="1"/>
      <c r="AL230" s="1"/>
    </row>
    <row r="231" spans="14:38" ht="15.75" customHeight="1" x14ac:dyDescent="0.25">
      <c r="N231" s="1">
        <v>2198</v>
      </c>
      <c r="O231" s="1">
        <v>2</v>
      </c>
      <c r="P231" s="1">
        <v>2</v>
      </c>
      <c r="Q231" s="1">
        <v>2</v>
      </c>
      <c r="R231" s="1">
        <v>0</v>
      </c>
      <c r="AG231" s="1"/>
      <c r="AH231" s="1"/>
      <c r="AI231" s="1"/>
      <c r="AJ231" s="1"/>
      <c r="AK231" s="1"/>
      <c r="AL231" s="1"/>
    </row>
    <row r="232" spans="14:38" ht="15.75" customHeight="1" x14ac:dyDescent="0.25">
      <c r="N232" s="1">
        <v>2199</v>
      </c>
      <c r="O232" s="1">
        <v>2</v>
      </c>
      <c r="P232" s="1">
        <v>2</v>
      </c>
      <c r="Q232" s="1">
        <v>2</v>
      </c>
      <c r="R232" s="1">
        <v>0</v>
      </c>
      <c r="AG232" s="1"/>
      <c r="AH232" s="1"/>
      <c r="AI232" s="1"/>
      <c r="AJ232" s="1"/>
      <c r="AK232" s="1"/>
      <c r="AL232" s="1"/>
    </row>
    <row r="233" spans="14:38" ht="15.75" customHeight="1" x14ac:dyDescent="0.25">
      <c r="N233" s="1">
        <v>2200</v>
      </c>
      <c r="O233" s="1">
        <v>2</v>
      </c>
      <c r="P233" s="1">
        <v>2</v>
      </c>
      <c r="Q233" s="1">
        <v>2</v>
      </c>
      <c r="R233" s="1">
        <v>0</v>
      </c>
      <c r="AG233" s="1"/>
      <c r="AH233" s="1"/>
      <c r="AI233" s="1"/>
      <c r="AJ233" s="1"/>
      <c r="AK233" s="1"/>
      <c r="AL233" s="1"/>
    </row>
    <row r="234" spans="14:38" ht="15.75" customHeight="1" x14ac:dyDescent="0.25">
      <c r="N234" s="1">
        <v>2201</v>
      </c>
      <c r="O234" s="1">
        <v>2</v>
      </c>
      <c r="P234" s="1">
        <v>2</v>
      </c>
      <c r="Q234" s="1">
        <v>2</v>
      </c>
      <c r="R234" s="1">
        <v>0</v>
      </c>
      <c r="AG234" s="1"/>
      <c r="AH234" s="1"/>
      <c r="AI234" s="1"/>
      <c r="AJ234" s="1"/>
      <c r="AK234" s="1"/>
      <c r="AL234" s="1"/>
    </row>
    <row r="235" spans="14:38" ht="15.75" customHeight="1" x14ac:dyDescent="0.25">
      <c r="N235" s="1">
        <v>2202</v>
      </c>
      <c r="O235" s="1">
        <v>2</v>
      </c>
      <c r="P235" s="1">
        <v>2</v>
      </c>
      <c r="Q235" s="1">
        <v>2</v>
      </c>
      <c r="R235" s="1">
        <v>0</v>
      </c>
      <c r="AG235" s="1"/>
      <c r="AH235" s="1"/>
      <c r="AI235" s="1"/>
      <c r="AJ235" s="1"/>
      <c r="AK235" s="1"/>
      <c r="AL235" s="1"/>
    </row>
    <row r="236" spans="14:38" ht="15.75" customHeight="1" x14ac:dyDescent="0.25">
      <c r="N236" s="1">
        <v>2203</v>
      </c>
      <c r="O236" s="1">
        <v>2</v>
      </c>
      <c r="P236" s="1">
        <v>2</v>
      </c>
      <c r="Q236" s="1">
        <v>2</v>
      </c>
      <c r="R236" s="1">
        <v>0</v>
      </c>
      <c r="AG236" s="1"/>
      <c r="AH236" s="1"/>
      <c r="AI236" s="1"/>
      <c r="AJ236" s="1"/>
      <c r="AK236" s="1"/>
      <c r="AL236" s="1"/>
    </row>
    <row r="237" spans="14:38" ht="15.75" customHeight="1" x14ac:dyDescent="0.25">
      <c r="N237" s="1">
        <v>2204</v>
      </c>
      <c r="O237" s="1">
        <v>2</v>
      </c>
      <c r="P237" s="1">
        <v>2</v>
      </c>
      <c r="Q237" s="1">
        <v>2</v>
      </c>
      <c r="R237" s="1">
        <v>0</v>
      </c>
      <c r="AG237" s="1"/>
      <c r="AH237" s="1"/>
      <c r="AI237" s="1"/>
      <c r="AJ237" s="1"/>
      <c r="AK237" s="1"/>
      <c r="AL237" s="1"/>
    </row>
    <row r="238" spans="14:38" ht="15.75" customHeight="1" x14ac:dyDescent="0.25">
      <c r="N238" s="1">
        <v>2205</v>
      </c>
      <c r="O238" s="1">
        <v>2</v>
      </c>
      <c r="P238" s="1">
        <v>2</v>
      </c>
      <c r="Q238" s="1">
        <v>2</v>
      </c>
      <c r="R238" s="1">
        <v>0</v>
      </c>
      <c r="AG238" s="1"/>
      <c r="AH238" s="1"/>
      <c r="AI238" s="1"/>
      <c r="AJ238" s="1"/>
      <c r="AK238" s="1"/>
      <c r="AL238" s="1"/>
    </row>
    <row r="239" spans="14:38" ht="15.75" customHeight="1" x14ac:dyDescent="0.25">
      <c r="N239" s="1">
        <v>2206</v>
      </c>
      <c r="O239" s="1">
        <v>2</v>
      </c>
      <c r="P239" s="1">
        <v>2</v>
      </c>
      <c r="Q239" s="1">
        <v>2</v>
      </c>
      <c r="R239" s="1">
        <v>0</v>
      </c>
      <c r="AG239" s="1"/>
      <c r="AH239" s="1"/>
      <c r="AI239" s="1"/>
      <c r="AJ239" s="1"/>
      <c r="AK239" s="1"/>
      <c r="AL239" s="1"/>
    </row>
    <row r="240" spans="14:38" ht="15.75" customHeight="1" x14ac:dyDescent="0.25">
      <c r="N240" s="1">
        <v>2207</v>
      </c>
      <c r="O240" s="1">
        <v>2</v>
      </c>
      <c r="P240" s="1">
        <v>2</v>
      </c>
      <c r="Q240" s="1">
        <v>2</v>
      </c>
      <c r="R240" s="1">
        <v>0</v>
      </c>
      <c r="AG240" s="1"/>
      <c r="AH240" s="1"/>
      <c r="AI240" s="1"/>
      <c r="AJ240" s="1"/>
      <c r="AK240" s="1"/>
      <c r="AL240" s="1"/>
    </row>
    <row r="241" spans="14:38" ht="15.75" customHeight="1" x14ac:dyDescent="0.25">
      <c r="N241" s="1">
        <v>2208</v>
      </c>
      <c r="O241" s="1">
        <v>2</v>
      </c>
      <c r="P241" s="1">
        <v>2</v>
      </c>
      <c r="Q241" s="1">
        <v>2</v>
      </c>
      <c r="R241" s="1">
        <v>0</v>
      </c>
      <c r="AG241" s="1"/>
      <c r="AH241" s="1"/>
      <c r="AI241" s="1"/>
      <c r="AJ241" s="1"/>
      <c r="AK241" s="1"/>
      <c r="AL241" s="1"/>
    </row>
    <row r="242" spans="14:38" ht="15.75" customHeight="1" x14ac:dyDescent="0.25">
      <c r="N242" s="1">
        <v>2209</v>
      </c>
      <c r="O242" s="1">
        <v>2</v>
      </c>
      <c r="P242" s="1">
        <v>2</v>
      </c>
      <c r="Q242" s="1">
        <v>2</v>
      </c>
      <c r="R242" s="1">
        <v>0</v>
      </c>
      <c r="AG242" s="1"/>
      <c r="AH242" s="1"/>
      <c r="AI242" s="1"/>
      <c r="AJ242" s="1"/>
      <c r="AK242" s="1"/>
      <c r="AL242" s="1"/>
    </row>
    <row r="243" spans="14:38" ht="15.75" customHeight="1" x14ac:dyDescent="0.25">
      <c r="N243" s="1">
        <v>2210</v>
      </c>
      <c r="O243" s="1">
        <v>2</v>
      </c>
      <c r="P243" s="1">
        <v>2</v>
      </c>
      <c r="Q243" s="1">
        <v>2</v>
      </c>
      <c r="R243" s="1">
        <v>0</v>
      </c>
      <c r="AG243" s="1"/>
      <c r="AH243" s="1"/>
      <c r="AI243" s="1"/>
      <c r="AJ243" s="1"/>
      <c r="AK243" s="1"/>
      <c r="AL243" s="1"/>
    </row>
    <row r="244" spans="14:38" ht="15.75" customHeight="1" x14ac:dyDescent="0.25">
      <c r="N244" s="1">
        <v>2211</v>
      </c>
      <c r="O244" s="1">
        <v>2</v>
      </c>
      <c r="P244" s="1">
        <v>2</v>
      </c>
      <c r="Q244" s="1">
        <v>2</v>
      </c>
      <c r="R244" s="1">
        <v>0</v>
      </c>
      <c r="AG244" s="1"/>
      <c r="AH244" s="1"/>
      <c r="AI244" s="1"/>
      <c r="AJ244" s="1"/>
      <c r="AK244" s="1"/>
      <c r="AL244" s="1"/>
    </row>
    <row r="245" spans="14:38" ht="15.75" customHeight="1" x14ac:dyDescent="0.25">
      <c r="N245" s="1">
        <v>2212</v>
      </c>
      <c r="O245" s="1">
        <v>2</v>
      </c>
      <c r="P245" s="1">
        <v>2</v>
      </c>
      <c r="Q245" s="1">
        <v>2</v>
      </c>
      <c r="R245" s="1">
        <v>0</v>
      </c>
      <c r="AG245" s="1"/>
      <c r="AH245" s="1"/>
      <c r="AI245" s="1"/>
      <c r="AJ245" s="1"/>
      <c r="AK245" s="1"/>
      <c r="AL245" s="1"/>
    </row>
    <row r="246" spans="14:38" ht="15.75" customHeight="1" x14ac:dyDescent="0.25">
      <c r="N246" s="1">
        <v>2213</v>
      </c>
      <c r="O246" s="1">
        <v>2</v>
      </c>
      <c r="P246" s="1">
        <v>2</v>
      </c>
      <c r="Q246" s="1">
        <v>2</v>
      </c>
      <c r="R246" s="1">
        <v>0</v>
      </c>
      <c r="AG246" s="1"/>
      <c r="AH246" s="1"/>
      <c r="AI246" s="1"/>
      <c r="AJ246" s="1"/>
      <c r="AK246" s="1"/>
      <c r="AL246" s="1"/>
    </row>
    <row r="247" spans="14:38" ht="15.75" customHeight="1" x14ac:dyDescent="0.25">
      <c r="N247" s="1">
        <v>2214</v>
      </c>
      <c r="O247" s="1">
        <v>2</v>
      </c>
      <c r="P247" s="1">
        <v>2</v>
      </c>
      <c r="Q247" s="1">
        <v>2</v>
      </c>
      <c r="R247" s="1">
        <v>0</v>
      </c>
      <c r="AG247" s="1"/>
      <c r="AH247" s="1"/>
      <c r="AI247" s="1"/>
      <c r="AJ247" s="1"/>
      <c r="AK247" s="1"/>
      <c r="AL247" s="1"/>
    </row>
    <row r="248" spans="14:38" ht="15.75" customHeight="1" x14ac:dyDescent="0.25">
      <c r="N248" s="1">
        <v>2215</v>
      </c>
      <c r="O248" s="1">
        <v>2</v>
      </c>
      <c r="P248" s="1">
        <v>2</v>
      </c>
      <c r="Q248" s="1">
        <v>2</v>
      </c>
      <c r="R248" s="1">
        <v>0</v>
      </c>
      <c r="AG248" s="1"/>
      <c r="AH248" s="1"/>
      <c r="AI248" s="1"/>
      <c r="AJ248" s="1"/>
      <c r="AK248" s="1"/>
      <c r="AL248" s="1"/>
    </row>
    <row r="249" spans="14:38" ht="15.75" customHeight="1" x14ac:dyDescent="0.25">
      <c r="N249" s="1">
        <v>2216</v>
      </c>
      <c r="O249" s="1">
        <v>2</v>
      </c>
      <c r="P249" s="1">
        <v>2</v>
      </c>
      <c r="Q249" s="1">
        <v>2</v>
      </c>
      <c r="R249" s="1">
        <v>0</v>
      </c>
      <c r="AG249" s="1"/>
      <c r="AH249" s="1"/>
      <c r="AI249" s="1"/>
      <c r="AJ249" s="1"/>
      <c r="AK249" s="1"/>
      <c r="AL249" s="1"/>
    </row>
    <row r="250" spans="14:38" ht="15.75" customHeight="1" x14ac:dyDescent="0.25">
      <c r="N250" s="1">
        <v>2217</v>
      </c>
      <c r="O250" s="1">
        <v>2</v>
      </c>
      <c r="P250" s="1">
        <v>2</v>
      </c>
      <c r="Q250" s="1">
        <v>2</v>
      </c>
      <c r="R250" s="1">
        <v>0</v>
      </c>
      <c r="AG250" s="1"/>
      <c r="AH250" s="1"/>
      <c r="AI250" s="1"/>
      <c r="AJ250" s="1"/>
      <c r="AK250" s="1"/>
      <c r="AL250" s="1"/>
    </row>
    <row r="251" spans="14:38" ht="15.75" customHeight="1" x14ac:dyDescent="0.25">
      <c r="N251" s="1">
        <v>2218</v>
      </c>
      <c r="O251" s="1">
        <v>2</v>
      </c>
      <c r="P251" s="1">
        <v>2</v>
      </c>
      <c r="Q251" s="1">
        <v>2</v>
      </c>
      <c r="R251" s="1">
        <v>0</v>
      </c>
      <c r="AG251" s="1"/>
      <c r="AH251" s="1"/>
      <c r="AI251" s="1"/>
      <c r="AJ251" s="1"/>
      <c r="AK251" s="1"/>
      <c r="AL251" s="1"/>
    </row>
    <row r="252" spans="14:38" ht="15.75" customHeight="1" x14ac:dyDescent="0.25">
      <c r="N252" s="1">
        <v>2219</v>
      </c>
      <c r="O252" s="1">
        <v>2</v>
      </c>
      <c r="P252" s="1">
        <v>2</v>
      </c>
      <c r="Q252" s="1">
        <v>2</v>
      </c>
      <c r="R252" s="1">
        <v>0</v>
      </c>
      <c r="AG252" s="1"/>
      <c r="AH252" s="1"/>
      <c r="AI252" s="1"/>
      <c r="AJ252" s="1"/>
      <c r="AK252" s="1"/>
      <c r="AL252" s="1"/>
    </row>
    <row r="253" spans="14:38" ht="15.75" customHeight="1" x14ac:dyDescent="0.25">
      <c r="N253" s="1">
        <v>2220</v>
      </c>
      <c r="O253" s="1">
        <v>2</v>
      </c>
      <c r="P253" s="1">
        <v>2</v>
      </c>
      <c r="Q253" s="1">
        <v>2</v>
      </c>
      <c r="R253" s="1">
        <v>0</v>
      </c>
      <c r="AG253" s="1"/>
      <c r="AH253" s="1"/>
      <c r="AI253" s="1"/>
      <c r="AJ253" s="1"/>
      <c r="AK253" s="1"/>
      <c r="AL253" s="1"/>
    </row>
    <row r="254" spans="14:38" ht="15.75" customHeight="1" x14ac:dyDescent="0.25">
      <c r="N254" s="1">
        <v>2221</v>
      </c>
      <c r="O254" s="1">
        <v>2</v>
      </c>
      <c r="P254" s="1">
        <v>2</v>
      </c>
      <c r="Q254" s="1">
        <v>2</v>
      </c>
      <c r="R254" s="1">
        <v>0</v>
      </c>
      <c r="AG254" s="1"/>
      <c r="AH254" s="1"/>
      <c r="AI254" s="1"/>
      <c r="AJ254" s="1"/>
      <c r="AK254" s="1"/>
      <c r="AL254" s="1"/>
    </row>
    <row r="255" spans="14:38" ht="15.75" customHeight="1" x14ac:dyDescent="0.25">
      <c r="N255" s="1">
        <v>2222</v>
      </c>
      <c r="O255" s="1">
        <v>2</v>
      </c>
      <c r="P255" s="1">
        <v>2</v>
      </c>
      <c r="Q255" s="1">
        <v>2</v>
      </c>
      <c r="R255" s="1">
        <v>0</v>
      </c>
      <c r="AG255" s="1"/>
      <c r="AH255" s="1"/>
      <c r="AI255" s="1"/>
      <c r="AJ255" s="1"/>
      <c r="AK255" s="1"/>
      <c r="AL255" s="1"/>
    </row>
    <row r="256" spans="14:38" ht="15.75" customHeight="1" x14ac:dyDescent="0.25">
      <c r="N256" s="1">
        <v>2223</v>
      </c>
      <c r="O256" s="1">
        <v>2</v>
      </c>
      <c r="P256" s="1">
        <v>2</v>
      </c>
      <c r="Q256" s="1">
        <v>2</v>
      </c>
      <c r="R256" s="1">
        <v>0</v>
      </c>
      <c r="AG256" s="1"/>
      <c r="AH256" s="1"/>
      <c r="AI256" s="1"/>
      <c r="AJ256" s="1"/>
      <c r="AK256" s="1"/>
      <c r="AL256" s="1"/>
    </row>
    <row r="257" spans="14:38" ht="15.75" customHeight="1" x14ac:dyDescent="0.25">
      <c r="N257" s="1">
        <v>2224</v>
      </c>
      <c r="O257" s="1">
        <v>2</v>
      </c>
      <c r="P257" s="1">
        <v>2</v>
      </c>
      <c r="Q257" s="1">
        <v>2</v>
      </c>
      <c r="R257" s="1">
        <v>0</v>
      </c>
      <c r="AG257" s="1"/>
      <c r="AH257" s="1"/>
      <c r="AI257" s="1"/>
      <c r="AJ257" s="1"/>
      <c r="AK257" s="1"/>
      <c r="AL257" s="1"/>
    </row>
    <row r="258" spans="14:38" ht="15.75" customHeight="1" x14ac:dyDescent="0.25">
      <c r="N258" s="1">
        <v>2225</v>
      </c>
      <c r="O258" s="1">
        <v>2</v>
      </c>
      <c r="P258" s="1">
        <v>2</v>
      </c>
      <c r="Q258" s="1">
        <v>2</v>
      </c>
      <c r="R258" s="1">
        <v>0</v>
      </c>
      <c r="AG258" s="1"/>
      <c r="AH258" s="1"/>
      <c r="AI258" s="1"/>
      <c r="AJ258" s="1"/>
      <c r="AK258" s="1"/>
      <c r="AL258" s="1"/>
    </row>
    <row r="259" spans="14:38" ht="15.75" customHeight="1" x14ac:dyDescent="0.25">
      <c r="N259" s="1">
        <v>2226</v>
      </c>
      <c r="O259" s="1">
        <v>2</v>
      </c>
      <c r="P259" s="1">
        <v>2</v>
      </c>
      <c r="Q259" s="1">
        <v>2</v>
      </c>
      <c r="R259" s="1">
        <v>0</v>
      </c>
      <c r="AG259" s="1"/>
      <c r="AH259" s="1"/>
      <c r="AI259" s="1"/>
      <c r="AJ259" s="1"/>
      <c r="AK259" s="1"/>
      <c r="AL259" s="1"/>
    </row>
    <row r="260" spans="14:38" ht="15.75" customHeight="1" x14ac:dyDescent="0.25">
      <c r="N260" s="1">
        <v>2227</v>
      </c>
      <c r="O260" s="1">
        <v>2</v>
      </c>
      <c r="P260" s="1">
        <v>2</v>
      </c>
      <c r="Q260" s="1">
        <v>2</v>
      </c>
      <c r="R260" s="1">
        <v>0</v>
      </c>
      <c r="AG260" s="1"/>
      <c r="AH260" s="1"/>
      <c r="AI260" s="1"/>
      <c r="AJ260" s="1"/>
      <c r="AK260" s="1"/>
      <c r="AL260" s="1"/>
    </row>
    <row r="261" spans="14:38" ht="15.75" customHeight="1" x14ac:dyDescent="0.25">
      <c r="N261" s="1">
        <v>2228</v>
      </c>
      <c r="O261" s="1">
        <v>2</v>
      </c>
      <c r="P261" s="1">
        <v>2</v>
      </c>
      <c r="Q261" s="1">
        <v>2</v>
      </c>
      <c r="R261" s="1">
        <v>0</v>
      </c>
      <c r="AG261" s="1"/>
      <c r="AH261" s="1"/>
      <c r="AI261" s="1"/>
      <c r="AJ261" s="1"/>
      <c r="AK261" s="1"/>
      <c r="AL261" s="1"/>
    </row>
    <row r="262" spans="14:38" ht="15.75" customHeight="1" x14ac:dyDescent="0.25">
      <c r="N262" s="1">
        <v>2229</v>
      </c>
      <c r="O262" s="1">
        <v>2</v>
      </c>
      <c r="P262" s="1">
        <v>2</v>
      </c>
      <c r="Q262" s="1">
        <v>2</v>
      </c>
      <c r="R262" s="1">
        <v>0</v>
      </c>
      <c r="AG262" s="1"/>
      <c r="AH262" s="1"/>
      <c r="AI262" s="1"/>
      <c r="AJ262" s="1"/>
      <c r="AK262" s="1"/>
      <c r="AL262" s="1"/>
    </row>
    <row r="263" spans="14:38" ht="15.75" customHeight="1" x14ac:dyDescent="0.25">
      <c r="N263" s="1">
        <v>2230</v>
      </c>
      <c r="O263" s="1">
        <v>2</v>
      </c>
      <c r="P263" s="1">
        <v>2</v>
      </c>
      <c r="Q263" s="1">
        <v>2</v>
      </c>
      <c r="R263" s="1">
        <v>0</v>
      </c>
      <c r="AG263" s="1"/>
      <c r="AH263" s="1"/>
      <c r="AI263" s="1"/>
      <c r="AJ263" s="1"/>
      <c r="AK263" s="1"/>
      <c r="AL263" s="1"/>
    </row>
    <row r="264" spans="14:38" ht="15.75" customHeight="1" x14ac:dyDescent="0.25">
      <c r="N264" s="1">
        <v>2231</v>
      </c>
      <c r="O264" s="1">
        <v>2</v>
      </c>
      <c r="P264" s="1">
        <v>2</v>
      </c>
      <c r="Q264" s="1">
        <v>2</v>
      </c>
      <c r="R264" s="1">
        <v>0</v>
      </c>
      <c r="AG264" s="1"/>
      <c r="AH264" s="1"/>
      <c r="AI264" s="1"/>
      <c r="AJ264" s="1"/>
      <c r="AK264" s="1"/>
      <c r="AL264" s="1"/>
    </row>
    <row r="265" spans="14:38" ht="15.75" customHeight="1" x14ac:dyDescent="0.25">
      <c r="N265" s="1">
        <v>2232</v>
      </c>
      <c r="O265" s="1">
        <v>2</v>
      </c>
      <c r="P265" s="1">
        <v>2</v>
      </c>
      <c r="Q265" s="1">
        <v>2</v>
      </c>
      <c r="R265" s="1">
        <v>0</v>
      </c>
      <c r="AG265" s="1"/>
      <c r="AH265" s="1"/>
      <c r="AI265" s="1"/>
      <c r="AJ265" s="1"/>
      <c r="AK265" s="1"/>
      <c r="AL265" s="1"/>
    </row>
    <row r="266" spans="14:38" ht="15.75" customHeight="1" x14ac:dyDescent="0.25">
      <c r="N266" s="1">
        <v>2233</v>
      </c>
      <c r="O266" s="1">
        <v>2</v>
      </c>
      <c r="P266" s="1">
        <v>2</v>
      </c>
      <c r="Q266" s="1">
        <v>2</v>
      </c>
      <c r="R266" s="1">
        <v>0</v>
      </c>
      <c r="AG266" s="1"/>
      <c r="AH266" s="1"/>
      <c r="AI266" s="1"/>
      <c r="AJ266" s="1"/>
      <c r="AK266" s="1"/>
      <c r="AL266" s="1"/>
    </row>
    <row r="267" spans="14:38" ht="15.75" customHeight="1" x14ac:dyDescent="0.25">
      <c r="N267" s="1">
        <v>2234</v>
      </c>
      <c r="O267" s="1">
        <v>2</v>
      </c>
      <c r="P267" s="1">
        <v>2</v>
      </c>
      <c r="Q267" s="1">
        <v>2</v>
      </c>
      <c r="R267" s="1">
        <v>0</v>
      </c>
      <c r="AG267" s="1"/>
      <c r="AH267" s="1"/>
      <c r="AI267" s="1"/>
      <c r="AJ267" s="1"/>
      <c r="AK267" s="1"/>
      <c r="AL267" s="1"/>
    </row>
    <row r="268" spans="14:38" ht="15.75" customHeight="1" x14ac:dyDescent="0.25">
      <c r="N268" s="1">
        <v>2235</v>
      </c>
      <c r="O268" s="1">
        <v>2</v>
      </c>
      <c r="P268" s="1">
        <v>2</v>
      </c>
      <c r="Q268" s="1">
        <v>2</v>
      </c>
      <c r="R268" s="1">
        <v>0</v>
      </c>
      <c r="AG268" s="1"/>
      <c r="AH268" s="1"/>
      <c r="AI268" s="1"/>
      <c r="AJ268" s="1"/>
      <c r="AK268" s="1"/>
      <c r="AL268" s="1"/>
    </row>
    <row r="269" spans="14:38" ht="15.75" customHeight="1" x14ac:dyDescent="0.25">
      <c r="N269" s="1">
        <v>2236</v>
      </c>
      <c r="O269" s="1">
        <v>2</v>
      </c>
      <c r="P269" s="1">
        <v>2</v>
      </c>
      <c r="Q269" s="1">
        <v>2</v>
      </c>
      <c r="R269" s="1">
        <v>0</v>
      </c>
      <c r="AG269" s="1"/>
      <c r="AH269" s="1"/>
      <c r="AI269" s="1"/>
      <c r="AJ269" s="1"/>
      <c r="AK269" s="1"/>
      <c r="AL269" s="1"/>
    </row>
    <row r="270" spans="14:38" ht="15.75" customHeight="1" x14ac:dyDescent="0.25">
      <c r="N270" s="1">
        <v>2237</v>
      </c>
      <c r="O270" s="1">
        <v>2</v>
      </c>
      <c r="P270" s="1">
        <v>2</v>
      </c>
      <c r="Q270" s="1">
        <v>2</v>
      </c>
      <c r="R270" s="1">
        <v>0</v>
      </c>
      <c r="AG270" s="1"/>
      <c r="AH270" s="1"/>
      <c r="AI270" s="1"/>
      <c r="AJ270" s="1"/>
      <c r="AK270" s="1"/>
      <c r="AL270" s="1"/>
    </row>
    <row r="271" spans="14:38" ht="15.75" customHeight="1" x14ac:dyDescent="0.25">
      <c r="N271" s="1">
        <v>2238</v>
      </c>
      <c r="O271" s="1">
        <v>2</v>
      </c>
      <c r="P271" s="1">
        <v>2</v>
      </c>
      <c r="Q271" s="1">
        <v>2</v>
      </c>
      <c r="R271" s="1">
        <v>0</v>
      </c>
      <c r="AG271" s="1"/>
      <c r="AH271" s="1"/>
      <c r="AI271" s="1"/>
      <c r="AJ271" s="1"/>
      <c r="AK271" s="1"/>
      <c r="AL271" s="1"/>
    </row>
    <row r="272" spans="14:38" ht="15.75" customHeight="1" x14ac:dyDescent="0.25">
      <c r="N272" s="1">
        <v>2239</v>
      </c>
      <c r="O272" s="1">
        <v>2</v>
      </c>
      <c r="P272" s="1">
        <v>2</v>
      </c>
      <c r="Q272" s="1">
        <v>2</v>
      </c>
      <c r="R272" s="1">
        <v>0</v>
      </c>
      <c r="AG272" s="1"/>
      <c r="AH272" s="1"/>
      <c r="AI272" s="1"/>
      <c r="AJ272" s="1"/>
      <c r="AK272" s="1"/>
      <c r="AL272" s="1"/>
    </row>
    <row r="273" spans="14:38" ht="15.75" customHeight="1" x14ac:dyDescent="0.25">
      <c r="N273" s="1">
        <v>2240</v>
      </c>
      <c r="O273" s="1">
        <v>2</v>
      </c>
      <c r="P273" s="1">
        <v>2</v>
      </c>
      <c r="Q273" s="1">
        <v>2</v>
      </c>
      <c r="R273" s="1">
        <v>0</v>
      </c>
      <c r="AG273" s="1"/>
      <c r="AH273" s="1"/>
      <c r="AI273" s="1"/>
      <c r="AJ273" s="1"/>
      <c r="AK273" s="1"/>
      <c r="AL273" s="1"/>
    </row>
    <row r="274" spans="14:38" ht="15.75" customHeight="1" x14ac:dyDescent="0.25">
      <c r="N274" s="1">
        <v>2241</v>
      </c>
      <c r="O274" s="1">
        <v>2</v>
      </c>
      <c r="P274" s="1">
        <v>2</v>
      </c>
      <c r="Q274" s="1">
        <v>2</v>
      </c>
      <c r="R274" s="1">
        <v>0</v>
      </c>
      <c r="AG274" s="1"/>
      <c r="AH274" s="1"/>
      <c r="AI274" s="1"/>
      <c r="AJ274" s="1"/>
      <c r="AK274" s="1"/>
      <c r="AL274" s="1"/>
    </row>
    <row r="275" spans="14:38" ht="15.75" customHeight="1" x14ac:dyDescent="0.25">
      <c r="N275" s="1">
        <v>2242</v>
      </c>
      <c r="O275" s="1">
        <v>2</v>
      </c>
      <c r="P275" s="1">
        <v>2</v>
      </c>
      <c r="Q275" s="1">
        <v>2</v>
      </c>
      <c r="R275" s="1">
        <v>0</v>
      </c>
      <c r="AG275" s="1"/>
      <c r="AH275" s="1"/>
      <c r="AI275" s="1"/>
      <c r="AJ275" s="1"/>
      <c r="AK275" s="1"/>
      <c r="AL275" s="1"/>
    </row>
    <row r="276" spans="14:38" ht="15.75" customHeight="1" x14ac:dyDescent="0.25">
      <c r="N276" s="1">
        <v>2243</v>
      </c>
      <c r="O276" s="1">
        <v>2</v>
      </c>
      <c r="P276" s="1">
        <v>2</v>
      </c>
      <c r="Q276" s="1">
        <v>2</v>
      </c>
      <c r="R276" s="1">
        <v>0</v>
      </c>
      <c r="AG276" s="1"/>
      <c r="AH276" s="1"/>
      <c r="AI276" s="1"/>
      <c r="AJ276" s="1"/>
      <c r="AK276" s="1"/>
      <c r="AL276" s="1"/>
    </row>
    <row r="277" spans="14:38" ht="15.75" customHeight="1" x14ac:dyDescent="0.25">
      <c r="N277" s="1">
        <v>2244</v>
      </c>
      <c r="O277" s="1">
        <v>2</v>
      </c>
      <c r="P277" s="1">
        <v>2</v>
      </c>
      <c r="Q277" s="1">
        <v>2</v>
      </c>
      <c r="R277" s="1">
        <v>0</v>
      </c>
      <c r="AG277" s="1"/>
      <c r="AH277" s="1"/>
      <c r="AI277" s="1"/>
      <c r="AJ277" s="1"/>
      <c r="AK277" s="1"/>
      <c r="AL277" s="1"/>
    </row>
    <row r="278" spans="14:38" ht="15.75" customHeight="1" x14ac:dyDescent="0.25">
      <c r="N278" s="1">
        <v>2245</v>
      </c>
      <c r="O278" s="1">
        <v>2</v>
      </c>
      <c r="P278" s="1">
        <v>2</v>
      </c>
      <c r="Q278" s="1">
        <v>2</v>
      </c>
      <c r="R278" s="1">
        <v>0</v>
      </c>
      <c r="AG278" s="1"/>
      <c r="AH278" s="1"/>
      <c r="AI278" s="1"/>
      <c r="AJ278" s="1"/>
      <c r="AK278" s="1"/>
      <c r="AL278" s="1"/>
    </row>
    <row r="279" spans="14:38" ht="15.75" customHeight="1" x14ac:dyDescent="0.25">
      <c r="N279" s="1">
        <v>2246</v>
      </c>
      <c r="O279" s="1">
        <v>2</v>
      </c>
      <c r="P279" s="1">
        <v>2</v>
      </c>
      <c r="Q279" s="1">
        <v>2</v>
      </c>
      <c r="R279" s="1">
        <v>0</v>
      </c>
      <c r="AG279" s="1"/>
      <c r="AH279" s="1"/>
      <c r="AI279" s="1"/>
      <c r="AJ279" s="1"/>
      <c r="AK279" s="1"/>
      <c r="AL279" s="1"/>
    </row>
    <row r="280" spans="14:38" ht="15.75" customHeight="1" x14ac:dyDescent="0.25">
      <c r="N280" s="1">
        <v>2247</v>
      </c>
      <c r="O280" s="1">
        <v>2</v>
      </c>
      <c r="P280" s="1">
        <v>2</v>
      </c>
      <c r="Q280" s="1">
        <v>2</v>
      </c>
      <c r="R280" s="1">
        <v>0</v>
      </c>
      <c r="AG280" s="1"/>
      <c r="AH280" s="1"/>
      <c r="AI280" s="1"/>
      <c r="AJ280" s="1"/>
      <c r="AK280" s="1"/>
      <c r="AL280" s="1"/>
    </row>
    <row r="281" spans="14:38" ht="15.75" customHeight="1" x14ac:dyDescent="0.25">
      <c r="N281" s="1">
        <v>2248</v>
      </c>
      <c r="O281" s="1">
        <v>2</v>
      </c>
      <c r="P281" s="1">
        <v>2</v>
      </c>
      <c r="Q281" s="1">
        <v>2</v>
      </c>
      <c r="R281" s="1">
        <v>0</v>
      </c>
      <c r="AG281" s="1"/>
      <c r="AH281" s="1"/>
      <c r="AI281" s="1"/>
      <c r="AJ281" s="1"/>
      <c r="AK281" s="1"/>
      <c r="AL281" s="1"/>
    </row>
    <row r="282" spans="14:38" ht="15.75" customHeight="1" x14ac:dyDescent="0.25">
      <c r="N282" s="1">
        <v>2249</v>
      </c>
      <c r="O282" s="1">
        <v>2</v>
      </c>
      <c r="P282" s="1">
        <v>2</v>
      </c>
      <c r="Q282" s="1">
        <v>2</v>
      </c>
      <c r="R282" s="1">
        <v>0</v>
      </c>
      <c r="AG282" s="1"/>
      <c r="AH282" s="1"/>
      <c r="AI282" s="1"/>
      <c r="AJ282" s="1"/>
      <c r="AK282" s="1"/>
      <c r="AL282" s="1"/>
    </row>
    <row r="283" spans="14:38" ht="15.75" customHeight="1" x14ac:dyDescent="0.25">
      <c r="N283" s="1">
        <v>2250</v>
      </c>
      <c r="O283" s="1">
        <v>2</v>
      </c>
      <c r="P283" s="1">
        <v>2</v>
      </c>
      <c r="Q283" s="1">
        <v>2</v>
      </c>
      <c r="R283" s="1">
        <v>0</v>
      </c>
      <c r="AG283" s="1"/>
      <c r="AH283" s="1"/>
      <c r="AI283" s="1"/>
      <c r="AJ283" s="1"/>
      <c r="AK283" s="1"/>
      <c r="AL283" s="1"/>
    </row>
    <row r="284" spans="14:38" ht="15.75" customHeight="1" x14ac:dyDescent="0.25">
      <c r="N284" s="1">
        <v>2251</v>
      </c>
      <c r="O284" s="1">
        <v>2</v>
      </c>
      <c r="P284" s="1">
        <v>2</v>
      </c>
      <c r="Q284" s="1">
        <v>2</v>
      </c>
      <c r="R284" s="1">
        <v>0</v>
      </c>
      <c r="AG284" s="1"/>
      <c r="AH284" s="1"/>
      <c r="AI284" s="1"/>
      <c r="AJ284" s="1"/>
      <c r="AK284" s="1"/>
      <c r="AL284" s="1"/>
    </row>
    <row r="285" spans="14:38" ht="15.75" customHeight="1" x14ac:dyDescent="0.25">
      <c r="N285" s="1">
        <v>2252</v>
      </c>
      <c r="O285" s="1">
        <v>2</v>
      </c>
      <c r="P285" s="1">
        <v>2</v>
      </c>
      <c r="Q285" s="1">
        <v>2</v>
      </c>
      <c r="R285" s="1">
        <v>0</v>
      </c>
      <c r="AG285" s="1"/>
      <c r="AH285" s="1"/>
      <c r="AI285" s="1"/>
      <c r="AJ285" s="1"/>
      <c r="AK285" s="1"/>
      <c r="AL285" s="1"/>
    </row>
    <row r="286" spans="14:38" ht="15.75" customHeight="1" x14ac:dyDescent="0.25">
      <c r="N286" s="1">
        <v>2253</v>
      </c>
      <c r="O286" s="1">
        <v>2</v>
      </c>
      <c r="P286" s="1">
        <v>2</v>
      </c>
      <c r="Q286" s="1">
        <v>2</v>
      </c>
      <c r="R286" s="1">
        <v>0</v>
      </c>
      <c r="AG286" s="1"/>
      <c r="AH286" s="1"/>
      <c r="AI286" s="1"/>
      <c r="AJ286" s="1"/>
      <c r="AK286" s="1"/>
      <c r="AL286" s="1"/>
    </row>
    <row r="287" spans="14:38" ht="15.75" customHeight="1" x14ac:dyDescent="0.25">
      <c r="N287" s="1">
        <v>2254</v>
      </c>
      <c r="O287" s="1">
        <v>2</v>
      </c>
      <c r="P287" s="1">
        <v>2</v>
      </c>
      <c r="Q287" s="1">
        <v>2</v>
      </c>
      <c r="R287" s="1">
        <v>0</v>
      </c>
      <c r="AG287" s="1"/>
      <c r="AH287" s="1"/>
      <c r="AI287" s="1"/>
      <c r="AJ287" s="1"/>
      <c r="AK287" s="1"/>
      <c r="AL287" s="1"/>
    </row>
    <row r="288" spans="14:38" ht="15.75" customHeight="1" x14ac:dyDescent="0.25">
      <c r="N288" s="1">
        <v>2255</v>
      </c>
      <c r="O288" s="1">
        <v>2</v>
      </c>
      <c r="P288" s="1">
        <v>2</v>
      </c>
      <c r="Q288" s="1">
        <v>2</v>
      </c>
      <c r="R288" s="1">
        <v>0</v>
      </c>
      <c r="AG288" s="1"/>
      <c r="AH288" s="1"/>
      <c r="AI288" s="1"/>
      <c r="AJ288" s="1"/>
      <c r="AK288" s="1"/>
      <c r="AL288" s="1"/>
    </row>
    <row r="289" spans="14:38" ht="15.75" customHeight="1" x14ac:dyDescent="0.25">
      <c r="N289" s="1">
        <v>2256</v>
      </c>
      <c r="O289" s="1">
        <v>2</v>
      </c>
      <c r="P289" s="1">
        <v>2</v>
      </c>
      <c r="Q289" s="1">
        <v>2</v>
      </c>
      <c r="R289" s="1">
        <v>0</v>
      </c>
      <c r="AG289" s="1"/>
      <c r="AH289" s="1"/>
      <c r="AI289" s="1"/>
      <c r="AJ289" s="1"/>
      <c r="AK289" s="1"/>
      <c r="AL289" s="1"/>
    </row>
    <row r="290" spans="14:38" ht="15.75" customHeight="1" x14ac:dyDescent="0.25">
      <c r="N290" s="1">
        <v>2257</v>
      </c>
      <c r="O290" s="1">
        <v>2</v>
      </c>
      <c r="P290" s="1">
        <v>2</v>
      </c>
      <c r="Q290" s="1">
        <v>2</v>
      </c>
      <c r="R290" s="1">
        <v>0</v>
      </c>
      <c r="AG290" s="1"/>
      <c r="AH290" s="1"/>
      <c r="AI290" s="1"/>
      <c r="AJ290" s="1"/>
      <c r="AK290" s="1"/>
      <c r="AL290" s="1"/>
    </row>
    <row r="291" spans="14:38" ht="15.75" customHeight="1" x14ac:dyDescent="0.25">
      <c r="N291" s="1">
        <v>2258</v>
      </c>
      <c r="O291" s="1">
        <v>2</v>
      </c>
      <c r="P291" s="1">
        <v>2</v>
      </c>
      <c r="Q291" s="1">
        <v>2</v>
      </c>
      <c r="R291" s="1">
        <v>0</v>
      </c>
      <c r="AG291" s="1"/>
      <c r="AH291" s="1"/>
      <c r="AI291" s="1"/>
      <c r="AJ291" s="1"/>
      <c r="AK291" s="1"/>
      <c r="AL291" s="1"/>
    </row>
    <row r="292" spans="14:38" ht="15.75" customHeight="1" x14ac:dyDescent="0.25">
      <c r="N292" s="1">
        <v>2259</v>
      </c>
      <c r="O292" s="1">
        <v>2</v>
      </c>
      <c r="P292" s="1">
        <v>2</v>
      </c>
      <c r="Q292" s="1">
        <v>2</v>
      </c>
      <c r="R292" s="1">
        <v>0</v>
      </c>
      <c r="AG292" s="1"/>
      <c r="AH292" s="1"/>
      <c r="AI292" s="1"/>
      <c r="AJ292" s="1"/>
      <c r="AK292" s="1"/>
      <c r="AL292" s="1"/>
    </row>
    <row r="293" spans="14:38" ht="15.75" customHeight="1" x14ac:dyDescent="0.25">
      <c r="N293" s="1">
        <v>2260</v>
      </c>
      <c r="O293" s="1">
        <v>2</v>
      </c>
      <c r="P293" s="1">
        <v>2</v>
      </c>
      <c r="Q293" s="1">
        <v>2</v>
      </c>
      <c r="R293" s="1">
        <v>0</v>
      </c>
      <c r="AG293" s="1"/>
      <c r="AH293" s="1"/>
      <c r="AI293" s="1"/>
      <c r="AJ293" s="1"/>
      <c r="AK293" s="1"/>
      <c r="AL293" s="1"/>
    </row>
    <row r="294" spans="14:38" ht="15.75" customHeight="1" x14ac:dyDescent="0.25">
      <c r="N294" s="1">
        <v>2261</v>
      </c>
      <c r="O294" s="1">
        <v>2</v>
      </c>
      <c r="P294" s="1">
        <v>2</v>
      </c>
      <c r="Q294" s="1">
        <v>2</v>
      </c>
      <c r="R294" s="1">
        <v>0</v>
      </c>
      <c r="AG294" s="1"/>
      <c r="AH294" s="1"/>
      <c r="AI294" s="1"/>
      <c r="AJ294" s="1"/>
      <c r="AK294" s="1"/>
      <c r="AL294" s="1"/>
    </row>
    <row r="295" spans="14:38" ht="15.75" customHeight="1" x14ac:dyDescent="0.25">
      <c r="N295" s="1">
        <v>2262</v>
      </c>
      <c r="O295" s="1">
        <v>2</v>
      </c>
      <c r="P295" s="1">
        <v>2</v>
      </c>
      <c r="Q295" s="1">
        <v>2</v>
      </c>
      <c r="R295" s="1">
        <v>0</v>
      </c>
      <c r="AG295" s="1"/>
      <c r="AH295" s="1"/>
      <c r="AI295" s="1"/>
      <c r="AJ295" s="1"/>
      <c r="AK295" s="1"/>
      <c r="AL295" s="1"/>
    </row>
    <row r="296" spans="14:38" ht="15.75" customHeight="1" x14ac:dyDescent="0.25">
      <c r="N296" s="1">
        <v>2263</v>
      </c>
      <c r="O296" s="1">
        <v>2</v>
      </c>
      <c r="P296" s="1">
        <v>2</v>
      </c>
      <c r="Q296" s="1">
        <v>2</v>
      </c>
      <c r="R296" s="1">
        <v>0</v>
      </c>
      <c r="AG296" s="1"/>
      <c r="AH296" s="1"/>
      <c r="AI296" s="1"/>
      <c r="AJ296" s="1"/>
      <c r="AK296" s="1"/>
      <c r="AL296" s="1"/>
    </row>
    <row r="297" spans="14:38" ht="15.75" customHeight="1" x14ac:dyDescent="0.25">
      <c r="N297" s="1">
        <v>2264</v>
      </c>
      <c r="O297" s="1">
        <v>2</v>
      </c>
      <c r="P297" s="1">
        <v>2</v>
      </c>
      <c r="Q297" s="1">
        <v>2</v>
      </c>
      <c r="R297" s="1">
        <v>0</v>
      </c>
      <c r="AG297" s="1"/>
      <c r="AH297" s="1"/>
      <c r="AI297" s="1"/>
      <c r="AJ297" s="1"/>
      <c r="AK297" s="1"/>
      <c r="AL297" s="1"/>
    </row>
    <row r="298" spans="14:38" ht="15.75" customHeight="1" x14ac:dyDescent="0.25">
      <c r="N298" s="1">
        <v>2265</v>
      </c>
      <c r="O298" s="1">
        <v>2</v>
      </c>
      <c r="P298" s="1">
        <v>2</v>
      </c>
      <c r="Q298" s="1">
        <v>2</v>
      </c>
      <c r="R298" s="1">
        <v>0</v>
      </c>
      <c r="AG298" s="1"/>
      <c r="AH298" s="1"/>
      <c r="AI298" s="1"/>
      <c r="AJ298" s="1"/>
      <c r="AK298" s="1"/>
      <c r="AL298" s="1"/>
    </row>
    <row r="299" spans="14:38" ht="15.75" customHeight="1" x14ac:dyDescent="0.25">
      <c r="N299" s="1">
        <v>2266</v>
      </c>
      <c r="O299" s="1">
        <v>2</v>
      </c>
      <c r="P299" s="1">
        <v>2</v>
      </c>
      <c r="Q299" s="1">
        <v>2</v>
      </c>
      <c r="R299" s="1">
        <v>0</v>
      </c>
      <c r="AG299" s="1"/>
      <c r="AH299" s="1"/>
      <c r="AI299" s="1"/>
      <c r="AJ299" s="1"/>
      <c r="AK299" s="1"/>
      <c r="AL299" s="1"/>
    </row>
    <row r="300" spans="14:38" ht="15.75" customHeight="1" x14ac:dyDescent="0.25">
      <c r="N300" s="1">
        <v>2267</v>
      </c>
      <c r="O300" s="1">
        <v>2</v>
      </c>
      <c r="P300" s="1">
        <v>2</v>
      </c>
      <c r="Q300" s="1">
        <v>2</v>
      </c>
      <c r="R300" s="1">
        <v>0</v>
      </c>
      <c r="AG300" s="1"/>
      <c r="AH300" s="1"/>
      <c r="AI300" s="1"/>
      <c r="AJ300" s="1"/>
      <c r="AK300" s="1"/>
      <c r="AL300" s="1"/>
    </row>
    <row r="301" spans="14:38" ht="15.75" customHeight="1" x14ac:dyDescent="0.25">
      <c r="N301" s="1">
        <v>2268</v>
      </c>
      <c r="O301" s="1">
        <v>2</v>
      </c>
      <c r="P301" s="1">
        <v>2</v>
      </c>
      <c r="Q301" s="1">
        <v>2</v>
      </c>
      <c r="R301" s="1">
        <v>0</v>
      </c>
      <c r="AG301" s="1"/>
      <c r="AH301" s="1"/>
      <c r="AI301" s="1"/>
      <c r="AJ301" s="1"/>
      <c r="AK301" s="1"/>
      <c r="AL301" s="1"/>
    </row>
    <row r="302" spans="14:38" ht="15.75" customHeight="1" x14ac:dyDescent="0.25">
      <c r="N302" s="1">
        <v>2269</v>
      </c>
      <c r="O302" s="1">
        <v>2</v>
      </c>
      <c r="P302" s="1">
        <v>2</v>
      </c>
      <c r="Q302" s="1">
        <v>2</v>
      </c>
      <c r="R302" s="1">
        <v>0</v>
      </c>
      <c r="AG302" s="1"/>
      <c r="AH302" s="1"/>
      <c r="AI302" s="1"/>
      <c r="AJ302" s="1"/>
      <c r="AK302" s="1"/>
      <c r="AL302" s="1"/>
    </row>
    <row r="303" spans="14:38" ht="15.75" customHeight="1" x14ac:dyDescent="0.25">
      <c r="N303" s="1">
        <v>2270</v>
      </c>
      <c r="O303" s="1">
        <v>2</v>
      </c>
      <c r="P303" s="1">
        <v>2</v>
      </c>
      <c r="Q303" s="1">
        <v>2</v>
      </c>
      <c r="R303" s="1">
        <v>0</v>
      </c>
      <c r="AG303" s="1"/>
      <c r="AH303" s="1"/>
      <c r="AI303" s="1"/>
      <c r="AJ303" s="1"/>
      <c r="AK303" s="1"/>
      <c r="AL303" s="1"/>
    </row>
    <row r="304" spans="14:38" ht="15.75" customHeight="1" x14ac:dyDescent="0.25">
      <c r="N304" s="1">
        <v>2271</v>
      </c>
      <c r="O304" s="1">
        <v>2</v>
      </c>
      <c r="P304" s="1">
        <v>2</v>
      </c>
      <c r="Q304" s="1">
        <v>2</v>
      </c>
      <c r="R304" s="1">
        <v>0</v>
      </c>
      <c r="AG304" s="1"/>
      <c r="AH304" s="1"/>
      <c r="AI304" s="1"/>
      <c r="AJ304" s="1"/>
      <c r="AK304" s="1"/>
      <c r="AL304" s="1"/>
    </row>
    <row r="305" spans="14:38" ht="15.75" customHeight="1" x14ac:dyDescent="0.25">
      <c r="N305" s="1">
        <v>2272</v>
      </c>
      <c r="O305" s="1">
        <v>2</v>
      </c>
      <c r="P305" s="1">
        <v>2</v>
      </c>
      <c r="Q305" s="1">
        <v>2</v>
      </c>
      <c r="R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E1000"/>
  <sheetViews>
    <sheetView workbookViewId="0">
      <selection activeCell="B14" sqref="B13:B14"/>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26" width="11.42578125" customWidth="1"/>
  </cols>
  <sheetData>
    <row r="1" spans="1:83" ht="50.25" customHeight="1" x14ac:dyDescent="0.25">
      <c r="A1" s="12" t="s">
        <v>311</v>
      </c>
      <c r="B1" s="13"/>
      <c r="C1" s="13"/>
      <c r="D1" s="13"/>
      <c r="E1" s="13"/>
      <c r="F1" s="13"/>
      <c r="G1" s="13"/>
      <c r="H1" s="13"/>
      <c r="I1" s="13"/>
      <c r="J1" s="13"/>
      <c r="K1" s="13"/>
      <c r="L1" s="13"/>
      <c r="M1" s="13"/>
      <c r="N1" s="13"/>
      <c r="O1" s="13"/>
      <c r="P1" s="13"/>
      <c r="Q1" s="13"/>
      <c r="R1" s="13"/>
      <c r="S1" s="13"/>
      <c r="T1" s="13"/>
      <c r="U1" s="13"/>
      <c r="V1" s="13"/>
      <c r="W1" s="13"/>
    </row>
    <row r="2" spans="1:83" ht="15" customHeight="1" x14ac:dyDescent="0.25">
      <c r="A2" t="s">
        <v>312</v>
      </c>
      <c r="B2" t="s">
        <v>313</v>
      </c>
      <c r="C2" t="s">
        <v>216</v>
      </c>
      <c r="D2" t="s">
        <v>196</v>
      </c>
      <c r="E2" t="s">
        <v>314</v>
      </c>
      <c r="F2" t="s">
        <v>192</v>
      </c>
      <c r="G2" t="s">
        <v>48</v>
      </c>
      <c r="H2" s="8" t="s">
        <v>267</v>
      </c>
      <c r="I2" s="8" t="s">
        <v>315</v>
      </c>
      <c r="J2" s="8" t="s">
        <v>316</v>
      </c>
      <c r="K2" s="1" t="s">
        <v>269</v>
      </c>
      <c r="L2" s="1" t="s">
        <v>270</v>
      </c>
      <c r="M2" s="1" t="s">
        <v>271</v>
      </c>
      <c r="N2" s="1" t="s">
        <v>272</v>
      </c>
      <c r="O2" s="1" t="s">
        <v>273</v>
      </c>
      <c r="P2" s="1" t="s">
        <v>274</v>
      </c>
      <c r="Q2" s="1" t="s">
        <v>275</v>
      </c>
      <c r="R2" s="1" t="s">
        <v>276</v>
      </c>
      <c r="S2" s="1" t="s">
        <v>277</v>
      </c>
      <c r="T2" s="1" t="s">
        <v>278</v>
      </c>
      <c r="U2" s="1" t="s">
        <v>279</v>
      </c>
      <c r="V2" s="1" t="s">
        <v>280</v>
      </c>
      <c r="W2" s="1" t="s">
        <v>281</v>
      </c>
      <c r="X2" s="1" t="s">
        <v>282</v>
      </c>
      <c r="Y2" s="1" t="s">
        <v>283</v>
      </c>
      <c r="Z2" s="1" t="s">
        <v>284</v>
      </c>
      <c r="AA2" s="1" t="s">
        <v>285</v>
      </c>
      <c r="AB2" s="1" t="s">
        <v>286</v>
      </c>
      <c r="AC2" s="1" t="s">
        <v>287</v>
      </c>
      <c r="AD2" s="1" t="s">
        <v>288</v>
      </c>
      <c r="AE2" s="1" t="s">
        <v>289</v>
      </c>
      <c r="AF2" s="1" t="s">
        <v>290</v>
      </c>
      <c r="AG2" s="1" t="s">
        <v>291</v>
      </c>
      <c r="AH2" s="1" t="s">
        <v>292</v>
      </c>
      <c r="AI2" s="1" t="s">
        <v>293</v>
      </c>
      <c r="AJ2" s="1" t="s">
        <v>294</v>
      </c>
      <c r="AK2" s="1" t="s">
        <v>295</v>
      </c>
      <c r="AL2" s="1" t="s">
        <v>296</v>
      </c>
      <c r="AM2" s="1" t="s">
        <v>297</v>
      </c>
      <c r="AN2" s="1" t="s">
        <v>298</v>
      </c>
      <c r="AO2" s="1" t="s">
        <v>299</v>
      </c>
      <c r="AP2" s="1" t="s">
        <v>300</v>
      </c>
      <c r="AQ2" s="1" t="s">
        <v>301</v>
      </c>
      <c r="AR2" s="1" t="s">
        <v>302</v>
      </c>
      <c r="AS2" s="1" t="s">
        <v>303</v>
      </c>
      <c r="AT2" s="1" t="s">
        <v>304</v>
      </c>
      <c r="AU2" s="1" t="s">
        <v>305</v>
      </c>
      <c r="AV2" s="1" t="s">
        <v>306</v>
      </c>
      <c r="AW2" s="1" t="s">
        <v>307</v>
      </c>
      <c r="AX2" s="1" t="s">
        <v>308</v>
      </c>
      <c r="AY2" s="1" t="s">
        <v>309</v>
      </c>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row>
    <row r="3" spans="1:83" ht="15" customHeight="1" x14ac:dyDescent="0.25">
      <c r="A3" t="s">
        <v>310</v>
      </c>
      <c r="B3" t="s">
        <v>310</v>
      </c>
      <c r="C3">
        <v>1</v>
      </c>
      <c r="D3" t="s">
        <v>310</v>
      </c>
      <c r="E3" t="s">
        <v>310</v>
      </c>
      <c r="F3" t="s">
        <v>310</v>
      </c>
      <c r="G3" t="s">
        <v>317</v>
      </c>
      <c r="H3" s="8">
        <v>1</v>
      </c>
      <c r="I3" s="8">
        <v>1</v>
      </c>
      <c r="J3" s="8">
        <v>1</v>
      </c>
      <c r="K3" s="1">
        <v>0</v>
      </c>
      <c r="L3" s="1">
        <v>0</v>
      </c>
      <c r="M3" s="1">
        <v>0</v>
      </c>
      <c r="N3" s="1">
        <v>0</v>
      </c>
      <c r="O3" s="1">
        <v>0</v>
      </c>
      <c r="P3" s="1">
        <v>0</v>
      </c>
      <c r="Q3" s="1">
        <v>0</v>
      </c>
      <c r="R3" s="1">
        <v>0</v>
      </c>
      <c r="S3" s="1">
        <v>0</v>
      </c>
      <c r="T3" s="1">
        <v>0</v>
      </c>
      <c r="U3" s="1">
        <v>0</v>
      </c>
      <c r="V3" s="1">
        <v>0</v>
      </c>
      <c r="W3" s="1">
        <v>0.5</v>
      </c>
      <c r="X3" s="1">
        <v>1</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row>
    <row r="4" spans="1:83" ht="15" customHeight="1" x14ac:dyDescent="0.25">
      <c r="A4" t="s">
        <v>310</v>
      </c>
      <c r="B4" t="s">
        <v>310</v>
      </c>
      <c r="C4">
        <v>3</v>
      </c>
      <c r="D4" t="s">
        <v>310</v>
      </c>
      <c r="E4" t="s">
        <v>310</v>
      </c>
      <c r="F4" t="s">
        <v>310</v>
      </c>
      <c r="G4" t="s">
        <v>318</v>
      </c>
      <c r="H4" s="8">
        <v>2</v>
      </c>
      <c r="I4" s="8">
        <v>0</v>
      </c>
      <c r="J4" s="8">
        <v>0</v>
      </c>
      <c r="K4" s="1">
        <v>0</v>
      </c>
      <c r="L4" s="1">
        <v>0</v>
      </c>
      <c r="M4" s="1">
        <v>0</v>
      </c>
      <c r="N4" s="1">
        <v>0</v>
      </c>
      <c r="O4" s="1">
        <v>0</v>
      </c>
      <c r="P4" s="1">
        <v>0</v>
      </c>
      <c r="Q4" s="1">
        <v>0</v>
      </c>
      <c r="R4" s="1">
        <v>0</v>
      </c>
      <c r="S4" s="1">
        <v>0</v>
      </c>
      <c r="T4" s="1">
        <v>0</v>
      </c>
      <c r="U4" s="1">
        <v>0</v>
      </c>
      <c r="V4" s="1">
        <v>0</v>
      </c>
      <c r="W4" s="1">
        <v>0.5</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row>
    <row r="5" spans="1:83" ht="15" customHeight="1" x14ac:dyDescent="0.25">
      <c r="A5" t="s">
        <v>310</v>
      </c>
      <c r="B5" t="s">
        <v>310</v>
      </c>
      <c r="C5" t="s">
        <v>310</v>
      </c>
      <c r="D5" t="s">
        <v>310</v>
      </c>
      <c r="E5" t="s">
        <v>310</v>
      </c>
      <c r="F5" t="s">
        <v>310</v>
      </c>
      <c r="G5" t="s">
        <v>268</v>
      </c>
      <c r="H5" s="8">
        <v>3</v>
      </c>
      <c r="I5" s="8">
        <v>0</v>
      </c>
      <c r="J5" s="8">
        <v>0</v>
      </c>
      <c r="K5" s="1">
        <v>1</v>
      </c>
      <c r="L5" s="1">
        <v>1</v>
      </c>
      <c r="M5" s="1">
        <v>1</v>
      </c>
      <c r="N5" s="1">
        <v>1</v>
      </c>
      <c r="O5" s="1">
        <v>1</v>
      </c>
      <c r="P5" s="1">
        <v>1</v>
      </c>
      <c r="Q5" s="1">
        <v>1</v>
      </c>
      <c r="R5" s="1">
        <v>1</v>
      </c>
      <c r="S5" s="1">
        <v>1</v>
      </c>
      <c r="T5" s="1">
        <v>1</v>
      </c>
      <c r="U5" s="1">
        <v>1</v>
      </c>
      <c r="V5" s="1">
        <v>1</v>
      </c>
      <c r="W5" s="1">
        <v>1</v>
      </c>
      <c r="X5" s="1">
        <v>1</v>
      </c>
      <c r="Y5" s="1">
        <v>1</v>
      </c>
      <c r="Z5" s="1">
        <v>1</v>
      </c>
      <c r="AA5" s="1">
        <v>1</v>
      </c>
      <c r="AB5" s="1">
        <v>1</v>
      </c>
      <c r="AC5" s="1">
        <v>1</v>
      </c>
      <c r="AD5" s="1">
        <v>1</v>
      </c>
      <c r="AE5" s="1">
        <v>1</v>
      </c>
      <c r="AF5" s="1">
        <v>1</v>
      </c>
      <c r="AG5" s="1">
        <v>1</v>
      </c>
      <c r="AH5" s="1">
        <v>1</v>
      </c>
      <c r="AI5" s="1">
        <v>1</v>
      </c>
      <c r="AJ5" s="1">
        <v>1</v>
      </c>
      <c r="AK5" s="1">
        <v>1</v>
      </c>
      <c r="AL5" s="1">
        <v>1</v>
      </c>
      <c r="AM5" s="1">
        <v>1</v>
      </c>
      <c r="AN5" s="1">
        <v>1</v>
      </c>
      <c r="AO5" s="1">
        <v>1</v>
      </c>
      <c r="AP5" s="1">
        <v>1</v>
      </c>
      <c r="AQ5" s="1">
        <v>1</v>
      </c>
      <c r="AR5" s="1">
        <v>1</v>
      </c>
      <c r="AS5" s="1">
        <v>1</v>
      </c>
      <c r="AT5" s="1">
        <v>1</v>
      </c>
      <c r="AU5" s="1">
        <v>1</v>
      </c>
      <c r="AV5" s="1">
        <v>1</v>
      </c>
      <c r="AW5" s="1">
        <v>1</v>
      </c>
      <c r="AX5" s="1">
        <v>1</v>
      </c>
      <c r="AY5" s="1">
        <v>1</v>
      </c>
    </row>
    <row r="6" spans="1:83" ht="15" customHeight="1" x14ac:dyDescent="0.25">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row>
    <row r="7" spans="1:83" ht="15" customHeight="1" x14ac:dyDescent="0.25">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row>
    <row r="13" spans="1:83" ht="15" customHeight="1" x14ac:dyDescent="0.25">
      <c r="G13" s="1"/>
    </row>
    <row r="14" spans="1:83" ht="15" customHeight="1" x14ac:dyDescent="0.25">
      <c r="G14" s="1"/>
    </row>
    <row r="15" spans="1:83" ht="15" customHeight="1" x14ac:dyDescent="0.25">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IsWhite</vt:lpstr>
      <vt:lpstr>maturity</vt:lpstr>
      <vt:lpstr>lengthweight</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2026-01-28T02:32:48Z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