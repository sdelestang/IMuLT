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ADDE2E8E-5006-4039-83FF-0BC9842747D7}" xr6:coauthVersionLast="47" xr6:coauthVersionMax="47" xr10:uidLastSave="{00000000-0000-0000-0000-000000000000}"/>
  <bookViews>
    <workbookView xWindow="-120" yWindow="-120" windowWidth="29040" windowHeight="15720" tabRatio="884" firstSheet="2" activeTab="14"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White"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<sst xmlns="http://schemas.openxmlformats.org/spreadsheetml/2006/main" count="907" uniqueCount="421">
  <si>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</si>
  <si>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</si>
  <si>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</si>
  <si>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</si>
  <si>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</si>
  <si>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</si>
  <si>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</si>
  <si>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</si>
  <si>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</si>
  <si>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</si>
  <si>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</si>
  <si>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</si>
  <si>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</si>
  <si>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</si>
  <si>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</si>
  <si>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</si>
  <si>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</si>
  <si>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</si>
  <si>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</si>
  <si>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</si>
  <si>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</si>
  <si>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</si>
  <si>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</si>
  <si>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</si>
  <si>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</si>
  <si>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</si>
  <si>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</si>
  <si>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</si>
  <si>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</si>
  <si>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</si>
  <si>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</si>
  <si>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</si>
  <si>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</si>
  <si>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</si>
  <si>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</si>
  <si>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</si>
  <si>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</si>
  <si>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</si>
  <si>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</si>
  <si>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</si>
  <si>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</si>
  <si>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</si>
  <si>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</si>
  <si>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</si>
  <si>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</si>
  <si>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</si>
  <si>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</si>
  <si>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</si>
  <si>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</si>
  <si>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</si>
  <si>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</si>
  <si>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</si>
  <si>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</si>
  <si>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</si>
  <si>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</si>
  <si>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</si>
  <si>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</si>
  <si>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</si>
  <si>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</si>
  <si>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</si>
  <si>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</si>
  <si>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</si>
  <si>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</si>
  <si>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</si>
  <si>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</si>
  <si>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</si>
  <si>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</si>
  <si>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</si>
  <si>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</si>
  <si>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</si>
  <si>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</si>
  <si>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</si>
  <si>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</si>
  <si>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</si>
  <si>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</si>
  <si>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</si>
  <si>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</si>
  <si>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</si>
  <si>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</si>
  <si>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</si>
  <si>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</si>
  <si>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</si>
  <si>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</si>
  <si>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</si>
  <si>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</si>
  <si>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</si>
  <si>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</si>
  <si>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</si>
  <si>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</si>
  <si>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</si>
  <si>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</si>
  <si>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</si>
  <si>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</si>
  <si>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</si>
  <si>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</si>
  <si>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</si>
  <si>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</si>
  <si>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</si>
  <si>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</si>
  <si>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</si>
  <si>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</si>
  <si>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</si>
  <si>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</si>
  <si>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</si>
  <si>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</si>
  <si>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</si>
  <si>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</si>
  <si>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</si>
  <si>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</si>
  <si>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</si>
  <si>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</si>
  <si>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</si>
  <si>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</si>
  <si>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</si>
  <si>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</si>
  <si>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</si>
  <si>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</si>
  <si>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</si>
  <si>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</si>
  <si>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</si>
  <si>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</si>
  <si>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</si>
  <si>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</si>
  <si>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</si>
  <si>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</si>
  <si>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</si>
  <si>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</si>
  <si>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</si>
  <si>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</si>
  <si>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</si>
  <si>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</si>
  <si>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</si>
  <si>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</si>
  <si>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</si>
  <si>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</si>
  <si>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</si>
  <si>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</si>
  <si>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</si>
  <si>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</si>
  <si>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</si>
  <si>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</si>
  <si>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</si>
  <si>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</si>
  <si>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</si>
  <si>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</si>
  <si>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</si>
  <si>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</si>
  <si>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</si>
  <si>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</si>
  <si>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</si>
  <si>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</si>
  <si>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</si>
  <si>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</si>
  <si>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</si>
  <si>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</si>
  <si>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</si>
  <si>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</si>
  <si>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</si>
  <si>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</si>
  <si>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</si>
  <si>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</si>
  <si>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</si>
  <si>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</si>
  <si>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</si>
  <si>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</si>
  <si>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</si>
  <si>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</si>
  <si>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</si>
  <si>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</si>
  <si>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</si>
  <si>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</si>
  <si>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</si>
  <si>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</si>
  <si>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</si>
  <si>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</si>
  <si>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</si>
  <si>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</si>
  <si>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</si>
  <si>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</si>
  <si>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</si>
  <si>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</si>
  <si>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</si>
  <si>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</si>
  <si>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</si>
  <si>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</si>
  <si>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</si>
  <si>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</si>
  <si>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</si>
  <si>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</si>
  <si>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</si>
  <si>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</si>
  <si>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</si>
  <si>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</si>
  <si>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</si>
  <si>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</si>
  <si>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</si>
  <si>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</si>
  <si>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</si>
  <si>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</si>
  <si>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</si>
  <si>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</si>
  <si>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</si>
  <si>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</si>
  <si>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</si>
  <si>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</si>
  <si>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</si>
  <si>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</si>
  <si>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</si>
  <si>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</si>
  <si>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</si>
  <si>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</si>
  <si>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</si>
  <si>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</si>
  <si>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</si>
  <si>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</si>
  <si>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</si>
  <si>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</si>
  <si>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</si>
  <si>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</si>
  <si>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</si>
  <si>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</si>
  <si>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</si>
  <si>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</si>
  <si>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</si>
  <si>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</si>
  <si>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</si>
  <si>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</si>
  <si>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</si>
  <si>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</si>
  <si>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</si>
  <si>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</si>
  <si>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</si>
  <si>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</si>
  <si>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</si>
  <si>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</si>
  <si>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</si>
  <si>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</si>
  <si>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</si>
  <si>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</si>
  <si>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</si>
  <si>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</si>
  <si>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</si>
  <si>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</si>
  <si>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</si>
  <si>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</si>
  <si>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</si>
  <si>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</si>
  <si>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</si>
  <si>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</si>
  <si>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</si>
  <si>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</si>
  <si>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</si>
  <si>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</si>
  <si>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</si>
  <si>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</si>
  <si>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</si>
  <si>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</si>
  <si>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</si>
  <si>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</si>
  <si>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</si>
  <si>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</si>
  <si>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</si>
  <si>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</si>
  <si>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</si>
  <si>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</si>
  <si>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</si>
  <si>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</si>
  <si>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</si>
  <si>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</si>
  <si>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</si>
  <si>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</si>
  <si>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</si>
  <si>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</si>
  <si>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</si>
  <si>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</si>
  <si>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</si>
  <si>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</si>
  <si>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</si>
  <si>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</si>
  <si>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</si>
  <si>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</si>
  <si>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</si>
  <si>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</si>
  <si>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</si>
  <si>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</si>
  <si>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</si>
  <si>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</si>
  <si>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</si>
  <si>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</si>
  <si>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</si>
  <si>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</si>
  <si>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</si>
  <si>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</si>
  <si>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</si>
  <si>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</si>
  <si>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</si>
  <si>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</si>
  <si>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</si>
  <si>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Requires Lb values must have the same length as length bins.</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</si>
  <si>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</si>
  <si>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</si>
  <si>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</si>
  <si>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</si>
  <si>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</si>
  <si>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</si>
  <si>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</si>
  <si>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</si>
  <si>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</si>
  <si>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</si>
  <si>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</si>
  <si>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</si>
  <si>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</si>
  <si>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</si>
  <si>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</si>
  <si>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</si>
  <si>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</si>
  <si>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</si>
  <si>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</si>
  <si>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</si>
  <si>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</si>
  <si>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</si>
  <si>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</si>
  <si>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</si>
  <si>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</si>
  <si>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</si>
  <si>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</si>
  <si>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</si>
  <si>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</si>
  <si>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</si>
  <si>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</si>
  <si>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</si>
  <si>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</si>
  <si>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</si>
  <si>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</si>
  <si>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</si>
  <si>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</si>
  <si>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</si>
  <si>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</si>
  <si>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</si>
  <si>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</si>
  <si>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</si>
  <si>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</si>
  <si>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</si>
  <si>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</si>
  <si>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</si>
  <si>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</si>
  <si>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</si>
  <si>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</si>
  <si>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</si>
  <si>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</si>
  <si>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</si>
  <si>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</si>
  <si>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</si>
  <si>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</si>
  <si>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</si>
  <si>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</si>
  <si>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</si>
  <si>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</si>
  <si>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</si>
  <si>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</si>
  <si>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</si>
  <si>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</si>
  <si>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</si>
  <si>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</si>
  <si>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</si>
  <si>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</si>
  <si>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</si>
  <si>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</si>
  <si>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</si>
  <si>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</si>
  <si>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</si>
  <si>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</si>
  <si>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</si>
  <si>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</si>
  <si>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</si>
  <si>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</si>
  <si>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</si>
  <si>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</si>
  <si>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</si>
  <si>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</si>
  <si>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</si>
  <si>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</si>
  <si>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</si>
  <si>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</si>
  <si>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</si>
  <si>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</si>
  <si>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</si>
  <si>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</si>
  <si>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</si>
  <si>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</si>
  <si>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</si>
  <si>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</si>
  <si>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</si>
  <si>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</si>
  <si>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</si>
  <si>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</si>
  <si>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</si>
  <si>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</si>
  <si>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</si>
  <si>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</si>
  <si>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</si>
  <si>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</si>
  <si>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</si>
  <si>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</si>
  <si>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</si>
  <si>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</si>
  <si>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</si>
  <si>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</si>
  <si>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</si>
  <si>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</si>
  <si>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</si>
  <si>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</si>
  <si>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</si>
  <si>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 not loaded:  Type: 1=maturity, 2=fecundity, 3=egg batches. MaturityOgive = 1/(1+exp((lens-a)/b)) . Fecundity = a*Length^b. BatchesOgive = c/(1+exp((lens-a)/b)). if male fishery (thus no fecundity) set fecundity parameters to length weight and do not enter any type 2 values as this will default to 1 for all sizes. Ensure your parameters have the correct sign.</t>
  </si>
  <si>
    <t>Type</t>
  </si>
  <si>
    <t>Minage</t>
  </si>
  <si>
    <t>Startseason</t>
  </si>
  <si>
    <t>Endseason</t>
  </si>
  <si>
    <t>par_a</t>
  </si>
  <si>
    <t>par_b</t>
  </si>
  <si>
    <t>par_c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</si>
</sst>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7">
    <xf numFmtId="0" fontId="0" fillId="0" borderId="0" xfId="0"/>
    <xf numFmtId="0" fontId="3" fillId="0" borderId="0" xfId="0" applyFont="1"/>
    <xf numFmtId="0" fontId="3" fillId="0" borderId="0" xfId="0" applyFont="1" applyAlignment="1">
      <alignment horizontal="right"/>
    </xf>
    <xf numFmtId="0" fontId="3" fillId="3" borderId="4" xfId="0" applyFont="1" applyFill="1" applyBorder="1"/>
    <xf numFmtId="0" fontId="3" fillId="4" borderId="4" xfId="0" applyFont="1" applyFill="1" applyBorder="1"/>
    <xf numFmtId="11" fontId="3" fillId="0" borderId="0" xfId="0" applyNumberFormat="1" applyFont="1"/>
    <xf numFmtId="0" fontId="3" fillId="2" borderId="4" xfId="0" applyFont="1" applyFill="1" applyBorder="1"/>
    <xf numFmtId="0" fontId="3" fillId="0" borderId="0" xfId="0" applyFont="1" applyAlignment="1">
      <alignment wrapText="1"/>
    </xf>
    <xf numFmtId="0" fontId="2" fillId="0" borderId="0" xfId="0" applyFont="1"/>
    <xf numFmtId="0" fontId="1" fillId="0" borderId="0" xfId="0" applyFont="1"/>
    <xf numFmtId="0" fontId="3" fillId="2" borderId="1" xfId="0" applyFont="1" applyFill="1" applyBorder="1" applyAlignment="1">
      <alignment wrapText="1"/>
    </xf>
    <xf numFmtId="0" fontId="4" fillId="0" borderId="2" xfId="0" applyFont="1" applyBorder="1"/>
    <xf numFmtId="0" fontId="4" fillId="0" borderId="3" xfId="0" applyFont="1" applyBorder="1"/>
    <xf numFmtId="0" fontId="5" fillId="2" borderId="4" xfId="0" applyFont="1" applyFill="1" applyBorder="1" applyAlignment="1">
      <alignment wrapText="1"/>
    </xf>
    <xf numFmtId="0" fontId="4" fillId="0" borderId="4" xfId="0" applyFont="1" applyBorder="1"/>
    <xf numFmtId="0" fontId="3" fillId="2" borderId="4" xfId="0" applyFont="1" applyFill="1" applyBorder="1" applyAlignment="1">
      <alignment wrapText="1"/>
    </xf>
    <xf numFmtId="0" fontId="6"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C28" sqref="C28"/>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0" t="s">
        <v>0</v>
      </c>
      <c r="B1" s="11"/>
      <c r="C1" s="11"/>
      <c r="D1" s="11"/>
      <c r="E1" s="11"/>
      <c r="F1" s="11"/>
      <c r="G1" s="11"/>
      <c r="H1" s="11"/>
      <c r="I1" s="11"/>
      <c r="J1" s="11"/>
      <c r="K1" s="11"/>
      <c r="L1" s="11"/>
      <c r="M1" s="11"/>
      <c r="N1" s="11"/>
      <c r="O1" s="11"/>
      <c r="P1" s="11"/>
      <c r="Q1" s="11"/>
      <c r="R1" s="11"/>
      <c r="S1" s="11"/>
      <c r="T1" s="11"/>
      <c r="U1" s="12"/>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2">
        <v>2</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sqref="A1:N1"/>
    </sheetView>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10" t="s">
        <v>28</v>
      </c>
      <c r="B1" s="11"/>
      <c r="C1" s="11"/>
      <c r="D1" s="11"/>
      <c r="E1" s="11"/>
      <c r="F1" s="11"/>
      <c r="G1" s="11"/>
      <c r="H1" s="11"/>
      <c r="I1" s="11"/>
      <c r="J1" s="11"/>
      <c r="K1" s="11"/>
      <c r="L1" s="11"/>
      <c r="M1" s="11"/>
      <c r="N1" s="12"/>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39</v>
      </c>
      <c r="B1" s="11"/>
      <c r="C1" s="11"/>
      <c r="D1" s="11"/>
      <c r="E1" s="11"/>
      <c r="F1" s="11"/>
      <c r="G1" s="11"/>
      <c r="H1" s="11"/>
      <c r="I1" s="11"/>
      <c r="J1" s="11"/>
      <c r="K1" s="11"/>
      <c r="L1" s="11"/>
      <c r="M1" s="11"/>
      <c r="N1" s="11"/>
      <c r="O1" s="11"/>
      <c r="P1" s="11"/>
      <c r="Q1" s="11"/>
      <c r="R1" s="11"/>
      <c r="S1" s="11"/>
      <c r="T1" s="11"/>
      <c r="U1" s="12"/>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0" t="s">
        <v>306</v>
      </c>
      <c r="B1" s="11"/>
      <c r="C1" s="11"/>
      <c r="D1" s="11"/>
      <c r="E1" s="11"/>
      <c r="F1" s="11"/>
      <c r="G1" s="11"/>
      <c r="H1" s="11"/>
      <c r="I1" s="11"/>
      <c r="J1" s="11"/>
      <c r="K1" s="11"/>
      <c r="L1" s="11"/>
      <c r="M1" s="11"/>
      <c r="N1" s="11"/>
      <c r="O1" s="11"/>
      <c r="P1" s="11"/>
      <c r="Q1" s="11"/>
      <c r="R1" s="11"/>
      <c r="S1" s="11"/>
      <c r="T1" s="11"/>
      <c r="U1" s="12"/>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1" t="s">
        <v>54</v>
      </c>
      <c r="C7" s="1">
        <v>0</v>
      </c>
      <c r="D7" s="1"/>
      <c r="E7" s="1"/>
      <c r="F7" s="1"/>
      <c r="G7" s="1"/>
      <c r="H7" s="1"/>
      <c r="I7" s="1"/>
    </row>
    <row r="8" spans="1:21" x14ac:dyDescent="0.25">
      <c r="A8" s="1" t="s">
        <v>49</v>
      </c>
      <c r="B8" s="1" t="s">
        <v>55</v>
      </c>
      <c r="C8" s="1">
        <v>0</v>
      </c>
      <c r="D8" s="1"/>
      <c r="E8" s="1"/>
      <c r="F8" s="1"/>
      <c r="G8" s="1"/>
      <c r="H8" s="1"/>
      <c r="I8" s="1"/>
    </row>
    <row r="9" spans="1:21" x14ac:dyDescent="0.25">
      <c r="A9" s="1" t="s">
        <v>49</v>
      </c>
      <c r="B9" s="1" t="s">
        <v>56</v>
      </c>
      <c r="C9" s="1">
        <v>0</v>
      </c>
      <c r="D9" s="1"/>
      <c r="E9" s="1"/>
      <c r="F9" s="1"/>
      <c r="G9" s="1"/>
      <c r="H9" s="1"/>
      <c r="I9" s="1"/>
    </row>
    <row r="10" spans="1:21" x14ac:dyDescent="0.25">
      <c r="A10" s="1" t="s">
        <v>49</v>
      </c>
      <c r="B10" s="1" t="s">
        <v>57</v>
      </c>
      <c r="C10" s="1">
        <v>0</v>
      </c>
      <c r="D10" s="1"/>
      <c r="E10" s="1"/>
      <c r="F10" s="1"/>
      <c r="G10" s="1"/>
      <c r="H10" s="1"/>
      <c r="I10" s="1"/>
    </row>
    <row r="11" spans="1:21" x14ac:dyDescent="0.25">
      <c r="A11" s="1" t="s">
        <v>58</v>
      </c>
      <c r="B11" s="1" t="s">
        <v>50</v>
      </c>
      <c r="C11" s="1">
        <v>5</v>
      </c>
      <c r="D11" s="1">
        <v>4</v>
      </c>
      <c r="E11" s="1">
        <v>-1</v>
      </c>
      <c r="F11" s="1" t="s">
        <v>208</v>
      </c>
      <c r="G11" s="1" t="s">
        <v>59</v>
      </c>
    </row>
    <row r="12" spans="1:21" x14ac:dyDescent="0.25">
      <c r="A12" s="1" t="s">
        <v>58</v>
      </c>
      <c r="B12" s="1" t="s">
        <v>52</v>
      </c>
      <c r="C12" s="1">
        <v>1</v>
      </c>
      <c r="D12" s="1">
        <v>2</v>
      </c>
      <c r="E12" s="1">
        <v>-1</v>
      </c>
      <c r="F12" s="1" t="s">
        <v>111</v>
      </c>
      <c r="G12" s="1" t="s">
        <v>60</v>
      </c>
    </row>
    <row r="13" spans="1:21" x14ac:dyDescent="0.25">
      <c r="A13" s="1" t="s">
        <v>58</v>
      </c>
      <c r="B13" s="1" t="s">
        <v>52</v>
      </c>
      <c r="C13" s="1">
        <v>1</v>
      </c>
      <c r="D13" s="1">
        <v>2</v>
      </c>
      <c r="E13" s="1">
        <v>-1</v>
      </c>
      <c r="F13" s="1" t="s">
        <v>87</v>
      </c>
      <c r="G13" s="1" t="s">
        <v>60</v>
      </c>
    </row>
    <row r="14" spans="1:21" x14ac:dyDescent="0.25">
      <c r="A14" s="1" t="s">
        <v>58</v>
      </c>
      <c r="B14" s="1" t="s">
        <v>52</v>
      </c>
      <c r="C14" s="1">
        <v>1</v>
      </c>
      <c r="D14" s="1">
        <v>4</v>
      </c>
      <c r="E14" s="1">
        <v>-1</v>
      </c>
      <c r="F14" s="1" t="s">
        <v>111</v>
      </c>
      <c r="G14" s="1" t="s">
        <v>59</v>
      </c>
    </row>
    <row r="15" spans="1:21" x14ac:dyDescent="0.25">
      <c r="A15" s="1" t="s">
        <v>58</v>
      </c>
      <c r="B15" s="1" t="s">
        <v>52</v>
      </c>
      <c r="C15" s="1">
        <v>1</v>
      </c>
      <c r="D15" s="1">
        <v>4</v>
      </c>
      <c r="E15" s="1">
        <v>-1</v>
      </c>
      <c r="F15" s="1" t="s">
        <v>87</v>
      </c>
      <c r="G15"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0" t="s">
        <v>61</v>
      </c>
      <c r="B1" s="11"/>
      <c r="C1" s="11"/>
      <c r="D1" s="11"/>
      <c r="E1" s="11"/>
      <c r="F1" s="11"/>
      <c r="G1" s="11"/>
      <c r="H1" s="11"/>
      <c r="I1" s="11"/>
      <c r="J1" s="11"/>
      <c r="K1" s="11"/>
      <c r="L1" s="11"/>
      <c r="M1" s="11"/>
      <c r="N1" s="11"/>
      <c r="O1" s="11"/>
      <c r="P1" s="11"/>
      <c r="Q1" s="11"/>
      <c r="R1" s="11"/>
      <c r="S1" s="11"/>
      <c r="T1" s="11"/>
      <c r="U1" s="12"/>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1">
        <v>1</v>
      </c>
      <c r="B4" s="1">
        <v>2</v>
      </c>
      <c r="C4" s="1" t="s">
        <v>60</v>
      </c>
      <c r="D4" s="1">
        <v>1</v>
      </c>
      <c r="E4" s="1">
        <v>1</v>
      </c>
      <c r="F4" s="1">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10" t="s">
        <v>72</v>
      </c>
      <c r="B1" s="11"/>
      <c r="C1" s="11"/>
      <c r="D1" s="11"/>
      <c r="E1" s="11"/>
      <c r="F1" s="11"/>
      <c r="G1" s="11"/>
      <c r="H1" s="11"/>
      <c r="I1" s="11"/>
      <c r="J1" s="11"/>
      <c r="K1" s="11"/>
      <c r="L1" s="11"/>
      <c r="M1" s="11"/>
      <c r="N1" s="11"/>
      <c r="O1" s="11"/>
      <c r="P1" s="11"/>
      <c r="Q1" s="11"/>
      <c r="R1" s="11"/>
      <c r="S1" s="11"/>
      <c r="T1" s="11"/>
      <c r="U1" s="12"/>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3" t="s">
        <v>407</v>
      </c>
      <c r="B1" s="14"/>
      <c r="C1" s="14"/>
      <c r="D1" s="14"/>
      <c r="E1" s="14"/>
      <c r="F1" s="14"/>
      <c r="G1" s="14"/>
      <c r="H1" s="14"/>
      <c r="I1" s="14"/>
      <c r="J1" s="14"/>
      <c r="K1" s="14"/>
      <c r="L1" s="14"/>
      <c r="M1" s="14"/>
      <c r="N1" s="14"/>
      <c r="O1" s="14"/>
      <c r="P1" s="14"/>
      <c r="Q1" s="14"/>
      <c r="R1" s="14"/>
      <c r="S1" s="14"/>
      <c r="T1" s="14"/>
      <c r="U1" s="14"/>
    </row>
    <row r="2" spans="1:21" x14ac:dyDescent="0.25">
      <c r="A2" s="9" t="s">
        <v>4</v>
      </c>
      <c r="B2" s="9" t="s">
        <v>6</v>
      </c>
      <c r="C2" t="s">
        <v>47</v>
      </c>
      <c r="D2" t="s">
        <v>131</v>
      </c>
      <c r="E2" t="s">
        <v>42</v>
      </c>
      <c r="F2" t="s">
        <v>132</v>
      </c>
      <c r="G2" t="s">
        <v>133</v>
      </c>
    </row>
    <row r="3" spans="1:21" x14ac:dyDescent="0.25">
      <c r="A3" s="1">
        <v>1900</v>
      </c>
      <c r="B3">
        <v>2050</v>
      </c>
      <c r="C3" s="2" t="s">
        <v>111</v>
      </c>
      <c r="D3" s="2">
        <v>1</v>
      </c>
      <c r="E3" s="2">
        <v>1</v>
      </c>
      <c r="F3" s="2">
        <v>1</v>
      </c>
      <c r="G3" s="1" t="s">
        <v>408</v>
      </c>
      <c r="H3" s="1"/>
    </row>
    <row r="4" spans="1:21" x14ac:dyDescent="0.25">
      <c r="A4" s="1">
        <v>1900</v>
      </c>
      <c r="B4">
        <v>2050</v>
      </c>
      <c r="C4" s="2" t="s">
        <v>87</v>
      </c>
      <c r="D4" s="2">
        <v>1</v>
      </c>
      <c r="E4" s="2">
        <v>1</v>
      </c>
      <c r="F4" s="1">
        <v>1</v>
      </c>
      <c r="G4" s="1" t="s">
        <v>409</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0" t="s">
        <v>410</v>
      </c>
      <c r="B1" s="11"/>
      <c r="C1" s="11"/>
      <c r="D1" s="11"/>
      <c r="E1" s="11"/>
      <c r="F1" s="11"/>
      <c r="G1" s="11"/>
      <c r="H1" s="11"/>
      <c r="I1" s="11"/>
      <c r="J1" s="11"/>
      <c r="K1" s="11"/>
      <c r="L1" s="11"/>
      <c r="M1" s="11"/>
      <c r="N1" s="11"/>
      <c r="O1" s="11"/>
      <c r="P1" s="11"/>
      <c r="Q1" s="11"/>
      <c r="R1" s="11"/>
      <c r="S1" s="11"/>
      <c r="T1" s="11"/>
      <c r="U1" s="12"/>
    </row>
    <row r="3" spans="1:41" x14ac:dyDescent="0.25">
      <c r="A3" s="1" t="s">
        <v>411</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412</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Q1000"/>
  <sheetViews>
    <sheetView workbookViewId="0">
      <selection sqref="A1:U1"/>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10" t="s">
        <v>139</v>
      </c>
      <c r="B1" s="11"/>
      <c r="C1" s="11"/>
      <c r="D1" s="11"/>
      <c r="E1" s="11"/>
      <c r="F1" s="11"/>
      <c r="G1" s="11"/>
      <c r="H1" s="11"/>
      <c r="I1" s="11"/>
      <c r="J1" s="11"/>
      <c r="K1" s="11"/>
      <c r="L1" s="11"/>
      <c r="M1" s="11"/>
      <c r="N1" s="11"/>
      <c r="O1" s="11"/>
      <c r="P1" s="11"/>
      <c r="Q1" s="11"/>
      <c r="R1" s="11"/>
      <c r="S1" s="11"/>
      <c r="T1" s="11"/>
      <c r="U1" s="12"/>
      <c r="V1" s="3" t="e">
        <f>1+(MAX(area!C3:C28)-1)+MAX(#REF!)*(dynamics!B9+3)</f>
        <v>#REF!</v>
      </c>
      <c r="W1" s="4">
        <f>COUNT(A3:A35)</f>
        <v>5</v>
      </c>
      <c r="X1" s="1" t="s">
        <v>140</v>
      </c>
    </row>
    <row r="2" spans="1:43" x14ac:dyDescent="0.25">
      <c r="A2" s="1" t="s">
        <v>141</v>
      </c>
      <c r="B2" s="1" t="s">
        <v>74</v>
      </c>
      <c r="C2" s="1" t="s">
        <v>125</v>
      </c>
      <c r="D2" s="1" t="s">
        <v>126</v>
      </c>
      <c r="E2" s="1" t="s">
        <v>127</v>
      </c>
      <c r="F2" s="1" t="s">
        <v>67</v>
      </c>
      <c r="H2" s="1" t="s">
        <v>142</v>
      </c>
      <c r="I2" s="1" t="s">
        <v>143</v>
      </c>
      <c r="J2" s="1" t="s">
        <v>144</v>
      </c>
      <c r="K2" s="1" t="s">
        <v>145</v>
      </c>
      <c r="L2" s="1" t="s">
        <v>146</v>
      </c>
      <c r="M2" s="1" t="s">
        <v>147</v>
      </c>
      <c r="N2" s="1" t="s">
        <v>148</v>
      </c>
      <c r="O2" s="1" t="s">
        <v>149</v>
      </c>
      <c r="P2" s="1" t="s">
        <v>150</v>
      </c>
      <c r="Q2" s="1" t="s">
        <v>151</v>
      </c>
      <c r="R2" s="1" t="s">
        <v>152</v>
      </c>
      <c r="S2" s="1" t="s">
        <v>153</v>
      </c>
      <c r="T2" s="1" t="s">
        <v>154</v>
      </c>
      <c r="U2" s="1" t="s">
        <v>155</v>
      </c>
      <c r="V2" s="1" t="s">
        <v>156</v>
      </c>
      <c r="W2" s="1" t="s">
        <v>157</v>
      </c>
      <c r="X2" s="1" t="s">
        <v>158</v>
      </c>
      <c r="Y2" s="1" t="s">
        <v>159</v>
      </c>
      <c r="Z2" s="1" t="s">
        <v>160</v>
      </c>
      <c r="AA2" s="1" t="s">
        <v>161</v>
      </c>
      <c r="AB2" s="1" t="s">
        <v>162</v>
      </c>
      <c r="AC2" s="1" t="s">
        <v>163</v>
      </c>
      <c r="AD2" s="1" t="s">
        <v>164</v>
      </c>
      <c r="AE2" s="1" t="s">
        <v>165</v>
      </c>
      <c r="AF2" s="1" t="s">
        <v>166</v>
      </c>
      <c r="AG2" s="1" t="s">
        <v>167</v>
      </c>
      <c r="AH2" s="1" t="s">
        <v>168</v>
      </c>
      <c r="AI2" s="1" t="s">
        <v>169</v>
      </c>
      <c r="AJ2" s="1" t="s">
        <v>170</v>
      </c>
      <c r="AK2" s="1" t="s">
        <v>171</v>
      </c>
      <c r="AL2" s="1" t="s">
        <v>172</v>
      </c>
      <c r="AM2" s="1" t="s">
        <v>173</v>
      </c>
      <c r="AN2" s="1" t="s">
        <v>174</v>
      </c>
      <c r="AO2" s="1" t="s">
        <v>175</v>
      </c>
      <c r="AP2" s="1" t="s">
        <v>176</v>
      </c>
      <c r="AQ2" s="1" t="s">
        <v>177</v>
      </c>
    </row>
    <row r="3" spans="1:43" x14ac:dyDescent="0.25">
      <c r="A3" s="1">
        <v>1</v>
      </c>
      <c r="B3" s="1">
        <v>-1</v>
      </c>
      <c r="C3" s="1">
        <v>1</v>
      </c>
      <c r="D3" s="1">
        <v>0</v>
      </c>
      <c r="E3" s="1">
        <v>-2</v>
      </c>
      <c r="F3" s="1" t="s">
        <v>178</v>
      </c>
    </row>
    <row r="4" spans="1:43" x14ac:dyDescent="0.25">
      <c r="A4" s="1">
        <v>1</v>
      </c>
      <c r="B4" s="1">
        <v>30</v>
      </c>
      <c r="C4" s="1">
        <v>70</v>
      </c>
      <c r="D4" s="1">
        <v>60</v>
      </c>
      <c r="E4" s="1">
        <v>3</v>
      </c>
      <c r="F4" s="1" t="s">
        <v>179</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5">
        <v>6.7980097010256202E-5</v>
      </c>
      <c r="AA4" s="5">
        <v>1.3128230712311499E-5</v>
      </c>
      <c r="AB4" s="5">
        <v>2.1644174259538599E-6</v>
      </c>
      <c r="AC4" s="5">
        <v>3.0462500133499001E-7</v>
      </c>
      <c r="AD4" s="5">
        <v>3.6598072794546998E-8</v>
      </c>
      <c r="AE4" s="5">
        <v>3.7531577845584302E-9</v>
      </c>
      <c r="AF4" s="5">
        <v>3.2851754649953999E-10</v>
      </c>
      <c r="AG4" s="5">
        <v>2.4542701204666199E-11</v>
      </c>
      <c r="AH4" s="5">
        <v>1.5647483309067001E-12</v>
      </c>
      <c r="AI4" s="5">
        <v>8.5154105988749494E-14</v>
      </c>
      <c r="AJ4" s="5">
        <v>3.9968028886505604E-15</v>
      </c>
      <c r="AK4" s="5">
        <v>1.11022302462516E-16</v>
      </c>
      <c r="AL4" s="1">
        <v>0</v>
      </c>
      <c r="AM4" s="1">
        <v>0</v>
      </c>
      <c r="AN4" s="1">
        <v>0</v>
      </c>
      <c r="AO4" s="1">
        <v>0</v>
      </c>
      <c r="AP4" s="1">
        <v>0</v>
      </c>
      <c r="AQ4" s="1">
        <v>0</v>
      </c>
    </row>
    <row r="5" spans="1:43" x14ac:dyDescent="0.25">
      <c r="A5" s="1">
        <v>1</v>
      </c>
      <c r="B5" s="1">
        <v>0.5</v>
      </c>
      <c r="C5" s="1">
        <v>10</v>
      </c>
      <c r="D5" s="1">
        <v>0.50800000000000001</v>
      </c>
      <c r="E5" s="1">
        <v>3</v>
      </c>
      <c r="F5" s="1" t="s">
        <v>180</v>
      </c>
    </row>
    <row r="6" spans="1:43" x14ac:dyDescent="0.25">
      <c r="A6" s="1">
        <v>1</v>
      </c>
      <c r="B6" s="1">
        <v>30</v>
      </c>
      <c r="C6" s="1">
        <v>70</v>
      </c>
      <c r="D6" s="1">
        <v>60</v>
      </c>
      <c r="E6" s="1">
        <v>3</v>
      </c>
      <c r="F6" s="1" t="s">
        <v>181</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5">
        <v>6.7980097010256202E-5</v>
      </c>
      <c r="AA6" s="5">
        <v>1.3128230712311499E-5</v>
      </c>
      <c r="AB6" s="5">
        <v>2.1644174259538599E-6</v>
      </c>
      <c r="AC6" s="5">
        <v>3.0462500133499001E-7</v>
      </c>
      <c r="AD6" s="5">
        <v>3.6598072794546998E-8</v>
      </c>
      <c r="AE6" s="5">
        <v>3.7531577845584302E-9</v>
      </c>
      <c r="AF6" s="5">
        <v>3.2851754649953999E-10</v>
      </c>
      <c r="AG6" s="5">
        <v>2.4542701204666199E-11</v>
      </c>
      <c r="AH6" s="5">
        <v>1.5647483309067001E-12</v>
      </c>
      <c r="AI6" s="5">
        <v>8.5154105988749494E-14</v>
      </c>
      <c r="AJ6" s="5">
        <v>3.9968028886505604E-15</v>
      </c>
      <c r="AK6" s="5">
        <v>1.11022302462516E-16</v>
      </c>
      <c r="AL6" s="1">
        <v>0</v>
      </c>
      <c r="AM6" s="1">
        <v>0</v>
      </c>
      <c r="AN6" s="1">
        <v>0</v>
      </c>
      <c r="AO6" s="1">
        <v>0</v>
      </c>
      <c r="AP6" s="1">
        <v>0</v>
      </c>
      <c r="AQ6" s="1">
        <v>0</v>
      </c>
    </row>
    <row r="7" spans="1:43" x14ac:dyDescent="0.25">
      <c r="A7" s="1">
        <v>1</v>
      </c>
      <c r="B7" s="1">
        <v>0.5</v>
      </c>
      <c r="C7" s="1">
        <v>10</v>
      </c>
      <c r="D7" s="1">
        <v>0.50800000000000001</v>
      </c>
      <c r="E7" s="1">
        <v>3</v>
      </c>
      <c r="F7" s="1" t="s">
        <v>182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10" t="s">
        <v>134</v>
      </c>
      <c r="B1" s="11"/>
      <c r="C1" s="11"/>
      <c r="D1" s="11"/>
      <c r="E1" s="11"/>
      <c r="F1" s="11"/>
      <c r="G1" s="11"/>
      <c r="H1" s="11"/>
      <c r="I1" s="11"/>
      <c r="J1" s="11"/>
      <c r="K1" s="11"/>
      <c r="L1" s="11"/>
      <c r="M1" s="11"/>
      <c r="N1" s="11"/>
      <c r="O1" s="11"/>
      <c r="P1" s="11"/>
      <c r="Q1" s="11"/>
      <c r="R1" s="11"/>
      <c r="S1" s="11"/>
      <c r="T1" s="11"/>
      <c r="U1" s="12"/>
    </row>
    <row r="2" spans="1:21" x14ac:dyDescent="0.25">
      <c r="A2" s="1" t="s">
        <v>131</v>
      </c>
      <c r="B2" s="1" t="s">
        <v>106</v>
      </c>
      <c r="C2" s="1" t="s">
        <v>135</v>
      </c>
      <c r="D2" s="1" t="s">
        <v>136</v>
      </c>
      <c r="E2" s="1" t="s">
        <v>137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0" t="s">
        <v>138</v>
      </c>
      <c r="B1" s="11"/>
      <c r="C1" s="11"/>
      <c r="D1" s="11"/>
      <c r="E1" s="11"/>
      <c r="F1" s="11"/>
      <c r="G1" s="11"/>
      <c r="H1" s="11"/>
      <c r="I1" s="11"/>
      <c r="J1" s="11"/>
      <c r="K1" s="11"/>
      <c r="L1" s="11"/>
      <c r="M1" s="11"/>
      <c r="N1" s="11"/>
      <c r="O1" s="11"/>
      <c r="P1" s="11"/>
      <c r="Q1" s="11"/>
      <c r="R1" s="11"/>
      <c r="S1" s="11"/>
      <c r="T1" s="11"/>
      <c r="U1" s="12"/>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10" t="s">
        <v>183</v>
      </c>
      <c r="B1" s="11"/>
      <c r="C1" s="11"/>
      <c r="D1" s="11"/>
      <c r="E1" s="11"/>
      <c r="F1" s="11"/>
      <c r="G1" s="11"/>
      <c r="H1" s="11"/>
      <c r="I1" s="11"/>
      <c r="J1" s="11"/>
      <c r="K1" s="11"/>
      <c r="L1" s="11"/>
      <c r="M1" s="11"/>
      <c r="N1" s="11"/>
      <c r="O1" s="11"/>
      <c r="P1" s="11"/>
      <c r="Q1" s="11"/>
      <c r="R1" s="11"/>
      <c r="S1" s="12"/>
    </row>
    <row r="2" spans="1:19" x14ac:dyDescent="0.25">
      <c r="A2" s="1" t="s">
        <v>184</v>
      </c>
      <c r="B2" s="1" t="s">
        <v>185</v>
      </c>
      <c r="C2" s="1" t="s">
        <v>186</v>
      </c>
      <c r="D2" s="1" t="s">
        <v>187</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1000"/>
  <sheetViews>
    <sheetView workbookViewId="0">
      <selection activeCell="D6" sqref="D6"/>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5" t="s">
        <v>307</v>
      </c>
      <c r="B1" s="14"/>
      <c r="C1" s="14"/>
      <c r="D1" s="14"/>
      <c r="E1" s="14"/>
      <c r="F1" s="14"/>
      <c r="G1" s="14"/>
      <c r="H1" s="14"/>
      <c r="I1" s="14"/>
      <c r="J1" s="14"/>
      <c r="K1" s="14"/>
      <c r="L1" s="14"/>
      <c r="M1" s="14"/>
      <c r="N1" s="14"/>
      <c r="O1" s="14"/>
      <c r="P1" s="14"/>
      <c r="Q1" s="14"/>
      <c r="R1" s="14"/>
      <c r="S1" s="14"/>
    </row>
    <row r="2" spans="1:46" ht="15" customHeight="1" x14ac:dyDescent="0.25">
      <c r="A2" t="s">
        <v>308</v>
      </c>
      <c r="B2">
        <v>0</v>
      </c>
    </row>
    <row r="3" spans="1:46" x14ac:dyDescent="0.25">
      <c r="A3" t="s">
        <v>309</v>
      </c>
      <c r="B3">
        <v>0.95</v>
      </c>
    </row>
    <row r="4" spans="1:46" ht="15" customHeight="1" x14ac:dyDescent="0.25">
      <c r="A4" t="s">
        <v>310</v>
      </c>
      <c r="B4">
        <v>0.05</v>
      </c>
    </row>
    <row r="5" spans="1:46" ht="15" customHeight="1" x14ac:dyDescent="0.25">
      <c r="A5" t="s">
        <v>311</v>
      </c>
      <c r="B5">
        <v>2</v>
      </c>
    </row>
    <row r="6" spans="1:46" ht="15" customHeight="1" x14ac:dyDescent="0.25">
      <c r="A6" t="s">
        <v>312</v>
      </c>
      <c r="B6">
        <v>0.7</v>
      </c>
      <c r="C6">
        <v>1</v>
      </c>
    </row>
    <row r="7" spans="1:46" ht="15" customHeight="1" x14ac:dyDescent="0.25">
      <c r="A7" t="s">
        <v>313</v>
      </c>
      <c r="B7">
        <v>1</v>
      </c>
      <c r="C7">
        <v>1</v>
      </c>
    </row>
    <row r="8" spans="1:46" ht="15" customHeight="1" x14ac:dyDescent="0.25">
      <c r="A8" t="s">
        <v>314</v>
      </c>
      <c r="B8">
        <v>2</v>
      </c>
    </row>
    <row r="9" spans="1:46" ht="15" customHeight="1" x14ac:dyDescent="0.25">
      <c r="A9" t="s">
        <v>315</v>
      </c>
      <c r="B9">
        <v>2</v>
      </c>
    </row>
    <row r="11" spans="1:46" ht="15" customHeight="1" x14ac:dyDescent="0.25">
      <c r="A11" t="s">
        <v>316</v>
      </c>
    </row>
    <row r="12" spans="1:46" ht="15" customHeight="1" x14ac:dyDescent="0.25">
      <c r="A12" t="s">
        <v>189</v>
      </c>
      <c r="B12" t="s">
        <v>317</v>
      </c>
      <c r="C12" t="s">
        <v>204</v>
      </c>
      <c r="D12" t="s">
        <v>191</v>
      </c>
      <c r="E12" t="s">
        <v>318</v>
      </c>
      <c r="F12" t="s">
        <v>319</v>
      </c>
      <c r="G12" t="s">
        <v>320</v>
      </c>
      <c r="H12" t="s">
        <v>321</v>
      </c>
      <c r="I12" t="s">
        <v>322</v>
      </c>
      <c r="J12" t="s">
        <v>323</v>
      </c>
      <c r="K12" t="s">
        <v>324</v>
      </c>
      <c r="L12" t="s">
        <v>325</v>
      </c>
      <c r="M12" t="s">
        <v>326</v>
      </c>
      <c r="N12" t="s">
        <v>327</v>
      </c>
      <c r="O12" t="s">
        <v>328</v>
      </c>
      <c r="P12" t="s">
        <v>329</v>
      </c>
      <c r="Q12" t="s">
        <v>330</v>
      </c>
      <c r="R12" t="s">
        <v>331</v>
      </c>
      <c r="S12" t="s">
        <v>332</v>
      </c>
      <c r="T12" t="s">
        <v>333</v>
      </c>
      <c r="U12" t="s">
        <v>334</v>
      </c>
      <c r="V12" t="s">
        <v>335</v>
      </c>
      <c r="W12" t="s">
        <v>336</v>
      </c>
      <c r="X12" t="s">
        <v>337</v>
      </c>
      <c r="Y12" t="s">
        <v>338</v>
      </c>
      <c r="Z12" t="s">
        <v>339</v>
      </c>
      <c r="AA12" t="s">
        <v>340</v>
      </c>
      <c r="AB12" t="s">
        <v>341</v>
      </c>
      <c r="AC12" t="s">
        <v>342</v>
      </c>
      <c r="AD12" t="s">
        <v>343</v>
      </c>
      <c r="AE12" t="s">
        <v>344</v>
      </c>
      <c r="AF12" t="s">
        <v>345</v>
      </c>
      <c r="AG12" t="s">
        <v>346</v>
      </c>
      <c r="AH12" t="s">
        <v>347</v>
      </c>
      <c r="AI12" t="s">
        <v>348</v>
      </c>
      <c r="AJ12" t="s">
        <v>349</v>
      </c>
      <c r="AK12" t="s">
        <v>350</v>
      </c>
      <c r="AL12" t="s">
        <v>351</v>
      </c>
      <c r="AM12" t="s">
        <v>352</v>
      </c>
      <c r="AN12" t="s">
        <v>353</v>
      </c>
      <c r="AO12" t="s">
        <v>354</v>
      </c>
      <c r="AP12" t="s">
        <v>355</v>
      </c>
      <c r="AQ12" t="s">
        <v>356</v>
      </c>
      <c r="AR12" t="s">
        <v>357</v>
      </c>
      <c r="AS12" t="s">
        <v>358</v>
      </c>
      <c r="AT12" t="s">
        <v>359</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6"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6"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6" ht="15.75" customHeight="1" x14ac:dyDescent="0.25">
      <c r="A35">
        <v>1</v>
      </c>
      <c r="B35">
        <v>2</v>
      </c>
      <c r="C35">
        <v>2001</v>
      </c>
      <c r="D35">
        <v>1</v>
      </c>
      <c r="E35">
        <v>11</v>
      </c>
      <c r="F35">
        <v>0</v>
      </c>
      <c r="G35">
        <v>0</v>
      </c>
      <c r="H35">
        <v>0</v>
      </c>
      <c r="I35">
        <v>1</v>
      </c>
      <c r="J35">
        <v>0</v>
      </c>
      <c r="K35">
        <v>0</v>
      </c>
      <c r="L35">
        <v>0</v>
      </c>
      <c r="M35">
        <v>0</v>
      </c>
      <c r="N35">
        <v>0</v>
      </c>
      <c r="O35">
        <v>0</v>
      </c>
      <c r="P35">
        <v>0</v>
      </c>
      <c r="Q35">
        <v>0</v>
      </c>
      <c r="R35">
        <v>0</v>
      </c>
      <c r="S35">
        <v>0</v>
      </c>
      <c r="T35">
        <v>0</v>
      </c>
      <c r="U35">
        <v>0</v>
      </c>
      <c r="V35">
        <v>0</v>
      </c>
      <c r="W35">
        <v>0</v>
      </c>
      <c r="X35">
        <v>0</v>
      </c>
      <c r="Y35">
        <v>0</v>
      </c>
      <c r="Z35">
        <v>0</v>
      </c>
      <c r="AA35">
        <v>0</v>
      </c>
      <c r="AB35">
        <v>0</v>
      </c>
      <c r="AC35">
        <v>0</v>
      </c>
      <c r="AD35">
        <v>3</v>
      </c>
      <c r="AE35">
        <v>1</v>
      </c>
      <c r="AF35">
        <v>0</v>
      </c>
      <c r="AG35">
        <v>1</v>
      </c>
      <c r="AH35">
        <v>3</v>
      </c>
      <c r="AI35">
        <v>0</v>
      </c>
      <c r="AJ35">
        <v>0</v>
      </c>
      <c r="AK35">
        <v>0</v>
      </c>
      <c r="AL35">
        <v>0</v>
      </c>
      <c r="AM35">
        <v>1</v>
      </c>
      <c r="AN35">
        <v>1</v>
      </c>
      <c r="AO35">
        <v>0</v>
      </c>
      <c r="AP35">
        <v>0</v>
      </c>
      <c r="AQ35">
        <v>0</v>
      </c>
      <c r="AR35">
        <v>0</v>
      </c>
      <c r="AS35">
        <v>0</v>
      </c>
      <c r="AT35">
        <v>0</v>
      </c>
    </row>
    <row r="36" spans="1:46" ht="15.75" customHeight="1" x14ac:dyDescent="0.25">
      <c r="A36">
        <v>1</v>
      </c>
      <c r="B36">
        <v>2</v>
      </c>
      <c r="C36">
        <v>2003</v>
      </c>
      <c r="D36">
        <v>5</v>
      </c>
      <c r="E36">
        <v>243</v>
      </c>
      <c r="F36">
        <v>0</v>
      </c>
      <c r="G36">
        <v>0</v>
      </c>
      <c r="H36">
        <v>0</v>
      </c>
      <c r="I36">
        <v>0</v>
      </c>
      <c r="J36">
        <v>0</v>
      </c>
      <c r="K36">
        <v>0</v>
      </c>
      <c r="L36">
        <v>1</v>
      </c>
      <c r="M36">
        <v>25</v>
      </c>
      <c r="N36">
        <v>30</v>
      </c>
      <c r="O36">
        <v>34</v>
      </c>
      <c r="P36">
        <v>36</v>
      </c>
      <c r="Q36">
        <v>35</v>
      </c>
      <c r="R36">
        <v>35</v>
      </c>
      <c r="S36">
        <v>25</v>
      </c>
      <c r="T36">
        <v>13</v>
      </c>
      <c r="U36">
        <v>5</v>
      </c>
      <c r="V36">
        <v>1</v>
      </c>
      <c r="W36">
        <v>1</v>
      </c>
      <c r="X36">
        <v>0</v>
      </c>
      <c r="Y36">
        <v>2</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row>
    <row r="37" spans="1:46" ht="15.75" customHeight="1" x14ac:dyDescent="0.25">
      <c r="A37">
        <v>1</v>
      </c>
      <c r="B37">
        <v>2</v>
      </c>
      <c r="C37">
        <v>2004</v>
      </c>
      <c r="D37">
        <v>6</v>
      </c>
      <c r="E37">
        <v>215</v>
      </c>
      <c r="F37">
        <v>0</v>
      </c>
      <c r="G37">
        <v>0</v>
      </c>
      <c r="H37">
        <v>0</v>
      </c>
      <c r="I37">
        <v>0</v>
      </c>
      <c r="J37">
        <v>0</v>
      </c>
      <c r="K37">
        <v>0</v>
      </c>
      <c r="L37">
        <v>0</v>
      </c>
      <c r="M37">
        <v>0</v>
      </c>
      <c r="N37">
        <v>3</v>
      </c>
      <c r="O37">
        <v>13</v>
      </c>
      <c r="P37">
        <v>50</v>
      </c>
      <c r="Q37">
        <v>54</v>
      </c>
      <c r="R37">
        <v>95</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row>
    <row r="38" spans="1:46" ht="15.75" customHeight="1" x14ac:dyDescent="0.25">
      <c r="A38">
        <v>1</v>
      </c>
      <c r="B38">
        <v>2</v>
      </c>
      <c r="C38">
        <v>2005</v>
      </c>
      <c r="D38">
        <v>5</v>
      </c>
      <c r="E38">
        <v>194</v>
      </c>
      <c r="F38">
        <v>0</v>
      </c>
      <c r="G38">
        <v>0</v>
      </c>
      <c r="H38">
        <v>0</v>
      </c>
      <c r="I38">
        <v>0</v>
      </c>
      <c r="J38">
        <v>0</v>
      </c>
      <c r="K38">
        <v>0</v>
      </c>
      <c r="L38">
        <v>2</v>
      </c>
      <c r="M38">
        <v>23</v>
      </c>
      <c r="N38">
        <v>21</v>
      </c>
      <c r="O38">
        <v>18</v>
      </c>
      <c r="P38">
        <v>22</v>
      </c>
      <c r="Q38">
        <v>27</v>
      </c>
      <c r="R38">
        <v>36</v>
      </c>
      <c r="S38">
        <v>26</v>
      </c>
      <c r="T38">
        <v>13</v>
      </c>
      <c r="U38">
        <v>1</v>
      </c>
      <c r="V38">
        <v>1</v>
      </c>
      <c r="W38">
        <v>1</v>
      </c>
      <c r="X38">
        <v>1</v>
      </c>
      <c r="Y38">
        <v>0</v>
      </c>
      <c r="Z38">
        <v>2</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row>
    <row r="39" spans="1:46" ht="15.75" customHeight="1" x14ac:dyDescent="0.25">
      <c r="A39">
        <v>1</v>
      </c>
      <c r="B39">
        <v>2</v>
      </c>
      <c r="C39">
        <v>2006</v>
      </c>
      <c r="D39">
        <v>5</v>
      </c>
      <c r="E39">
        <v>2</v>
      </c>
      <c r="F39">
        <v>0</v>
      </c>
      <c r="G39">
        <v>0</v>
      </c>
      <c r="H39">
        <v>0</v>
      </c>
      <c r="I39">
        <v>0</v>
      </c>
      <c r="J39">
        <v>0</v>
      </c>
      <c r="K39">
        <v>0</v>
      </c>
      <c r="L39">
        <v>0</v>
      </c>
      <c r="M39">
        <v>0</v>
      </c>
      <c r="N39">
        <v>0</v>
      </c>
      <c r="O39">
        <v>0</v>
      </c>
      <c r="P39">
        <v>0</v>
      </c>
      <c r="Q39">
        <v>0</v>
      </c>
      <c r="R39">
        <v>0</v>
      </c>
      <c r="S39">
        <v>0</v>
      </c>
      <c r="T39">
        <v>1</v>
      </c>
      <c r="U39">
        <v>0</v>
      </c>
      <c r="V39">
        <v>0</v>
      </c>
      <c r="W39">
        <v>0</v>
      </c>
      <c r="X39">
        <v>0</v>
      </c>
      <c r="Y39">
        <v>0</v>
      </c>
      <c r="Z39">
        <v>1</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row>
    <row r="40" spans="1:46" ht="15.75" customHeight="1" x14ac:dyDescent="0.25">
      <c r="A40">
        <v>1</v>
      </c>
      <c r="B40">
        <v>2</v>
      </c>
      <c r="C40">
        <v>2007</v>
      </c>
      <c r="D40">
        <v>6</v>
      </c>
      <c r="E40">
        <v>6</v>
      </c>
      <c r="F40">
        <v>0</v>
      </c>
      <c r="G40">
        <v>0</v>
      </c>
      <c r="H40">
        <v>0</v>
      </c>
      <c r="I40">
        <v>0</v>
      </c>
      <c r="J40">
        <v>0</v>
      </c>
      <c r="K40">
        <v>0</v>
      </c>
      <c r="L40">
        <v>0</v>
      </c>
      <c r="M40">
        <v>0</v>
      </c>
      <c r="N40">
        <v>0</v>
      </c>
      <c r="O40">
        <v>0</v>
      </c>
      <c r="P40">
        <v>2</v>
      </c>
      <c r="Q40">
        <v>2</v>
      </c>
      <c r="R40">
        <v>2</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row>
    <row r="41" spans="1:46" ht="15.75" customHeight="1" x14ac:dyDescent="0.25">
      <c r="A41">
        <v>1</v>
      </c>
      <c r="B41">
        <v>2</v>
      </c>
      <c r="C41">
        <v>2008</v>
      </c>
      <c r="D41">
        <v>5</v>
      </c>
      <c r="E41">
        <v>9</v>
      </c>
      <c r="F41">
        <v>0</v>
      </c>
      <c r="G41">
        <v>0</v>
      </c>
      <c r="H41">
        <v>0</v>
      </c>
      <c r="I41">
        <v>0</v>
      </c>
      <c r="J41">
        <v>0</v>
      </c>
      <c r="K41">
        <v>0</v>
      </c>
      <c r="L41">
        <v>0</v>
      </c>
      <c r="M41">
        <v>0</v>
      </c>
      <c r="N41">
        <v>1</v>
      </c>
      <c r="O41">
        <v>0</v>
      </c>
      <c r="P41">
        <v>1</v>
      </c>
      <c r="Q41">
        <v>2</v>
      </c>
      <c r="R41">
        <v>3</v>
      </c>
      <c r="S41">
        <v>2</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row>
    <row r="42" spans="1:46" ht="15.75" customHeight="1" x14ac:dyDescent="0.25">
      <c r="A42">
        <v>1</v>
      </c>
      <c r="B42">
        <v>2</v>
      </c>
      <c r="C42">
        <v>2009</v>
      </c>
      <c r="D42">
        <v>5</v>
      </c>
      <c r="E42">
        <v>769</v>
      </c>
      <c r="F42">
        <v>0</v>
      </c>
      <c r="G42">
        <v>0</v>
      </c>
      <c r="H42">
        <v>1</v>
      </c>
      <c r="I42">
        <v>0</v>
      </c>
      <c r="J42">
        <v>4</v>
      </c>
      <c r="K42">
        <v>6</v>
      </c>
      <c r="L42">
        <v>3</v>
      </c>
      <c r="M42">
        <v>13</v>
      </c>
      <c r="N42">
        <v>19</v>
      </c>
      <c r="O42">
        <v>13</v>
      </c>
      <c r="P42">
        <v>24</v>
      </c>
      <c r="Q42">
        <v>24</v>
      </c>
      <c r="R42">
        <v>21</v>
      </c>
      <c r="S42">
        <v>26</v>
      </c>
      <c r="T42">
        <v>24</v>
      </c>
      <c r="U42">
        <v>34</v>
      </c>
      <c r="V42">
        <v>40</v>
      </c>
      <c r="W42">
        <v>36</v>
      </c>
      <c r="X42">
        <v>47</v>
      </c>
      <c r="Y42">
        <v>52</v>
      </c>
      <c r="Z42">
        <v>64</v>
      </c>
      <c r="AA42">
        <v>60</v>
      </c>
      <c r="AB42">
        <v>57</v>
      </c>
      <c r="AC42">
        <v>40</v>
      </c>
      <c r="AD42">
        <v>39</v>
      </c>
      <c r="AE42">
        <v>22</v>
      </c>
      <c r="AF42">
        <v>18</v>
      </c>
      <c r="AG42">
        <v>26</v>
      </c>
      <c r="AH42">
        <v>16</v>
      </c>
      <c r="AI42">
        <v>16</v>
      </c>
      <c r="AJ42">
        <v>9</v>
      </c>
      <c r="AK42">
        <v>6</v>
      </c>
      <c r="AL42">
        <v>5</v>
      </c>
      <c r="AM42">
        <v>2</v>
      </c>
      <c r="AN42">
        <v>0</v>
      </c>
      <c r="AO42">
        <v>2</v>
      </c>
      <c r="AP42">
        <v>0</v>
      </c>
      <c r="AQ42">
        <v>0</v>
      </c>
      <c r="AR42">
        <v>0</v>
      </c>
      <c r="AS42">
        <v>0</v>
      </c>
      <c r="AT42">
        <v>0</v>
      </c>
    </row>
    <row r="43" spans="1:46" ht="15.75" customHeight="1" x14ac:dyDescent="0.25">
      <c r="A43">
        <v>1</v>
      </c>
      <c r="B43">
        <v>2</v>
      </c>
      <c r="C43">
        <v>2010</v>
      </c>
      <c r="D43">
        <v>5</v>
      </c>
      <c r="E43">
        <v>1394</v>
      </c>
      <c r="F43">
        <v>0</v>
      </c>
      <c r="G43">
        <v>0</v>
      </c>
      <c r="H43">
        <v>0</v>
      </c>
      <c r="I43">
        <v>2</v>
      </c>
      <c r="J43">
        <v>7</v>
      </c>
      <c r="K43">
        <v>7</v>
      </c>
      <c r="L43">
        <v>4</v>
      </c>
      <c r="M43">
        <v>14</v>
      </c>
      <c r="N43">
        <v>19</v>
      </c>
      <c r="O43">
        <v>22</v>
      </c>
      <c r="P43">
        <v>40</v>
      </c>
      <c r="Q43">
        <v>53</v>
      </c>
      <c r="R43">
        <v>80</v>
      </c>
      <c r="S43">
        <v>82</v>
      </c>
      <c r="T43">
        <v>77</v>
      </c>
      <c r="U43">
        <v>101</v>
      </c>
      <c r="V43">
        <v>68</v>
      </c>
      <c r="W43">
        <v>77</v>
      </c>
      <c r="X43">
        <v>60</v>
      </c>
      <c r="Y43">
        <v>70</v>
      </c>
      <c r="Z43">
        <v>68</v>
      </c>
      <c r="AA43">
        <v>64</v>
      </c>
      <c r="AB43">
        <v>68</v>
      </c>
      <c r="AC43">
        <v>53</v>
      </c>
      <c r="AD43">
        <v>52</v>
      </c>
      <c r="AE43">
        <v>52</v>
      </c>
      <c r="AF43">
        <v>51</v>
      </c>
      <c r="AG43">
        <v>35</v>
      </c>
      <c r="AH43">
        <v>36</v>
      </c>
      <c r="AI43">
        <v>35</v>
      </c>
      <c r="AJ43">
        <v>25</v>
      </c>
      <c r="AK43">
        <v>14</v>
      </c>
      <c r="AL43">
        <v>12</v>
      </c>
      <c r="AM43">
        <v>16</v>
      </c>
      <c r="AN43">
        <v>4</v>
      </c>
      <c r="AO43">
        <v>26</v>
      </c>
      <c r="AP43">
        <v>0</v>
      </c>
      <c r="AQ43">
        <v>0</v>
      </c>
      <c r="AR43">
        <v>0</v>
      </c>
      <c r="AS43">
        <v>0</v>
      </c>
      <c r="AT43">
        <v>0</v>
      </c>
    </row>
    <row r="44" spans="1:46" ht="15.75" customHeight="1" x14ac:dyDescent="0.25">
      <c r="A44">
        <v>1</v>
      </c>
      <c r="B44">
        <v>2</v>
      </c>
      <c r="C44">
        <v>2011</v>
      </c>
      <c r="D44">
        <v>5</v>
      </c>
      <c r="E44">
        <v>2589</v>
      </c>
      <c r="F44">
        <v>0</v>
      </c>
      <c r="G44">
        <v>0</v>
      </c>
      <c r="H44">
        <v>0</v>
      </c>
      <c r="I44">
        <v>1</v>
      </c>
      <c r="J44">
        <v>1</v>
      </c>
      <c r="K44">
        <v>0</v>
      </c>
      <c r="L44">
        <v>7</v>
      </c>
      <c r="M44">
        <v>4</v>
      </c>
      <c r="N44">
        <v>15</v>
      </c>
      <c r="O44">
        <v>22</v>
      </c>
      <c r="P44">
        <v>24</v>
      </c>
      <c r="Q44">
        <v>40</v>
      </c>
      <c r="R44">
        <v>65</v>
      </c>
      <c r="S44">
        <v>79</v>
      </c>
      <c r="T44">
        <v>74</v>
      </c>
      <c r="U44">
        <v>102</v>
      </c>
      <c r="V44">
        <v>103</v>
      </c>
      <c r="W44">
        <v>181</v>
      </c>
      <c r="X44">
        <v>195</v>
      </c>
      <c r="Y44">
        <v>197</v>
      </c>
      <c r="Z44">
        <v>206</v>
      </c>
      <c r="AA44">
        <v>181</v>
      </c>
      <c r="AB44">
        <v>216</v>
      </c>
      <c r="AC44">
        <v>172</v>
      </c>
      <c r="AD44">
        <v>140</v>
      </c>
      <c r="AE44">
        <v>110</v>
      </c>
      <c r="AF44">
        <v>102</v>
      </c>
      <c r="AG44">
        <v>87</v>
      </c>
      <c r="AH44">
        <v>61</v>
      </c>
      <c r="AI44">
        <v>46</v>
      </c>
      <c r="AJ44">
        <v>33</v>
      </c>
      <c r="AK44">
        <v>30</v>
      </c>
      <c r="AL44">
        <v>30</v>
      </c>
      <c r="AM44">
        <v>26</v>
      </c>
      <c r="AN44">
        <v>8</v>
      </c>
      <c r="AO44">
        <v>31</v>
      </c>
      <c r="AP44">
        <v>0</v>
      </c>
      <c r="AQ44">
        <v>0</v>
      </c>
      <c r="AR44">
        <v>0</v>
      </c>
      <c r="AS44">
        <v>0</v>
      </c>
      <c r="AT44">
        <v>0</v>
      </c>
    </row>
    <row r="45" spans="1:46" ht="15.75" customHeight="1" x14ac:dyDescent="0.25">
      <c r="A45">
        <v>1</v>
      </c>
      <c r="B45">
        <v>2</v>
      </c>
      <c r="C45">
        <v>2012</v>
      </c>
      <c r="D45">
        <v>4</v>
      </c>
      <c r="E45">
        <v>442</v>
      </c>
      <c r="F45">
        <v>1</v>
      </c>
      <c r="G45">
        <v>0</v>
      </c>
      <c r="H45">
        <v>0</v>
      </c>
      <c r="I45">
        <v>1</v>
      </c>
      <c r="J45">
        <v>0</v>
      </c>
      <c r="K45">
        <v>4</v>
      </c>
      <c r="L45">
        <v>6</v>
      </c>
      <c r="M45">
        <v>4</v>
      </c>
      <c r="N45">
        <v>6</v>
      </c>
      <c r="O45">
        <v>6</v>
      </c>
      <c r="P45">
        <v>2</v>
      </c>
      <c r="Q45">
        <v>2</v>
      </c>
      <c r="R45">
        <v>5</v>
      </c>
      <c r="S45">
        <v>6</v>
      </c>
      <c r="T45">
        <v>22</v>
      </c>
      <c r="U45">
        <v>19</v>
      </c>
      <c r="V45">
        <v>28</v>
      </c>
      <c r="W45">
        <v>32</v>
      </c>
      <c r="X45">
        <v>31</v>
      </c>
      <c r="Y45">
        <v>32</v>
      </c>
      <c r="Z45">
        <v>40</v>
      </c>
      <c r="AA45">
        <v>33</v>
      </c>
      <c r="AB45">
        <v>29</v>
      </c>
      <c r="AC45">
        <v>33</v>
      </c>
      <c r="AD45">
        <v>26</v>
      </c>
      <c r="AE45">
        <v>21</v>
      </c>
      <c r="AF45">
        <v>14</v>
      </c>
      <c r="AG45">
        <v>15</v>
      </c>
      <c r="AH45">
        <v>10</v>
      </c>
      <c r="AI45">
        <v>1</v>
      </c>
      <c r="AJ45">
        <v>5</v>
      </c>
      <c r="AK45">
        <v>5</v>
      </c>
      <c r="AL45">
        <v>1</v>
      </c>
      <c r="AM45">
        <v>1</v>
      </c>
      <c r="AN45">
        <v>0</v>
      </c>
      <c r="AO45">
        <v>1</v>
      </c>
      <c r="AP45">
        <v>0</v>
      </c>
      <c r="AQ45">
        <v>0</v>
      </c>
      <c r="AR45">
        <v>0</v>
      </c>
      <c r="AS45">
        <v>0</v>
      </c>
      <c r="AT45">
        <v>0</v>
      </c>
    </row>
    <row r="46" spans="1:46" ht="15.75" customHeight="1" x14ac:dyDescent="0.25">
      <c r="A46">
        <v>1</v>
      </c>
      <c r="B46">
        <v>2</v>
      </c>
      <c r="C46">
        <v>2012</v>
      </c>
      <c r="D46">
        <v>5</v>
      </c>
      <c r="E46">
        <v>1350</v>
      </c>
      <c r="F46">
        <v>0</v>
      </c>
      <c r="G46">
        <v>0</v>
      </c>
      <c r="H46">
        <v>1</v>
      </c>
      <c r="I46">
        <v>1</v>
      </c>
      <c r="J46">
        <v>4</v>
      </c>
      <c r="K46">
        <v>3</v>
      </c>
      <c r="L46">
        <v>13</v>
      </c>
      <c r="M46">
        <v>19</v>
      </c>
      <c r="N46">
        <v>14</v>
      </c>
      <c r="O46">
        <v>17</v>
      </c>
      <c r="P46">
        <v>17</v>
      </c>
      <c r="Q46">
        <v>17</v>
      </c>
      <c r="R46">
        <v>23</v>
      </c>
      <c r="S46">
        <v>34</v>
      </c>
      <c r="T46">
        <v>36</v>
      </c>
      <c r="U46">
        <v>27</v>
      </c>
      <c r="V46">
        <v>51</v>
      </c>
      <c r="W46">
        <v>69</v>
      </c>
      <c r="X46">
        <v>51</v>
      </c>
      <c r="Y46">
        <v>69</v>
      </c>
      <c r="Z46">
        <v>79</v>
      </c>
      <c r="AA46">
        <v>80</v>
      </c>
      <c r="AB46">
        <v>92</v>
      </c>
      <c r="AC46">
        <v>81</v>
      </c>
      <c r="AD46">
        <v>102</v>
      </c>
      <c r="AE46">
        <v>90</v>
      </c>
      <c r="AF46">
        <v>77</v>
      </c>
      <c r="AG46">
        <v>69</v>
      </c>
      <c r="AH46">
        <v>50</v>
      </c>
      <c r="AI46">
        <v>42</v>
      </c>
      <c r="AJ46">
        <v>38</v>
      </c>
      <c r="AK46">
        <v>24</v>
      </c>
      <c r="AL46">
        <v>14</v>
      </c>
      <c r="AM46">
        <v>13</v>
      </c>
      <c r="AN46">
        <v>9</v>
      </c>
      <c r="AO46">
        <v>24</v>
      </c>
      <c r="AP46">
        <v>0</v>
      </c>
      <c r="AQ46">
        <v>0</v>
      </c>
      <c r="AR46">
        <v>0</v>
      </c>
      <c r="AS46">
        <v>0</v>
      </c>
      <c r="AT46">
        <v>0</v>
      </c>
    </row>
    <row r="47" spans="1:46" ht="15.75" customHeight="1" x14ac:dyDescent="0.25">
      <c r="A47">
        <v>1</v>
      </c>
      <c r="B47">
        <v>2</v>
      </c>
      <c r="C47">
        <v>2013</v>
      </c>
      <c r="D47">
        <v>5</v>
      </c>
      <c r="E47">
        <v>865</v>
      </c>
      <c r="F47">
        <v>0</v>
      </c>
      <c r="G47">
        <v>0</v>
      </c>
      <c r="H47">
        <v>0</v>
      </c>
      <c r="I47">
        <v>1</v>
      </c>
      <c r="J47">
        <v>1</v>
      </c>
      <c r="K47">
        <v>1</v>
      </c>
      <c r="L47">
        <v>5</v>
      </c>
      <c r="M47">
        <v>3</v>
      </c>
      <c r="N47">
        <v>4</v>
      </c>
      <c r="O47">
        <v>8</v>
      </c>
      <c r="P47">
        <v>8</v>
      </c>
      <c r="Q47">
        <v>14</v>
      </c>
      <c r="R47">
        <v>12</v>
      </c>
      <c r="S47">
        <v>16</v>
      </c>
      <c r="T47">
        <v>25</v>
      </c>
      <c r="U47">
        <v>30</v>
      </c>
      <c r="V47">
        <v>57</v>
      </c>
      <c r="W47">
        <v>45</v>
      </c>
      <c r="X47">
        <v>45</v>
      </c>
      <c r="Y47">
        <v>39</v>
      </c>
      <c r="Z47">
        <v>48</v>
      </c>
      <c r="AA47">
        <v>56</v>
      </c>
      <c r="AB47">
        <v>40</v>
      </c>
      <c r="AC47">
        <v>53</v>
      </c>
      <c r="AD47">
        <v>46</v>
      </c>
      <c r="AE47">
        <v>60</v>
      </c>
      <c r="AF47">
        <v>46</v>
      </c>
      <c r="AG47">
        <v>52</v>
      </c>
      <c r="AH47">
        <v>58</v>
      </c>
      <c r="AI47">
        <v>30</v>
      </c>
      <c r="AJ47">
        <v>24</v>
      </c>
      <c r="AK47">
        <v>14</v>
      </c>
      <c r="AL47">
        <v>13</v>
      </c>
      <c r="AM47">
        <v>6</v>
      </c>
      <c r="AN47">
        <v>1</v>
      </c>
      <c r="AO47">
        <v>4</v>
      </c>
      <c r="AP47">
        <v>0</v>
      </c>
      <c r="AQ47">
        <v>0</v>
      </c>
      <c r="AR47">
        <v>0</v>
      </c>
      <c r="AS47">
        <v>0</v>
      </c>
      <c r="AT47">
        <v>0</v>
      </c>
    </row>
    <row r="48" spans="1:46" ht="15.75" customHeight="1" x14ac:dyDescent="0.25">
      <c r="A48">
        <v>1</v>
      </c>
      <c r="B48">
        <v>2</v>
      </c>
      <c r="C48">
        <v>2014</v>
      </c>
      <c r="D48">
        <v>4</v>
      </c>
      <c r="E48">
        <v>102</v>
      </c>
      <c r="F48">
        <v>0</v>
      </c>
      <c r="G48">
        <v>0</v>
      </c>
      <c r="H48">
        <v>0</v>
      </c>
      <c r="I48">
        <v>0</v>
      </c>
      <c r="J48">
        <v>0</v>
      </c>
      <c r="K48">
        <v>0</v>
      </c>
      <c r="L48">
        <v>0</v>
      </c>
      <c r="M48">
        <v>0</v>
      </c>
      <c r="N48">
        <v>0</v>
      </c>
      <c r="O48">
        <v>0</v>
      </c>
      <c r="P48">
        <v>0</v>
      </c>
      <c r="Q48">
        <v>11</v>
      </c>
      <c r="R48">
        <v>35</v>
      </c>
      <c r="S48">
        <v>4</v>
      </c>
      <c r="T48">
        <v>3</v>
      </c>
      <c r="U48">
        <v>3</v>
      </c>
      <c r="V48">
        <v>4</v>
      </c>
      <c r="W48">
        <v>2</v>
      </c>
      <c r="X48">
        <v>6</v>
      </c>
      <c r="Y48">
        <v>5</v>
      </c>
      <c r="Z48">
        <v>6</v>
      </c>
      <c r="AA48">
        <v>7</v>
      </c>
      <c r="AB48">
        <v>3</v>
      </c>
      <c r="AC48">
        <v>6</v>
      </c>
      <c r="AD48">
        <v>1</v>
      </c>
      <c r="AE48">
        <v>1</v>
      </c>
      <c r="AF48">
        <v>1</v>
      </c>
      <c r="AG48">
        <v>1</v>
      </c>
      <c r="AH48">
        <v>0</v>
      </c>
      <c r="AI48">
        <v>0</v>
      </c>
      <c r="AJ48">
        <v>2</v>
      </c>
      <c r="AK48">
        <v>1</v>
      </c>
      <c r="AL48">
        <v>0</v>
      </c>
      <c r="AM48">
        <v>0</v>
      </c>
      <c r="AN48">
        <v>0</v>
      </c>
      <c r="AO48">
        <v>0</v>
      </c>
      <c r="AP48">
        <v>0</v>
      </c>
      <c r="AQ48">
        <v>0</v>
      </c>
      <c r="AR48">
        <v>0</v>
      </c>
      <c r="AS48">
        <v>0</v>
      </c>
      <c r="AT48">
        <v>0</v>
      </c>
    </row>
    <row r="49" spans="1:46" ht="15.75" customHeight="1" x14ac:dyDescent="0.25">
      <c r="A49">
        <v>1</v>
      </c>
      <c r="B49">
        <v>2</v>
      </c>
      <c r="C49">
        <v>2014</v>
      </c>
      <c r="D49">
        <v>5</v>
      </c>
      <c r="E49">
        <v>661</v>
      </c>
      <c r="F49">
        <v>0</v>
      </c>
      <c r="G49">
        <v>0</v>
      </c>
      <c r="H49">
        <v>1</v>
      </c>
      <c r="I49">
        <v>1</v>
      </c>
      <c r="J49">
        <v>5</v>
      </c>
      <c r="K49">
        <v>8</v>
      </c>
      <c r="L49">
        <v>20</v>
      </c>
      <c r="M49">
        <v>13</v>
      </c>
      <c r="N49">
        <v>27</v>
      </c>
      <c r="O49">
        <v>37</v>
      </c>
      <c r="P49">
        <v>42</v>
      </c>
      <c r="Q49">
        <v>47</v>
      </c>
      <c r="R49">
        <v>83</v>
      </c>
      <c r="S49">
        <v>29</v>
      </c>
      <c r="T49">
        <v>22</v>
      </c>
      <c r="U49">
        <v>28</v>
      </c>
      <c r="V49">
        <v>22</v>
      </c>
      <c r="W49">
        <v>22</v>
      </c>
      <c r="X49">
        <v>27</v>
      </c>
      <c r="Y49">
        <v>15</v>
      </c>
      <c r="Z49">
        <v>21</v>
      </c>
      <c r="AA49">
        <v>33</v>
      </c>
      <c r="AB49">
        <v>32</v>
      </c>
      <c r="AC49">
        <v>29</v>
      </c>
      <c r="AD49">
        <v>32</v>
      </c>
      <c r="AE49">
        <v>18</v>
      </c>
      <c r="AF49">
        <v>9</v>
      </c>
      <c r="AG49">
        <v>12</v>
      </c>
      <c r="AH49">
        <v>9</v>
      </c>
      <c r="AI49">
        <v>3</v>
      </c>
      <c r="AJ49">
        <v>3</v>
      </c>
      <c r="AK49">
        <v>4</v>
      </c>
      <c r="AL49">
        <v>1</v>
      </c>
      <c r="AM49">
        <v>1</v>
      </c>
      <c r="AN49">
        <v>3</v>
      </c>
      <c r="AO49">
        <v>2</v>
      </c>
      <c r="AP49">
        <v>0</v>
      </c>
      <c r="AQ49">
        <v>0</v>
      </c>
      <c r="AR49">
        <v>0</v>
      </c>
      <c r="AS49">
        <v>0</v>
      </c>
      <c r="AT49">
        <v>0</v>
      </c>
    </row>
    <row r="50" spans="1:46" ht="15.75" customHeight="1" x14ac:dyDescent="0.25">
      <c r="A50">
        <v>1</v>
      </c>
      <c r="B50">
        <v>2</v>
      </c>
      <c r="C50">
        <v>2015</v>
      </c>
      <c r="D50">
        <v>1</v>
      </c>
      <c r="E50">
        <v>2</v>
      </c>
      <c r="F50">
        <v>0</v>
      </c>
      <c r="G50">
        <v>0</v>
      </c>
      <c r="H50">
        <v>0</v>
      </c>
      <c r="I50">
        <v>0</v>
      </c>
      <c r="J50">
        <v>0</v>
      </c>
      <c r="K50">
        <v>0</v>
      </c>
      <c r="L50">
        <v>0</v>
      </c>
      <c r="M50">
        <v>0</v>
      </c>
      <c r="N50">
        <v>0</v>
      </c>
      <c r="O50">
        <v>0</v>
      </c>
      <c r="P50">
        <v>0</v>
      </c>
      <c r="Q50">
        <v>0</v>
      </c>
      <c r="R50">
        <v>0</v>
      </c>
      <c r="S50">
        <v>0</v>
      </c>
      <c r="T50">
        <v>0</v>
      </c>
      <c r="U50">
        <v>0</v>
      </c>
      <c r="V50">
        <v>0</v>
      </c>
      <c r="W50">
        <v>0</v>
      </c>
      <c r="X50">
        <v>0</v>
      </c>
      <c r="Y50">
        <v>0</v>
      </c>
      <c r="Z50">
        <v>1</v>
      </c>
      <c r="AA50">
        <v>0</v>
      </c>
      <c r="AB50">
        <v>0</v>
      </c>
      <c r="AC50">
        <v>0</v>
      </c>
      <c r="AD50">
        <v>0</v>
      </c>
      <c r="AE50">
        <v>0</v>
      </c>
      <c r="AF50">
        <v>0</v>
      </c>
      <c r="AG50">
        <v>0</v>
      </c>
      <c r="AH50">
        <v>0</v>
      </c>
      <c r="AI50">
        <v>0</v>
      </c>
      <c r="AJ50">
        <v>0</v>
      </c>
      <c r="AK50">
        <v>0</v>
      </c>
      <c r="AL50">
        <v>0</v>
      </c>
      <c r="AM50">
        <v>0</v>
      </c>
      <c r="AN50">
        <v>0</v>
      </c>
      <c r="AO50">
        <v>1</v>
      </c>
      <c r="AP50">
        <v>0</v>
      </c>
      <c r="AQ50">
        <v>0</v>
      </c>
      <c r="AR50">
        <v>0</v>
      </c>
      <c r="AS50">
        <v>0</v>
      </c>
      <c r="AT50">
        <v>0</v>
      </c>
    </row>
    <row r="51" spans="1:46" ht="15.75" customHeight="1" x14ac:dyDescent="0.25">
      <c r="A51">
        <v>1</v>
      </c>
      <c r="B51">
        <v>2</v>
      </c>
      <c r="C51">
        <v>2015</v>
      </c>
      <c r="D51">
        <v>3</v>
      </c>
      <c r="E51">
        <v>5</v>
      </c>
      <c r="F51">
        <v>0</v>
      </c>
      <c r="G51">
        <v>0</v>
      </c>
      <c r="H51">
        <v>0</v>
      </c>
      <c r="I51">
        <v>0</v>
      </c>
      <c r="J51">
        <v>0</v>
      </c>
      <c r="K51">
        <v>0</v>
      </c>
      <c r="L51">
        <v>0</v>
      </c>
      <c r="M51">
        <v>0</v>
      </c>
      <c r="N51">
        <v>0</v>
      </c>
      <c r="O51">
        <v>0</v>
      </c>
      <c r="P51">
        <v>0</v>
      </c>
      <c r="Q51">
        <v>0</v>
      </c>
      <c r="R51">
        <v>2</v>
      </c>
      <c r="S51">
        <v>0</v>
      </c>
      <c r="T51">
        <v>0</v>
      </c>
      <c r="U51">
        <v>0</v>
      </c>
      <c r="V51">
        <v>0</v>
      </c>
      <c r="W51">
        <v>0</v>
      </c>
      <c r="X51">
        <v>0</v>
      </c>
      <c r="Y51">
        <v>0</v>
      </c>
      <c r="Z51">
        <v>0</v>
      </c>
      <c r="AA51">
        <v>0</v>
      </c>
      <c r="AB51">
        <v>0</v>
      </c>
      <c r="AC51">
        <v>0</v>
      </c>
      <c r="AD51">
        <v>0</v>
      </c>
      <c r="AE51">
        <v>0</v>
      </c>
      <c r="AF51">
        <v>1</v>
      </c>
      <c r="AG51">
        <v>1</v>
      </c>
      <c r="AH51">
        <v>1</v>
      </c>
      <c r="AI51">
        <v>0</v>
      </c>
      <c r="AJ51">
        <v>0</v>
      </c>
      <c r="AK51">
        <v>0</v>
      </c>
      <c r="AL51">
        <v>0</v>
      </c>
      <c r="AM51">
        <v>0</v>
      </c>
      <c r="AN51">
        <v>0</v>
      </c>
      <c r="AO51">
        <v>0</v>
      </c>
      <c r="AP51">
        <v>0</v>
      </c>
      <c r="AQ51">
        <v>0</v>
      </c>
      <c r="AR51">
        <v>0</v>
      </c>
      <c r="AS51">
        <v>0</v>
      </c>
      <c r="AT51">
        <v>0</v>
      </c>
    </row>
    <row r="52" spans="1:46" ht="15.75" customHeight="1" x14ac:dyDescent="0.25">
      <c r="A52">
        <v>1</v>
      </c>
      <c r="B52">
        <v>2</v>
      </c>
      <c r="C52">
        <v>2015</v>
      </c>
      <c r="D52">
        <v>4</v>
      </c>
      <c r="E52">
        <v>4</v>
      </c>
      <c r="F52">
        <v>0</v>
      </c>
      <c r="G52">
        <v>0</v>
      </c>
      <c r="H52">
        <v>0</v>
      </c>
      <c r="I52">
        <v>0</v>
      </c>
      <c r="J52">
        <v>0</v>
      </c>
      <c r="K52">
        <v>0</v>
      </c>
      <c r="L52">
        <v>0</v>
      </c>
      <c r="M52">
        <v>0</v>
      </c>
      <c r="N52">
        <v>0</v>
      </c>
      <c r="O52">
        <v>0</v>
      </c>
      <c r="P52">
        <v>0</v>
      </c>
      <c r="Q52">
        <v>0</v>
      </c>
      <c r="R52">
        <v>0</v>
      </c>
      <c r="S52">
        <v>0</v>
      </c>
      <c r="T52">
        <v>0</v>
      </c>
      <c r="U52">
        <v>0</v>
      </c>
      <c r="V52">
        <v>0</v>
      </c>
      <c r="W52">
        <v>1</v>
      </c>
      <c r="X52">
        <v>0</v>
      </c>
      <c r="Y52">
        <v>2</v>
      </c>
      <c r="Z52">
        <v>1</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row>
    <row r="53" spans="1:46" ht="15.75" customHeight="1" x14ac:dyDescent="0.25">
      <c r="A53">
        <v>1</v>
      </c>
      <c r="B53">
        <v>2</v>
      </c>
      <c r="C53">
        <v>2015</v>
      </c>
      <c r="D53">
        <v>5</v>
      </c>
      <c r="E53">
        <v>1532</v>
      </c>
      <c r="F53">
        <v>0</v>
      </c>
      <c r="G53">
        <v>0</v>
      </c>
      <c r="H53">
        <v>0</v>
      </c>
      <c r="I53">
        <v>1</v>
      </c>
      <c r="J53">
        <v>2</v>
      </c>
      <c r="K53">
        <v>6</v>
      </c>
      <c r="L53">
        <v>11</v>
      </c>
      <c r="M53">
        <v>12</v>
      </c>
      <c r="N53">
        <v>13</v>
      </c>
      <c r="O53">
        <v>16</v>
      </c>
      <c r="P53">
        <v>32</v>
      </c>
      <c r="Q53">
        <v>45</v>
      </c>
      <c r="R53">
        <v>58</v>
      </c>
      <c r="S53">
        <v>36</v>
      </c>
      <c r="T53">
        <v>77</v>
      </c>
      <c r="U53">
        <v>67</v>
      </c>
      <c r="V53">
        <v>77</v>
      </c>
      <c r="W53">
        <v>58</v>
      </c>
      <c r="X53">
        <v>96</v>
      </c>
      <c r="Y53">
        <v>96</v>
      </c>
      <c r="Z53">
        <v>86</v>
      </c>
      <c r="AA53">
        <v>105</v>
      </c>
      <c r="AB53">
        <v>99</v>
      </c>
      <c r="AC53">
        <v>96</v>
      </c>
      <c r="AD53">
        <v>92</v>
      </c>
      <c r="AE53">
        <v>99</v>
      </c>
      <c r="AF53">
        <v>67</v>
      </c>
      <c r="AG53">
        <v>53</v>
      </c>
      <c r="AH53">
        <v>42</v>
      </c>
      <c r="AI53">
        <v>25</v>
      </c>
      <c r="AJ53">
        <v>21</v>
      </c>
      <c r="AK53">
        <v>10</v>
      </c>
      <c r="AL53">
        <v>15</v>
      </c>
      <c r="AM53">
        <v>6</v>
      </c>
      <c r="AN53">
        <v>2</v>
      </c>
      <c r="AO53">
        <v>11</v>
      </c>
      <c r="AP53">
        <v>0</v>
      </c>
      <c r="AQ53">
        <v>0</v>
      </c>
      <c r="AR53">
        <v>0</v>
      </c>
      <c r="AS53">
        <v>0</v>
      </c>
      <c r="AT53">
        <v>0</v>
      </c>
    </row>
    <row r="54" spans="1:46" ht="15.75" customHeight="1" x14ac:dyDescent="0.25">
      <c r="A54">
        <v>1</v>
      </c>
      <c r="B54">
        <v>2</v>
      </c>
      <c r="C54">
        <v>2015</v>
      </c>
      <c r="D54">
        <v>6</v>
      </c>
      <c r="E54">
        <v>347</v>
      </c>
      <c r="F54">
        <v>0</v>
      </c>
      <c r="G54">
        <v>1</v>
      </c>
      <c r="H54">
        <v>0</v>
      </c>
      <c r="I54">
        <v>0</v>
      </c>
      <c r="J54">
        <v>0</v>
      </c>
      <c r="K54">
        <v>3</v>
      </c>
      <c r="L54">
        <v>3</v>
      </c>
      <c r="M54">
        <v>7</v>
      </c>
      <c r="N54">
        <v>3</v>
      </c>
      <c r="O54">
        <v>14</v>
      </c>
      <c r="P54">
        <v>8</v>
      </c>
      <c r="Q54">
        <v>13</v>
      </c>
      <c r="R54">
        <v>8</v>
      </c>
      <c r="S54">
        <v>2</v>
      </c>
      <c r="T54">
        <v>1</v>
      </c>
      <c r="U54">
        <v>9</v>
      </c>
      <c r="V54">
        <v>10</v>
      </c>
      <c r="W54">
        <v>12</v>
      </c>
      <c r="X54">
        <v>28</v>
      </c>
      <c r="Y54">
        <v>15</v>
      </c>
      <c r="Z54">
        <v>24</v>
      </c>
      <c r="AA54">
        <v>20</v>
      </c>
      <c r="AB54">
        <v>29</v>
      </c>
      <c r="AC54">
        <v>22</v>
      </c>
      <c r="AD54">
        <v>22</v>
      </c>
      <c r="AE54">
        <v>17</v>
      </c>
      <c r="AF54">
        <v>10</v>
      </c>
      <c r="AG54">
        <v>23</v>
      </c>
      <c r="AH54">
        <v>17</v>
      </c>
      <c r="AI54">
        <v>9</v>
      </c>
      <c r="AJ54">
        <v>6</v>
      </c>
      <c r="AK54">
        <v>3</v>
      </c>
      <c r="AL54">
        <v>3</v>
      </c>
      <c r="AM54">
        <v>3</v>
      </c>
      <c r="AN54">
        <v>0</v>
      </c>
      <c r="AO54">
        <v>2</v>
      </c>
      <c r="AP54">
        <v>0</v>
      </c>
      <c r="AQ54">
        <v>0</v>
      </c>
      <c r="AR54">
        <v>0</v>
      </c>
      <c r="AS54">
        <v>0</v>
      </c>
      <c r="AT54">
        <v>0</v>
      </c>
    </row>
    <row r="55" spans="1:46" ht="15.75" customHeight="1" x14ac:dyDescent="0.25">
      <c r="A55">
        <v>1</v>
      </c>
      <c r="B55">
        <v>2</v>
      </c>
      <c r="C55">
        <v>2016</v>
      </c>
      <c r="D55">
        <v>1</v>
      </c>
      <c r="E55">
        <v>106</v>
      </c>
      <c r="F55">
        <v>0</v>
      </c>
      <c r="G55">
        <v>0</v>
      </c>
      <c r="H55">
        <v>0</v>
      </c>
      <c r="I55">
        <v>0</v>
      </c>
      <c r="J55">
        <v>0</v>
      </c>
      <c r="K55">
        <v>0</v>
      </c>
      <c r="L55">
        <v>0</v>
      </c>
      <c r="M55">
        <v>0</v>
      </c>
      <c r="N55">
        <v>0</v>
      </c>
      <c r="O55">
        <v>0</v>
      </c>
      <c r="P55">
        <v>0</v>
      </c>
      <c r="Q55">
        <v>0</v>
      </c>
      <c r="R55">
        <v>0</v>
      </c>
      <c r="S55">
        <v>0</v>
      </c>
      <c r="T55">
        <v>0</v>
      </c>
      <c r="U55">
        <v>0</v>
      </c>
      <c r="V55">
        <v>1</v>
      </c>
      <c r="W55">
        <v>2</v>
      </c>
      <c r="X55">
        <v>3</v>
      </c>
      <c r="Y55">
        <v>4</v>
      </c>
      <c r="Z55">
        <v>2</v>
      </c>
      <c r="AA55">
        <v>4</v>
      </c>
      <c r="AB55">
        <v>8</v>
      </c>
      <c r="AC55">
        <v>14</v>
      </c>
      <c r="AD55">
        <v>11</v>
      </c>
      <c r="AE55">
        <v>16</v>
      </c>
      <c r="AF55">
        <v>9</v>
      </c>
      <c r="AG55">
        <v>12</v>
      </c>
      <c r="AH55">
        <v>8</v>
      </c>
      <c r="AI55">
        <v>7</v>
      </c>
      <c r="AJ55">
        <v>2</v>
      </c>
      <c r="AK55">
        <v>3</v>
      </c>
      <c r="AL55">
        <v>0</v>
      </c>
      <c r="AM55">
        <v>0</v>
      </c>
      <c r="AN55">
        <v>0</v>
      </c>
      <c r="AO55">
        <v>0</v>
      </c>
      <c r="AP55">
        <v>0</v>
      </c>
      <c r="AQ55">
        <v>0</v>
      </c>
      <c r="AR55">
        <v>0</v>
      </c>
      <c r="AS55">
        <v>0</v>
      </c>
      <c r="AT55">
        <v>0</v>
      </c>
    </row>
    <row r="56" spans="1:46" ht="15.75" customHeight="1" x14ac:dyDescent="0.25">
      <c r="A56">
        <v>1</v>
      </c>
      <c r="B56">
        <v>2</v>
      </c>
      <c r="C56">
        <v>2016</v>
      </c>
      <c r="D56">
        <v>2</v>
      </c>
      <c r="E56">
        <v>301</v>
      </c>
      <c r="F56">
        <v>0</v>
      </c>
      <c r="G56">
        <v>0</v>
      </c>
      <c r="H56">
        <v>0</v>
      </c>
      <c r="I56">
        <v>0</v>
      </c>
      <c r="J56">
        <v>0</v>
      </c>
      <c r="K56">
        <v>0</v>
      </c>
      <c r="L56">
        <v>0</v>
      </c>
      <c r="M56">
        <v>0</v>
      </c>
      <c r="N56">
        <v>2</v>
      </c>
      <c r="O56">
        <v>11</v>
      </c>
      <c r="P56">
        <v>23</v>
      </c>
      <c r="Q56">
        <v>102</v>
      </c>
      <c r="R56">
        <v>93</v>
      </c>
      <c r="S56">
        <v>42</v>
      </c>
      <c r="T56">
        <v>10</v>
      </c>
      <c r="U56">
        <v>6</v>
      </c>
      <c r="V56">
        <v>4</v>
      </c>
      <c r="W56">
        <v>2</v>
      </c>
      <c r="X56">
        <v>1</v>
      </c>
      <c r="Y56">
        <v>3</v>
      </c>
      <c r="Z56">
        <v>0</v>
      </c>
      <c r="AA56">
        <v>1</v>
      </c>
      <c r="AB56">
        <v>0</v>
      </c>
      <c r="AC56">
        <v>1</v>
      </c>
      <c r="AD56">
        <v>0</v>
      </c>
      <c r="AE56">
        <v>0</v>
      </c>
      <c r="AF56">
        <v>0</v>
      </c>
      <c r="AG56">
        <v>0</v>
      </c>
      <c r="AH56">
        <v>0</v>
      </c>
      <c r="AI56">
        <v>0</v>
      </c>
      <c r="AJ56">
        <v>0</v>
      </c>
      <c r="AK56">
        <v>0</v>
      </c>
      <c r="AL56">
        <v>0</v>
      </c>
      <c r="AM56">
        <v>0</v>
      </c>
      <c r="AN56">
        <v>0</v>
      </c>
      <c r="AO56">
        <v>0</v>
      </c>
      <c r="AP56">
        <v>0</v>
      </c>
      <c r="AQ56">
        <v>0</v>
      </c>
      <c r="AR56">
        <v>0</v>
      </c>
      <c r="AS56">
        <v>0</v>
      </c>
      <c r="AT56">
        <v>0</v>
      </c>
    </row>
    <row r="57" spans="1:46" ht="15.75" customHeight="1" x14ac:dyDescent="0.25">
      <c r="A57">
        <v>1</v>
      </c>
      <c r="B57">
        <v>2</v>
      </c>
      <c r="C57">
        <v>2016</v>
      </c>
      <c r="D57">
        <v>4</v>
      </c>
      <c r="E57">
        <v>146</v>
      </c>
      <c r="F57">
        <v>0</v>
      </c>
      <c r="G57">
        <v>0</v>
      </c>
      <c r="H57">
        <v>0</v>
      </c>
      <c r="I57">
        <v>0</v>
      </c>
      <c r="J57">
        <v>0</v>
      </c>
      <c r="K57">
        <v>0</v>
      </c>
      <c r="L57">
        <v>0</v>
      </c>
      <c r="M57">
        <v>1</v>
      </c>
      <c r="N57">
        <v>2</v>
      </c>
      <c r="O57">
        <v>7</v>
      </c>
      <c r="P57">
        <v>5</v>
      </c>
      <c r="Q57">
        <v>9</v>
      </c>
      <c r="R57">
        <v>9</v>
      </c>
      <c r="S57">
        <v>4</v>
      </c>
      <c r="T57">
        <v>10</v>
      </c>
      <c r="U57">
        <v>17</v>
      </c>
      <c r="V57">
        <v>7</v>
      </c>
      <c r="W57">
        <v>11</v>
      </c>
      <c r="X57">
        <v>10</v>
      </c>
      <c r="Y57">
        <v>5</v>
      </c>
      <c r="Z57">
        <v>10</v>
      </c>
      <c r="AA57">
        <v>8</v>
      </c>
      <c r="AB57">
        <v>8</v>
      </c>
      <c r="AC57">
        <v>10</v>
      </c>
      <c r="AD57">
        <v>3</v>
      </c>
      <c r="AE57">
        <v>2</v>
      </c>
      <c r="AF57">
        <v>2</v>
      </c>
      <c r="AG57">
        <v>0</v>
      </c>
      <c r="AH57">
        <v>2</v>
      </c>
      <c r="AI57">
        <v>0</v>
      </c>
      <c r="AJ57">
        <v>4</v>
      </c>
      <c r="AK57">
        <v>0</v>
      </c>
      <c r="AL57">
        <v>0</v>
      </c>
      <c r="AM57">
        <v>0</v>
      </c>
      <c r="AN57">
        <v>0</v>
      </c>
      <c r="AO57">
        <v>0</v>
      </c>
      <c r="AP57">
        <v>0</v>
      </c>
      <c r="AQ57">
        <v>0</v>
      </c>
      <c r="AR57">
        <v>0</v>
      </c>
      <c r="AS57">
        <v>0</v>
      </c>
      <c r="AT57">
        <v>0</v>
      </c>
    </row>
    <row r="58" spans="1:46" ht="15.75" customHeight="1" x14ac:dyDescent="0.25">
      <c r="A58">
        <v>1</v>
      </c>
      <c r="B58">
        <v>2</v>
      </c>
      <c r="C58">
        <v>2016</v>
      </c>
      <c r="D58">
        <v>5</v>
      </c>
      <c r="E58">
        <v>1176</v>
      </c>
      <c r="F58">
        <v>0</v>
      </c>
      <c r="G58">
        <v>1</v>
      </c>
      <c r="H58">
        <v>1</v>
      </c>
      <c r="I58">
        <v>1</v>
      </c>
      <c r="J58">
        <v>1</v>
      </c>
      <c r="K58">
        <v>8</v>
      </c>
      <c r="L58">
        <v>18</v>
      </c>
      <c r="M58">
        <v>20</v>
      </c>
      <c r="N58">
        <v>30</v>
      </c>
      <c r="O58">
        <v>52</v>
      </c>
      <c r="P58">
        <v>43</v>
      </c>
      <c r="Q58">
        <v>61</v>
      </c>
      <c r="R58">
        <v>51</v>
      </c>
      <c r="S58">
        <v>34</v>
      </c>
      <c r="T58">
        <v>31</v>
      </c>
      <c r="U58">
        <v>33</v>
      </c>
      <c r="V58">
        <v>35</v>
      </c>
      <c r="W58">
        <v>35</v>
      </c>
      <c r="X58">
        <v>45</v>
      </c>
      <c r="Y58">
        <v>46</v>
      </c>
      <c r="Z58">
        <v>56</v>
      </c>
      <c r="AA58">
        <v>67</v>
      </c>
      <c r="AB58">
        <v>77</v>
      </c>
      <c r="AC58">
        <v>95</v>
      </c>
      <c r="AD58">
        <v>61</v>
      </c>
      <c r="AE58">
        <v>50</v>
      </c>
      <c r="AF58">
        <v>67</v>
      </c>
      <c r="AG58">
        <v>62</v>
      </c>
      <c r="AH58">
        <v>31</v>
      </c>
      <c r="AI58">
        <v>19</v>
      </c>
      <c r="AJ58">
        <v>16</v>
      </c>
      <c r="AK58">
        <v>13</v>
      </c>
      <c r="AL58">
        <v>6</v>
      </c>
      <c r="AM58">
        <v>5</v>
      </c>
      <c r="AN58">
        <v>0</v>
      </c>
      <c r="AO58">
        <v>5</v>
      </c>
      <c r="AP58">
        <v>0</v>
      </c>
      <c r="AQ58">
        <v>0</v>
      </c>
      <c r="AR58">
        <v>0</v>
      </c>
      <c r="AS58">
        <v>0</v>
      </c>
      <c r="AT58">
        <v>0</v>
      </c>
    </row>
    <row r="59" spans="1:46" ht="15.75" customHeight="1" x14ac:dyDescent="0.25">
      <c r="A59">
        <v>1</v>
      </c>
      <c r="B59">
        <v>2</v>
      </c>
      <c r="C59">
        <v>2017</v>
      </c>
      <c r="D59">
        <v>4</v>
      </c>
      <c r="E59">
        <v>507</v>
      </c>
      <c r="F59">
        <v>0</v>
      </c>
      <c r="G59">
        <v>1</v>
      </c>
      <c r="H59">
        <v>0</v>
      </c>
      <c r="I59">
        <v>0</v>
      </c>
      <c r="J59">
        <v>0</v>
      </c>
      <c r="K59">
        <v>0</v>
      </c>
      <c r="L59">
        <v>4</v>
      </c>
      <c r="M59">
        <v>2</v>
      </c>
      <c r="N59">
        <v>1</v>
      </c>
      <c r="O59">
        <v>1</v>
      </c>
      <c r="P59">
        <v>3</v>
      </c>
      <c r="Q59">
        <v>7</v>
      </c>
      <c r="R59">
        <v>9</v>
      </c>
      <c r="S59">
        <v>23</v>
      </c>
      <c r="T59">
        <v>26</v>
      </c>
      <c r="U59">
        <v>37</v>
      </c>
      <c r="V59">
        <v>35</v>
      </c>
      <c r="W59">
        <v>34</v>
      </c>
      <c r="X59">
        <v>49</v>
      </c>
      <c r="Y59">
        <v>38</v>
      </c>
      <c r="Z59">
        <v>37</v>
      </c>
      <c r="AA59">
        <v>34</v>
      </c>
      <c r="AB59">
        <v>26</v>
      </c>
      <c r="AC59">
        <v>21</v>
      </c>
      <c r="AD59">
        <v>21</v>
      </c>
      <c r="AE59">
        <v>22</v>
      </c>
      <c r="AF59">
        <v>13</v>
      </c>
      <c r="AG59">
        <v>23</v>
      </c>
      <c r="AH59">
        <v>9</v>
      </c>
      <c r="AI59">
        <v>7</v>
      </c>
      <c r="AJ59">
        <v>4</v>
      </c>
      <c r="AK59">
        <v>7</v>
      </c>
      <c r="AL59">
        <v>3</v>
      </c>
      <c r="AM59">
        <v>2</v>
      </c>
      <c r="AN59">
        <v>4</v>
      </c>
      <c r="AO59">
        <v>4</v>
      </c>
      <c r="AP59">
        <v>0</v>
      </c>
      <c r="AQ59">
        <v>0</v>
      </c>
      <c r="AR59">
        <v>0</v>
      </c>
      <c r="AS59">
        <v>0</v>
      </c>
      <c r="AT59">
        <v>0</v>
      </c>
    </row>
    <row r="60" spans="1:46" ht="15.75" customHeight="1" x14ac:dyDescent="0.25">
      <c r="A60">
        <v>1</v>
      </c>
      <c r="B60">
        <v>2</v>
      </c>
      <c r="C60">
        <v>2017</v>
      </c>
      <c r="D60">
        <v>5</v>
      </c>
      <c r="E60">
        <v>633</v>
      </c>
      <c r="F60">
        <v>0</v>
      </c>
      <c r="G60">
        <v>0</v>
      </c>
      <c r="H60">
        <v>0</v>
      </c>
      <c r="I60">
        <v>0</v>
      </c>
      <c r="J60">
        <v>1</v>
      </c>
      <c r="K60">
        <v>6</v>
      </c>
      <c r="L60">
        <v>6</v>
      </c>
      <c r="M60">
        <v>4</v>
      </c>
      <c r="N60">
        <v>10</v>
      </c>
      <c r="O60">
        <v>8</v>
      </c>
      <c r="P60">
        <v>5</v>
      </c>
      <c r="Q60">
        <v>12</v>
      </c>
      <c r="R60">
        <v>11</v>
      </c>
      <c r="S60">
        <v>33</v>
      </c>
      <c r="T60">
        <v>55</v>
      </c>
      <c r="U60">
        <v>41</v>
      </c>
      <c r="V60">
        <v>38</v>
      </c>
      <c r="W60">
        <v>25</v>
      </c>
      <c r="X60">
        <v>32</v>
      </c>
      <c r="Y60">
        <v>39</v>
      </c>
      <c r="Z60">
        <v>36</v>
      </c>
      <c r="AA60">
        <v>36</v>
      </c>
      <c r="AB60">
        <v>46</v>
      </c>
      <c r="AC60">
        <v>32</v>
      </c>
      <c r="AD60">
        <v>16</v>
      </c>
      <c r="AE60">
        <v>32</v>
      </c>
      <c r="AF60">
        <v>12</v>
      </c>
      <c r="AG60">
        <v>28</v>
      </c>
      <c r="AH60">
        <v>22</v>
      </c>
      <c r="AI60">
        <v>16</v>
      </c>
      <c r="AJ60">
        <v>8</v>
      </c>
      <c r="AK60">
        <v>7</v>
      </c>
      <c r="AL60">
        <v>7</v>
      </c>
      <c r="AM60">
        <v>3</v>
      </c>
      <c r="AN60">
        <v>1</v>
      </c>
      <c r="AO60">
        <v>5</v>
      </c>
      <c r="AP60">
        <v>0</v>
      </c>
      <c r="AQ60">
        <v>0</v>
      </c>
      <c r="AR60">
        <v>0</v>
      </c>
      <c r="AS60">
        <v>0</v>
      </c>
      <c r="AT60">
        <v>0</v>
      </c>
    </row>
    <row r="61" spans="1:46" ht="15.75" customHeight="1" x14ac:dyDescent="0.25">
      <c r="A61">
        <v>1</v>
      </c>
      <c r="B61">
        <v>2</v>
      </c>
      <c r="C61">
        <v>2017</v>
      </c>
      <c r="D61">
        <v>6</v>
      </c>
      <c r="E61">
        <v>250</v>
      </c>
      <c r="F61">
        <v>0</v>
      </c>
      <c r="G61">
        <v>0</v>
      </c>
      <c r="H61">
        <v>0</v>
      </c>
      <c r="I61">
        <v>0</v>
      </c>
      <c r="J61">
        <v>0</v>
      </c>
      <c r="K61">
        <v>1</v>
      </c>
      <c r="L61">
        <v>0</v>
      </c>
      <c r="M61">
        <v>1</v>
      </c>
      <c r="N61">
        <v>0</v>
      </c>
      <c r="O61">
        <v>0</v>
      </c>
      <c r="P61">
        <v>0</v>
      </c>
      <c r="Q61">
        <v>1</v>
      </c>
      <c r="R61">
        <v>4</v>
      </c>
      <c r="S61">
        <v>6</v>
      </c>
      <c r="T61">
        <v>5</v>
      </c>
      <c r="U61">
        <v>9</v>
      </c>
      <c r="V61">
        <v>9</v>
      </c>
      <c r="W61">
        <v>10</v>
      </c>
      <c r="X61">
        <v>11</v>
      </c>
      <c r="Y61">
        <v>13</v>
      </c>
      <c r="Z61">
        <v>14</v>
      </c>
      <c r="AA61">
        <v>19</v>
      </c>
      <c r="AB61">
        <v>22</v>
      </c>
      <c r="AC61">
        <v>20</v>
      </c>
      <c r="AD61">
        <v>14</v>
      </c>
      <c r="AE61">
        <v>22</v>
      </c>
      <c r="AF61">
        <v>16</v>
      </c>
      <c r="AG61">
        <v>11</v>
      </c>
      <c r="AH61">
        <v>16</v>
      </c>
      <c r="AI61">
        <v>9</v>
      </c>
      <c r="AJ61">
        <v>8</v>
      </c>
      <c r="AK61">
        <v>4</v>
      </c>
      <c r="AL61">
        <v>0</v>
      </c>
      <c r="AM61">
        <v>1</v>
      </c>
      <c r="AN61">
        <v>2</v>
      </c>
      <c r="AO61">
        <v>2</v>
      </c>
      <c r="AP61">
        <v>0</v>
      </c>
      <c r="AQ61">
        <v>0</v>
      </c>
      <c r="AR61">
        <v>0</v>
      </c>
      <c r="AS61">
        <v>0</v>
      </c>
      <c r="AT61">
        <v>0</v>
      </c>
    </row>
    <row r="62" spans="1:46" ht="15.75" customHeight="1" x14ac:dyDescent="0.25">
      <c r="A62">
        <v>1</v>
      </c>
      <c r="B62">
        <v>2</v>
      </c>
      <c r="C62">
        <v>2018</v>
      </c>
      <c r="D62">
        <v>4</v>
      </c>
      <c r="E62">
        <v>499</v>
      </c>
      <c r="F62">
        <v>0</v>
      </c>
      <c r="G62">
        <v>0</v>
      </c>
      <c r="H62">
        <v>0</v>
      </c>
      <c r="I62">
        <v>0</v>
      </c>
      <c r="J62">
        <v>0</v>
      </c>
      <c r="K62">
        <v>0</v>
      </c>
      <c r="L62">
        <v>3</v>
      </c>
      <c r="M62">
        <v>2</v>
      </c>
      <c r="N62">
        <v>3</v>
      </c>
      <c r="O62">
        <v>6</v>
      </c>
      <c r="P62">
        <v>16</v>
      </c>
      <c r="Q62">
        <v>27</v>
      </c>
      <c r="R62">
        <v>16</v>
      </c>
      <c r="S62">
        <v>27</v>
      </c>
      <c r="T62">
        <v>32</v>
      </c>
      <c r="U62">
        <v>39</v>
      </c>
      <c r="V62">
        <v>39</v>
      </c>
      <c r="W62">
        <v>33</v>
      </c>
      <c r="X62">
        <v>40</v>
      </c>
      <c r="Y62">
        <v>33</v>
      </c>
      <c r="Z62">
        <v>29</v>
      </c>
      <c r="AA62">
        <v>15</v>
      </c>
      <c r="AB62">
        <v>16</v>
      </c>
      <c r="AC62">
        <v>10</v>
      </c>
      <c r="AD62">
        <v>16</v>
      </c>
      <c r="AE62">
        <v>10</v>
      </c>
      <c r="AF62">
        <v>12</v>
      </c>
      <c r="AG62">
        <v>15</v>
      </c>
      <c r="AH62">
        <v>13</v>
      </c>
      <c r="AI62">
        <v>9</v>
      </c>
      <c r="AJ62">
        <v>14</v>
      </c>
      <c r="AK62">
        <v>10</v>
      </c>
      <c r="AL62">
        <v>4</v>
      </c>
      <c r="AM62">
        <v>3</v>
      </c>
      <c r="AN62">
        <v>3</v>
      </c>
      <c r="AO62">
        <v>4</v>
      </c>
      <c r="AP62">
        <v>0</v>
      </c>
      <c r="AQ62">
        <v>0</v>
      </c>
      <c r="AR62">
        <v>0</v>
      </c>
      <c r="AS62">
        <v>0</v>
      </c>
      <c r="AT62">
        <v>0</v>
      </c>
    </row>
    <row r="63" spans="1:46" ht="15.75" customHeight="1" x14ac:dyDescent="0.25">
      <c r="A63">
        <v>2</v>
      </c>
      <c r="B63">
        <v>1</v>
      </c>
      <c r="C63">
        <v>1991</v>
      </c>
      <c r="D63">
        <v>2</v>
      </c>
      <c r="E63">
        <v>719</v>
      </c>
      <c r="F63">
        <v>4</v>
      </c>
      <c r="G63">
        <v>2</v>
      </c>
      <c r="H63">
        <v>4</v>
      </c>
      <c r="I63">
        <v>13</v>
      </c>
      <c r="J63">
        <v>24</v>
      </c>
      <c r="K63">
        <v>33</v>
      </c>
      <c r="L63">
        <v>42</v>
      </c>
      <c r="M63">
        <v>66</v>
      </c>
      <c r="N63">
        <v>89</v>
      </c>
      <c r="O63">
        <v>71</v>
      </c>
      <c r="P63">
        <v>69</v>
      </c>
      <c r="Q63">
        <v>63</v>
      </c>
      <c r="R63">
        <v>47</v>
      </c>
      <c r="S63">
        <v>32</v>
      </c>
      <c r="T63">
        <v>24</v>
      </c>
      <c r="U63">
        <v>21</v>
      </c>
      <c r="V63">
        <v>11</v>
      </c>
      <c r="W63">
        <v>17</v>
      </c>
      <c r="X63">
        <v>13</v>
      </c>
      <c r="Y63">
        <v>4</v>
      </c>
      <c r="Z63">
        <v>4</v>
      </c>
      <c r="AA63">
        <v>6</v>
      </c>
      <c r="AB63">
        <v>5</v>
      </c>
      <c r="AC63">
        <v>4</v>
      </c>
      <c r="AD63">
        <v>5</v>
      </c>
      <c r="AE63">
        <v>9</v>
      </c>
      <c r="AF63">
        <v>6</v>
      </c>
      <c r="AG63">
        <v>4</v>
      </c>
      <c r="AH63">
        <v>1</v>
      </c>
      <c r="AI63">
        <v>3</v>
      </c>
      <c r="AJ63">
        <v>1</v>
      </c>
      <c r="AK63">
        <v>1</v>
      </c>
      <c r="AL63">
        <v>2</v>
      </c>
      <c r="AM63">
        <v>4</v>
      </c>
      <c r="AN63">
        <v>4</v>
      </c>
      <c r="AO63">
        <v>11</v>
      </c>
      <c r="AP63">
        <v>0</v>
      </c>
      <c r="AQ63">
        <v>0</v>
      </c>
      <c r="AR63">
        <v>0</v>
      </c>
      <c r="AS63">
        <v>0</v>
      </c>
      <c r="AT63">
        <v>0</v>
      </c>
    </row>
    <row r="64" spans="1:46" ht="15.75" customHeight="1" x14ac:dyDescent="0.25">
      <c r="A64">
        <v>2</v>
      </c>
      <c r="B64">
        <v>1</v>
      </c>
      <c r="C64">
        <v>1991</v>
      </c>
      <c r="D64">
        <v>5</v>
      </c>
      <c r="E64">
        <v>157</v>
      </c>
      <c r="F64">
        <v>0</v>
      </c>
      <c r="G64">
        <v>0</v>
      </c>
      <c r="H64">
        <v>3</v>
      </c>
      <c r="I64">
        <v>2</v>
      </c>
      <c r="J64">
        <v>9</v>
      </c>
      <c r="K64">
        <v>9</v>
      </c>
      <c r="L64">
        <v>6</v>
      </c>
      <c r="M64">
        <v>8</v>
      </c>
      <c r="N64">
        <v>9</v>
      </c>
      <c r="O64">
        <v>7</v>
      </c>
      <c r="P64">
        <v>15</v>
      </c>
      <c r="Q64">
        <v>20</v>
      </c>
      <c r="R64">
        <v>25</v>
      </c>
      <c r="S64">
        <v>24</v>
      </c>
      <c r="T64">
        <v>7</v>
      </c>
      <c r="U64">
        <v>1</v>
      </c>
      <c r="V64">
        <v>6</v>
      </c>
      <c r="W64">
        <v>0</v>
      </c>
      <c r="X64">
        <v>2</v>
      </c>
      <c r="Y64">
        <v>1</v>
      </c>
      <c r="Z64">
        <v>1</v>
      </c>
      <c r="AA64">
        <v>1</v>
      </c>
      <c r="AB64">
        <v>1</v>
      </c>
      <c r="AC64">
        <v>0</v>
      </c>
      <c r="AD64">
        <v>0</v>
      </c>
      <c r="AE64">
        <v>0</v>
      </c>
      <c r="AF64">
        <v>0</v>
      </c>
      <c r="AG64">
        <v>0</v>
      </c>
      <c r="AH64">
        <v>0</v>
      </c>
      <c r="AI64">
        <v>0</v>
      </c>
      <c r="AJ64">
        <v>0</v>
      </c>
      <c r="AK64">
        <v>0</v>
      </c>
      <c r="AL64">
        <v>0</v>
      </c>
      <c r="AM64">
        <v>0</v>
      </c>
      <c r="AN64">
        <v>0</v>
      </c>
      <c r="AO64">
        <v>0</v>
      </c>
      <c r="AP64">
        <v>0</v>
      </c>
      <c r="AQ64">
        <v>0</v>
      </c>
      <c r="AR64">
        <v>0</v>
      </c>
      <c r="AS64">
        <v>0</v>
      </c>
      <c r="AT64">
        <v>0</v>
      </c>
    </row>
    <row r="65" spans="1:46" ht="15.75" customHeight="1" x14ac:dyDescent="0.25">
      <c r="A65">
        <v>2</v>
      </c>
      <c r="B65">
        <v>1</v>
      </c>
      <c r="C65">
        <v>1992</v>
      </c>
      <c r="D65">
        <v>5</v>
      </c>
      <c r="E65">
        <v>6474</v>
      </c>
      <c r="F65">
        <v>8</v>
      </c>
      <c r="G65">
        <v>21</v>
      </c>
      <c r="H65">
        <v>24</v>
      </c>
      <c r="I65">
        <v>39</v>
      </c>
      <c r="J65">
        <v>77</v>
      </c>
      <c r="K65">
        <v>169</v>
      </c>
      <c r="L65">
        <v>253</v>
      </c>
      <c r="M65">
        <v>459</v>
      </c>
      <c r="N65">
        <v>613</v>
      </c>
      <c r="O65">
        <v>908</v>
      </c>
      <c r="P65">
        <v>1050</v>
      </c>
      <c r="Q65">
        <v>1148</v>
      </c>
      <c r="R65">
        <v>867</v>
      </c>
      <c r="S65">
        <v>348</v>
      </c>
      <c r="T65">
        <v>117</v>
      </c>
      <c r="U65">
        <v>75</v>
      </c>
      <c r="V65">
        <v>67</v>
      </c>
      <c r="W65">
        <v>42</v>
      </c>
      <c r="X65">
        <v>24</v>
      </c>
      <c r="Y65">
        <v>36</v>
      </c>
      <c r="Z65">
        <v>22</v>
      </c>
      <c r="AA65">
        <v>14</v>
      </c>
      <c r="AB65">
        <v>11</v>
      </c>
      <c r="AC65">
        <v>5</v>
      </c>
      <c r="AD65">
        <v>0</v>
      </c>
      <c r="AE65">
        <v>6</v>
      </c>
      <c r="AF65">
        <v>6</v>
      </c>
      <c r="AG65">
        <v>9</v>
      </c>
      <c r="AH65">
        <v>2</v>
      </c>
      <c r="AI65">
        <v>6</v>
      </c>
      <c r="AJ65">
        <v>6</v>
      </c>
      <c r="AK65">
        <v>4</v>
      </c>
      <c r="AL65">
        <v>2</v>
      </c>
      <c r="AM65">
        <v>4</v>
      </c>
      <c r="AN65">
        <v>4</v>
      </c>
      <c r="AO65">
        <v>28</v>
      </c>
      <c r="AP65">
        <v>0</v>
      </c>
      <c r="AQ65">
        <v>0</v>
      </c>
      <c r="AR65">
        <v>0</v>
      </c>
      <c r="AS65">
        <v>0</v>
      </c>
      <c r="AT65">
        <v>0</v>
      </c>
    </row>
    <row r="66" spans="1:46" ht="15.75" customHeight="1" x14ac:dyDescent="0.25">
      <c r="A66">
        <v>2</v>
      </c>
      <c r="B66">
        <v>1</v>
      </c>
      <c r="C66">
        <v>1992</v>
      </c>
      <c r="D66">
        <v>6</v>
      </c>
      <c r="E66">
        <v>10649</v>
      </c>
      <c r="F66">
        <v>12</v>
      </c>
      <c r="G66">
        <v>13</v>
      </c>
      <c r="H66">
        <v>26</v>
      </c>
      <c r="I66">
        <v>28</v>
      </c>
      <c r="J66">
        <v>46</v>
      </c>
      <c r="K66">
        <v>94</v>
      </c>
      <c r="L66">
        <v>100</v>
      </c>
      <c r="M66">
        <v>181</v>
      </c>
      <c r="N66">
        <v>287</v>
      </c>
      <c r="O66">
        <v>896</v>
      </c>
      <c r="P66">
        <v>3000</v>
      </c>
      <c r="Q66">
        <v>5918</v>
      </c>
      <c r="R66">
        <v>26</v>
      </c>
      <c r="S66">
        <v>10</v>
      </c>
      <c r="T66">
        <v>6</v>
      </c>
      <c r="U66">
        <v>4</v>
      </c>
      <c r="V66">
        <v>2</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row>
    <row r="67" spans="1:46" ht="15.75" customHeight="1" x14ac:dyDescent="0.25">
      <c r="A67">
        <v>2</v>
      </c>
      <c r="B67">
        <v>1</v>
      </c>
      <c r="C67">
        <v>1993</v>
      </c>
      <c r="D67">
        <v>5</v>
      </c>
      <c r="E67">
        <v>7821</v>
      </c>
      <c r="F67">
        <v>8</v>
      </c>
      <c r="G67">
        <v>18</v>
      </c>
      <c r="H67">
        <v>14</v>
      </c>
      <c r="I67">
        <v>50</v>
      </c>
      <c r="J67">
        <v>136</v>
      </c>
      <c r="K67">
        <v>292</v>
      </c>
      <c r="L67">
        <v>350</v>
      </c>
      <c r="M67">
        <v>516</v>
      </c>
      <c r="N67">
        <v>731</v>
      </c>
      <c r="O67">
        <v>873</v>
      </c>
      <c r="P67">
        <v>1039</v>
      </c>
      <c r="Q67">
        <v>1032</v>
      </c>
      <c r="R67">
        <v>789</v>
      </c>
      <c r="S67">
        <v>466</v>
      </c>
      <c r="T67">
        <v>340</v>
      </c>
      <c r="U67">
        <v>279</v>
      </c>
      <c r="V67">
        <v>178</v>
      </c>
      <c r="W67">
        <v>186</v>
      </c>
      <c r="X67">
        <v>110</v>
      </c>
      <c r="Y67">
        <v>84</v>
      </c>
      <c r="Z67">
        <v>64</v>
      </c>
      <c r="AA67">
        <v>30</v>
      </c>
      <c r="AB67">
        <v>58</v>
      </c>
      <c r="AC67">
        <v>36</v>
      </c>
      <c r="AD67">
        <v>30</v>
      </c>
      <c r="AE67">
        <v>12</v>
      </c>
      <c r="AF67">
        <v>30</v>
      </c>
      <c r="AG67">
        <v>14</v>
      </c>
      <c r="AH67">
        <v>22</v>
      </c>
      <c r="AI67">
        <v>6</v>
      </c>
      <c r="AJ67">
        <v>6</v>
      </c>
      <c r="AK67">
        <v>2</v>
      </c>
      <c r="AL67">
        <v>2</v>
      </c>
      <c r="AM67">
        <v>0</v>
      </c>
      <c r="AN67">
        <v>6</v>
      </c>
      <c r="AO67">
        <v>12</v>
      </c>
      <c r="AP67">
        <v>0</v>
      </c>
      <c r="AQ67">
        <v>0</v>
      </c>
      <c r="AR67">
        <v>0</v>
      </c>
      <c r="AS67">
        <v>0</v>
      </c>
      <c r="AT67">
        <v>0</v>
      </c>
    </row>
    <row r="68" spans="1:46" ht="15.75" customHeight="1" x14ac:dyDescent="0.25">
      <c r="A68">
        <v>2</v>
      </c>
      <c r="B68">
        <v>1</v>
      </c>
      <c r="C68">
        <v>1994</v>
      </c>
      <c r="D68">
        <v>5</v>
      </c>
      <c r="E68">
        <v>4555</v>
      </c>
      <c r="F68">
        <v>6</v>
      </c>
      <c r="G68">
        <v>18</v>
      </c>
      <c r="H68">
        <v>24</v>
      </c>
      <c r="I68">
        <v>24</v>
      </c>
      <c r="J68">
        <v>48</v>
      </c>
      <c r="K68">
        <v>98</v>
      </c>
      <c r="L68">
        <v>135</v>
      </c>
      <c r="M68">
        <v>186</v>
      </c>
      <c r="N68">
        <v>260</v>
      </c>
      <c r="O68">
        <v>368</v>
      </c>
      <c r="P68">
        <v>384</v>
      </c>
      <c r="Q68">
        <v>440</v>
      </c>
      <c r="R68">
        <v>377</v>
      </c>
      <c r="S68">
        <v>295</v>
      </c>
      <c r="T68">
        <v>243</v>
      </c>
      <c r="U68">
        <v>206</v>
      </c>
      <c r="V68">
        <v>260</v>
      </c>
      <c r="W68">
        <v>283</v>
      </c>
      <c r="X68">
        <v>194</v>
      </c>
      <c r="Y68">
        <v>176</v>
      </c>
      <c r="Z68">
        <v>106</v>
      </c>
      <c r="AA68">
        <v>84</v>
      </c>
      <c r="AB68">
        <v>64</v>
      </c>
      <c r="AC68">
        <v>60</v>
      </c>
      <c r="AD68">
        <v>32</v>
      </c>
      <c r="AE68">
        <v>48</v>
      </c>
      <c r="AF68">
        <v>14</v>
      </c>
      <c r="AG68">
        <v>12</v>
      </c>
      <c r="AH68">
        <v>12</v>
      </c>
      <c r="AI68">
        <v>28</v>
      </c>
      <c r="AJ68">
        <v>16</v>
      </c>
      <c r="AK68">
        <v>10</v>
      </c>
      <c r="AL68">
        <v>16</v>
      </c>
      <c r="AM68">
        <v>10</v>
      </c>
      <c r="AN68">
        <v>2</v>
      </c>
      <c r="AO68">
        <v>16</v>
      </c>
      <c r="AP68">
        <v>0</v>
      </c>
      <c r="AQ68">
        <v>0</v>
      </c>
      <c r="AR68">
        <v>0</v>
      </c>
      <c r="AS68">
        <v>0</v>
      </c>
      <c r="AT68">
        <v>0</v>
      </c>
    </row>
    <row r="69" spans="1:46" ht="15.75" customHeight="1" x14ac:dyDescent="0.25">
      <c r="A69">
        <v>2</v>
      </c>
      <c r="B69">
        <v>1</v>
      </c>
      <c r="C69">
        <v>1995</v>
      </c>
      <c r="D69">
        <v>5</v>
      </c>
      <c r="E69">
        <v>5959</v>
      </c>
      <c r="F69">
        <v>22</v>
      </c>
      <c r="G69">
        <v>35</v>
      </c>
      <c r="H69">
        <v>79</v>
      </c>
      <c r="I69">
        <v>121</v>
      </c>
      <c r="J69">
        <v>259</v>
      </c>
      <c r="K69">
        <v>325</v>
      </c>
      <c r="L69">
        <v>374</v>
      </c>
      <c r="M69">
        <v>373</v>
      </c>
      <c r="N69">
        <v>418</v>
      </c>
      <c r="O69">
        <v>492</v>
      </c>
      <c r="P69">
        <v>584</v>
      </c>
      <c r="Q69">
        <v>622</v>
      </c>
      <c r="R69">
        <v>545</v>
      </c>
      <c r="S69">
        <v>273</v>
      </c>
      <c r="T69">
        <v>153</v>
      </c>
      <c r="U69">
        <v>152</v>
      </c>
      <c r="V69">
        <v>179</v>
      </c>
      <c r="W69">
        <v>192</v>
      </c>
      <c r="X69">
        <v>147</v>
      </c>
      <c r="Y69">
        <v>108</v>
      </c>
      <c r="Z69">
        <v>81</v>
      </c>
      <c r="AA69">
        <v>81</v>
      </c>
      <c r="AB69">
        <v>67</v>
      </c>
      <c r="AC69">
        <v>56</v>
      </c>
      <c r="AD69">
        <v>52</v>
      </c>
      <c r="AE69">
        <v>45</v>
      </c>
      <c r="AF69">
        <v>33</v>
      </c>
      <c r="AG69">
        <v>17</v>
      </c>
      <c r="AH69">
        <v>18</v>
      </c>
      <c r="AI69">
        <v>19</v>
      </c>
      <c r="AJ69">
        <v>8</v>
      </c>
      <c r="AK69">
        <v>3</v>
      </c>
      <c r="AL69">
        <v>7</v>
      </c>
      <c r="AM69">
        <v>3</v>
      </c>
      <c r="AN69">
        <v>6</v>
      </c>
      <c r="AO69">
        <v>10</v>
      </c>
      <c r="AP69">
        <v>0</v>
      </c>
      <c r="AQ69">
        <v>0</v>
      </c>
      <c r="AR69">
        <v>0</v>
      </c>
      <c r="AS69">
        <v>0</v>
      </c>
      <c r="AT69">
        <v>0</v>
      </c>
    </row>
    <row r="70" spans="1:46" ht="15.75" customHeight="1" x14ac:dyDescent="0.25">
      <c r="A70">
        <v>2</v>
      </c>
      <c r="B70">
        <v>1</v>
      </c>
      <c r="C70">
        <v>1996</v>
      </c>
      <c r="D70">
        <v>5</v>
      </c>
      <c r="E70">
        <v>7365</v>
      </c>
      <c r="F70">
        <v>60</v>
      </c>
      <c r="G70">
        <v>61</v>
      </c>
      <c r="H70">
        <v>87</v>
      </c>
      <c r="I70">
        <v>129</v>
      </c>
      <c r="J70">
        <v>249</v>
      </c>
      <c r="K70">
        <v>478</v>
      </c>
      <c r="L70">
        <v>604</v>
      </c>
      <c r="M70">
        <v>660</v>
      </c>
      <c r="N70">
        <v>742</v>
      </c>
      <c r="O70">
        <v>805</v>
      </c>
      <c r="P70">
        <v>865</v>
      </c>
      <c r="Q70">
        <v>831</v>
      </c>
      <c r="R70">
        <v>647</v>
      </c>
      <c r="S70">
        <v>270</v>
      </c>
      <c r="T70">
        <v>97</v>
      </c>
      <c r="U70">
        <v>97</v>
      </c>
      <c r="V70">
        <v>113</v>
      </c>
      <c r="W70">
        <v>89</v>
      </c>
      <c r="X70">
        <v>63</v>
      </c>
      <c r="Y70">
        <v>64</v>
      </c>
      <c r="Z70">
        <v>62</v>
      </c>
      <c r="AA70">
        <v>47</v>
      </c>
      <c r="AB70">
        <v>44</v>
      </c>
      <c r="AC70">
        <v>32</v>
      </c>
      <c r="AD70">
        <v>32</v>
      </c>
      <c r="AE70">
        <v>26</v>
      </c>
      <c r="AF70">
        <v>27</v>
      </c>
      <c r="AG70">
        <v>15</v>
      </c>
      <c r="AH70">
        <v>14</v>
      </c>
      <c r="AI70">
        <v>12</v>
      </c>
      <c r="AJ70">
        <v>12</v>
      </c>
      <c r="AK70">
        <v>4</v>
      </c>
      <c r="AL70">
        <v>5</v>
      </c>
      <c r="AM70">
        <v>5</v>
      </c>
      <c r="AN70">
        <v>2</v>
      </c>
      <c r="AO70">
        <v>15</v>
      </c>
      <c r="AP70">
        <v>0</v>
      </c>
      <c r="AQ70">
        <v>0</v>
      </c>
      <c r="AR70">
        <v>0</v>
      </c>
      <c r="AS70">
        <v>0</v>
      </c>
      <c r="AT70">
        <v>0</v>
      </c>
    </row>
    <row r="71" spans="1:46" ht="15.75" customHeight="1" x14ac:dyDescent="0.25">
      <c r="A71">
        <v>2</v>
      </c>
      <c r="B71">
        <v>1</v>
      </c>
      <c r="C71">
        <v>1996</v>
      </c>
      <c r="D71">
        <v>6</v>
      </c>
      <c r="E71">
        <v>4598</v>
      </c>
      <c r="F71">
        <v>3</v>
      </c>
      <c r="G71">
        <v>2</v>
      </c>
      <c r="H71">
        <v>0</v>
      </c>
      <c r="I71">
        <v>0</v>
      </c>
      <c r="J71">
        <v>1</v>
      </c>
      <c r="K71">
        <v>4</v>
      </c>
      <c r="L71">
        <v>12</v>
      </c>
      <c r="M71">
        <v>14</v>
      </c>
      <c r="N71">
        <v>23</v>
      </c>
      <c r="O71">
        <v>80</v>
      </c>
      <c r="P71">
        <v>394</v>
      </c>
      <c r="Q71">
        <v>1565</v>
      </c>
      <c r="R71">
        <v>2432</v>
      </c>
      <c r="S71">
        <v>35</v>
      </c>
      <c r="T71">
        <v>4</v>
      </c>
      <c r="U71">
        <v>3</v>
      </c>
      <c r="V71">
        <v>9</v>
      </c>
      <c r="W71">
        <v>3</v>
      </c>
      <c r="X71">
        <v>2</v>
      </c>
      <c r="Y71">
        <v>3</v>
      </c>
      <c r="Z71">
        <v>4</v>
      </c>
      <c r="AA71">
        <v>1</v>
      </c>
      <c r="AB71">
        <v>2</v>
      </c>
      <c r="AC71">
        <v>1</v>
      </c>
      <c r="AD71">
        <v>0</v>
      </c>
      <c r="AE71">
        <v>0</v>
      </c>
      <c r="AF71">
        <v>0</v>
      </c>
      <c r="AG71">
        <v>0</v>
      </c>
      <c r="AH71">
        <v>0</v>
      </c>
      <c r="AI71">
        <v>0</v>
      </c>
      <c r="AJ71">
        <v>0</v>
      </c>
      <c r="AK71">
        <v>0</v>
      </c>
      <c r="AL71">
        <v>1</v>
      </c>
      <c r="AM71">
        <v>0</v>
      </c>
      <c r="AN71">
        <v>0</v>
      </c>
      <c r="AO71">
        <v>0</v>
      </c>
      <c r="AP71">
        <v>0</v>
      </c>
      <c r="AQ71">
        <v>0</v>
      </c>
      <c r="AR71">
        <v>0</v>
      </c>
      <c r="AS71">
        <v>0</v>
      </c>
      <c r="AT71">
        <v>0</v>
      </c>
    </row>
    <row r="72" spans="1:46" ht="15.75" customHeight="1" x14ac:dyDescent="0.25">
      <c r="A72">
        <v>2</v>
      </c>
      <c r="B72">
        <v>1</v>
      </c>
      <c r="C72">
        <v>1997</v>
      </c>
      <c r="D72">
        <v>5</v>
      </c>
      <c r="E72">
        <v>5036</v>
      </c>
      <c r="F72">
        <v>43</v>
      </c>
      <c r="G72">
        <v>54</v>
      </c>
      <c r="H72">
        <v>77</v>
      </c>
      <c r="I72">
        <v>74</v>
      </c>
      <c r="J72">
        <v>187</v>
      </c>
      <c r="K72">
        <v>296</v>
      </c>
      <c r="L72">
        <v>347</v>
      </c>
      <c r="M72">
        <v>387</v>
      </c>
      <c r="N72">
        <v>507</v>
      </c>
      <c r="O72">
        <v>491</v>
      </c>
      <c r="P72">
        <v>547</v>
      </c>
      <c r="Q72">
        <v>491</v>
      </c>
      <c r="R72">
        <v>438</v>
      </c>
      <c r="S72">
        <v>186</v>
      </c>
      <c r="T72">
        <v>101</v>
      </c>
      <c r="U72">
        <v>100</v>
      </c>
      <c r="V72">
        <v>102</v>
      </c>
      <c r="W72">
        <v>101</v>
      </c>
      <c r="X72">
        <v>58</v>
      </c>
      <c r="Y72">
        <v>63</v>
      </c>
      <c r="Z72">
        <v>48</v>
      </c>
      <c r="AA72">
        <v>45</v>
      </c>
      <c r="AB72">
        <v>41</v>
      </c>
      <c r="AC72">
        <v>34</v>
      </c>
      <c r="AD72">
        <v>19</v>
      </c>
      <c r="AE72">
        <v>30</v>
      </c>
      <c r="AF72">
        <v>21</v>
      </c>
      <c r="AG72">
        <v>15</v>
      </c>
      <c r="AH72">
        <v>16</v>
      </c>
      <c r="AI72">
        <v>27</v>
      </c>
      <c r="AJ72">
        <v>17</v>
      </c>
      <c r="AK72">
        <v>12</v>
      </c>
      <c r="AL72">
        <v>7</v>
      </c>
      <c r="AM72">
        <v>12</v>
      </c>
      <c r="AN72">
        <v>10</v>
      </c>
      <c r="AO72">
        <v>32</v>
      </c>
      <c r="AP72">
        <v>0</v>
      </c>
      <c r="AQ72">
        <v>0</v>
      </c>
      <c r="AR72">
        <v>0</v>
      </c>
      <c r="AS72">
        <v>0</v>
      </c>
      <c r="AT72">
        <v>0</v>
      </c>
    </row>
    <row r="73" spans="1:46" ht="15.75" customHeight="1" x14ac:dyDescent="0.25">
      <c r="A73">
        <v>2</v>
      </c>
      <c r="B73">
        <v>1</v>
      </c>
      <c r="C73">
        <v>1997</v>
      </c>
      <c r="D73">
        <v>6</v>
      </c>
      <c r="E73">
        <v>3276</v>
      </c>
      <c r="F73">
        <v>0</v>
      </c>
      <c r="G73">
        <v>0</v>
      </c>
      <c r="H73">
        <v>1</v>
      </c>
      <c r="I73">
        <v>0</v>
      </c>
      <c r="J73">
        <v>1</v>
      </c>
      <c r="K73">
        <v>5</v>
      </c>
      <c r="L73">
        <v>12</v>
      </c>
      <c r="M73">
        <v>30</v>
      </c>
      <c r="N73">
        <v>54</v>
      </c>
      <c r="O73">
        <v>127</v>
      </c>
      <c r="P73">
        <v>398</v>
      </c>
      <c r="Q73">
        <v>1304</v>
      </c>
      <c r="R73">
        <v>1342</v>
      </c>
      <c r="S73">
        <v>2</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row>
    <row r="74" spans="1:46" ht="15.75" customHeight="1" x14ac:dyDescent="0.25">
      <c r="A74">
        <v>2</v>
      </c>
      <c r="B74">
        <v>1</v>
      </c>
      <c r="C74">
        <v>2000</v>
      </c>
      <c r="D74">
        <v>5</v>
      </c>
      <c r="E74">
        <v>84</v>
      </c>
      <c r="F74">
        <v>0</v>
      </c>
      <c r="G74">
        <v>0</v>
      </c>
      <c r="H74">
        <v>0</v>
      </c>
      <c r="I74">
        <v>0</v>
      </c>
      <c r="J74">
        <v>0</v>
      </c>
      <c r="K74">
        <v>0</v>
      </c>
      <c r="L74">
        <v>0</v>
      </c>
      <c r="M74">
        <v>0</v>
      </c>
      <c r="N74">
        <v>0</v>
      </c>
      <c r="O74">
        <v>0</v>
      </c>
      <c r="P74">
        <v>1</v>
      </c>
      <c r="Q74">
        <v>0</v>
      </c>
      <c r="R74">
        <v>0</v>
      </c>
      <c r="S74">
        <v>0</v>
      </c>
      <c r="T74">
        <v>4</v>
      </c>
      <c r="U74">
        <v>7</v>
      </c>
      <c r="V74">
        <v>6</v>
      </c>
      <c r="W74">
        <v>6</v>
      </c>
      <c r="X74">
        <v>4</v>
      </c>
      <c r="Y74">
        <v>3</v>
      </c>
      <c r="Z74">
        <v>5</v>
      </c>
      <c r="AA74">
        <v>2</v>
      </c>
      <c r="AB74">
        <v>2</v>
      </c>
      <c r="AC74">
        <v>1</v>
      </c>
      <c r="AD74">
        <v>0</v>
      </c>
      <c r="AE74">
        <v>1</v>
      </c>
      <c r="AF74">
        <v>1</v>
      </c>
      <c r="AG74">
        <v>2</v>
      </c>
      <c r="AH74">
        <v>3</v>
      </c>
      <c r="AI74">
        <v>4</v>
      </c>
      <c r="AJ74">
        <v>7</v>
      </c>
      <c r="AK74">
        <v>3</v>
      </c>
      <c r="AL74">
        <v>5</v>
      </c>
      <c r="AM74">
        <v>5</v>
      </c>
      <c r="AN74">
        <v>3</v>
      </c>
      <c r="AO74">
        <v>9</v>
      </c>
      <c r="AP74">
        <v>0</v>
      </c>
      <c r="AQ74">
        <v>0</v>
      </c>
      <c r="AR74">
        <v>0</v>
      </c>
      <c r="AS74">
        <v>0</v>
      </c>
      <c r="AT74">
        <v>0</v>
      </c>
    </row>
    <row r="75" spans="1:46" ht="15.75" customHeight="1" x14ac:dyDescent="0.25">
      <c r="A75">
        <v>2</v>
      </c>
      <c r="B75">
        <v>2</v>
      </c>
      <c r="C75">
        <v>2001</v>
      </c>
      <c r="D75">
        <v>1</v>
      </c>
      <c r="E75">
        <v>120</v>
      </c>
      <c r="F75">
        <v>0</v>
      </c>
      <c r="G75">
        <v>0</v>
      </c>
      <c r="H75">
        <v>0</v>
      </c>
      <c r="I75">
        <v>0</v>
      </c>
      <c r="J75">
        <v>0</v>
      </c>
      <c r="K75">
        <v>0</v>
      </c>
      <c r="L75">
        <v>0</v>
      </c>
      <c r="M75">
        <v>0</v>
      </c>
      <c r="N75">
        <v>0</v>
      </c>
      <c r="O75">
        <v>0</v>
      </c>
      <c r="P75">
        <v>0</v>
      </c>
      <c r="Q75">
        <v>0</v>
      </c>
      <c r="R75">
        <v>0</v>
      </c>
      <c r="S75">
        <v>0</v>
      </c>
      <c r="T75">
        <v>0</v>
      </c>
      <c r="U75">
        <v>0</v>
      </c>
      <c r="V75">
        <v>0</v>
      </c>
      <c r="W75">
        <v>0</v>
      </c>
      <c r="X75">
        <v>2</v>
      </c>
      <c r="Y75">
        <v>3</v>
      </c>
      <c r="Z75">
        <v>7</v>
      </c>
      <c r="AA75">
        <v>4</v>
      </c>
      <c r="AB75">
        <v>13</v>
      </c>
      <c r="AC75">
        <v>5</v>
      </c>
      <c r="AD75">
        <v>6</v>
      </c>
      <c r="AE75">
        <v>2</v>
      </c>
      <c r="AF75">
        <v>4</v>
      </c>
      <c r="AG75">
        <v>4</v>
      </c>
      <c r="AH75">
        <v>6</v>
      </c>
      <c r="AI75">
        <v>10</v>
      </c>
      <c r="AJ75">
        <v>5</v>
      </c>
      <c r="AK75">
        <v>9</v>
      </c>
      <c r="AL75">
        <v>6</v>
      </c>
      <c r="AM75">
        <v>4</v>
      </c>
      <c r="AN75">
        <v>8</v>
      </c>
      <c r="AO75">
        <v>22</v>
      </c>
      <c r="AP75">
        <v>0</v>
      </c>
      <c r="AQ75">
        <v>0</v>
      </c>
      <c r="AR75">
        <v>0</v>
      </c>
      <c r="AS75">
        <v>0</v>
      </c>
      <c r="AT75">
        <v>0</v>
      </c>
    </row>
    <row r="76" spans="1:46" ht="15.75" customHeight="1" x14ac:dyDescent="0.25">
      <c r="A76">
        <v>2</v>
      </c>
      <c r="B76">
        <v>2</v>
      </c>
      <c r="C76">
        <v>2005</v>
      </c>
      <c r="D76">
        <v>5</v>
      </c>
      <c r="E76">
        <v>3</v>
      </c>
      <c r="F76">
        <v>0</v>
      </c>
      <c r="G76">
        <v>0</v>
      </c>
      <c r="H76">
        <v>0</v>
      </c>
      <c r="I76">
        <v>0</v>
      </c>
      <c r="J76">
        <v>0</v>
      </c>
      <c r="K76">
        <v>0</v>
      </c>
      <c r="L76">
        <v>1</v>
      </c>
      <c r="M76">
        <v>0</v>
      </c>
      <c r="N76">
        <v>0</v>
      </c>
      <c r="O76">
        <v>0</v>
      </c>
      <c r="P76">
        <v>1</v>
      </c>
      <c r="Q76">
        <v>0</v>
      </c>
      <c r="R76">
        <v>1</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row>
    <row r="77" spans="1:46" ht="15.75" customHeight="1" x14ac:dyDescent="0.25">
      <c r="A77">
        <v>2</v>
      </c>
      <c r="B77">
        <v>2</v>
      </c>
      <c r="C77">
        <v>2006</v>
      </c>
      <c r="D77">
        <v>2</v>
      </c>
      <c r="E77">
        <v>8</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2</v>
      </c>
      <c r="AM77">
        <v>0</v>
      </c>
      <c r="AN77">
        <v>2</v>
      </c>
      <c r="AO77">
        <v>4</v>
      </c>
      <c r="AP77">
        <v>0</v>
      </c>
      <c r="AQ77">
        <v>0</v>
      </c>
      <c r="AR77">
        <v>0</v>
      </c>
      <c r="AS77">
        <v>0</v>
      </c>
      <c r="AT77">
        <v>0</v>
      </c>
    </row>
    <row r="78" spans="1:46" ht="15.75" customHeight="1" x14ac:dyDescent="0.25">
      <c r="A78">
        <v>2</v>
      </c>
      <c r="B78">
        <v>2</v>
      </c>
      <c r="C78">
        <v>2006</v>
      </c>
      <c r="D78">
        <v>5</v>
      </c>
      <c r="E78">
        <v>1</v>
      </c>
      <c r="F78">
        <v>0</v>
      </c>
      <c r="G78">
        <v>0</v>
      </c>
      <c r="H78">
        <v>0</v>
      </c>
      <c r="I78">
        <v>0</v>
      </c>
      <c r="J78">
        <v>0</v>
      </c>
      <c r="K78">
        <v>0</v>
      </c>
      <c r="L78">
        <v>0</v>
      </c>
      <c r="M78">
        <v>0</v>
      </c>
      <c r="N78">
        <v>0</v>
      </c>
      <c r="O78">
        <v>0</v>
      </c>
      <c r="P78">
        <v>0</v>
      </c>
      <c r="Q78">
        <v>0</v>
      </c>
      <c r="R78">
        <v>0</v>
      </c>
      <c r="S78">
        <v>0</v>
      </c>
      <c r="T78">
        <v>0</v>
      </c>
      <c r="U78">
        <v>0</v>
      </c>
      <c r="V78">
        <v>0</v>
      </c>
      <c r="W78">
        <v>1</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row>
    <row r="79" spans="1:46" ht="15.75" customHeight="1" x14ac:dyDescent="0.25">
      <c r="A79">
        <v>2</v>
      </c>
      <c r="B79">
        <v>2</v>
      </c>
      <c r="C79">
        <v>2006</v>
      </c>
      <c r="D79">
        <v>6</v>
      </c>
      <c r="E79">
        <v>2</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1</v>
      </c>
      <c r="AH79">
        <v>0</v>
      </c>
      <c r="AI79">
        <v>0</v>
      </c>
      <c r="AJ79">
        <v>1</v>
      </c>
      <c r="AK79">
        <v>0</v>
      </c>
      <c r="AL79">
        <v>0</v>
      </c>
      <c r="AM79">
        <v>0</v>
      </c>
      <c r="AN79">
        <v>0</v>
      </c>
      <c r="AO79">
        <v>0</v>
      </c>
      <c r="AP79">
        <v>0</v>
      </c>
      <c r="AQ79">
        <v>0</v>
      </c>
      <c r="AR79">
        <v>0</v>
      </c>
      <c r="AS79">
        <v>0</v>
      </c>
      <c r="AT79">
        <v>0</v>
      </c>
    </row>
    <row r="80" spans="1:46" ht="15.75" customHeight="1" x14ac:dyDescent="0.25">
      <c r="A80">
        <v>2</v>
      </c>
      <c r="B80">
        <v>2</v>
      </c>
      <c r="C80">
        <v>2007</v>
      </c>
      <c r="D80">
        <v>1</v>
      </c>
      <c r="E80">
        <v>3</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1</v>
      </c>
      <c r="AN80">
        <v>1</v>
      </c>
      <c r="AO80">
        <v>1</v>
      </c>
      <c r="AP80">
        <v>0</v>
      </c>
      <c r="AQ80">
        <v>0</v>
      </c>
      <c r="AR80">
        <v>0</v>
      </c>
      <c r="AS80">
        <v>0</v>
      </c>
      <c r="AT80">
        <v>0</v>
      </c>
    </row>
    <row r="81" spans="1:46" ht="15.75" customHeight="1" x14ac:dyDescent="0.25">
      <c r="A81">
        <v>2</v>
      </c>
      <c r="B81">
        <v>2</v>
      </c>
      <c r="C81">
        <v>2007</v>
      </c>
      <c r="D81">
        <v>2</v>
      </c>
      <c r="E81">
        <v>7</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1</v>
      </c>
      <c r="AH81">
        <v>2</v>
      </c>
      <c r="AI81">
        <v>0</v>
      </c>
      <c r="AJ81">
        <v>1</v>
      </c>
      <c r="AK81">
        <v>1</v>
      </c>
      <c r="AL81">
        <v>0</v>
      </c>
      <c r="AM81">
        <v>1</v>
      </c>
      <c r="AN81">
        <v>0</v>
      </c>
      <c r="AO81">
        <v>1</v>
      </c>
      <c r="AP81">
        <v>0</v>
      </c>
      <c r="AQ81">
        <v>0</v>
      </c>
      <c r="AR81">
        <v>0</v>
      </c>
      <c r="AS81">
        <v>0</v>
      </c>
      <c r="AT81">
        <v>0</v>
      </c>
    </row>
    <row r="82" spans="1:46" ht="15.75" customHeight="1" x14ac:dyDescent="0.25">
      <c r="A82">
        <v>2</v>
      </c>
      <c r="B82">
        <v>2</v>
      </c>
      <c r="C82">
        <v>2007</v>
      </c>
      <c r="D82">
        <v>3</v>
      </c>
      <c r="E82">
        <v>31</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2</v>
      </c>
      <c r="AG82">
        <v>6</v>
      </c>
      <c r="AH82">
        <v>9</v>
      </c>
      <c r="AI82">
        <v>1</v>
      </c>
      <c r="AJ82">
        <v>1</v>
      </c>
      <c r="AK82">
        <v>2</v>
      </c>
      <c r="AL82">
        <v>4</v>
      </c>
      <c r="AM82">
        <v>1</v>
      </c>
      <c r="AN82">
        <v>1</v>
      </c>
      <c r="AO82">
        <v>4</v>
      </c>
      <c r="AP82">
        <v>0</v>
      </c>
      <c r="AQ82">
        <v>0</v>
      </c>
      <c r="AR82">
        <v>0</v>
      </c>
      <c r="AS82">
        <v>0</v>
      </c>
      <c r="AT82">
        <v>0</v>
      </c>
    </row>
    <row r="83" spans="1:46" ht="15.75" customHeight="1" x14ac:dyDescent="0.25">
      <c r="A83">
        <v>2</v>
      </c>
      <c r="B83">
        <v>2</v>
      </c>
      <c r="C83">
        <v>2007</v>
      </c>
      <c r="D83">
        <v>6</v>
      </c>
      <c r="E83">
        <v>18</v>
      </c>
      <c r="F83">
        <v>0</v>
      </c>
      <c r="G83">
        <v>0</v>
      </c>
      <c r="H83">
        <v>0</v>
      </c>
      <c r="I83">
        <v>0</v>
      </c>
      <c r="J83">
        <v>0</v>
      </c>
      <c r="K83">
        <v>0</v>
      </c>
      <c r="L83">
        <v>0</v>
      </c>
      <c r="M83">
        <v>0</v>
      </c>
      <c r="N83">
        <v>0</v>
      </c>
      <c r="O83">
        <v>0</v>
      </c>
      <c r="P83">
        <v>0</v>
      </c>
      <c r="Q83">
        <v>4</v>
      </c>
      <c r="R83">
        <v>14</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row>
    <row r="84" spans="1:46" ht="15.75" customHeight="1" x14ac:dyDescent="0.25">
      <c r="A84">
        <v>2</v>
      </c>
      <c r="B84">
        <v>2</v>
      </c>
      <c r="C84">
        <v>2008</v>
      </c>
      <c r="D84">
        <v>5</v>
      </c>
      <c r="E84">
        <v>12</v>
      </c>
      <c r="F84">
        <v>0</v>
      </c>
      <c r="G84">
        <v>0</v>
      </c>
      <c r="H84">
        <v>0</v>
      </c>
      <c r="I84">
        <v>0</v>
      </c>
      <c r="J84">
        <v>0</v>
      </c>
      <c r="K84">
        <v>0</v>
      </c>
      <c r="L84">
        <v>1</v>
      </c>
      <c r="M84">
        <v>1</v>
      </c>
      <c r="N84">
        <v>2</v>
      </c>
      <c r="O84">
        <v>2</v>
      </c>
      <c r="P84">
        <v>2</v>
      </c>
      <c r="Q84">
        <v>2</v>
      </c>
      <c r="R84">
        <v>2</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row>
    <row r="85" spans="1:46" ht="15.75" customHeight="1" x14ac:dyDescent="0.25">
      <c r="A85">
        <v>2</v>
      </c>
      <c r="B85">
        <v>2</v>
      </c>
      <c r="C85">
        <v>2009</v>
      </c>
      <c r="D85">
        <v>5</v>
      </c>
      <c r="E85">
        <v>403</v>
      </c>
      <c r="F85">
        <v>0</v>
      </c>
      <c r="G85">
        <v>0</v>
      </c>
      <c r="H85">
        <v>2</v>
      </c>
      <c r="I85">
        <v>4</v>
      </c>
      <c r="J85">
        <v>6</v>
      </c>
      <c r="K85">
        <v>7</v>
      </c>
      <c r="L85">
        <v>12</v>
      </c>
      <c r="M85">
        <v>21</v>
      </c>
      <c r="N85">
        <v>23</v>
      </c>
      <c r="O85">
        <v>39</v>
      </c>
      <c r="P85">
        <v>74</v>
      </c>
      <c r="Q85">
        <v>67</v>
      </c>
      <c r="R85">
        <v>52</v>
      </c>
      <c r="S85">
        <v>29</v>
      </c>
      <c r="T85">
        <v>9</v>
      </c>
      <c r="U85">
        <v>10</v>
      </c>
      <c r="V85">
        <v>4</v>
      </c>
      <c r="W85">
        <v>7</v>
      </c>
      <c r="X85">
        <v>8</v>
      </c>
      <c r="Y85">
        <v>7</v>
      </c>
      <c r="Z85">
        <v>5</v>
      </c>
      <c r="AA85">
        <v>5</v>
      </c>
      <c r="AB85">
        <v>4</v>
      </c>
      <c r="AC85">
        <v>5</v>
      </c>
      <c r="AD85">
        <v>1</v>
      </c>
      <c r="AE85">
        <v>2</v>
      </c>
      <c r="AF85">
        <v>0</v>
      </c>
      <c r="AG85">
        <v>0</v>
      </c>
      <c r="AH85">
        <v>0</v>
      </c>
      <c r="AI85">
        <v>0</v>
      </c>
      <c r="AJ85">
        <v>0</v>
      </c>
      <c r="AK85">
        <v>0</v>
      </c>
      <c r="AL85">
        <v>0</v>
      </c>
      <c r="AM85">
        <v>0</v>
      </c>
      <c r="AN85">
        <v>0</v>
      </c>
      <c r="AO85">
        <v>0</v>
      </c>
      <c r="AP85">
        <v>0</v>
      </c>
      <c r="AQ85">
        <v>0</v>
      </c>
      <c r="AR85">
        <v>0</v>
      </c>
      <c r="AS85">
        <v>0</v>
      </c>
      <c r="AT85">
        <v>0</v>
      </c>
    </row>
    <row r="86" spans="1:46" ht="15.75" customHeight="1" x14ac:dyDescent="0.25">
      <c r="A86">
        <v>2</v>
      </c>
      <c r="B86">
        <v>2</v>
      </c>
      <c r="C86">
        <v>2010</v>
      </c>
      <c r="D86">
        <v>5</v>
      </c>
      <c r="E86">
        <v>70</v>
      </c>
      <c r="F86">
        <v>1</v>
      </c>
      <c r="G86">
        <v>3</v>
      </c>
      <c r="H86">
        <v>1</v>
      </c>
      <c r="I86">
        <v>0</v>
      </c>
      <c r="J86">
        <v>2</v>
      </c>
      <c r="K86">
        <v>1</v>
      </c>
      <c r="L86">
        <v>1</v>
      </c>
      <c r="M86">
        <v>2</v>
      </c>
      <c r="N86">
        <v>4</v>
      </c>
      <c r="O86">
        <v>3</v>
      </c>
      <c r="P86">
        <v>3</v>
      </c>
      <c r="Q86">
        <v>11</v>
      </c>
      <c r="R86">
        <v>11</v>
      </c>
      <c r="S86">
        <v>13</v>
      </c>
      <c r="T86">
        <v>2</v>
      </c>
      <c r="U86">
        <v>3</v>
      </c>
      <c r="V86">
        <v>0</v>
      </c>
      <c r="W86">
        <v>1</v>
      </c>
      <c r="X86">
        <v>0</v>
      </c>
      <c r="Y86">
        <v>0</v>
      </c>
      <c r="Z86">
        <v>1</v>
      </c>
      <c r="AA86">
        <v>0</v>
      </c>
      <c r="AB86">
        <v>1</v>
      </c>
      <c r="AC86">
        <v>1</v>
      </c>
      <c r="AD86">
        <v>1</v>
      </c>
      <c r="AE86">
        <v>1</v>
      </c>
      <c r="AF86">
        <v>0</v>
      </c>
      <c r="AG86">
        <v>0</v>
      </c>
      <c r="AH86">
        <v>1</v>
      </c>
      <c r="AI86">
        <v>0</v>
      </c>
      <c r="AJ86">
        <v>0</v>
      </c>
      <c r="AK86">
        <v>1</v>
      </c>
      <c r="AL86">
        <v>1</v>
      </c>
      <c r="AM86">
        <v>0</v>
      </c>
      <c r="AN86">
        <v>0</v>
      </c>
      <c r="AO86">
        <v>0</v>
      </c>
      <c r="AP86">
        <v>0</v>
      </c>
      <c r="AQ86">
        <v>0</v>
      </c>
      <c r="AR86">
        <v>0</v>
      </c>
      <c r="AS86">
        <v>0</v>
      </c>
      <c r="AT86">
        <v>0</v>
      </c>
    </row>
    <row r="87" spans="1:46" ht="15.75" customHeight="1" x14ac:dyDescent="0.25">
      <c r="A87">
        <v>2</v>
      </c>
      <c r="B87">
        <v>2</v>
      </c>
      <c r="C87">
        <v>2011</v>
      </c>
      <c r="D87">
        <v>5</v>
      </c>
      <c r="E87">
        <v>20</v>
      </c>
      <c r="F87">
        <v>0</v>
      </c>
      <c r="G87">
        <v>0</v>
      </c>
      <c r="H87">
        <v>0</v>
      </c>
      <c r="I87">
        <v>0</v>
      </c>
      <c r="J87">
        <v>0</v>
      </c>
      <c r="K87">
        <v>0</v>
      </c>
      <c r="L87">
        <v>0</v>
      </c>
      <c r="M87">
        <v>0</v>
      </c>
      <c r="N87">
        <v>0</v>
      </c>
      <c r="O87">
        <v>0</v>
      </c>
      <c r="P87">
        <v>1</v>
      </c>
      <c r="Q87">
        <v>0</v>
      </c>
      <c r="R87">
        <v>0</v>
      </c>
      <c r="S87">
        <v>0</v>
      </c>
      <c r="T87">
        <v>3</v>
      </c>
      <c r="U87">
        <v>2</v>
      </c>
      <c r="V87">
        <v>4</v>
      </c>
      <c r="W87">
        <v>0</v>
      </c>
      <c r="X87">
        <v>2</v>
      </c>
      <c r="Y87">
        <v>3</v>
      </c>
      <c r="Z87">
        <v>0</v>
      </c>
      <c r="AA87">
        <v>1</v>
      </c>
      <c r="AB87">
        <v>0</v>
      </c>
      <c r="AC87">
        <v>0</v>
      </c>
      <c r="AD87">
        <v>0</v>
      </c>
      <c r="AE87">
        <v>0</v>
      </c>
      <c r="AF87">
        <v>1</v>
      </c>
      <c r="AG87">
        <v>0</v>
      </c>
      <c r="AH87">
        <v>0</v>
      </c>
      <c r="AI87">
        <v>1</v>
      </c>
      <c r="AJ87">
        <v>1</v>
      </c>
      <c r="AK87">
        <v>1</v>
      </c>
      <c r="AL87">
        <v>0</v>
      </c>
      <c r="AM87">
        <v>0</v>
      </c>
      <c r="AN87">
        <v>0</v>
      </c>
      <c r="AO87">
        <v>0</v>
      </c>
      <c r="AP87">
        <v>0</v>
      </c>
      <c r="AQ87">
        <v>0</v>
      </c>
      <c r="AR87">
        <v>0</v>
      </c>
      <c r="AS87">
        <v>0</v>
      </c>
      <c r="AT87">
        <v>0</v>
      </c>
    </row>
    <row r="88" spans="1:46" ht="15.75" customHeight="1" x14ac:dyDescent="0.25">
      <c r="A88">
        <v>2</v>
      </c>
      <c r="B88">
        <v>2</v>
      </c>
      <c r="C88">
        <v>2012</v>
      </c>
      <c r="D88">
        <v>4</v>
      </c>
      <c r="E88">
        <v>5</v>
      </c>
      <c r="F88">
        <v>0</v>
      </c>
      <c r="G88">
        <v>0</v>
      </c>
      <c r="H88">
        <v>0</v>
      </c>
      <c r="I88">
        <v>0</v>
      </c>
      <c r="J88">
        <v>0</v>
      </c>
      <c r="K88">
        <v>0</v>
      </c>
      <c r="L88">
        <v>0</v>
      </c>
      <c r="M88">
        <v>0</v>
      </c>
      <c r="N88">
        <v>0</v>
      </c>
      <c r="O88">
        <v>0</v>
      </c>
      <c r="P88">
        <v>0</v>
      </c>
      <c r="Q88">
        <v>0</v>
      </c>
      <c r="R88">
        <v>0</v>
      </c>
      <c r="S88">
        <v>0</v>
      </c>
      <c r="T88">
        <v>1</v>
      </c>
      <c r="U88">
        <v>1</v>
      </c>
      <c r="V88">
        <v>1</v>
      </c>
      <c r="W88">
        <v>0</v>
      </c>
      <c r="X88">
        <v>0</v>
      </c>
      <c r="Y88">
        <v>1</v>
      </c>
      <c r="Z88">
        <v>0</v>
      </c>
      <c r="AA88">
        <v>0</v>
      </c>
      <c r="AB88">
        <v>0</v>
      </c>
      <c r="AC88">
        <v>0</v>
      </c>
      <c r="AD88">
        <v>0</v>
      </c>
      <c r="AE88">
        <v>0</v>
      </c>
      <c r="AF88">
        <v>0</v>
      </c>
      <c r="AG88">
        <v>1</v>
      </c>
      <c r="AH88">
        <v>0</v>
      </c>
      <c r="AI88">
        <v>0</v>
      </c>
      <c r="AJ88">
        <v>0</v>
      </c>
      <c r="AK88">
        <v>0</v>
      </c>
      <c r="AL88">
        <v>0</v>
      </c>
      <c r="AM88">
        <v>0</v>
      </c>
      <c r="AN88">
        <v>0</v>
      </c>
      <c r="AO88">
        <v>0</v>
      </c>
      <c r="AP88">
        <v>0</v>
      </c>
      <c r="AQ88">
        <v>0</v>
      </c>
      <c r="AR88">
        <v>0</v>
      </c>
      <c r="AS88">
        <v>0</v>
      </c>
      <c r="AT88">
        <v>0</v>
      </c>
    </row>
    <row r="89" spans="1:46" ht="15.75" customHeight="1" x14ac:dyDescent="0.25">
      <c r="A89">
        <v>2</v>
      </c>
      <c r="B89">
        <v>2</v>
      </c>
      <c r="C89">
        <v>2012</v>
      </c>
      <c r="D89">
        <v>5</v>
      </c>
      <c r="E89">
        <v>13</v>
      </c>
      <c r="F89">
        <v>0</v>
      </c>
      <c r="G89">
        <v>0</v>
      </c>
      <c r="H89">
        <v>0</v>
      </c>
      <c r="I89">
        <v>0</v>
      </c>
      <c r="J89">
        <v>1</v>
      </c>
      <c r="K89">
        <v>1</v>
      </c>
      <c r="L89">
        <v>0</v>
      </c>
      <c r="M89">
        <v>2</v>
      </c>
      <c r="N89">
        <v>1</v>
      </c>
      <c r="O89">
        <v>0</v>
      </c>
      <c r="P89">
        <v>0</v>
      </c>
      <c r="Q89">
        <v>0</v>
      </c>
      <c r="R89">
        <v>1</v>
      </c>
      <c r="S89">
        <v>0</v>
      </c>
      <c r="T89">
        <v>0</v>
      </c>
      <c r="U89">
        <v>0</v>
      </c>
      <c r="V89">
        <v>0</v>
      </c>
      <c r="W89">
        <v>0</v>
      </c>
      <c r="X89">
        <v>0</v>
      </c>
      <c r="Y89">
        <v>0</v>
      </c>
      <c r="Z89">
        <v>0</v>
      </c>
      <c r="AA89">
        <v>1</v>
      </c>
      <c r="AB89">
        <v>1</v>
      </c>
      <c r="AC89">
        <v>2</v>
      </c>
      <c r="AD89">
        <v>0</v>
      </c>
      <c r="AE89">
        <v>0</v>
      </c>
      <c r="AF89">
        <v>0</v>
      </c>
      <c r="AG89">
        <v>0</v>
      </c>
      <c r="AH89">
        <v>1</v>
      </c>
      <c r="AI89">
        <v>0</v>
      </c>
      <c r="AJ89">
        <v>0</v>
      </c>
      <c r="AK89">
        <v>0</v>
      </c>
      <c r="AL89">
        <v>0</v>
      </c>
      <c r="AM89">
        <v>0</v>
      </c>
      <c r="AN89">
        <v>0</v>
      </c>
      <c r="AO89">
        <v>2</v>
      </c>
      <c r="AP89">
        <v>0</v>
      </c>
      <c r="AQ89">
        <v>0</v>
      </c>
      <c r="AR89">
        <v>0</v>
      </c>
      <c r="AS89">
        <v>0</v>
      </c>
      <c r="AT89">
        <v>0</v>
      </c>
    </row>
    <row r="90" spans="1:46" ht="15.75" customHeight="1" x14ac:dyDescent="0.25">
      <c r="A90">
        <v>2</v>
      </c>
      <c r="B90">
        <v>2</v>
      </c>
      <c r="C90">
        <v>2013</v>
      </c>
      <c r="D90">
        <v>5</v>
      </c>
      <c r="E90">
        <v>3</v>
      </c>
      <c r="F90">
        <v>0</v>
      </c>
      <c r="G90">
        <v>0</v>
      </c>
      <c r="H90">
        <v>0</v>
      </c>
      <c r="I90">
        <v>0</v>
      </c>
      <c r="J90">
        <v>0</v>
      </c>
      <c r="K90">
        <v>1</v>
      </c>
      <c r="L90">
        <v>1</v>
      </c>
      <c r="M90">
        <v>1</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row>
    <row r="91" spans="1:46" ht="15.75" customHeight="1" x14ac:dyDescent="0.25">
      <c r="A91">
        <v>2</v>
      </c>
      <c r="B91">
        <v>2</v>
      </c>
      <c r="C91">
        <v>2014</v>
      </c>
      <c r="D91">
        <v>4</v>
      </c>
      <c r="E91">
        <v>899</v>
      </c>
      <c r="F91">
        <v>0</v>
      </c>
      <c r="G91">
        <v>0</v>
      </c>
      <c r="H91">
        <v>0</v>
      </c>
      <c r="I91">
        <v>0</v>
      </c>
      <c r="J91">
        <v>0</v>
      </c>
      <c r="K91">
        <v>0</v>
      </c>
      <c r="L91">
        <v>0</v>
      </c>
      <c r="M91">
        <v>0</v>
      </c>
      <c r="N91">
        <v>1</v>
      </c>
      <c r="O91">
        <v>5</v>
      </c>
      <c r="P91">
        <v>19</v>
      </c>
      <c r="Q91">
        <v>77</v>
      </c>
      <c r="R91">
        <v>132</v>
      </c>
      <c r="S91">
        <v>90</v>
      </c>
      <c r="T91">
        <v>105</v>
      </c>
      <c r="U91">
        <v>126</v>
      </c>
      <c r="V91">
        <v>137</v>
      </c>
      <c r="W91">
        <v>85</v>
      </c>
      <c r="X91">
        <v>60</v>
      </c>
      <c r="Y91">
        <v>30</v>
      </c>
      <c r="Z91">
        <v>15</v>
      </c>
      <c r="AA91">
        <v>5</v>
      </c>
      <c r="AB91">
        <v>7</v>
      </c>
      <c r="AC91">
        <v>3</v>
      </c>
      <c r="AD91">
        <v>2</v>
      </c>
      <c r="AE91">
        <v>0</v>
      </c>
      <c r="AF91">
        <v>0</v>
      </c>
      <c r="AG91">
        <v>0</v>
      </c>
      <c r="AH91">
        <v>0</v>
      </c>
      <c r="AI91">
        <v>0</v>
      </c>
      <c r="AJ91">
        <v>0</v>
      </c>
      <c r="AK91">
        <v>0</v>
      </c>
      <c r="AL91">
        <v>0</v>
      </c>
      <c r="AM91">
        <v>0</v>
      </c>
      <c r="AN91">
        <v>0</v>
      </c>
      <c r="AO91">
        <v>0</v>
      </c>
      <c r="AP91">
        <v>0</v>
      </c>
      <c r="AQ91">
        <v>0</v>
      </c>
      <c r="AR91">
        <v>0</v>
      </c>
      <c r="AS91">
        <v>0</v>
      </c>
      <c r="AT91">
        <v>0</v>
      </c>
    </row>
    <row r="92" spans="1:46" ht="15.75" customHeight="1" x14ac:dyDescent="0.25">
      <c r="A92">
        <v>2</v>
      </c>
      <c r="B92">
        <v>2</v>
      </c>
      <c r="C92">
        <v>2014</v>
      </c>
      <c r="D92">
        <v>5</v>
      </c>
      <c r="E92">
        <v>3053</v>
      </c>
      <c r="F92">
        <v>0</v>
      </c>
      <c r="G92">
        <v>0</v>
      </c>
      <c r="H92">
        <v>0</v>
      </c>
      <c r="I92">
        <v>2</v>
      </c>
      <c r="J92">
        <v>3</v>
      </c>
      <c r="K92">
        <v>6</v>
      </c>
      <c r="L92">
        <v>18</v>
      </c>
      <c r="M92">
        <v>20</v>
      </c>
      <c r="N92">
        <v>44</v>
      </c>
      <c r="O92">
        <v>81</v>
      </c>
      <c r="P92">
        <v>95</v>
      </c>
      <c r="Q92">
        <v>146</v>
      </c>
      <c r="R92">
        <v>209</v>
      </c>
      <c r="S92">
        <v>166</v>
      </c>
      <c r="T92">
        <v>209</v>
      </c>
      <c r="U92">
        <v>230</v>
      </c>
      <c r="V92">
        <v>227</v>
      </c>
      <c r="W92">
        <v>246</v>
      </c>
      <c r="X92">
        <v>215</v>
      </c>
      <c r="Y92">
        <v>157</v>
      </c>
      <c r="Z92">
        <v>162</v>
      </c>
      <c r="AA92">
        <v>119</v>
      </c>
      <c r="AB92">
        <v>101</v>
      </c>
      <c r="AC92">
        <v>90</v>
      </c>
      <c r="AD92">
        <v>71</v>
      </c>
      <c r="AE92">
        <v>74</v>
      </c>
      <c r="AF92">
        <v>70</v>
      </c>
      <c r="AG92">
        <v>66</v>
      </c>
      <c r="AH92">
        <v>67</v>
      </c>
      <c r="AI92">
        <v>50</v>
      </c>
      <c r="AJ92">
        <v>41</v>
      </c>
      <c r="AK92">
        <v>26</v>
      </c>
      <c r="AL92">
        <v>11</v>
      </c>
      <c r="AM92">
        <v>15</v>
      </c>
      <c r="AN92">
        <v>6</v>
      </c>
      <c r="AO92">
        <v>10</v>
      </c>
      <c r="AP92">
        <v>0</v>
      </c>
      <c r="AQ92">
        <v>0</v>
      </c>
      <c r="AR92">
        <v>0</v>
      </c>
      <c r="AS92">
        <v>0</v>
      </c>
      <c r="AT92">
        <v>0</v>
      </c>
    </row>
    <row r="93" spans="1:46" ht="15.75" customHeight="1" x14ac:dyDescent="0.25">
      <c r="A93">
        <v>2</v>
      </c>
      <c r="B93">
        <v>2</v>
      </c>
      <c r="C93">
        <v>2015</v>
      </c>
      <c r="D93">
        <v>1</v>
      </c>
      <c r="E93">
        <v>8</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2</v>
      </c>
      <c r="AC93">
        <v>0</v>
      </c>
      <c r="AD93">
        <v>1</v>
      </c>
      <c r="AE93">
        <v>0</v>
      </c>
      <c r="AF93">
        <v>1</v>
      </c>
      <c r="AG93">
        <v>0</v>
      </c>
      <c r="AH93">
        <v>1</v>
      </c>
      <c r="AI93">
        <v>1</v>
      </c>
      <c r="AJ93">
        <v>0</v>
      </c>
      <c r="AK93">
        <v>1</v>
      </c>
      <c r="AL93">
        <v>0</v>
      </c>
      <c r="AM93">
        <v>0</v>
      </c>
      <c r="AN93">
        <v>0</v>
      </c>
      <c r="AO93">
        <v>0</v>
      </c>
      <c r="AP93">
        <v>0</v>
      </c>
      <c r="AQ93">
        <v>0</v>
      </c>
      <c r="AR93">
        <v>0</v>
      </c>
      <c r="AS93">
        <v>0</v>
      </c>
      <c r="AT93">
        <v>0</v>
      </c>
    </row>
    <row r="94" spans="1:46" ht="15.75" customHeight="1" x14ac:dyDescent="0.25">
      <c r="A94">
        <v>2</v>
      </c>
      <c r="B94">
        <v>2</v>
      </c>
      <c r="C94">
        <v>2015</v>
      </c>
      <c r="D94">
        <v>2</v>
      </c>
      <c r="E94">
        <v>3</v>
      </c>
      <c r="F94">
        <v>0</v>
      </c>
      <c r="G94">
        <v>0</v>
      </c>
      <c r="H94">
        <v>0</v>
      </c>
      <c r="I94">
        <v>0</v>
      </c>
      <c r="J94">
        <v>0</v>
      </c>
      <c r="K94">
        <v>0</v>
      </c>
      <c r="L94">
        <v>0</v>
      </c>
      <c r="M94">
        <v>0</v>
      </c>
      <c r="N94">
        <v>0</v>
      </c>
      <c r="O94">
        <v>0</v>
      </c>
      <c r="P94">
        <v>0</v>
      </c>
      <c r="Q94">
        <v>0</v>
      </c>
      <c r="R94">
        <v>0</v>
      </c>
      <c r="S94">
        <v>0</v>
      </c>
      <c r="T94">
        <v>0</v>
      </c>
      <c r="U94">
        <v>0</v>
      </c>
      <c r="V94">
        <v>0</v>
      </c>
      <c r="W94">
        <v>0</v>
      </c>
      <c r="X94">
        <v>1</v>
      </c>
      <c r="Y94">
        <v>1</v>
      </c>
      <c r="Z94">
        <v>0</v>
      </c>
      <c r="AA94">
        <v>0</v>
      </c>
      <c r="AB94">
        <v>0</v>
      </c>
      <c r="AC94">
        <v>0</v>
      </c>
      <c r="AD94">
        <v>0</v>
      </c>
      <c r="AE94">
        <v>0</v>
      </c>
      <c r="AF94">
        <v>0</v>
      </c>
      <c r="AG94">
        <v>0</v>
      </c>
      <c r="AH94">
        <v>0</v>
      </c>
      <c r="AI94">
        <v>0</v>
      </c>
      <c r="AJ94">
        <v>0</v>
      </c>
      <c r="AK94">
        <v>0</v>
      </c>
      <c r="AL94">
        <v>0</v>
      </c>
      <c r="AM94">
        <v>0</v>
      </c>
      <c r="AN94">
        <v>1</v>
      </c>
      <c r="AO94">
        <v>0</v>
      </c>
      <c r="AP94">
        <v>0</v>
      </c>
      <c r="AQ94">
        <v>0</v>
      </c>
      <c r="AR94">
        <v>0</v>
      </c>
      <c r="AS94">
        <v>0</v>
      </c>
      <c r="AT94">
        <v>0</v>
      </c>
    </row>
    <row r="95" spans="1:46" ht="15.75" customHeight="1" x14ac:dyDescent="0.25">
      <c r="A95">
        <v>2</v>
      </c>
      <c r="B95">
        <v>2</v>
      </c>
      <c r="C95">
        <v>2015</v>
      </c>
      <c r="D95">
        <v>3</v>
      </c>
      <c r="E95">
        <v>177</v>
      </c>
      <c r="F95">
        <v>0</v>
      </c>
      <c r="G95">
        <v>0</v>
      </c>
      <c r="H95">
        <v>0</v>
      </c>
      <c r="I95">
        <v>0</v>
      </c>
      <c r="J95">
        <v>0</v>
      </c>
      <c r="K95">
        <v>0</v>
      </c>
      <c r="L95">
        <v>0</v>
      </c>
      <c r="M95">
        <v>0</v>
      </c>
      <c r="N95">
        <v>1</v>
      </c>
      <c r="O95">
        <v>1</v>
      </c>
      <c r="P95">
        <v>2</v>
      </c>
      <c r="Q95">
        <v>1</v>
      </c>
      <c r="R95">
        <v>3</v>
      </c>
      <c r="S95">
        <v>3</v>
      </c>
      <c r="T95">
        <v>9</v>
      </c>
      <c r="U95">
        <v>5</v>
      </c>
      <c r="V95">
        <v>10</v>
      </c>
      <c r="W95">
        <v>11</v>
      </c>
      <c r="X95">
        <v>8</v>
      </c>
      <c r="Y95">
        <v>8</v>
      </c>
      <c r="Z95">
        <v>10</v>
      </c>
      <c r="AA95">
        <v>4</v>
      </c>
      <c r="AB95">
        <v>1</v>
      </c>
      <c r="AC95">
        <v>1</v>
      </c>
      <c r="AD95">
        <v>5</v>
      </c>
      <c r="AE95">
        <v>5</v>
      </c>
      <c r="AF95">
        <v>7</v>
      </c>
      <c r="AG95">
        <v>11</v>
      </c>
      <c r="AH95">
        <v>8</v>
      </c>
      <c r="AI95">
        <v>12</v>
      </c>
      <c r="AJ95">
        <v>17</v>
      </c>
      <c r="AK95">
        <v>10</v>
      </c>
      <c r="AL95">
        <v>7</v>
      </c>
      <c r="AM95">
        <v>5</v>
      </c>
      <c r="AN95">
        <v>7</v>
      </c>
      <c r="AO95">
        <v>5</v>
      </c>
      <c r="AP95">
        <v>0</v>
      </c>
      <c r="AQ95">
        <v>0</v>
      </c>
      <c r="AR95">
        <v>0</v>
      </c>
      <c r="AS95">
        <v>0</v>
      </c>
      <c r="AT95">
        <v>0</v>
      </c>
    </row>
    <row r="96" spans="1:46" ht="15.75" customHeight="1" x14ac:dyDescent="0.25">
      <c r="A96">
        <v>2</v>
      </c>
      <c r="B96">
        <v>2</v>
      </c>
      <c r="C96">
        <v>2015</v>
      </c>
      <c r="D96">
        <v>4</v>
      </c>
      <c r="E96">
        <v>133</v>
      </c>
      <c r="F96">
        <v>0</v>
      </c>
      <c r="G96">
        <v>0</v>
      </c>
      <c r="H96">
        <v>0</v>
      </c>
      <c r="I96">
        <v>0</v>
      </c>
      <c r="J96">
        <v>0</v>
      </c>
      <c r="K96">
        <v>0</v>
      </c>
      <c r="L96">
        <v>0</v>
      </c>
      <c r="M96">
        <v>0</v>
      </c>
      <c r="N96">
        <v>0</v>
      </c>
      <c r="O96">
        <v>0</v>
      </c>
      <c r="P96">
        <v>0</v>
      </c>
      <c r="Q96">
        <v>0</v>
      </c>
      <c r="R96">
        <v>2</v>
      </c>
      <c r="S96">
        <v>2</v>
      </c>
      <c r="T96">
        <v>3</v>
      </c>
      <c r="U96">
        <v>7</v>
      </c>
      <c r="V96">
        <v>8</v>
      </c>
      <c r="W96">
        <v>10</v>
      </c>
      <c r="X96">
        <v>15</v>
      </c>
      <c r="Y96">
        <v>12</v>
      </c>
      <c r="Z96">
        <v>17</v>
      </c>
      <c r="AA96">
        <v>10</v>
      </c>
      <c r="AB96">
        <v>11</v>
      </c>
      <c r="AC96">
        <v>9</v>
      </c>
      <c r="AD96">
        <v>7</v>
      </c>
      <c r="AE96">
        <v>8</v>
      </c>
      <c r="AF96">
        <v>7</v>
      </c>
      <c r="AG96">
        <v>4</v>
      </c>
      <c r="AH96">
        <v>1</v>
      </c>
      <c r="AI96">
        <v>0</v>
      </c>
      <c r="AJ96">
        <v>0</v>
      </c>
      <c r="AK96">
        <v>0</v>
      </c>
      <c r="AL96">
        <v>0</v>
      </c>
      <c r="AM96">
        <v>0</v>
      </c>
      <c r="AN96">
        <v>0</v>
      </c>
      <c r="AO96">
        <v>0</v>
      </c>
      <c r="AP96">
        <v>0</v>
      </c>
      <c r="AQ96">
        <v>0</v>
      </c>
      <c r="AR96">
        <v>0</v>
      </c>
      <c r="AS96">
        <v>0</v>
      </c>
      <c r="AT96">
        <v>0</v>
      </c>
    </row>
    <row r="97" spans="1:48" ht="15.75" customHeight="1" x14ac:dyDescent="0.25">
      <c r="A97">
        <v>2</v>
      </c>
      <c r="B97">
        <v>2</v>
      </c>
      <c r="C97">
        <v>2015</v>
      </c>
      <c r="D97">
        <v>5</v>
      </c>
      <c r="E97">
        <v>4392</v>
      </c>
      <c r="F97">
        <v>0</v>
      </c>
      <c r="G97">
        <v>1</v>
      </c>
      <c r="H97">
        <v>0</v>
      </c>
      <c r="I97">
        <v>0</v>
      </c>
      <c r="J97">
        <v>4</v>
      </c>
      <c r="K97">
        <v>4</v>
      </c>
      <c r="L97">
        <v>16</v>
      </c>
      <c r="M97">
        <v>15</v>
      </c>
      <c r="N97">
        <v>25</v>
      </c>
      <c r="O97">
        <v>49</v>
      </c>
      <c r="P97">
        <v>69</v>
      </c>
      <c r="Q97">
        <v>130</v>
      </c>
      <c r="R97">
        <v>255</v>
      </c>
      <c r="S97">
        <v>299</v>
      </c>
      <c r="T97">
        <v>329</v>
      </c>
      <c r="U97">
        <v>423</v>
      </c>
      <c r="V97">
        <v>455</v>
      </c>
      <c r="W97">
        <v>468</v>
      </c>
      <c r="X97">
        <v>381</v>
      </c>
      <c r="Y97">
        <v>314</v>
      </c>
      <c r="Z97">
        <v>241</v>
      </c>
      <c r="AA97">
        <v>192</v>
      </c>
      <c r="AB97">
        <v>139</v>
      </c>
      <c r="AC97">
        <v>130</v>
      </c>
      <c r="AD97">
        <v>103</v>
      </c>
      <c r="AE97">
        <v>80</v>
      </c>
      <c r="AF97">
        <v>63</v>
      </c>
      <c r="AG97">
        <v>60</v>
      </c>
      <c r="AH97">
        <v>41</v>
      </c>
      <c r="AI97">
        <v>39</v>
      </c>
      <c r="AJ97">
        <v>24</v>
      </c>
      <c r="AK97">
        <v>13</v>
      </c>
      <c r="AL97">
        <v>11</v>
      </c>
      <c r="AM97">
        <v>7</v>
      </c>
      <c r="AN97">
        <v>4</v>
      </c>
      <c r="AO97">
        <v>8</v>
      </c>
      <c r="AP97">
        <v>0</v>
      </c>
      <c r="AQ97">
        <v>0</v>
      </c>
      <c r="AR97">
        <v>0</v>
      </c>
      <c r="AS97">
        <v>0</v>
      </c>
      <c r="AT97">
        <v>0</v>
      </c>
    </row>
    <row r="98" spans="1:48" ht="15.75" customHeight="1" x14ac:dyDescent="0.25">
      <c r="A98">
        <v>2</v>
      </c>
      <c r="B98">
        <v>2</v>
      </c>
      <c r="C98">
        <v>2015</v>
      </c>
      <c r="D98">
        <v>6</v>
      </c>
      <c r="E98">
        <v>765</v>
      </c>
      <c r="F98">
        <v>0</v>
      </c>
      <c r="G98">
        <v>1</v>
      </c>
      <c r="H98">
        <v>0</v>
      </c>
      <c r="I98">
        <v>1</v>
      </c>
      <c r="J98">
        <v>0</v>
      </c>
      <c r="K98">
        <v>5</v>
      </c>
      <c r="L98">
        <v>7</v>
      </c>
      <c r="M98">
        <v>10</v>
      </c>
      <c r="N98">
        <v>8</v>
      </c>
      <c r="O98">
        <v>30</v>
      </c>
      <c r="P98">
        <v>31</v>
      </c>
      <c r="Q98">
        <v>31</v>
      </c>
      <c r="R98">
        <v>37</v>
      </c>
      <c r="S98">
        <v>63</v>
      </c>
      <c r="T98">
        <v>74</v>
      </c>
      <c r="U98">
        <v>81</v>
      </c>
      <c r="V98">
        <v>74</v>
      </c>
      <c r="W98">
        <v>71</v>
      </c>
      <c r="X98">
        <v>49</v>
      </c>
      <c r="Y98">
        <v>46</v>
      </c>
      <c r="Z98">
        <v>31</v>
      </c>
      <c r="AA98">
        <v>23</v>
      </c>
      <c r="AB98">
        <v>20</v>
      </c>
      <c r="AC98">
        <v>24</v>
      </c>
      <c r="AD98">
        <v>12</v>
      </c>
      <c r="AE98">
        <v>13</v>
      </c>
      <c r="AF98">
        <v>12</v>
      </c>
      <c r="AG98">
        <v>4</v>
      </c>
      <c r="AH98">
        <v>2</v>
      </c>
      <c r="AI98">
        <v>1</v>
      </c>
      <c r="AJ98">
        <v>3</v>
      </c>
      <c r="AK98">
        <v>1</v>
      </c>
      <c r="AL98">
        <v>0</v>
      </c>
      <c r="AM98">
        <v>0</v>
      </c>
      <c r="AN98">
        <v>0</v>
      </c>
      <c r="AO98">
        <v>0</v>
      </c>
      <c r="AP98">
        <v>0</v>
      </c>
      <c r="AQ98">
        <v>0</v>
      </c>
      <c r="AR98">
        <v>0</v>
      </c>
      <c r="AS98">
        <v>0</v>
      </c>
      <c r="AT98">
        <v>0</v>
      </c>
    </row>
    <row r="99" spans="1:48" ht="15.75" customHeight="1" x14ac:dyDescent="0.25">
      <c r="A99">
        <v>2</v>
      </c>
      <c r="B99">
        <v>2</v>
      </c>
      <c r="C99">
        <v>2016</v>
      </c>
      <c r="D99">
        <v>1</v>
      </c>
      <c r="E99">
        <v>45</v>
      </c>
      <c r="F99">
        <v>0</v>
      </c>
      <c r="G99">
        <v>0</v>
      </c>
      <c r="H99">
        <v>0</v>
      </c>
      <c r="I99">
        <v>0</v>
      </c>
      <c r="J99">
        <v>0</v>
      </c>
      <c r="K99">
        <v>0</v>
      </c>
      <c r="L99">
        <v>0</v>
      </c>
      <c r="M99">
        <v>0</v>
      </c>
      <c r="N99">
        <v>0</v>
      </c>
      <c r="O99">
        <v>0</v>
      </c>
      <c r="P99">
        <v>0</v>
      </c>
      <c r="Q99">
        <v>3</v>
      </c>
      <c r="R99">
        <v>3</v>
      </c>
      <c r="S99">
        <v>0</v>
      </c>
      <c r="T99">
        <v>1</v>
      </c>
      <c r="U99">
        <v>5</v>
      </c>
      <c r="V99">
        <v>4</v>
      </c>
      <c r="W99">
        <v>5</v>
      </c>
      <c r="X99">
        <v>5</v>
      </c>
      <c r="Y99">
        <v>2</v>
      </c>
      <c r="Z99">
        <v>3</v>
      </c>
      <c r="AA99">
        <v>2</v>
      </c>
      <c r="AB99">
        <v>1</v>
      </c>
      <c r="AC99">
        <v>4</v>
      </c>
      <c r="AD99">
        <v>3</v>
      </c>
      <c r="AE99">
        <v>3</v>
      </c>
      <c r="AF99">
        <v>0</v>
      </c>
      <c r="AG99">
        <v>1</v>
      </c>
      <c r="AH99">
        <v>0</v>
      </c>
      <c r="AI99">
        <v>0</v>
      </c>
      <c r="AJ99">
        <v>0</v>
      </c>
      <c r="AK99">
        <v>0</v>
      </c>
      <c r="AL99">
        <v>0</v>
      </c>
      <c r="AM99">
        <v>0</v>
      </c>
      <c r="AN99">
        <v>0</v>
      </c>
      <c r="AO99">
        <v>0</v>
      </c>
      <c r="AP99">
        <v>0</v>
      </c>
      <c r="AQ99">
        <v>0</v>
      </c>
      <c r="AR99">
        <v>0</v>
      </c>
      <c r="AS99">
        <v>0</v>
      </c>
      <c r="AT99">
        <v>0</v>
      </c>
    </row>
    <row r="100" spans="1:48" ht="15.75" customHeight="1" x14ac:dyDescent="0.25">
      <c r="A100">
        <v>2</v>
      </c>
      <c r="B100">
        <v>2</v>
      </c>
      <c r="C100">
        <v>2016</v>
      </c>
      <c r="D100">
        <v>2</v>
      </c>
      <c r="E100">
        <v>1836</v>
      </c>
      <c r="F100">
        <v>0</v>
      </c>
      <c r="G100">
        <v>0</v>
      </c>
      <c r="H100">
        <v>0</v>
      </c>
      <c r="I100">
        <v>0</v>
      </c>
      <c r="J100">
        <v>0</v>
      </c>
      <c r="K100">
        <v>0</v>
      </c>
      <c r="L100">
        <v>1</v>
      </c>
      <c r="M100">
        <v>8</v>
      </c>
      <c r="N100">
        <v>59</v>
      </c>
      <c r="O100">
        <v>158</v>
      </c>
      <c r="P100">
        <v>331</v>
      </c>
      <c r="Q100">
        <v>641</v>
      </c>
      <c r="R100">
        <v>357</v>
      </c>
      <c r="S100">
        <v>83</v>
      </c>
      <c r="T100">
        <v>48</v>
      </c>
      <c r="U100">
        <v>41</v>
      </c>
      <c r="V100">
        <v>43</v>
      </c>
      <c r="W100">
        <v>30</v>
      </c>
      <c r="X100">
        <v>23</v>
      </c>
      <c r="Y100">
        <v>6</v>
      </c>
      <c r="Z100">
        <v>5</v>
      </c>
      <c r="AA100">
        <v>0</v>
      </c>
      <c r="AB100">
        <v>0</v>
      </c>
      <c r="AC100">
        <v>2</v>
      </c>
      <c r="AD100">
        <v>0</v>
      </c>
      <c r="AE100">
        <v>0</v>
      </c>
      <c r="AF100">
        <v>0</v>
      </c>
      <c r="AG100">
        <v>0</v>
      </c>
      <c r="AH100">
        <v>0</v>
      </c>
      <c r="AI100">
        <v>0</v>
      </c>
      <c r="AJ100">
        <v>0</v>
      </c>
      <c r="AK100">
        <v>0</v>
      </c>
      <c r="AL100">
        <v>0</v>
      </c>
      <c r="AM100">
        <v>0</v>
      </c>
      <c r="AN100">
        <v>0</v>
      </c>
      <c r="AO100">
        <v>0</v>
      </c>
      <c r="AP100">
        <v>0</v>
      </c>
      <c r="AQ100">
        <v>0</v>
      </c>
      <c r="AR100">
        <v>0</v>
      </c>
      <c r="AS100">
        <v>0</v>
      </c>
      <c r="AT100">
        <v>0</v>
      </c>
    </row>
    <row r="101" spans="1:48" ht="15.75" customHeight="1" x14ac:dyDescent="0.25">
      <c r="A101">
        <v>2</v>
      </c>
      <c r="B101">
        <v>2</v>
      </c>
      <c r="C101">
        <v>2016</v>
      </c>
      <c r="D101">
        <v>4</v>
      </c>
      <c r="E101">
        <v>1241</v>
      </c>
      <c r="F101">
        <v>1</v>
      </c>
      <c r="G101">
        <v>1</v>
      </c>
      <c r="H101">
        <v>1</v>
      </c>
      <c r="I101">
        <v>0</v>
      </c>
      <c r="J101">
        <v>0</v>
      </c>
      <c r="K101">
        <v>0</v>
      </c>
      <c r="L101">
        <v>3</v>
      </c>
      <c r="M101">
        <v>3</v>
      </c>
      <c r="N101">
        <v>5</v>
      </c>
      <c r="O101">
        <v>6</v>
      </c>
      <c r="P101">
        <v>12</v>
      </c>
      <c r="Q101">
        <v>22</v>
      </c>
      <c r="R101">
        <v>44</v>
      </c>
      <c r="S101">
        <v>58</v>
      </c>
      <c r="T101">
        <v>76</v>
      </c>
      <c r="U101">
        <v>92</v>
      </c>
      <c r="V101">
        <v>138</v>
      </c>
      <c r="W101">
        <v>117</v>
      </c>
      <c r="X101">
        <v>130</v>
      </c>
      <c r="Y101">
        <v>121</v>
      </c>
      <c r="Z101">
        <v>77</v>
      </c>
      <c r="AA101">
        <v>70</v>
      </c>
      <c r="AB101">
        <v>55</v>
      </c>
      <c r="AC101">
        <v>48</v>
      </c>
      <c r="AD101">
        <v>56</v>
      </c>
      <c r="AE101">
        <v>34</v>
      </c>
      <c r="AF101">
        <v>24</v>
      </c>
      <c r="AG101">
        <v>14</v>
      </c>
      <c r="AH101">
        <v>10</v>
      </c>
      <c r="AI101">
        <v>8</v>
      </c>
      <c r="AJ101">
        <v>9</v>
      </c>
      <c r="AK101">
        <v>2</v>
      </c>
      <c r="AL101">
        <v>1</v>
      </c>
      <c r="AM101">
        <v>3</v>
      </c>
      <c r="AN101">
        <v>0</v>
      </c>
      <c r="AO101">
        <v>0</v>
      </c>
      <c r="AP101">
        <v>0</v>
      </c>
      <c r="AQ101">
        <v>0</v>
      </c>
      <c r="AR101">
        <v>0</v>
      </c>
      <c r="AS101">
        <v>0</v>
      </c>
      <c r="AT101">
        <v>0</v>
      </c>
    </row>
    <row r="102" spans="1:48" ht="15.75" customHeight="1" x14ac:dyDescent="0.25">
      <c r="A102">
        <v>2</v>
      </c>
      <c r="B102">
        <v>2</v>
      </c>
      <c r="C102">
        <v>2016</v>
      </c>
      <c r="D102">
        <v>5</v>
      </c>
      <c r="E102">
        <v>4682</v>
      </c>
      <c r="F102">
        <v>1</v>
      </c>
      <c r="G102">
        <v>1</v>
      </c>
      <c r="H102">
        <v>0</v>
      </c>
      <c r="I102">
        <v>3</v>
      </c>
      <c r="J102">
        <v>5</v>
      </c>
      <c r="K102">
        <v>20</v>
      </c>
      <c r="L102">
        <v>23</v>
      </c>
      <c r="M102">
        <v>44</v>
      </c>
      <c r="N102">
        <v>46</v>
      </c>
      <c r="O102">
        <v>76</v>
      </c>
      <c r="P102">
        <v>168</v>
      </c>
      <c r="Q102">
        <v>235</v>
      </c>
      <c r="R102">
        <v>322</v>
      </c>
      <c r="S102">
        <v>330</v>
      </c>
      <c r="T102">
        <v>390</v>
      </c>
      <c r="U102">
        <v>452</v>
      </c>
      <c r="V102">
        <v>468</v>
      </c>
      <c r="W102">
        <v>449</v>
      </c>
      <c r="X102">
        <v>388</v>
      </c>
      <c r="Y102">
        <v>340</v>
      </c>
      <c r="Z102">
        <v>246</v>
      </c>
      <c r="AA102">
        <v>184</v>
      </c>
      <c r="AB102">
        <v>154</v>
      </c>
      <c r="AC102">
        <v>99</v>
      </c>
      <c r="AD102">
        <v>83</v>
      </c>
      <c r="AE102">
        <v>57</v>
      </c>
      <c r="AF102">
        <v>38</v>
      </c>
      <c r="AG102">
        <v>20</v>
      </c>
      <c r="AH102">
        <v>16</v>
      </c>
      <c r="AI102">
        <v>7</v>
      </c>
      <c r="AJ102">
        <v>6</v>
      </c>
      <c r="AK102">
        <v>7</v>
      </c>
      <c r="AL102">
        <v>3</v>
      </c>
      <c r="AM102">
        <v>0</v>
      </c>
      <c r="AN102">
        <v>1</v>
      </c>
      <c r="AO102">
        <v>0</v>
      </c>
      <c r="AP102">
        <v>0</v>
      </c>
      <c r="AQ102">
        <v>0</v>
      </c>
      <c r="AR102">
        <v>0</v>
      </c>
      <c r="AS102">
        <v>0</v>
      </c>
      <c r="AT102">
        <v>0</v>
      </c>
    </row>
    <row r="103" spans="1:48" ht="15.75" customHeight="1" x14ac:dyDescent="0.25">
      <c r="A103">
        <v>2</v>
      </c>
      <c r="B103">
        <v>2</v>
      </c>
      <c r="C103">
        <v>2017</v>
      </c>
      <c r="D103">
        <v>4</v>
      </c>
      <c r="E103">
        <v>1067</v>
      </c>
      <c r="F103">
        <v>0</v>
      </c>
      <c r="G103">
        <v>0</v>
      </c>
      <c r="H103">
        <v>0</v>
      </c>
      <c r="I103">
        <v>0</v>
      </c>
      <c r="J103">
        <v>1</v>
      </c>
      <c r="K103">
        <v>5</v>
      </c>
      <c r="L103">
        <v>2</v>
      </c>
      <c r="M103">
        <v>3</v>
      </c>
      <c r="N103">
        <v>4</v>
      </c>
      <c r="O103">
        <v>7</v>
      </c>
      <c r="P103">
        <v>15</v>
      </c>
      <c r="Q103">
        <v>51</v>
      </c>
      <c r="R103">
        <v>70</v>
      </c>
      <c r="S103">
        <v>81</v>
      </c>
      <c r="T103">
        <v>94</v>
      </c>
      <c r="U103">
        <v>130</v>
      </c>
      <c r="V103">
        <v>116</v>
      </c>
      <c r="W103">
        <v>110</v>
      </c>
      <c r="X103">
        <v>101</v>
      </c>
      <c r="Y103">
        <v>96</v>
      </c>
      <c r="Z103">
        <v>62</v>
      </c>
      <c r="AA103">
        <v>54</v>
      </c>
      <c r="AB103">
        <v>21</v>
      </c>
      <c r="AC103">
        <v>26</v>
      </c>
      <c r="AD103">
        <v>10</v>
      </c>
      <c r="AE103">
        <v>4</v>
      </c>
      <c r="AF103">
        <v>3</v>
      </c>
      <c r="AG103">
        <v>0</v>
      </c>
      <c r="AH103">
        <v>0</v>
      </c>
      <c r="AI103">
        <v>1</v>
      </c>
      <c r="AJ103">
        <v>0</v>
      </c>
      <c r="AK103">
        <v>0</v>
      </c>
      <c r="AL103">
        <v>0</v>
      </c>
      <c r="AM103">
        <v>0</v>
      </c>
      <c r="AN103">
        <v>0</v>
      </c>
      <c r="AO103">
        <v>0</v>
      </c>
      <c r="AP103">
        <v>0</v>
      </c>
      <c r="AQ103">
        <v>0</v>
      </c>
      <c r="AR103">
        <v>0</v>
      </c>
      <c r="AS103">
        <v>0</v>
      </c>
      <c r="AT103">
        <v>0</v>
      </c>
    </row>
    <row r="104" spans="1:48" ht="15.75" customHeight="1" x14ac:dyDescent="0.25">
      <c r="A104">
        <v>2</v>
      </c>
      <c r="B104">
        <v>2</v>
      </c>
      <c r="C104">
        <v>2017</v>
      </c>
      <c r="D104">
        <v>5</v>
      </c>
      <c r="E104">
        <v>1192</v>
      </c>
      <c r="F104">
        <v>0</v>
      </c>
      <c r="G104">
        <v>0</v>
      </c>
      <c r="H104">
        <v>0</v>
      </c>
      <c r="I104">
        <v>3</v>
      </c>
      <c r="J104">
        <v>4</v>
      </c>
      <c r="K104">
        <v>5</v>
      </c>
      <c r="L104">
        <v>7</v>
      </c>
      <c r="M104">
        <v>4</v>
      </c>
      <c r="N104">
        <v>5</v>
      </c>
      <c r="O104">
        <v>14</v>
      </c>
      <c r="P104">
        <v>37</v>
      </c>
      <c r="Q104">
        <v>55</v>
      </c>
      <c r="R104">
        <v>83</v>
      </c>
      <c r="S104">
        <v>99</v>
      </c>
      <c r="T104">
        <v>115</v>
      </c>
      <c r="U104">
        <v>139</v>
      </c>
      <c r="V104">
        <v>132</v>
      </c>
      <c r="W104">
        <v>136</v>
      </c>
      <c r="X104">
        <v>105</v>
      </c>
      <c r="Y104">
        <v>83</v>
      </c>
      <c r="Z104">
        <v>76</v>
      </c>
      <c r="AA104">
        <v>35</v>
      </c>
      <c r="AB104">
        <v>31</v>
      </c>
      <c r="AC104">
        <v>8</v>
      </c>
      <c r="AD104">
        <v>9</v>
      </c>
      <c r="AE104">
        <v>5</v>
      </c>
      <c r="AF104">
        <v>1</v>
      </c>
      <c r="AG104">
        <v>0</v>
      </c>
      <c r="AH104">
        <v>0</v>
      </c>
      <c r="AI104">
        <v>1</v>
      </c>
      <c r="AJ104">
        <v>0</v>
      </c>
      <c r="AK104">
        <v>0</v>
      </c>
      <c r="AL104">
        <v>0</v>
      </c>
      <c r="AM104">
        <v>0</v>
      </c>
      <c r="AN104">
        <v>0</v>
      </c>
      <c r="AO104">
        <v>0</v>
      </c>
      <c r="AP104">
        <v>0</v>
      </c>
      <c r="AQ104">
        <v>0</v>
      </c>
      <c r="AR104">
        <v>0</v>
      </c>
      <c r="AS104">
        <v>0</v>
      </c>
      <c r="AT104">
        <v>0</v>
      </c>
    </row>
    <row r="105" spans="1:48" ht="15.75" customHeight="1" x14ac:dyDescent="0.25">
      <c r="A105">
        <v>2</v>
      </c>
      <c r="B105">
        <v>2</v>
      </c>
      <c r="C105">
        <v>2017</v>
      </c>
      <c r="D105">
        <v>6</v>
      </c>
      <c r="E105">
        <v>232</v>
      </c>
      <c r="F105">
        <v>0</v>
      </c>
      <c r="G105">
        <v>0</v>
      </c>
      <c r="H105">
        <v>0</v>
      </c>
      <c r="I105">
        <v>0</v>
      </c>
      <c r="J105">
        <v>0</v>
      </c>
      <c r="K105">
        <v>0</v>
      </c>
      <c r="L105">
        <v>0</v>
      </c>
      <c r="M105">
        <v>1</v>
      </c>
      <c r="N105">
        <v>1</v>
      </c>
      <c r="O105">
        <v>3</v>
      </c>
      <c r="P105">
        <v>6</v>
      </c>
      <c r="Q105">
        <v>12</v>
      </c>
      <c r="R105">
        <v>17</v>
      </c>
      <c r="S105">
        <v>26</v>
      </c>
      <c r="T105">
        <v>25</v>
      </c>
      <c r="U105">
        <v>23</v>
      </c>
      <c r="V105">
        <v>23</v>
      </c>
      <c r="W105">
        <v>20</v>
      </c>
      <c r="X105">
        <v>25</v>
      </c>
      <c r="Y105">
        <v>17</v>
      </c>
      <c r="Z105">
        <v>15</v>
      </c>
      <c r="AA105">
        <v>13</v>
      </c>
      <c r="AB105">
        <v>2</v>
      </c>
      <c r="AC105">
        <v>2</v>
      </c>
      <c r="AD105">
        <v>0</v>
      </c>
      <c r="AE105">
        <v>1</v>
      </c>
      <c r="AF105">
        <v>0</v>
      </c>
      <c r="AG105">
        <v>0</v>
      </c>
      <c r="AH105">
        <v>0</v>
      </c>
      <c r="AI105">
        <v>0</v>
      </c>
      <c r="AJ105">
        <v>0</v>
      </c>
      <c r="AK105">
        <v>0</v>
      </c>
      <c r="AL105">
        <v>0</v>
      </c>
      <c r="AM105">
        <v>0</v>
      </c>
      <c r="AN105">
        <v>0</v>
      </c>
      <c r="AO105">
        <v>0</v>
      </c>
      <c r="AP105">
        <v>0</v>
      </c>
      <c r="AQ105">
        <v>0</v>
      </c>
      <c r="AR105">
        <v>0</v>
      </c>
      <c r="AS105">
        <v>0</v>
      </c>
      <c r="AT105">
        <v>0</v>
      </c>
    </row>
    <row r="106" spans="1:48" ht="15.75" customHeight="1" x14ac:dyDescent="0.25">
      <c r="A106">
        <v>2</v>
      </c>
      <c r="B106">
        <v>2</v>
      </c>
      <c r="C106">
        <v>2018</v>
      </c>
      <c r="D106">
        <v>4</v>
      </c>
      <c r="E106">
        <v>2368</v>
      </c>
      <c r="F106">
        <v>0</v>
      </c>
      <c r="G106">
        <v>0</v>
      </c>
      <c r="H106">
        <v>0</v>
      </c>
      <c r="I106">
        <v>0</v>
      </c>
      <c r="J106">
        <v>1</v>
      </c>
      <c r="K106">
        <v>1</v>
      </c>
      <c r="L106">
        <v>2</v>
      </c>
      <c r="M106">
        <v>5</v>
      </c>
      <c r="N106">
        <v>13</v>
      </c>
      <c r="O106">
        <v>43</v>
      </c>
      <c r="P106">
        <v>105</v>
      </c>
      <c r="Q106">
        <v>144</v>
      </c>
      <c r="R106">
        <v>142</v>
      </c>
      <c r="S106">
        <v>162</v>
      </c>
      <c r="T106">
        <v>225</v>
      </c>
      <c r="U106">
        <v>281</v>
      </c>
      <c r="V106">
        <v>290</v>
      </c>
      <c r="W106">
        <v>277</v>
      </c>
      <c r="X106">
        <v>210</v>
      </c>
      <c r="Y106">
        <v>174</v>
      </c>
      <c r="Z106">
        <v>119</v>
      </c>
      <c r="AA106">
        <v>78</v>
      </c>
      <c r="AB106">
        <v>46</v>
      </c>
      <c r="AC106">
        <v>26</v>
      </c>
      <c r="AD106">
        <v>15</v>
      </c>
      <c r="AE106">
        <v>5</v>
      </c>
      <c r="AF106">
        <v>1</v>
      </c>
      <c r="AG106">
        <v>0</v>
      </c>
      <c r="AH106">
        <v>1</v>
      </c>
      <c r="AI106">
        <v>2</v>
      </c>
      <c r="AJ106">
        <v>0</v>
      </c>
      <c r="AK106">
        <v>0</v>
      </c>
      <c r="AL106">
        <v>0</v>
      </c>
      <c r="AM106">
        <v>0</v>
      </c>
      <c r="AN106">
        <v>0</v>
      </c>
      <c r="AO106">
        <v>0</v>
      </c>
      <c r="AP106">
        <v>0</v>
      </c>
      <c r="AQ106">
        <v>0</v>
      </c>
      <c r="AR106">
        <v>0</v>
      </c>
      <c r="AS106">
        <v>0</v>
      </c>
      <c r="AT106">
        <v>0</v>
      </c>
    </row>
    <row r="107" spans="1:48" ht="15.75" customHeight="1" x14ac:dyDescent="0.25"/>
    <row r="108" spans="1:48" ht="15.75" customHeight="1" x14ac:dyDescent="0.25">
      <c r="A108" t="s">
        <v>360</v>
      </c>
    </row>
    <row r="109" spans="1:48" ht="15.75" customHeight="1" x14ac:dyDescent="0.25">
      <c r="A109" t="s">
        <v>189</v>
      </c>
      <c r="B109" t="s">
        <v>317</v>
      </c>
      <c r="C109" t="s">
        <v>361</v>
      </c>
      <c r="D109" t="s">
        <v>362</v>
      </c>
      <c r="E109" t="s">
        <v>204</v>
      </c>
      <c r="F109" t="s">
        <v>191</v>
      </c>
      <c r="G109" t="s">
        <v>318</v>
      </c>
      <c r="H109" t="s">
        <v>363</v>
      </c>
      <c r="I109" t="s">
        <v>364</v>
      </c>
      <c r="J109" t="s">
        <v>365</v>
      </c>
      <c r="K109" t="s">
        <v>366</v>
      </c>
      <c r="L109" t="s">
        <v>367</v>
      </c>
      <c r="M109" t="s">
        <v>368</v>
      </c>
      <c r="N109" t="s">
        <v>369</v>
      </c>
      <c r="O109" t="s">
        <v>370</v>
      </c>
      <c r="P109" t="s">
        <v>371</v>
      </c>
      <c r="Q109" t="s">
        <v>372</v>
      </c>
      <c r="R109" t="s">
        <v>373</v>
      </c>
      <c r="S109" t="s">
        <v>374</v>
      </c>
      <c r="T109" t="s">
        <v>375</v>
      </c>
      <c r="U109" t="s">
        <v>376</v>
      </c>
      <c r="V109" t="s">
        <v>377</v>
      </c>
      <c r="W109" t="s">
        <v>378</v>
      </c>
      <c r="X109" t="s">
        <v>379</v>
      </c>
      <c r="Y109" t="s">
        <v>380</v>
      </c>
      <c r="Z109" t="s">
        <v>381</v>
      </c>
      <c r="AA109" t="s">
        <v>382</v>
      </c>
      <c r="AB109" t="s">
        <v>383</v>
      </c>
      <c r="AC109" t="s">
        <v>384</v>
      </c>
      <c r="AD109" t="s">
        <v>385</v>
      </c>
      <c r="AE109" t="s">
        <v>386</v>
      </c>
      <c r="AF109" t="s">
        <v>387</v>
      </c>
      <c r="AG109" t="s">
        <v>388</v>
      </c>
      <c r="AH109" t="s">
        <v>389</v>
      </c>
      <c r="AI109" t="s">
        <v>390</v>
      </c>
      <c r="AJ109" t="s">
        <v>391</v>
      </c>
      <c r="AK109" t="s">
        <v>392</v>
      </c>
      <c r="AL109" t="s">
        <v>393</v>
      </c>
      <c r="AM109" t="s">
        <v>394</v>
      </c>
      <c r="AN109" t="s">
        <v>395</v>
      </c>
      <c r="AO109" t="s">
        <v>396</v>
      </c>
      <c r="AP109" t="s">
        <v>397</v>
      </c>
      <c r="AQ109" t="s">
        <v>398</v>
      </c>
      <c r="AR109" t="s">
        <v>399</v>
      </c>
      <c r="AS109" t="s">
        <v>400</v>
      </c>
      <c r="AT109" t="s">
        <v>401</v>
      </c>
      <c r="AU109" t="s">
        <v>402</v>
      </c>
      <c r="AV109" t="s">
        <v>403</v>
      </c>
    </row>
    <row r="110" spans="1:48" ht="15.75" customHeight="1" x14ac:dyDescent="0.25">
      <c r="A110">
        <v>1</v>
      </c>
      <c r="B110">
        <v>1</v>
      </c>
      <c r="C110">
        <v>1</v>
      </c>
      <c r="D110">
        <v>1</v>
      </c>
      <c r="E110">
        <v>1991</v>
      </c>
      <c r="F110">
        <v>6</v>
      </c>
      <c r="G110">
        <v>2</v>
      </c>
      <c r="H110">
        <v>0</v>
      </c>
      <c r="I110">
        <v>0</v>
      </c>
      <c r="J110">
        <v>0</v>
      </c>
      <c r="K110">
        <v>0</v>
      </c>
      <c r="L110">
        <v>0</v>
      </c>
      <c r="M110">
        <v>0</v>
      </c>
      <c r="N110">
        <v>0</v>
      </c>
      <c r="O110">
        <v>0</v>
      </c>
      <c r="P110">
        <v>0</v>
      </c>
      <c r="Q110">
        <v>0</v>
      </c>
      <c r="R110">
        <v>0</v>
      </c>
      <c r="S110">
        <v>0</v>
      </c>
      <c r="T110">
        <v>0</v>
      </c>
      <c r="U110">
        <v>0</v>
      </c>
      <c r="V110">
        <v>0</v>
      </c>
      <c r="W110">
        <v>1</v>
      </c>
      <c r="X110">
        <v>0</v>
      </c>
      <c r="Y110">
        <v>0</v>
      </c>
      <c r="Z110">
        <v>1</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row>
    <row r="111" spans="1:48" ht="15.75" customHeight="1" x14ac:dyDescent="0.25">
      <c r="A111">
        <v>1</v>
      </c>
      <c r="B111">
        <v>1</v>
      </c>
      <c r="C111">
        <v>1</v>
      </c>
      <c r="D111">
        <v>1</v>
      </c>
      <c r="E111">
        <v>1992</v>
      </c>
      <c r="F111">
        <v>1</v>
      </c>
      <c r="G111">
        <v>10</v>
      </c>
      <c r="H111">
        <v>0</v>
      </c>
      <c r="I111">
        <v>0</v>
      </c>
      <c r="J111">
        <v>0</v>
      </c>
      <c r="K111">
        <v>0</v>
      </c>
      <c r="L111">
        <v>0</v>
      </c>
      <c r="M111">
        <v>0</v>
      </c>
      <c r="N111">
        <v>0</v>
      </c>
      <c r="O111">
        <v>0</v>
      </c>
      <c r="P111">
        <v>0</v>
      </c>
      <c r="Q111">
        <v>0</v>
      </c>
      <c r="R111">
        <v>0</v>
      </c>
      <c r="S111">
        <v>0</v>
      </c>
      <c r="T111">
        <v>0</v>
      </c>
      <c r="U111">
        <v>0</v>
      </c>
      <c r="V111">
        <v>3</v>
      </c>
      <c r="W111">
        <v>3</v>
      </c>
      <c r="X111">
        <v>2</v>
      </c>
      <c r="Y111">
        <v>0</v>
      </c>
      <c r="Z111">
        <v>0</v>
      </c>
      <c r="AA111">
        <v>2</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row>
    <row r="112" spans="1:48" ht="15.75" customHeight="1" x14ac:dyDescent="0.25">
      <c r="A112">
        <v>1</v>
      </c>
      <c r="B112">
        <v>1</v>
      </c>
      <c r="C112">
        <v>1</v>
      </c>
      <c r="D112">
        <v>1</v>
      </c>
      <c r="E112">
        <v>1992</v>
      </c>
      <c r="F112">
        <v>2</v>
      </c>
      <c r="G112">
        <v>6</v>
      </c>
      <c r="H112">
        <v>0</v>
      </c>
      <c r="I112">
        <v>0</v>
      </c>
      <c r="J112">
        <v>0</v>
      </c>
      <c r="K112">
        <v>0</v>
      </c>
      <c r="L112">
        <v>0</v>
      </c>
      <c r="M112">
        <v>0</v>
      </c>
      <c r="N112">
        <v>0</v>
      </c>
      <c r="O112">
        <v>0</v>
      </c>
      <c r="P112">
        <v>0</v>
      </c>
      <c r="Q112">
        <v>0</v>
      </c>
      <c r="R112">
        <v>0</v>
      </c>
      <c r="S112">
        <v>0</v>
      </c>
      <c r="T112">
        <v>1</v>
      </c>
      <c r="U112">
        <v>1</v>
      </c>
      <c r="V112">
        <v>2</v>
      </c>
      <c r="W112">
        <v>0</v>
      </c>
      <c r="X112">
        <v>1</v>
      </c>
      <c r="Y112">
        <v>1</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row>
    <row r="113" spans="1:48" ht="15.75" customHeight="1" x14ac:dyDescent="0.25">
      <c r="A113">
        <v>1</v>
      </c>
      <c r="B113">
        <v>1</v>
      </c>
      <c r="C113">
        <v>1</v>
      </c>
      <c r="D113">
        <v>1</v>
      </c>
      <c r="E113">
        <v>1992</v>
      </c>
      <c r="F113">
        <v>3</v>
      </c>
      <c r="G113">
        <v>3</v>
      </c>
      <c r="H113">
        <v>0</v>
      </c>
      <c r="I113">
        <v>0</v>
      </c>
      <c r="J113">
        <v>0</v>
      </c>
      <c r="K113">
        <v>0</v>
      </c>
      <c r="L113">
        <v>0</v>
      </c>
      <c r="M113">
        <v>0</v>
      </c>
      <c r="N113">
        <v>0</v>
      </c>
      <c r="O113">
        <v>0</v>
      </c>
      <c r="P113">
        <v>0</v>
      </c>
      <c r="Q113">
        <v>0</v>
      </c>
      <c r="R113">
        <v>0</v>
      </c>
      <c r="S113">
        <v>0</v>
      </c>
      <c r="T113">
        <v>0</v>
      </c>
      <c r="U113">
        <v>0</v>
      </c>
      <c r="V113">
        <v>0</v>
      </c>
      <c r="W113">
        <v>1</v>
      </c>
      <c r="X113">
        <v>0</v>
      </c>
      <c r="Y113">
        <v>0</v>
      </c>
      <c r="Z113">
        <v>0</v>
      </c>
      <c r="AA113">
        <v>0</v>
      </c>
      <c r="AB113">
        <v>0</v>
      </c>
      <c r="AC113">
        <v>1</v>
      </c>
      <c r="AD113">
        <v>1</v>
      </c>
      <c r="AE113">
        <v>0</v>
      </c>
      <c r="AF113">
        <v>0</v>
      </c>
      <c r="AG113">
        <v>0</v>
      </c>
      <c r="AH113">
        <v>0</v>
      </c>
      <c r="AI113">
        <v>0</v>
      </c>
      <c r="AJ113">
        <v>0</v>
      </c>
      <c r="AK113">
        <v>0</v>
      </c>
      <c r="AL113">
        <v>0</v>
      </c>
      <c r="AM113">
        <v>0</v>
      </c>
      <c r="AN113">
        <v>0</v>
      </c>
      <c r="AO113">
        <v>0</v>
      </c>
      <c r="AP113">
        <v>0</v>
      </c>
      <c r="AQ113">
        <v>0</v>
      </c>
      <c r="AR113">
        <v>0</v>
      </c>
      <c r="AS113">
        <v>0</v>
      </c>
      <c r="AT113">
        <v>0</v>
      </c>
      <c r="AU113">
        <v>0</v>
      </c>
      <c r="AV113">
        <v>0</v>
      </c>
    </row>
    <row r="114" spans="1:48" ht="15.75" customHeight="1" x14ac:dyDescent="0.25">
      <c r="A114">
        <v>1</v>
      </c>
      <c r="B114">
        <v>1</v>
      </c>
      <c r="C114">
        <v>1</v>
      </c>
      <c r="D114">
        <v>1</v>
      </c>
      <c r="E114">
        <v>1993</v>
      </c>
      <c r="F114">
        <v>1</v>
      </c>
      <c r="G114">
        <v>1</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1</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row>
    <row r="115" spans="1:48" ht="15.75" customHeight="1" x14ac:dyDescent="0.25">
      <c r="A115">
        <v>1</v>
      </c>
      <c r="B115">
        <v>1</v>
      </c>
      <c r="C115">
        <v>1</v>
      </c>
      <c r="D115">
        <v>1</v>
      </c>
      <c r="E115">
        <v>1993</v>
      </c>
      <c r="F115">
        <v>2</v>
      </c>
      <c r="G115">
        <v>3</v>
      </c>
      <c r="H115">
        <v>0</v>
      </c>
      <c r="I115">
        <v>0</v>
      </c>
      <c r="J115">
        <v>0</v>
      </c>
      <c r="K115">
        <v>0</v>
      </c>
      <c r="L115">
        <v>0</v>
      </c>
      <c r="M115">
        <v>0</v>
      </c>
      <c r="N115">
        <v>0</v>
      </c>
      <c r="O115">
        <v>0</v>
      </c>
      <c r="P115">
        <v>0</v>
      </c>
      <c r="Q115">
        <v>0</v>
      </c>
      <c r="R115">
        <v>0</v>
      </c>
      <c r="S115">
        <v>0</v>
      </c>
      <c r="T115">
        <v>2</v>
      </c>
      <c r="U115">
        <v>1</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row>
    <row r="116" spans="1:48" ht="15.75" customHeight="1" x14ac:dyDescent="0.25">
      <c r="A116">
        <v>1</v>
      </c>
      <c r="B116">
        <v>1</v>
      </c>
      <c r="C116">
        <v>1</v>
      </c>
      <c r="D116">
        <v>1</v>
      </c>
      <c r="E116">
        <v>1993</v>
      </c>
      <c r="F116">
        <v>3</v>
      </c>
      <c r="G116">
        <v>79</v>
      </c>
      <c r="H116">
        <v>0</v>
      </c>
      <c r="I116">
        <v>0</v>
      </c>
      <c r="J116">
        <v>0</v>
      </c>
      <c r="K116">
        <v>0</v>
      </c>
      <c r="L116">
        <v>0</v>
      </c>
      <c r="M116">
        <v>0</v>
      </c>
      <c r="N116">
        <v>0</v>
      </c>
      <c r="O116">
        <v>0</v>
      </c>
      <c r="P116">
        <v>0</v>
      </c>
      <c r="Q116">
        <v>0</v>
      </c>
      <c r="R116">
        <v>0</v>
      </c>
      <c r="S116">
        <v>0</v>
      </c>
      <c r="T116">
        <v>11</v>
      </c>
      <c r="U116">
        <v>24</v>
      </c>
      <c r="V116">
        <v>20</v>
      </c>
      <c r="W116">
        <v>12</v>
      </c>
      <c r="X116">
        <v>1</v>
      </c>
      <c r="Y116">
        <v>4</v>
      </c>
      <c r="Z116">
        <v>0</v>
      </c>
      <c r="AA116">
        <v>1</v>
      </c>
      <c r="AB116">
        <v>0</v>
      </c>
      <c r="AC116">
        <v>2</v>
      </c>
      <c r="AD116">
        <v>0</v>
      </c>
      <c r="AE116">
        <v>0</v>
      </c>
      <c r="AF116">
        <v>2</v>
      </c>
      <c r="AG116">
        <v>0</v>
      </c>
      <c r="AH116">
        <v>2</v>
      </c>
      <c r="AI116">
        <v>0</v>
      </c>
      <c r="AJ116">
        <v>0</v>
      </c>
      <c r="AK116">
        <v>0</v>
      </c>
      <c r="AL116">
        <v>0</v>
      </c>
      <c r="AM116">
        <v>0</v>
      </c>
      <c r="AN116">
        <v>0</v>
      </c>
      <c r="AO116">
        <v>0</v>
      </c>
      <c r="AP116">
        <v>0</v>
      </c>
      <c r="AQ116">
        <v>0</v>
      </c>
      <c r="AR116">
        <v>0</v>
      </c>
      <c r="AS116">
        <v>0</v>
      </c>
      <c r="AT116">
        <v>0</v>
      </c>
      <c r="AU116">
        <v>0</v>
      </c>
      <c r="AV116">
        <v>0</v>
      </c>
    </row>
    <row r="117" spans="1:48" ht="15.75" customHeight="1" x14ac:dyDescent="0.25">
      <c r="A117">
        <v>1</v>
      </c>
      <c r="B117">
        <v>1</v>
      </c>
      <c r="C117">
        <v>1</v>
      </c>
      <c r="D117">
        <v>1</v>
      </c>
      <c r="E117">
        <v>1993</v>
      </c>
      <c r="F117">
        <v>6</v>
      </c>
      <c r="G117">
        <v>106</v>
      </c>
      <c r="H117">
        <v>0</v>
      </c>
      <c r="I117">
        <v>0</v>
      </c>
      <c r="J117">
        <v>0</v>
      </c>
      <c r="K117">
        <v>0</v>
      </c>
      <c r="L117">
        <v>0</v>
      </c>
      <c r="M117">
        <v>0</v>
      </c>
      <c r="N117">
        <v>0</v>
      </c>
      <c r="O117">
        <v>0</v>
      </c>
      <c r="P117">
        <v>0</v>
      </c>
      <c r="Q117">
        <v>0</v>
      </c>
      <c r="R117">
        <v>0</v>
      </c>
      <c r="S117">
        <v>0</v>
      </c>
      <c r="T117">
        <v>12</v>
      </c>
      <c r="U117">
        <v>22</v>
      </c>
      <c r="V117">
        <v>32</v>
      </c>
      <c r="W117">
        <v>20</v>
      </c>
      <c r="X117">
        <v>18</v>
      </c>
      <c r="Y117">
        <v>2</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row>
    <row r="118" spans="1:48" ht="15.75" customHeight="1" x14ac:dyDescent="0.25">
      <c r="A118">
        <v>1</v>
      </c>
      <c r="B118">
        <v>1</v>
      </c>
      <c r="C118">
        <v>1</v>
      </c>
      <c r="D118">
        <v>1</v>
      </c>
      <c r="E118">
        <v>1994</v>
      </c>
      <c r="F118">
        <v>1</v>
      </c>
      <c r="G118">
        <v>16</v>
      </c>
      <c r="H118">
        <v>0</v>
      </c>
      <c r="I118">
        <v>0</v>
      </c>
      <c r="J118">
        <v>0</v>
      </c>
      <c r="K118">
        <v>0</v>
      </c>
      <c r="L118">
        <v>0</v>
      </c>
      <c r="M118">
        <v>0</v>
      </c>
      <c r="N118">
        <v>0</v>
      </c>
      <c r="O118">
        <v>0</v>
      </c>
      <c r="P118">
        <v>0</v>
      </c>
      <c r="Q118">
        <v>0</v>
      </c>
      <c r="R118">
        <v>0</v>
      </c>
      <c r="S118">
        <v>0</v>
      </c>
      <c r="T118">
        <v>2</v>
      </c>
      <c r="U118">
        <v>2</v>
      </c>
      <c r="V118">
        <v>6</v>
      </c>
      <c r="W118">
        <v>2</v>
      </c>
      <c r="X118">
        <v>2</v>
      </c>
      <c r="Y118">
        <v>0</v>
      </c>
      <c r="Z118">
        <v>0</v>
      </c>
      <c r="AA118">
        <v>0</v>
      </c>
      <c r="AB118">
        <v>0</v>
      </c>
      <c r="AC118">
        <v>0</v>
      </c>
      <c r="AD118">
        <v>0</v>
      </c>
      <c r="AE118">
        <v>0</v>
      </c>
      <c r="AF118">
        <v>2</v>
      </c>
      <c r="AG118">
        <v>0</v>
      </c>
      <c r="AH118">
        <v>0</v>
      </c>
      <c r="AI118">
        <v>0</v>
      </c>
      <c r="AJ118">
        <v>0</v>
      </c>
      <c r="AK118">
        <v>0</v>
      </c>
      <c r="AL118">
        <v>0</v>
      </c>
      <c r="AM118">
        <v>0</v>
      </c>
      <c r="AN118">
        <v>0</v>
      </c>
      <c r="AO118">
        <v>0</v>
      </c>
      <c r="AP118">
        <v>0</v>
      </c>
      <c r="AQ118">
        <v>0</v>
      </c>
      <c r="AR118">
        <v>0</v>
      </c>
      <c r="AS118">
        <v>0</v>
      </c>
      <c r="AT118">
        <v>0</v>
      </c>
      <c r="AU118">
        <v>0</v>
      </c>
      <c r="AV118">
        <v>0</v>
      </c>
    </row>
    <row r="119" spans="1:48" ht="15.75" customHeight="1" x14ac:dyDescent="0.25">
      <c r="A119">
        <v>1</v>
      </c>
      <c r="B119">
        <v>1</v>
      </c>
      <c r="C119">
        <v>1</v>
      </c>
      <c r="D119">
        <v>1</v>
      </c>
      <c r="E119">
        <v>1994</v>
      </c>
      <c r="F119">
        <v>2</v>
      </c>
      <c r="G119">
        <v>75</v>
      </c>
      <c r="H119">
        <v>0</v>
      </c>
      <c r="I119">
        <v>0</v>
      </c>
      <c r="J119">
        <v>0</v>
      </c>
      <c r="K119">
        <v>0</v>
      </c>
      <c r="L119">
        <v>0</v>
      </c>
      <c r="M119">
        <v>0</v>
      </c>
      <c r="N119">
        <v>0</v>
      </c>
      <c r="O119">
        <v>0</v>
      </c>
      <c r="P119">
        <v>0</v>
      </c>
      <c r="Q119">
        <v>0</v>
      </c>
      <c r="R119">
        <v>0</v>
      </c>
      <c r="S119">
        <v>0</v>
      </c>
      <c r="T119">
        <v>9</v>
      </c>
      <c r="U119">
        <v>15</v>
      </c>
      <c r="V119">
        <v>6</v>
      </c>
      <c r="W119">
        <v>10</v>
      </c>
      <c r="X119">
        <v>11</v>
      </c>
      <c r="Y119">
        <v>9</v>
      </c>
      <c r="Z119">
        <v>7</v>
      </c>
      <c r="AA119">
        <v>1</v>
      </c>
      <c r="AB119">
        <v>5</v>
      </c>
      <c r="AC119">
        <v>0</v>
      </c>
      <c r="AD119">
        <v>0</v>
      </c>
      <c r="AE119">
        <v>0</v>
      </c>
      <c r="AF119">
        <v>0</v>
      </c>
      <c r="AG119">
        <v>0</v>
      </c>
      <c r="AH119">
        <v>2</v>
      </c>
      <c r="AI119">
        <v>0</v>
      </c>
      <c r="AJ119">
        <v>0</v>
      </c>
      <c r="AK119">
        <v>0</v>
      </c>
      <c r="AL119">
        <v>0</v>
      </c>
      <c r="AM119">
        <v>0</v>
      </c>
      <c r="AN119">
        <v>0</v>
      </c>
      <c r="AO119">
        <v>0</v>
      </c>
      <c r="AP119">
        <v>0</v>
      </c>
      <c r="AQ119">
        <v>0</v>
      </c>
      <c r="AR119">
        <v>0</v>
      </c>
      <c r="AS119">
        <v>0</v>
      </c>
      <c r="AT119">
        <v>0</v>
      </c>
      <c r="AU119">
        <v>0</v>
      </c>
      <c r="AV119">
        <v>0</v>
      </c>
    </row>
    <row r="120" spans="1:48" ht="15.75" customHeight="1" x14ac:dyDescent="0.25">
      <c r="A120">
        <v>1</v>
      </c>
      <c r="B120">
        <v>1</v>
      </c>
      <c r="C120">
        <v>1</v>
      </c>
      <c r="D120">
        <v>1</v>
      </c>
      <c r="E120">
        <v>1994</v>
      </c>
      <c r="F120">
        <v>3</v>
      </c>
      <c r="G120">
        <v>66</v>
      </c>
      <c r="H120">
        <v>0</v>
      </c>
      <c r="I120">
        <v>0</v>
      </c>
      <c r="J120">
        <v>0</v>
      </c>
      <c r="K120">
        <v>0</v>
      </c>
      <c r="L120">
        <v>0</v>
      </c>
      <c r="M120">
        <v>0</v>
      </c>
      <c r="N120">
        <v>0</v>
      </c>
      <c r="O120">
        <v>0</v>
      </c>
      <c r="P120">
        <v>0</v>
      </c>
      <c r="Q120">
        <v>0</v>
      </c>
      <c r="R120">
        <v>0</v>
      </c>
      <c r="S120">
        <v>0</v>
      </c>
      <c r="T120">
        <v>12</v>
      </c>
      <c r="U120">
        <v>26</v>
      </c>
      <c r="V120">
        <v>10</v>
      </c>
      <c r="W120">
        <v>6</v>
      </c>
      <c r="X120">
        <v>0</v>
      </c>
      <c r="Y120">
        <v>2</v>
      </c>
      <c r="Z120">
        <v>6</v>
      </c>
      <c r="AA120">
        <v>0</v>
      </c>
      <c r="AB120">
        <v>0</v>
      </c>
      <c r="AC120">
        <v>0</v>
      </c>
      <c r="AD120">
        <v>0</v>
      </c>
      <c r="AE120">
        <v>0</v>
      </c>
      <c r="AF120">
        <v>2</v>
      </c>
      <c r="AG120">
        <v>2</v>
      </c>
      <c r="AH120">
        <v>0</v>
      </c>
      <c r="AI120">
        <v>0</v>
      </c>
      <c r="AJ120">
        <v>0</v>
      </c>
      <c r="AK120">
        <v>0</v>
      </c>
      <c r="AL120">
        <v>0</v>
      </c>
      <c r="AM120">
        <v>0</v>
      </c>
      <c r="AN120">
        <v>0</v>
      </c>
      <c r="AO120">
        <v>0</v>
      </c>
      <c r="AP120">
        <v>0</v>
      </c>
      <c r="AQ120">
        <v>0</v>
      </c>
      <c r="AR120">
        <v>0</v>
      </c>
      <c r="AS120">
        <v>0</v>
      </c>
      <c r="AT120">
        <v>0</v>
      </c>
      <c r="AU120">
        <v>0</v>
      </c>
      <c r="AV120">
        <v>0</v>
      </c>
    </row>
    <row r="121" spans="1:48" ht="15.75" customHeight="1" x14ac:dyDescent="0.25">
      <c r="A121">
        <v>1</v>
      </c>
      <c r="B121">
        <v>1</v>
      </c>
      <c r="C121">
        <v>1</v>
      </c>
      <c r="D121">
        <v>1</v>
      </c>
      <c r="E121">
        <v>1994</v>
      </c>
      <c r="F121">
        <v>6</v>
      </c>
      <c r="G121">
        <v>34</v>
      </c>
      <c r="H121">
        <v>0</v>
      </c>
      <c r="I121">
        <v>0</v>
      </c>
      <c r="J121">
        <v>0</v>
      </c>
      <c r="K121">
        <v>0</v>
      </c>
      <c r="L121">
        <v>0</v>
      </c>
      <c r="M121">
        <v>0</v>
      </c>
      <c r="N121">
        <v>0</v>
      </c>
      <c r="O121">
        <v>0</v>
      </c>
      <c r="P121">
        <v>0</v>
      </c>
      <c r="Q121">
        <v>0</v>
      </c>
      <c r="R121">
        <v>0</v>
      </c>
      <c r="S121">
        <v>0</v>
      </c>
      <c r="T121">
        <v>2</v>
      </c>
      <c r="U121">
        <v>2</v>
      </c>
      <c r="V121">
        <v>6</v>
      </c>
      <c r="W121">
        <v>4</v>
      </c>
      <c r="X121">
        <v>2</v>
      </c>
      <c r="Y121">
        <v>0</v>
      </c>
      <c r="Z121">
        <v>2</v>
      </c>
      <c r="AA121">
        <v>4</v>
      </c>
      <c r="AB121">
        <v>0</v>
      </c>
      <c r="AC121">
        <v>2</v>
      </c>
      <c r="AD121">
        <v>0</v>
      </c>
      <c r="AE121">
        <v>6</v>
      </c>
      <c r="AF121">
        <v>2</v>
      </c>
      <c r="AG121">
        <v>0</v>
      </c>
      <c r="AH121">
        <v>0</v>
      </c>
      <c r="AI121">
        <v>2</v>
      </c>
      <c r="AJ121">
        <v>0</v>
      </c>
      <c r="AK121">
        <v>0</v>
      </c>
      <c r="AL121">
        <v>0</v>
      </c>
      <c r="AM121">
        <v>0</v>
      </c>
      <c r="AN121">
        <v>0</v>
      </c>
      <c r="AO121">
        <v>0</v>
      </c>
      <c r="AP121">
        <v>0</v>
      </c>
      <c r="AQ121">
        <v>0</v>
      </c>
      <c r="AR121">
        <v>0</v>
      </c>
      <c r="AS121">
        <v>0</v>
      </c>
      <c r="AT121">
        <v>0</v>
      </c>
      <c r="AU121">
        <v>0</v>
      </c>
      <c r="AV121">
        <v>0</v>
      </c>
    </row>
    <row r="122" spans="1:48" ht="15.75" customHeight="1" x14ac:dyDescent="0.25">
      <c r="A122">
        <v>1</v>
      </c>
      <c r="B122">
        <v>1</v>
      </c>
      <c r="C122">
        <v>1</v>
      </c>
      <c r="D122">
        <v>1</v>
      </c>
      <c r="E122">
        <v>1995</v>
      </c>
      <c r="F122">
        <v>1</v>
      </c>
      <c r="G122">
        <v>7</v>
      </c>
      <c r="H122">
        <v>0</v>
      </c>
      <c r="I122">
        <v>0</v>
      </c>
      <c r="J122">
        <v>0</v>
      </c>
      <c r="K122">
        <v>0</v>
      </c>
      <c r="L122">
        <v>0</v>
      </c>
      <c r="M122">
        <v>0</v>
      </c>
      <c r="N122">
        <v>0</v>
      </c>
      <c r="O122">
        <v>0</v>
      </c>
      <c r="P122">
        <v>0</v>
      </c>
      <c r="Q122">
        <v>0</v>
      </c>
      <c r="R122">
        <v>0</v>
      </c>
      <c r="S122">
        <v>0</v>
      </c>
      <c r="T122">
        <v>0</v>
      </c>
      <c r="U122">
        <v>1</v>
      </c>
      <c r="V122">
        <v>0</v>
      </c>
      <c r="W122">
        <v>4</v>
      </c>
      <c r="X122">
        <v>0</v>
      </c>
      <c r="Y122">
        <v>0</v>
      </c>
      <c r="Z122">
        <v>0</v>
      </c>
      <c r="AA122">
        <v>0</v>
      </c>
      <c r="AB122">
        <v>0</v>
      </c>
      <c r="AC122">
        <v>0</v>
      </c>
      <c r="AD122">
        <v>0</v>
      </c>
      <c r="AE122">
        <v>0</v>
      </c>
      <c r="AF122">
        <v>2</v>
      </c>
      <c r="AG122">
        <v>0</v>
      </c>
      <c r="AH122">
        <v>0</v>
      </c>
      <c r="AI122">
        <v>0</v>
      </c>
      <c r="AJ122">
        <v>0</v>
      </c>
      <c r="AK122">
        <v>0</v>
      </c>
      <c r="AL122">
        <v>0</v>
      </c>
      <c r="AM122">
        <v>0</v>
      </c>
      <c r="AN122">
        <v>0</v>
      </c>
      <c r="AO122">
        <v>0</v>
      </c>
      <c r="AP122">
        <v>0</v>
      </c>
      <c r="AQ122">
        <v>0</v>
      </c>
      <c r="AR122">
        <v>0</v>
      </c>
      <c r="AS122">
        <v>0</v>
      </c>
      <c r="AT122">
        <v>0</v>
      </c>
      <c r="AU122">
        <v>0</v>
      </c>
      <c r="AV122">
        <v>0</v>
      </c>
    </row>
    <row r="123" spans="1:48" ht="15.75" customHeight="1" x14ac:dyDescent="0.25">
      <c r="A123">
        <v>1</v>
      </c>
      <c r="B123">
        <v>1</v>
      </c>
      <c r="C123">
        <v>1</v>
      </c>
      <c r="D123">
        <v>1</v>
      </c>
      <c r="E123">
        <v>1995</v>
      </c>
      <c r="F123">
        <v>2</v>
      </c>
      <c r="G123">
        <v>68</v>
      </c>
      <c r="H123">
        <v>0</v>
      </c>
      <c r="I123">
        <v>0</v>
      </c>
      <c r="J123">
        <v>0</v>
      </c>
      <c r="K123">
        <v>0</v>
      </c>
      <c r="L123">
        <v>0</v>
      </c>
      <c r="M123">
        <v>0</v>
      </c>
      <c r="N123">
        <v>0</v>
      </c>
      <c r="O123">
        <v>0</v>
      </c>
      <c r="P123">
        <v>0</v>
      </c>
      <c r="Q123">
        <v>0</v>
      </c>
      <c r="R123">
        <v>0</v>
      </c>
      <c r="S123">
        <v>0</v>
      </c>
      <c r="T123">
        <v>4</v>
      </c>
      <c r="U123">
        <v>3</v>
      </c>
      <c r="V123">
        <v>8</v>
      </c>
      <c r="W123">
        <v>4</v>
      </c>
      <c r="X123">
        <v>2</v>
      </c>
      <c r="Y123">
        <v>0</v>
      </c>
      <c r="Z123">
        <v>12</v>
      </c>
      <c r="AA123">
        <v>4</v>
      </c>
      <c r="AB123">
        <v>5</v>
      </c>
      <c r="AC123">
        <v>2</v>
      </c>
      <c r="AD123">
        <v>0</v>
      </c>
      <c r="AE123">
        <v>4</v>
      </c>
      <c r="AF123">
        <v>2</v>
      </c>
      <c r="AG123">
        <v>2</v>
      </c>
      <c r="AH123">
        <v>0</v>
      </c>
      <c r="AI123">
        <v>4</v>
      </c>
      <c r="AJ123">
        <v>0</v>
      </c>
      <c r="AK123">
        <v>2</v>
      </c>
      <c r="AL123">
        <v>6</v>
      </c>
      <c r="AM123">
        <v>2</v>
      </c>
      <c r="AN123">
        <v>2</v>
      </c>
      <c r="AO123">
        <v>0</v>
      </c>
      <c r="AP123">
        <v>0</v>
      </c>
      <c r="AQ123">
        <v>0</v>
      </c>
      <c r="AR123">
        <v>0</v>
      </c>
      <c r="AS123">
        <v>0</v>
      </c>
      <c r="AT123">
        <v>0</v>
      </c>
      <c r="AU123">
        <v>0</v>
      </c>
      <c r="AV123">
        <v>0</v>
      </c>
    </row>
    <row r="124" spans="1:48" ht="15.75" customHeight="1" x14ac:dyDescent="0.25">
      <c r="A124">
        <v>1</v>
      </c>
      <c r="B124">
        <v>1</v>
      </c>
      <c r="C124">
        <v>1</v>
      </c>
      <c r="D124">
        <v>1</v>
      </c>
      <c r="E124">
        <v>1995</v>
      </c>
      <c r="F124">
        <v>3</v>
      </c>
      <c r="G124">
        <v>30</v>
      </c>
      <c r="H124">
        <v>0</v>
      </c>
      <c r="I124">
        <v>0</v>
      </c>
      <c r="J124">
        <v>0</v>
      </c>
      <c r="K124">
        <v>0</v>
      </c>
      <c r="L124">
        <v>0</v>
      </c>
      <c r="M124">
        <v>0</v>
      </c>
      <c r="N124">
        <v>0</v>
      </c>
      <c r="O124">
        <v>0</v>
      </c>
      <c r="P124">
        <v>0</v>
      </c>
      <c r="Q124">
        <v>0</v>
      </c>
      <c r="R124">
        <v>0</v>
      </c>
      <c r="S124">
        <v>0</v>
      </c>
      <c r="T124">
        <v>10</v>
      </c>
      <c r="U124">
        <v>6</v>
      </c>
      <c r="V124">
        <v>0</v>
      </c>
      <c r="W124">
        <v>0</v>
      </c>
      <c r="X124">
        <v>2</v>
      </c>
      <c r="Y124">
        <v>2</v>
      </c>
      <c r="Z124">
        <v>4</v>
      </c>
      <c r="AA124">
        <v>0</v>
      </c>
      <c r="AB124">
        <v>0</v>
      </c>
      <c r="AC124">
        <v>0</v>
      </c>
      <c r="AD124">
        <v>0</v>
      </c>
      <c r="AE124">
        <v>2</v>
      </c>
      <c r="AF124">
        <v>0</v>
      </c>
      <c r="AG124">
        <v>0</v>
      </c>
      <c r="AH124">
        <v>2</v>
      </c>
      <c r="AI124">
        <v>0</v>
      </c>
      <c r="AJ124">
        <v>2</v>
      </c>
      <c r="AK124">
        <v>0</v>
      </c>
      <c r="AL124">
        <v>0</v>
      </c>
      <c r="AM124">
        <v>0</v>
      </c>
      <c r="AN124">
        <v>0</v>
      </c>
      <c r="AO124">
        <v>0</v>
      </c>
      <c r="AP124">
        <v>0</v>
      </c>
      <c r="AQ124">
        <v>0</v>
      </c>
      <c r="AR124">
        <v>0</v>
      </c>
      <c r="AS124">
        <v>0</v>
      </c>
      <c r="AT124">
        <v>0</v>
      </c>
      <c r="AU124">
        <v>0</v>
      </c>
      <c r="AV124">
        <v>0</v>
      </c>
    </row>
    <row r="125" spans="1:48" ht="15.75" customHeight="1" x14ac:dyDescent="0.25">
      <c r="A125">
        <v>1</v>
      </c>
      <c r="B125">
        <v>1</v>
      </c>
      <c r="C125">
        <v>1</v>
      </c>
      <c r="D125">
        <v>1</v>
      </c>
      <c r="E125">
        <v>1996</v>
      </c>
      <c r="F125">
        <v>1</v>
      </c>
      <c r="G125">
        <v>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2</v>
      </c>
      <c r="AI125">
        <v>2</v>
      </c>
      <c r="AJ125">
        <v>0</v>
      </c>
      <c r="AK125">
        <v>0</v>
      </c>
      <c r="AL125">
        <v>0</v>
      </c>
      <c r="AM125">
        <v>0</v>
      </c>
      <c r="AN125">
        <v>0</v>
      </c>
      <c r="AO125">
        <v>0</v>
      </c>
      <c r="AP125">
        <v>0</v>
      </c>
      <c r="AQ125">
        <v>0</v>
      </c>
      <c r="AR125">
        <v>0</v>
      </c>
      <c r="AS125">
        <v>0</v>
      </c>
      <c r="AT125">
        <v>0</v>
      </c>
      <c r="AU125">
        <v>0</v>
      </c>
      <c r="AV125">
        <v>0</v>
      </c>
    </row>
    <row r="126" spans="1:48" ht="15.75" customHeight="1" x14ac:dyDescent="0.25">
      <c r="A126">
        <v>1</v>
      </c>
      <c r="B126">
        <v>1</v>
      </c>
      <c r="C126">
        <v>1</v>
      </c>
      <c r="D126">
        <v>1</v>
      </c>
      <c r="E126">
        <v>1996</v>
      </c>
      <c r="F126">
        <v>2</v>
      </c>
      <c r="G126">
        <v>72</v>
      </c>
      <c r="H126">
        <v>0</v>
      </c>
      <c r="I126">
        <v>0</v>
      </c>
      <c r="J126">
        <v>0</v>
      </c>
      <c r="K126">
        <v>0</v>
      </c>
      <c r="L126">
        <v>0</v>
      </c>
      <c r="M126">
        <v>0</v>
      </c>
      <c r="N126">
        <v>0</v>
      </c>
      <c r="O126">
        <v>0</v>
      </c>
      <c r="P126">
        <v>0</v>
      </c>
      <c r="Q126">
        <v>0</v>
      </c>
      <c r="R126">
        <v>0</v>
      </c>
      <c r="S126">
        <v>0</v>
      </c>
      <c r="T126">
        <v>8</v>
      </c>
      <c r="U126">
        <v>1</v>
      </c>
      <c r="V126">
        <v>3</v>
      </c>
      <c r="W126">
        <v>4</v>
      </c>
      <c r="X126">
        <v>6</v>
      </c>
      <c r="Y126">
        <v>6</v>
      </c>
      <c r="Z126">
        <v>9</v>
      </c>
      <c r="AA126">
        <v>1</v>
      </c>
      <c r="AB126">
        <v>2</v>
      </c>
      <c r="AC126">
        <v>7</v>
      </c>
      <c r="AD126">
        <v>2</v>
      </c>
      <c r="AE126">
        <v>1</v>
      </c>
      <c r="AF126">
        <v>1</v>
      </c>
      <c r="AG126">
        <v>1</v>
      </c>
      <c r="AH126">
        <v>2</v>
      </c>
      <c r="AI126">
        <v>1</v>
      </c>
      <c r="AJ126">
        <v>2</v>
      </c>
      <c r="AK126">
        <v>3</v>
      </c>
      <c r="AL126">
        <v>0</v>
      </c>
      <c r="AM126">
        <v>2</v>
      </c>
      <c r="AN126">
        <v>2</v>
      </c>
      <c r="AO126">
        <v>0</v>
      </c>
      <c r="AP126">
        <v>0</v>
      </c>
      <c r="AQ126">
        <v>8</v>
      </c>
      <c r="AR126">
        <v>0</v>
      </c>
      <c r="AS126">
        <v>0</v>
      </c>
      <c r="AT126">
        <v>0</v>
      </c>
      <c r="AU126">
        <v>0</v>
      </c>
      <c r="AV126">
        <v>0</v>
      </c>
    </row>
    <row r="127" spans="1:48" ht="15.75" customHeight="1" x14ac:dyDescent="0.25">
      <c r="A127">
        <v>1</v>
      </c>
      <c r="B127">
        <v>1</v>
      </c>
      <c r="C127">
        <v>1</v>
      </c>
      <c r="D127">
        <v>1</v>
      </c>
      <c r="E127">
        <v>1996</v>
      </c>
      <c r="F127">
        <v>3</v>
      </c>
      <c r="G127">
        <v>58</v>
      </c>
      <c r="H127">
        <v>0</v>
      </c>
      <c r="I127">
        <v>0</v>
      </c>
      <c r="J127">
        <v>0</v>
      </c>
      <c r="K127">
        <v>0</v>
      </c>
      <c r="L127">
        <v>0</v>
      </c>
      <c r="M127">
        <v>0</v>
      </c>
      <c r="N127">
        <v>0</v>
      </c>
      <c r="O127">
        <v>0</v>
      </c>
      <c r="P127">
        <v>0</v>
      </c>
      <c r="Q127">
        <v>0</v>
      </c>
      <c r="R127">
        <v>0</v>
      </c>
      <c r="S127">
        <v>0</v>
      </c>
      <c r="T127">
        <v>10</v>
      </c>
      <c r="U127">
        <v>20</v>
      </c>
      <c r="V127">
        <v>6</v>
      </c>
      <c r="W127">
        <v>10</v>
      </c>
      <c r="X127">
        <v>1</v>
      </c>
      <c r="Y127">
        <v>0</v>
      </c>
      <c r="Z127">
        <v>1</v>
      </c>
      <c r="AA127">
        <v>1</v>
      </c>
      <c r="AB127">
        <v>3</v>
      </c>
      <c r="AC127">
        <v>0</v>
      </c>
      <c r="AD127">
        <v>0</v>
      </c>
      <c r="AE127">
        <v>0</v>
      </c>
      <c r="AF127">
        <v>0</v>
      </c>
      <c r="AG127">
        <v>0</v>
      </c>
      <c r="AH127">
        <v>0</v>
      </c>
      <c r="AI127">
        <v>0</v>
      </c>
      <c r="AJ127">
        <v>0</v>
      </c>
      <c r="AK127">
        <v>0</v>
      </c>
      <c r="AL127">
        <v>0</v>
      </c>
      <c r="AM127">
        <v>0</v>
      </c>
      <c r="AN127">
        <v>0</v>
      </c>
      <c r="AO127">
        <v>0</v>
      </c>
      <c r="AP127">
        <v>0</v>
      </c>
      <c r="AQ127">
        <v>6</v>
      </c>
      <c r="AR127">
        <v>0</v>
      </c>
      <c r="AS127">
        <v>0</v>
      </c>
      <c r="AT127">
        <v>0</v>
      </c>
      <c r="AU127">
        <v>0</v>
      </c>
      <c r="AV127">
        <v>0</v>
      </c>
    </row>
    <row r="128" spans="1:48" ht="15.75" customHeight="1" x14ac:dyDescent="0.25">
      <c r="A128">
        <v>1</v>
      </c>
      <c r="B128">
        <v>1</v>
      </c>
      <c r="C128">
        <v>1</v>
      </c>
      <c r="D128">
        <v>1</v>
      </c>
      <c r="E128">
        <v>1996</v>
      </c>
      <c r="F128">
        <v>6</v>
      </c>
      <c r="G128">
        <v>43</v>
      </c>
      <c r="H128">
        <v>0</v>
      </c>
      <c r="I128">
        <v>0</v>
      </c>
      <c r="J128">
        <v>0</v>
      </c>
      <c r="K128">
        <v>0</v>
      </c>
      <c r="L128">
        <v>0</v>
      </c>
      <c r="M128">
        <v>0</v>
      </c>
      <c r="N128">
        <v>0</v>
      </c>
      <c r="O128">
        <v>0</v>
      </c>
      <c r="P128">
        <v>0</v>
      </c>
      <c r="Q128">
        <v>0</v>
      </c>
      <c r="R128">
        <v>0</v>
      </c>
      <c r="S128">
        <v>0</v>
      </c>
      <c r="T128">
        <v>2</v>
      </c>
      <c r="U128">
        <v>8</v>
      </c>
      <c r="V128">
        <v>15</v>
      </c>
      <c r="W128">
        <v>8</v>
      </c>
      <c r="X128">
        <v>4</v>
      </c>
      <c r="Y128">
        <v>1</v>
      </c>
      <c r="Z128">
        <v>1</v>
      </c>
      <c r="AA128">
        <v>0</v>
      </c>
      <c r="AB128">
        <v>0</v>
      </c>
      <c r="AC128">
        <v>0</v>
      </c>
      <c r="AD128">
        <v>0</v>
      </c>
      <c r="AE128">
        <v>0</v>
      </c>
      <c r="AF128">
        <v>0</v>
      </c>
      <c r="AG128">
        <v>0</v>
      </c>
      <c r="AH128">
        <v>0</v>
      </c>
      <c r="AI128">
        <v>0</v>
      </c>
      <c r="AJ128">
        <v>0</v>
      </c>
      <c r="AK128">
        <v>0</v>
      </c>
      <c r="AL128">
        <v>0</v>
      </c>
      <c r="AM128">
        <v>0</v>
      </c>
      <c r="AN128">
        <v>0</v>
      </c>
      <c r="AO128">
        <v>0</v>
      </c>
      <c r="AP128">
        <v>2</v>
      </c>
      <c r="AQ128">
        <v>2</v>
      </c>
      <c r="AR128">
        <v>0</v>
      </c>
      <c r="AS128">
        <v>0</v>
      </c>
      <c r="AT128">
        <v>0</v>
      </c>
      <c r="AU128">
        <v>0</v>
      </c>
      <c r="AV128">
        <v>0</v>
      </c>
    </row>
    <row r="129" spans="1:48" ht="15.75" customHeight="1" x14ac:dyDescent="0.25">
      <c r="A129">
        <v>1</v>
      </c>
      <c r="B129">
        <v>1</v>
      </c>
      <c r="C129">
        <v>1</v>
      </c>
      <c r="D129">
        <v>1</v>
      </c>
      <c r="E129">
        <v>1997</v>
      </c>
      <c r="F129">
        <v>1</v>
      </c>
      <c r="G129">
        <v>25</v>
      </c>
      <c r="H129">
        <v>0</v>
      </c>
      <c r="I129">
        <v>0</v>
      </c>
      <c r="J129">
        <v>0</v>
      </c>
      <c r="K129">
        <v>0</v>
      </c>
      <c r="L129">
        <v>0</v>
      </c>
      <c r="M129">
        <v>0</v>
      </c>
      <c r="N129">
        <v>0</v>
      </c>
      <c r="O129">
        <v>0</v>
      </c>
      <c r="P129">
        <v>0</v>
      </c>
      <c r="Q129">
        <v>0</v>
      </c>
      <c r="R129">
        <v>0</v>
      </c>
      <c r="S129">
        <v>0</v>
      </c>
      <c r="T129">
        <v>3</v>
      </c>
      <c r="U129">
        <v>5</v>
      </c>
      <c r="V129">
        <v>4</v>
      </c>
      <c r="W129">
        <v>3</v>
      </c>
      <c r="X129">
        <v>0</v>
      </c>
      <c r="Y129">
        <v>2</v>
      </c>
      <c r="Z129">
        <v>3</v>
      </c>
      <c r="AA129">
        <v>1</v>
      </c>
      <c r="AB129">
        <v>0</v>
      </c>
      <c r="AC129">
        <v>0</v>
      </c>
      <c r="AD129">
        <v>0</v>
      </c>
      <c r="AE129">
        <v>0</v>
      </c>
      <c r="AF129">
        <v>1</v>
      </c>
      <c r="AG129">
        <v>0</v>
      </c>
      <c r="AH129">
        <v>0</v>
      </c>
      <c r="AI129">
        <v>0</v>
      </c>
      <c r="AJ129">
        <v>0</v>
      </c>
      <c r="AK129">
        <v>0</v>
      </c>
      <c r="AL129">
        <v>0</v>
      </c>
      <c r="AM129">
        <v>1</v>
      </c>
      <c r="AN129">
        <v>0</v>
      </c>
      <c r="AO129">
        <v>0</v>
      </c>
      <c r="AP129">
        <v>0</v>
      </c>
      <c r="AQ129">
        <v>2</v>
      </c>
      <c r="AR129">
        <v>0</v>
      </c>
      <c r="AS129">
        <v>0</v>
      </c>
      <c r="AT129">
        <v>0</v>
      </c>
      <c r="AU129">
        <v>0</v>
      </c>
      <c r="AV129">
        <v>0</v>
      </c>
    </row>
    <row r="130" spans="1:48" ht="15.75" customHeight="1" x14ac:dyDescent="0.25">
      <c r="A130">
        <v>1</v>
      </c>
      <c r="B130">
        <v>1</v>
      </c>
      <c r="C130">
        <v>1</v>
      </c>
      <c r="D130">
        <v>1</v>
      </c>
      <c r="E130">
        <v>1997</v>
      </c>
      <c r="F130">
        <v>2</v>
      </c>
      <c r="G130">
        <v>58</v>
      </c>
      <c r="H130">
        <v>0</v>
      </c>
      <c r="I130">
        <v>0</v>
      </c>
      <c r="J130">
        <v>0</v>
      </c>
      <c r="K130">
        <v>0</v>
      </c>
      <c r="L130">
        <v>0</v>
      </c>
      <c r="M130">
        <v>0</v>
      </c>
      <c r="N130">
        <v>0</v>
      </c>
      <c r="O130">
        <v>0</v>
      </c>
      <c r="P130">
        <v>0</v>
      </c>
      <c r="Q130">
        <v>0</v>
      </c>
      <c r="R130">
        <v>0</v>
      </c>
      <c r="S130">
        <v>0</v>
      </c>
      <c r="T130">
        <v>3</v>
      </c>
      <c r="U130">
        <v>16</v>
      </c>
      <c r="V130">
        <v>8</v>
      </c>
      <c r="W130">
        <v>3</v>
      </c>
      <c r="X130">
        <v>2</v>
      </c>
      <c r="Y130">
        <v>5</v>
      </c>
      <c r="Z130">
        <v>3</v>
      </c>
      <c r="AA130">
        <v>4</v>
      </c>
      <c r="AB130">
        <v>0</v>
      </c>
      <c r="AC130">
        <v>2</v>
      </c>
      <c r="AD130">
        <v>0</v>
      </c>
      <c r="AE130">
        <v>1</v>
      </c>
      <c r="AF130">
        <v>1</v>
      </c>
      <c r="AG130">
        <v>2</v>
      </c>
      <c r="AH130">
        <v>1</v>
      </c>
      <c r="AI130">
        <v>0</v>
      </c>
      <c r="AJ130">
        <v>0</v>
      </c>
      <c r="AK130">
        <v>1</v>
      </c>
      <c r="AL130">
        <v>0</v>
      </c>
      <c r="AM130">
        <v>1</v>
      </c>
      <c r="AN130">
        <v>1</v>
      </c>
      <c r="AO130">
        <v>1</v>
      </c>
      <c r="AP130">
        <v>3</v>
      </c>
      <c r="AQ130">
        <v>0</v>
      </c>
      <c r="AR130">
        <v>0</v>
      </c>
      <c r="AS130">
        <v>0</v>
      </c>
      <c r="AT130">
        <v>0</v>
      </c>
      <c r="AU130">
        <v>0</v>
      </c>
      <c r="AV130">
        <v>0</v>
      </c>
    </row>
    <row r="131" spans="1:48" ht="15.75" customHeight="1" x14ac:dyDescent="0.25">
      <c r="A131">
        <v>1</v>
      </c>
      <c r="B131">
        <v>1</v>
      </c>
      <c r="C131">
        <v>1</v>
      </c>
      <c r="D131">
        <v>1</v>
      </c>
      <c r="E131">
        <v>1997</v>
      </c>
      <c r="F131">
        <v>3</v>
      </c>
      <c r="G131">
        <v>89</v>
      </c>
      <c r="H131">
        <v>0</v>
      </c>
      <c r="I131">
        <v>0</v>
      </c>
      <c r="J131">
        <v>0</v>
      </c>
      <c r="K131">
        <v>0</v>
      </c>
      <c r="L131">
        <v>0</v>
      </c>
      <c r="M131">
        <v>0</v>
      </c>
      <c r="N131">
        <v>0</v>
      </c>
      <c r="O131">
        <v>0</v>
      </c>
      <c r="P131">
        <v>0</v>
      </c>
      <c r="Q131">
        <v>0</v>
      </c>
      <c r="R131">
        <v>0</v>
      </c>
      <c r="S131">
        <v>0</v>
      </c>
      <c r="T131">
        <v>25</v>
      </c>
      <c r="U131">
        <v>24</v>
      </c>
      <c r="V131">
        <v>12</v>
      </c>
      <c r="W131">
        <v>3</v>
      </c>
      <c r="X131">
        <v>6</v>
      </c>
      <c r="Y131">
        <v>2</v>
      </c>
      <c r="Z131">
        <v>6</v>
      </c>
      <c r="AA131">
        <v>5</v>
      </c>
      <c r="AB131">
        <v>5</v>
      </c>
      <c r="AC131">
        <v>0</v>
      </c>
      <c r="AD131">
        <v>0</v>
      </c>
      <c r="AE131">
        <v>0</v>
      </c>
      <c r="AF131">
        <v>1</v>
      </c>
      <c r="AG131">
        <v>0</v>
      </c>
      <c r="AH131">
        <v>0</v>
      </c>
      <c r="AI131">
        <v>0</v>
      </c>
      <c r="AJ131">
        <v>0</v>
      </c>
      <c r="AK131">
        <v>0</v>
      </c>
      <c r="AL131">
        <v>0</v>
      </c>
      <c r="AM131">
        <v>0</v>
      </c>
      <c r="AN131">
        <v>0</v>
      </c>
      <c r="AO131">
        <v>0</v>
      </c>
      <c r="AP131">
        <v>0</v>
      </c>
      <c r="AQ131">
        <v>0</v>
      </c>
      <c r="AR131">
        <v>0</v>
      </c>
      <c r="AS131">
        <v>0</v>
      </c>
      <c r="AT131">
        <v>0</v>
      </c>
      <c r="AU131">
        <v>0</v>
      </c>
      <c r="AV131">
        <v>0</v>
      </c>
    </row>
    <row r="132" spans="1:48" ht="15.75" customHeight="1" x14ac:dyDescent="0.25">
      <c r="A132">
        <v>1</v>
      </c>
      <c r="B132">
        <v>1</v>
      </c>
      <c r="C132">
        <v>1</v>
      </c>
      <c r="D132">
        <v>1</v>
      </c>
      <c r="E132">
        <v>1997</v>
      </c>
      <c r="F132">
        <v>6</v>
      </c>
      <c r="G132">
        <v>31</v>
      </c>
      <c r="H132">
        <v>0</v>
      </c>
      <c r="I132">
        <v>0</v>
      </c>
      <c r="J132">
        <v>0</v>
      </c>
      <c r="K132">
        <v>0</v>
      </c>
      <c r="L132">
        <v>0</v>
      </c>
      <c r="M132">
        <v>0</v>
      </c>
      <c r="N132">
        <v>0</v>
      </c>
      <c r="O132">
        <v>0</v>
      </c>
      <c r="P132">
        <v>0</v>
      </c>
      <c r="Q132">
        <v>0</v>
      </c>
      <c r="R132">
        <v>0</v>
      </c>
      <c r="S132">
        <v>0</v>
      </c>
      <c r="T132">
        <v>1</v>
      </c>
      <c r="U132">
        <v>10</v>
      </c>
      <c r="V132">
        <v>10</v>
      </c>
      <c r="W132">
        <v>3</v>
      </c>
      <c r="X132">
        <v>2</v>
      </c>
      <c r="Y132">
        <v>1</v>
      </c>
      <c r="Z132">
        <v>0</v>
      </c>
      <c r="AA132">
        <v>1</v>
      </c>
      <c r="AB132">
        <v>2</v>
      </c>
      <c r="AC132">
        <v>0</v>
      </c>
      <c r="AD132">
        <v>0</v>
      </c>
      <c r="AE132">
        <v>1</v>
      </c>
      <c r="AF132">
        <v>0</v>
      </c>
      <c r="AG132">
        <v>0</v>
      </c>
      <c r="AH132">
        <v>0</v>
      </c>
      <c r="AI132">
        <v>0</v>
      </c>
      <c r="AJ132">
        <v>0</v>
      </c>
      <c r="AK132">
        <v>0</v>
      </c>
      <c r="AL132">
        <v>0</v>
      </c>
      <c r="AM132">
        <v>0</v>
      </c>
      <c r="AN132">
        <v>0</v>
      </c>
      <c r="AO132">
        <v>0</v>
      </c>
      <c r="AP132">
        <v>0</v>
      </c>
      <c r="AQ132">
        <v>0</v>
      </c>
      <c r="AR132">
        <v>0</v>
      </c>
      <c r="AS132">
        <v>0</v>
      </c>
      <c r="AT132">
        <v>0</v>
      </c>
      <c r="AU132">
        <v>0</v>
      </c>
      <c r="AV132">
        <v>0</v>
      </c>
    </row>
    <row r="133" spans="1:48" ht="15.75" customHeight="1" x14ac:dyDescent="0.25">
      <c r="A133">
        <v>1</v>
      </c>
      <c r="B133">
        <v>1</v>
      </c>
      <c r="C133">
        <v>1</v>
      </c>
      <c r="D133">
        <v>1</v>
      </c>
      <c r="E133">
        <v>1998</v>
      </c>
      <c r="F133">
        <v>1</v>
      </c>
      <c r="G133">
        <v>12</v>
      </c>
      <c r="H133">
        <v>0</v>
      </c>
      <c r="I133">
        <v>0</v>
      </c>
      <c r="J133">
        <v>0</v>
      </c>
      <c r="K133">
        <v>0</v>
      </c>
      <c r="L133">
        <v>0</v>
      </c>
      <c r="M133">
        <v>0</v>
      </c>
      <c r="N133">
        <v>0</v>
      </c>
      <c r="O133">
        <v>0</v>
      </c>
      <c r="P133">
        <v>0</v>
      </c>
      <c r="Q133">
        <v>0</v>
      </c>
      <c r="R133">
        <v>0</v>
      </c>
      <c r="S133">
        <v>0</v>
      </c>
      <c r="T133">
        <v>2</v>
      </c>
      <c r="U133">
        <v>4</v>
      </c>
      <c r="V133">
        <v>0</v>
      </c>
      <c r="W133">
        <v>0</v>
      </c>
      <c r="X133">
        <v>3</v>
      </c>
      <c r="Y133">
        <v>1</v>
      </c>
      <c r="Z133">
        <v>0</v>
      </c>
      <c r="AA133">
        <v>0</v>
      </c>
      <c r="AB133">
        <v>0</v>
      </c>
      <c r="AC133">
        <v>1</v>
      </c>
      <c r="AD133">
        <v>0</v>
      </c>
      <c r="AE133">
        <v>0</v>
      </c>
      <c r="AF133">
        <v>0</v>
      </c>
      <c r="AG133">
        <v>0</v>
      </c>
      <c r="AH133">
        <v>0</v>
      </c>
      <c r="AI133">
        <v>0</v>
      </c>
      <c r="AJ133">
        <v>0</v>
      </c>
      <c r="AK133">
        <v>0</v>
      </c>
      <c r="AL133">
        <v>0</v>
      </c>
      <c r="AM133">
        <v>0</v>
      </c>
      <c r="AN133">
        <v>0</v>
      </c>
      <c r="AO133">
        <v>0</v>
      </c>
      <c r="AP133">
        <v>0</v>
      </c>
      <c r="AQ133">
        <v>1</v>
      </c>
      <c r="AR133">
        <v>0</v>
      </c>
      <c r="AS133">
        <v>0</v>
      </c>
      <c r="AT133">
        <v>0</v>
      </c>
      <c r="AU133">
        <v>0</v>
      </c>
      <c r="AV133">
        <v>0</v>
      </c>
    </row>
    <row r="134" spans="1:48" ht="15.75" customHeight="1" x14ac:dyDescent="0.25">
      <c r="A134">
        <v>1</v>
      </c>
      <c r="B134">
        <v>1</v>
      </c>
      <c r="C134">
        <v>1</v>
      </c>
      <c r="D134">
        <v>1</v>
      </c>
      <c r="E134">
        <v>1998</v>
      </c>
      <c r="F134">
        <v>2</v>
      </c>
      <c r="G134">
        <v>72</v>
      </c>
      <c r="H134">
        <v>0</v>
      </c>
      <c r="I134">
        <v>0</v>
      </c>
      <c r="J134">
        <v>0</v>
      </c>
      <c r="K134">
        <v>0</v>
      </c>
      <c r="L134">
        <v>0</v>
      </c>
      <c r="M134">
        <v>0</v>
      </c>
      <c r="N134">
        <v>0</v>
      </c>
      <c r="O134">
        <v>0</v>
      </c>
      <c r="P134">
        <v>0</v>
      </c>
      <c r="Q134">
        <v>0</v>
      </c>
      <c r="R134">
        <v>0</v>
      </c>
      <c r="S134">
        <v>0</v>
      </c>
      <c r="T134">
        <v>5</v>
      </c>
      <c r="U134">
        <v>15</v>
      </c>
      <c r="V134">
        <v>16</v>
      </c>
      <c r="W134">
        <v>12</v>
      </c>
      <c r="X134">
        <v>7</v>
      </c>
      <c r="Y134">
        <v>2</v>
      </c>
      <c r="Z134">
        <v>5</v>
      </c>
      <c r="AA134">
        <v>2</v>
      </c>
      <c r="AB134">
        <v>3</v>
      </c>
      <c r="AC134">
        <v>3</v>
      </c>
      <c r="AD134">
        <v>0</v>
      </c>
      <c r="AE134">
        <v>0</v>
      </c>
      <c r="AF134">
        <v>0</v>
      </c>
      <c r="AG134">
        <v>0</v>
      </c>
      <c r="AH134">
        <v>1</v>
      </c>
      <c r="AI134">
        <v>0</v>
      </c>
      <c r="AJ134">
        <v>0</v>
      </c>
      <c r="AK134">
        <v>0</v>
      </c>
      <c r="AL134">
        <v>1</v>
      </c>
      <c r="AM134">
        <v>0</v>
      </c>
      <c r="AN134">
        <v>0</v>
      </c>
      <c r="AO134">
        <v>0</v>
      </c>
      <c r="AP134">
        <v>0</v>
      </c>
      <c r="AQ134">
        <v>0</v>
      </c>
      <c r="AR134">
        <v>0</v>
      </c>
      <c r="AS134">
        <v>0</v>
      </c>
      <c r="AT134">
        <v>0</v>
      </c>
      <c r="AU134">
        <v>0</v>
      </c>
      <c r="AV134">
        <v>0</v>
      </c>
    </row>
    <row r="135" spans="1:48" ht="15.75" customHeight="1" x14ac:dyDescent="0.25">
      <c r="A135">
        <v>1</v>
      </c>
      <c r="B135">
        <v>1</v>
      </c>
      <c r="C135">
        <v>1</v>
      </c>
      <c r="D135">
        <v>1</v>
      </c>
      <c r="E135">
        <v>1998</v>
      </c>
      <c r="F135">
        <v>3</v>
      </c>
      <c r="G135">
        <v>51</v>
      </c>
      <c r="H135">
        <v>0</v>
      </c>
      <c r="I135">
        <v>0</v>
      </c>
      <c r="J135">
        <v>0</v>
      </c>
      <c r="K135">
        <v>0</v>
      </c>
      <c r="L135">
        <v>0</v>
      </c>
      <c r="M135">
        <v>0</v>
      </c>
      <c r="N135">
        <v>0</v>
      </c>
      <c r="O135">
        <v>0</v>
      </c>
      <c r="P135">
        <v>0</v>
      </c>
      <c r="Q135">
        <v>0</v>
      </c>
      <c r="R135">
        <v>0</v>
      </c>
      <c r="S135">
        <v>0</v>
      </c>
      <c r="T135">
        <v>9</v>
      </c>
      <c r="U135">
        <v>15</v>
      </c>
      <c r="V135">
        <v>9</v>
      </c>
      <c r="W135">
        <v>8</v>
      </c>
      <c r="X135">
        <v>1</v>
      </c>
      <c r="Y135">
        <v>2</v>
      </c>
      <c r="Z135">
        <v>2</v>
      </c>
      <c r="AA135">
        <v>0</v>
      </c>
      <c r="AB135">
        <v>1</v>
      </c>
      <c r="AC135">
        <v>1</v>
      </c>
      <c r="AD135">
        <v>0</v>
      </c>
      <c r="AE135">
        <v>0</v>
      </c>
      <c r="AF135">
        <v>1</v>
      </c>
      <c r="AG135">
        <v>0</v>
      </c>
      <c r="AH135">
        <v>0</v>
      </c>
      <c r="AI135">
        <v>0</v>
      </c>
      <c r="AJ135">
        <v>0</v>
      </c>
      <c r="AK135">
        <v>2</v>
      </c>
      <c r="AL135">
        <v>0</v>
      </c>
      <c r="AM135">
        <v>0</v>
      </c>
      <c r="AN135">
        <v>0</v>
      </c>
      <c r="AO135">
        <v>0</v>
      </c>
      <c r="AP135">
        <v>0</v>
      </c>
      <c r="AQ135">
        <v>0</v>
      </c>
      <c r="AR135">
        <v>0</v>
      </c>
      <c r="AS135">
        <v>0</v>
      </c>
      <c r="AT135">
        <v>0</v>
      </c>
      <c r="AU135">
        <v>0</v>
      </c>
      <c r="AV135">
        <v>0</v>
      </c>
    </row>
    <row r="136" spans="1:48" ht="15.75" customHeight="1" x14ac:dyDescent="0.25">
      <c r="A136">
        <v>1</v>
      </c>
      <c r="B136">
        <v>1</v>
      </c>
      <c r="C136">
        <v>1</v>
      </c>
      <c r="D136">
        <v>1</v>
      </c>
      <c r="E136">
        <v>1998</v>
      </c>
      <c r="F136">
        <v>6</v>
      </c>
      <c r="G136">
        <v>26</v>
      </c>
      <c r="H136">
        <v>0</v>
      </c>
      <c r="I136">
        <v>0</v>
      </c>
      <c r="J136">
        <v>0</v>
      </c>
      <c r="K136">
        <v>0</v>
      </c>
      <c r="L136">
        <v>0</v>
      </c>
      <c r="M136">
        <v>0</v>
      </c>
      <c r="N136">
        <v>0</v>
      </c>
      <c r="O136">
        <v>0</v>
      </c>
      <c r="P136">
        <v>0</v>
      </c>
      <c r="Q136">
        <v>0</v>
      </c>
      <c r="R136">
        <v>0</v>
      </c>
      <c r="S136">
        <v>0</v>
      </c>
      <c r="T136">
        <v>0</v>
      </c>
      <c r="U136">
        <v>5</v>
      </c>
      <c r="V136">
        <v>2</v>
      </c>
      <c r="W136">
        <v>4</v>
      </c>
      <c r="X136">
        <v>2</v>
      </c>
      <c r="Y136">
        <v>1</v>
      </c>
      <c r="Z136">
        <v>3</v>
      </c>
      <c r="AA136">
        <v>3</v>
      </c>
      <c r="AB136">
        <v>3</v>
      </c>
      <c r="AC136">
        <v>1</v>
      </c>
      <c r="AD136">
        <v>1</v>
      </c>
      <c r="AE136">
        <v>0</v>
      </c>
      <c r="AF136">
        <v>0</v>
      </c>
      <c r="AG136">
        <v>0</v>
      </c>
      <c r="AH136">
        <v>0</v>
      </c>
      <c r="AI136">
        <v>0</v>
      </c>
      <c r="AJ136">
        <v>0</v>
      </c>
      <c r="AK136">
        <v>1</v>
      </c>
      <c r="AL136">
        <v>0</v>
      </c>
      <c r="AM136">
        <v>0</v>
      </c>
      <c r="AN136">
        <v>0</v>
      </c>
      <c r="AO136">
        <v>0</v>
      </c>
      <c r="AP136">
        <v>0</v>
      </c>
      <c r="AQ136">
        <v>0</v>
      </c>
      <c r="AR136">
        <v>0</v>
      </c>
      <c r="AS136">
        <v>0</v>
      </c>
      <c r="AT136">
        <v>0</v>
      </c>
      <c r="AU136">
        <v>0</v>
      </c>
      <c r="AV136">
        <v>0</v>
      </c>
    </row>
    <row r="137" spans="1:48" ht="15.75" customHeight="1" x14ac:dyDescent="0.25">
      <c r="A137">
        <v>1</v>
      </c>
      <c r="B137">
        <v>1</v>
      </c>
      <c r="C137">
        <v>1</v>
      </c>
      <c r="D137">
        <v>1</v>
      </c>
      <c r="E137">
        <v>1999</v>
      </c>
      <c r="F137">
        <v>1</v>
      </c>
      <c r="G137">
        <v>11</v>
      </c>
      <c r="H137">
        <v>0</v>
      </c>
      <c r="I137">
        <v>0</v>
      </c>
      <c r="J137">
        <v>0</v>
      </c>
      <c r="K137">
        <v>0</v>
      </c>
      <c r="L137">
        <v>0</v>
      </c>
      <c r="M137">
        <v>0</v>
      </c>
      <c r="N137">
        <v>0</v>
      </c>
      <c r="O137">
        <v>0</v>
      </c>
      <c r="P137">
        <v>0</v>
      </c>
      <c r="Q137">
        <v>0</v>
      </c>
      <c r="R137">
        <v>0</v>
      </c>
      <c r="S137">
        <v>0</v>
      </c>
      <c r="T137">
        <v>0</v>
      </c>
      <c r="U137">
        <v>2</v>
      </c>
      <c r="V137">
        <v>1</v>
      </c>
      <c r="W137">
        <v>0</v>
      </c>
      <c r="X137">
        <v>0</v>
      </c>
      <c r="Y137">
        <v>0</v>
      </c>
      <c r="Z137">
        <v>1</v>
      </c>
      <c r="AA137">
        <v>2</v>
      </c>
      <c r="AB137">
        <v>0</v>
      </c>
      <c r="AC137">
        <v>0</v>
      </c>
      <c r="AD137">
        <v>1</v>
      </c>
      <c r="AE137">
        <v>0</v>
      </c>
      <c r="AF137">
        <v>3</v>
      </c>
      <c r="AG137">
        <v>0</v>
      </c>
      <c r="AH137">
        <v>0</v>
      </c>
      <c r="AI137">
        <v>1</v>
      </c>
      <c r="AJ137">
        <v>0</v>
      </c>
      <c r="AK137">
        <v>0</v>
      </c>
      <c r="AL137">
        <v>0</v>
      </c>
      <c r="AM137">
        <v>0</v>
      </c>
      <c r="AN137">
        <v>0</v>
      </c>
      <c r="AO137">
        <v>0</v>
      </c>
      <c r="AP137">
        <v>0</v>
      </c>
      <c r="AQ137">
        <v>0</v>
      </c>
      <c r="AR137">
        <v>0</v>
      </c>
      <c r="AS137">
        <v>0</v>
      </c>
      <c r="AT137">
        <v>0</v>
      </c>
      <c r="AU137">
        <v>0</v>
      </c>
      <c r="AV137">
        <v>0</v>
      </c>
    </row>
    <row r="138" spans="1:48" ht="15.75" customHeight="1" x14ac:dyDescent="0.25">
      <c r="A138">
        <v>1</v>
      </c>
      <c r="B138">
        <v>1</v>
      </c>
      <c r="C138">
        <v>1</v>
      </c>
      <c r="D138">
        <v>1</v>
      </c>
      <c r="E138">
        <v>1999</v>
      </c>
      <c r="F138">
        <v>2</v>
      </c>
      <c r="G138">
        <v>55</v>
      </c>
      <c r="H138">
        <v>0</v>
      </c>
      <c r="I138">
        <v>0</v>
      </c>
      <c r="J138">
        <v>0</v>
      </c>
      <c r="K138">
        <v>0</v>
      </c>
      <c r="L138">
        <v>0</v>
      </c>
      <c r="M138">
        <v>0</v>
      </c>
      <c r="N138">
        <v>0</v>
      </c>
      <c r="O138">
        <v>0</v>
      </c>
      <c r="P138">
        <v>0</v>
      </c>
      <c r="Q138">
        <v>0</v>
      </c>
      <c r="R138">
        <v>0</v>
      </c>
      <c r="S138">
        <v>0</v>
      </c>
      <c r="T138">
        <v>3</v>
      </c>
      <c r="U138">
        <v>7</v>
      </c>
      <c r="V138">
        <v>10</v>
      </c>
      <c r="W138">
        <v>14</v>
      </c>
      <c r="X138">
        <v>9</v>
      </c>
      <c r="Y138">
        <v>3</v>
      </c>
      <c r="Z138">
        <v>3</v>
      </c>
      <c r="AA138">
        <v>1</v>
      </c>
      <c r="AB138">
        <v>3</v>
      </c>
      <c r="AC138">
        <v>0</v>
      </c>
      <c r="AD138">
        <v>0</v>
      </c>
      <c r="AE138">
        <v>1</v>
      </c>
      <c r="AF138">
        <v>0</v>
      </c>
      <c r="AG138">
        <v>0</v>
      </c>
      <c r="AH138">
        <v>0</v>
      </c>
      <c r="AI138">
        <v>0</v>
      </c>
      <c r="AJ138">
        <v>0</v>
      </c>
      <c r="AK138">
        <v>1</v>
      </c>
      <c r="AL138">
        <v>0</v>
      </c>
      <c r="AM138">
        <v>0</v>
      </c>
      <c r="AN138">
        <v>0</v>
      </c>
      <c r="AO138">
        <v>0</v>
      </c>
      <c r="AP138">
        <v>0</v>
      </c>
      <c r="AQ138">
        <v>0</v>
      </c>
      <c r="AR138">
        <v>0</v>
      </c>
      <c r="AS138">
        <v>0</v>
      </c>
      <c r="AT138">
        <v>0</v>
      </c>
      <c r="AU138">
        <v>0</v>
      </c>
      <c r="AV138">
        <v>0</v>
      </c>
    </row>
    <row r="139" spans="1:48" ht="15.75" customHeight="1" x14ac:dyDescent="0.25">
      <c r="A139">
        <v>1</v>
      </c>
      <c r="B139">
        <v>1</v>
      </c>
      <c r="C139">
        <v>1</v>
      </c>
      <c r="D139">
        <v>1</v>
      </c>
      <c r="E139">
        <v>1999</v>
      </c>
      <c r="F139">
        <v>3</v>
      </c>
      <c r="G139">
        <v>8</v>
      </c>
      <c r="H139">
        <v>0</v>
      </c>
      <c r="I139">
        <v>0</v>
      </c>
      <c r="J139">
        <v>0</v>
      </c>
      <c r="K139">
        <v>0</v>
      </c>
      <c r="L139">
        <v>0</v>
      </c>
      <c r="M139">
        <v>0</v>
      </c>
      <c r="N139">
        <v>0</v>
      </c>
      <c r="O139">
        <v>0</v>
      </c>
      <c r="P139">
        <v>0</v>
      </c>
      <c r="Q139">
        <v>0</v>
      </c>
      <c r="R139">
        <v>0</v>
      </c>
      <c r="S139">
        <v>0</v>
      </c>
      <c r="T139">
        <v>1</v>
      </c>
      <c r="U139">
        <v>2</v>
      </c>
      <c r="V139">
        <v>2</v>
      </c>
      <c r="W139">
        <v>2</v>
      </c>
      <c r="X139">
        <v>1</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row>
    <row r="140" spans="1:48" ht="15.75" customHeight="1" x14ac:dyDescent="0.25">
      <c r="A140">
        <v>1</v>
      </c>
      <c r="B140">
        <v>1</v>
      </c>
      <c r="C140">
        <v>1</v>
      </c>
      <c r="D140">
        <v>1</v>
      </c>
      <c r="E140">
        <v>1999</v>
      </c>
      <c r="F140">
        <v>6</v>
      </c>
      <c r="G140">
        <v>1</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1</v>
      </c>
      <c r="AJ140">
        <v>0</v>
      </c>
      <c r="AK140">
        <v>0</v>
      </c>
      <c r="AL140">
        <v>0</v>
      </c>
      <c r="AM140">
        <v>0</v>
      </c>
      <c r="AN140">
        <v>0</v>
      </c>
      <c r="AO140">
        <v>0</v>
      </c>
      <c r="AP140">
        <v>0</v>
      </c>
      <c r="AQ140">
        <v>0</v>
      </c>
      <c r="AR140">
        <v>0</v>
      </c>
      <c r="AS140">
        <v>0</v>
      </c>
      <c r="AT140">
        <v>0</v>
      </c>
      <c r="AU140">
        <v>0</v>
      </c>
      <c r="AV140">
        <v>0</v>
      </c>
    </row>
    <row r="141" spans="1:48" ht="15.75" customHeight="1" x14ac:dyDescent="0.25">
      <c r="A141">
        <v>1</v>
      </c>
      <c r="B141">
        <v>1</v>
      </c>
      <c r="C141">
        <v>1</v>
      </c>
      <c r="D141">
        <v>1</v>
      </c>
      <c r="E141">
        <v>2004</v>
      </c>
      <c r="F141">
        <v>2</v>
      </c>
      <c r="G141">
        <v>1</v>
      </c>
      <c r="H141">
        <v>0</v>
      </c>
      <c r="I141">
        <v>0</v>
      </c>
      <c r="J141">
        <v>0</v>
      </c>
      <c r="K141">
        <v>0</v>
      </c>
      <c r="L141">
        <v>0</v>
      </c>
      <c r="M141">
        <v>0</v>
      </c>
      <c r="N141">
        <v>0</v>
      </c>
      <c r="O141">
        <v>0</v>
      </c>
      <c r="P141">
        <v>0</v>
      </c>
      <c r="Q141">
        <v>0</v>
      </c>
      <c r="R141">
        <v>0</v>
      </c>
      <c r="S141">
        <v>0</v>
      </c>
      <c r="T141">
        <v>0</v>
      </c>
      <c r="U141">
        <v>0</v>
      </c>
      <c r="V141">
        <v>0</v>
      </c>
      <c r="W141">
        <v>1</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row>
    <row r="142" spans="1:48" ht="15.75" customHeight="1" x14ac:dyDescent="0.25">
      <c r="A142">
        <v>1</v>
      </c>
      <c r="B142">
        <v>1</v>
      </c>
      <c r="C142">
        <v>2</v>
      </c>
      <c r="D142">
        <v>1</v>
      </c>
      <c r="E142">
        <v>1992</v>
      </c>
      <c r="F142">
        <v>1</v>
      </c>
      <c r="G142">
        <v>4</v>
      </c>
      <c r="H142">
        <v>0</v>
      </c>
      <c r="I142">
        <v>0</v>
      </c>
      <c r="J142">
        <v>0</v>
      </c>
      <c r="K142">
        <v>0</v>
      </c>
      <c r="L142">
        <v>0</v>
      </c>
      <c r="M142">
        <v>0</v>
      </c>
      <c r="N142">
        <v>0</v>
      </c>
      <c r="O142">
        <v>0</v>
      </c>
      <c r="P142">
        <v>0</v>
      </c>
      <c r="Q142">
        <v>0</v>
      </c>
      <c r="R142">
        <v>0</v>
      </c>
      <c r="S142">
        <v>0</v>
      </c>
      <c r="T142">
        <v>0</v>
      </c>
      <c r="U142">
        <v>0</v>
      </c>
      <c r="V142">
        <v>0</v>
      </c>
      <c r="W142">
        <v>0</v>
      </c>
      <c r="X142">
        <v>1</v>
      </c>
      <c r="Y142">
        <v>0</v>
      </c>
      <c r="Z142">
        <v>1</v>
      </c>
      <c r="AA142">
        <v>1</v>
      </c>
      <c r="AB142">
        <v>0</v>
      </c>
      <c r="AC142">
        <v>1</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row>
    <row r="143" spans="1:48" ht="15.75" customHeight="1" x14ac:dyDescent="0.25">
      <c r="A143">
        <v>1</v>
      </c>
      <c r="B143">
        <v>1</v>
      </c>
      <c r="C143">
        <v>2</v>
      </c>
      <c r="D143">
        <v>1</v>
      </c>
      <c r="E143">
        <v>1992</v>
      </c>
      <c r="F143">
        <v>2</v>
      </c>
      <c r="G143">
        <v>3</v>
      </c>
      <c r="H143">
        <v>0</v>
      </c>
      <c r="I143">
        <v>0</v>
      </c>
      <c r="J143">
        <v>0</v>
      </c>
      <c r="K143">
        <v>0</v>
      </c>
      <c r="L143">
        <v>0</v>
      </c>
      <c r="M143">
        <v>0</v>
      </c>
      <c r="N143">
        <v>0</v>
      </c>
      <c r="O143">
        <v>0</v>
      </c>
      <c r="P143">
        <v>0</v>
      </c>
      <c r="Q143">
        <v>0</v>
      </c>
      <c r="R143">
        <v>0</v>
      </c>
      <c r="S143">
        <v>0</v>
      </c>
      <c r="T143">
        <v>0</v>
      </c>
      <c r="U143">
        <v>0</v>
      </c>
      <c r="V143">
        <v>1</v>
      </c>
      <c r="W143">
        <v>1</v>
      </c>
      <c r="X143">
        <v>0</v>
      </c>
      <c r="Y143">
        <v>0</v>
      </c>
      <c r="Z143">
        <v>1</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row>
    <row r="144" spans="1:48" ht="15.75" customHeight="1" x14ac:dyDescent="0.25">
      <c r="A144">
        <v>1</v>
      </c>
      <c r="B144">
        <v>1</v>
      </c>
      <c r="C144">
        <v>2</v>
      </c>
      <c r="D144">
        <v>1</v>
      </c>
      <c r="E144">
        <v>1992</v>
      </c>
      <c r="F144">
        <v>3</v>
      </c>
      <c r="G144">
        <v>1</v>
      </c>
      <c r="H144">
        <v>0</v>
      </c>
      <c r="I144">
        <v>0</v>
      </c>
      <c r="J144">
        <v>0</v>
      </c>
      <c r="K144">
        <v>0</v>
      </c>
      <c r="L144">
        <v>0</v>
      </c>
      <c r="M144">
        <v>0</v>
      </c>
      <c r="N144">
        <v>0</v>
      </c>
      <c r="O144">
        <v>0</v>
      </c>
      <c r="P144">
        <v>0</v>
      </c>
      <c r="Q144">
        <v>0</v>
      </c>
      <c r="R144">
        <v>0</v>
      </c>
      <c r="S144">
        <v>0</v>
      </c>
      <c r="T144">
        <v>0</v>
      </c>
      <c r="U144">
        <v>0</v>
      </c>
      <c r="V144">
        <v>1</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row>
    <row r="145" spans="1:48" ht="15.75" customHeight="1" x14ac:dyDescent="0.25">
      <c r="A145">
        <v>1</v>
      </c>
      <c r="B145">
        <v>1</v>
      </c>
      <c r="C145">
        <v>2</v>
      </c>
      <c r="D145">
        <v>1</v>
      </c>
      <c r="E145">
        <v>1993</v>
      </c>
      <c r="F145">
        <v>1</v>
      </c>
      <c r="G145">
        <v>1</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1</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row>
    <row r="146" spans="1:48" ht="15.75" customHeight="1" x14ac:dyDescent="0.25">
      <c r="A146">
        <v>1</v>
      </c>
      <c r="B146">
        <v>1</v>
      </c>
      <c r="C146">
        <v>2</v>
      </c>
      <c r="D146">
        <v>1</v>
      </c>
      <c r="E146">
        <v>1993</v>
      </c>
      <c r="F146">
        <v>2</v>
      </c>
      <c r="G146">
        <v>10</v>
      </c>
      <c r="H146">
        <v>0</v>
      </c>
      <c r="I146">
        <v>0</v>
      </c>
      <c r="J146">
        <v>0</v>
      </c>
      <c r="K146">
        <v>0</v>
      </c>
      <c r="L146">
        <v>0</v>
      </c>
      <c r="M146">
        <v>0</v>
      </c>
      <c r="N146">
        <v>0</v>
      </c>
      <c r="O146">
        <v>0</v>
      </c>
      <c r="P146">
        <v>0</v>
      </c>
      <c r="Q146">
        <v>0</v>
      </c>
      <c r="R146">
        <v>0</v>
      </c>
      <c r="S146">
        <v>0</v>
      </c>
      <c r="T146">
        <v>1</v>
      </c>
      <c r="U146">
        <v>4</v>
      </c>
      <c r="V146">
        <v>0</v>
      </c>
      <c r="W146">
        <v>0</v>
      </c>
      <c r="X146">
        <v>0</v>
      </c>
      <c r="Y146">
        <v>0</v>
      </c>
      <c r="Z146">
        <v>0</v>
      </c>
      <c r="AA146">
        <v>0</v>
      </c>
      <c r="AB146">
        <v>0</v>
      </c>
      <c r="AC146">
        <v>0</v>
      </c>
      <c r="AD146">
        <v>0</v>
      </c>
      <c r="AE146">
        <v>0</v>
      </c>
      <c r="AF146">
        <v>0</v>
      </c>
      <c r="AG146">
        <v>2</v>
      </c>
      <c r="AH146">
        <v>0</v>
      </c>
      <c r="AI146">
        <v>0</v>
      </c>
      <c r="AJ146">
        <v>0</v>
      </c>
      <c r="AK146">
        <v>0</v>
      </c>
      <c r="AL146">
        <v>0</v>
      </c>
      <c r="AM146">
        <v>0</v>
      </c>
      <c r="AN146">
        <v>0</v>
      </c>
      <c r="AO146">
        <v>3</v>
      </c>
      <c r="AP146">
        <v>0</v>
      </c>
      <c r="AQ146">
        <v>0</v>
      </c>
      <c r="AR146">
        <v>0</v>
      </c>
      <c r="AS146">
        <v>0</v>
      </c>
      <c r="AT146">
        <v>0</v>
      </c>
      <c r="AU146">
        <v>0</v>
      </c>
      <c r="AV146">
        <v>0</v>
      </c>
    </row>
    <row r="147" spans="1:48" ht="15.75" customHeight="1" x14ac:dyDescent="0.25">
      <c r="A147">
        <v>1</v>
      </c>
      <c r="B147">
        <v>1</v>
      </c>
      <c r="C147">
        <v>2</v>
      </c>
      <c r="D147">
        <v>1</v>
      </c>
      <c r="E147">
        <v>1993</v>
      </c>
      <c r="F147">
        <v>3</v>
      </c>
      <c r="G147">
        <v>75</v>
      </c>
      <c r="H147">
        <v>0</v>
      </c>
      <c r="I147">
        <v>0</v>
      </c>
      <c r="J147">
        <v>0</v>
      </c>
      <c r="K147">
        <v>0</v>
      </c>
      <c r="L147">
        <v>0</v>
      </c>
      <c r="M147">
        <v>0</v>
      </c>
      <c r="N147">
        <v>0</v>
      </c>
      <c r="O147">
        <v>0</v>
      </c>
      <c r="P147">
        <v>0</v>
      </c>
      <c r="Q147">
        <v>0</v>
      </c>
      <c r="R147">
        <v>0</v>
      </c>
      <c r="S147">
        <v>0</v>
      </c>
      <c r="T147">
        <v>6</v>
      </c>
      <c r="U147">
        <v>4</v>
      </c>
      <c r="V147">
        <v>24</v>
      </c>
      <c r="W147">
        <v>6</v>
      </c>
      <c r="X147">
        <v>4</v>
      </c>
      <c r="Y147">
        <v>9</v>
      </c>
      <c r="Z147">
        <v>6</v>
      </c>
      <c r="AA147">
        <v>8</v>
      </c>
      <c r="AB147">
        <v>2</v>
      </c>
      <c r="AC147">
        <v>0</v>
      </c>
      <c r="AD147">
        <v>0</v>
      </c>
      <c r="AE147">
        <v>4</v>
      </c>
      <c r="AF147">
        <v>0</v>
      </c>
      <c r="AG147">
        <v>0</v>
      </c>
      <c r="AH147">
        <v>2</v>
      </c>
      <c r="AI147">
        <v>0</v>
      </c>
      <c r="AJ147">
        <v>0</v>
      </c>
      <c r="AK147">
        <v>0</v>
      </c>
      <c r="AL147">
        <v>0</v>
      </c>
      <c r="AM147">
        <v>0</v>
      </c>
      <c r="AN147">
        <v>0</v>
      </c>
      <c r="AO147">
        <v>0</v>
      </c>
      <c r="AP147">
        <v>0</v>
      </c>
      <c r="AQ147">
        <v>0</v>
      </c>
      <c r="AR147">
        <v>0</v>
      </c>
      <c r="AS147">
        <v>0</v>
      </c>
      <c r="AT147">
        <v>0</v>
      </c>
      <c r="AU147">
        <v>0</v>
      </c>
      <c r="AV147">
        <v>0</v>
      </c>
    </row>
    <row r="148" spans="1:48" ht="15.75" customHeight="1" x14ac:dyDescent="0.25">
      <c r="A148">
        <v>1</v>
      </c>
      <c r="B148">
        <v>1</v>
      </c>
      <c r="C148">
        <v>2</v>
      </c>
      <c r="D148">
        <v>1</v>
      </c>
      <c r="E148">
        <v>1993</v>
      </c>
      <c r="F148">
        <v>6</v>
      </c>
      <c r="G148">
        <v>80</v>
      </c>
      <c r="H148">
        <v>0</v>
      </c>
      <c r="I148">
        <v>0</v>
      </c>
      <c r="J148">
        <v>0</v>
      </c>
      <c r="K148">
        <v>0</v>
      </c>
      <c r="L148">
        <v>0</v>
      </c>
      <c r="M148">
        <v>0</v>
      </c>
      <c r="N148">
        <v>0</v>
      </c>
      <c r="O148">
        <v>0</v>
      </c>
      <c r="P148">
        <v>0</v>
      </c>
      <c r="Q148">
        <v>0</v>
      </c>
      <c r="R148">
        <v>0</v>
      </c>
      <c r="S148">
        <v>0</v>
      </c>
      <c r="T148">
        <v>6</v>
      </c>
      <c r="U148">
        <v>8</v>
      </c>
      <c r="V148">
        <v>4</v>
      </c>
      <c r="W148">
        <v>12</v>
      </c>
      <c r="X148">
        <v>18</v>
      </c>
      <c r="Y148">
        <v>12</v>
      </c>
      <c r="Z148">
        <v>2</v>
      </c>
      <c r="AA148">
        <v>4</v>
      </c>
      <c r="AB148">
        <v>0</v>
      </c>
      <c r="AC148">
        <v>4</v>
      </c>
      <c r="AD148">
        <v>0</v>
      </c>
      <c r="AE148">
        <v>2</v>
      </c>
      <c r="AF148">
        <v>2</v>
      </c>
      <c r="AG148">
        <v>2</v>
      </c>
      <c r="AH148">
        <v>2</v>
      </c>
      <c r="AI148">
        <v>0</v>
      </c>
      <c r="AJ148">
        <v>0</v>
      </c>
      <c r="AK148">
        <v>2</v>
      </c>
      <c r="AL148">
        <v>0</v>
      </c>
      <c r="AM148">
        <v>0</v>
      </c>
      <c r="AN148">
        <v>0</v>
      </c>
      <c r="AO148">
        <v>0</v>
      </c>
      <c r="AP148">
        <v>0</v>
      </c>
      <c r="AQ148">
        <v>0</v>
      </c>
      <c r="AR148">
        <v>0</v>
      </c>
      <c r="AS148">
        <v>0</v>
      </c>
      <c r="AT148">
        <v>0</v>
      </c>
      <c r="AU148">
        <v>0</v>
      </c>
      <c r="AV148">
        <v>0</v>
      </c>
    </row>
    <row r="149" spans="1:48" ht="15.75" customHeight="1" x14ac:dyDescent="0.25">
      <c r="A149">
        <v>1</v>
      </c>
      <c r="B149">
        <v>1</v>
      </c>
      <c r="C149">
        <v>2</v>
      </c>
      <c r="D149">
        <v>1</v>
      </c>
      <c r="E149">
        <v>1994</v>
      </c>
      <c r="F149">
        <v>1</v>
      </c>
      <c r="G149">
        <v>86</v>
      </c>
      <c r="H149">
        <v>0</v>
      </c>
      <c r="I149">
        <v>0</v>
      </c>
      <c r="J149">
        <v>0</v>
      </c>
      <c r="K149">
        <v>0</v>
      </c>
      <c r="L149">
        <v>0</v>
      </c>
      <c r="M149">
        <v>0</v>
      </c>
      <c r="N149">
        <v>0</v>
      </c>
      <c r="O149">
        <v>0</v>
      </c>
      <c r="P149">
        <v>0</v>
      </c>
      <c r="Q149">
        <v>0</v>
      </c>
      <c r="R149">
        <v>0</v>
      </c>
      <c r="S149">
        <v>0</v>
      </c>
      <c r="T149">
        <v>2</v>
      </c>
      <c r="U149">
        <v>6</v>
      </c>
      <c r="V149">
        <v>14</v>
      </c>
      <c r="W149">
        <v>10</v>
      </c>
      <c r="X149">
        <v>16</v>
      </c>
      <c r="Y149">
        <v>4</v>
      </c>
      <c r="Z149">
        <v>4</v>
      </c>
      <c r="AA149">
        <v>14</v>
      </c>
      <c r="AB149">
        <v>8</v>
      </c>
      <c r="AC149">
        <v>0</v>
      </c>
      <c r="AD149">
        <v>2</v>
      </c>
      <c r="AE149">
        <v>0</v>
      </c>
      <c r="AF149">
        <v>4</v>
      </c>
      <c r="AG149">
        <v>0</v>
      </c>
      <c r="AH149">
        <v>2</v>
      </c>
      <c r="AI149">
        <v>0</v>
      </c>
      <c r="AJ149">
        <v>0</v>
      </c>
      <c r="AK149">
        <v>0</v>
      </c>
      <c r="AL149">
        <v>0</v>
      </c>
      <c r="AM149">
        <v>0</v>
      </c>
      <c r="AN149">
        <v>0</v>
      </c>
      <c r="AO149">
        <v>0</v>
      </c>
      <c r="AP149">
        <v>0</v>
      </c>
      <c r="AQ149">
        <v>0</v>
      </c>
      <c r="AR149">
        <v>0</v>
      </c>
      <c r="AS149">
        <v>0</v>
      </c>
      <c r="AT149">
        <v>0</v>
      </c>
      <c r="AU149">
        <v>0</v>
      </c>
      <c r="AV149">
        <v>0</v>
      </c>
    </row>
    <row r="150" spans="1:48" ht="15.75" customHeight="1" x14ac:dyDescent="0.25">
      <c r="A150">
        <v>1</v>
      </c>
      <c r="B150">
        <v>1</v>
      </c>
      <c r="C150">
        <v>2</v>
      </c>
      <c r="D150">
        <v>1</v>
      </c>
      <c r="E150">
        <v>1994</v>
      </c>
      <c r="F150">
        <v>2</v>
      </c>
      <c r="G150">
        <v>90</v>
      </c>
      <c r="H150">
        <v>0</v>
      </c>
      <c r="I150">
        <v>0</v>
      </c>
      <c r="J150">
        <v>0</v>
      </c>
      <c r="K150">
        <v>0</v>
      </c>
      <c r="L150">
        <v>0</v>
      </c>
      <c r="M150">
        <v>0</v>
      </c>
      <c r="N150">
        <v>0</v>
      </c>
      <c r="O150">
        <v>0</v>
      </c>
      <c r="P150">
        <v>0</v>
      </c>
      <c r="Q150">
        <v>0</v>
      </c>
      <c r="R150">
        <v>0</v>
      </c>
      <c r="S150">
        <v>0</v>
      </c>
      <c r="T150">
        <v>0</v>
      </c>
      <c r="U150">
        <v>7</v>
      </c>
      <c r="V150">
        <v>1</v>
      </c>
      <c r="W150">
        <v>7</v>
      </c>
      <c r="X150">
        <v>4</v>
      </c>
      <c r="Y150">
        <v>9</v>
      </c>
      <c r="Z150">
        <v>8</v>
      </c>
      <c r="AA150">
        <v>13</v>
      </c>
      <c r="AB150">
        <v>6</v>
      </c>
      <c r="AC150">
        <v>6</v>
      </c>
      <c r="AD150">
        <v>7</v>
      </c>
      <c r="AE150">
        <v>6</v>
      </c>
      <c r="AF150">
        <v>4</v>
      </c>
      <c r="AG150">
        <v>2</v>
      </c>
      <c r="AH150">
        <v>4</v>
      </c>
      <c r="AI150">
        <v>2</v>
      </c>
      <c r="AJ150">
        <v>0</v>
      </c>
      <c r="AK150">
        <v>2</v>
      </c>
      <c r="AL150">
        <v>0</v>
      </c>
      <c r="AM150">
        <v>0</v>
      </c>
      <c r="AN150">
        <v>0</v>
      </c>
      <c r="AO150">
        <v>2</v>
      </c>
      <c r="AP150">
        <v>0</v>
      </c>
      <c r="AQ150">
        <v>0</v>
      </c>
      <c r="AR150">
        <v>0</v>
      </c>
      <c r="AS150">
        <v>0</v>
      </c>
      <c r="AT150">
        <v>0</v>
      </c>
      <c r="AU150">
        <v>0</v>
      </c>
      <c r="AV150">
        <v>0</v>
      </c>
    </row>
    <row r="151" spans="1:48" ht="15.75" customHeight="1" x14ac:dyDescent="0.25">
      <c r="A151">
        <v>1</v>
      </c>
      <c r="B151">
        <v>1</v>
      </c>
      <c r="C151">
        <v>2</v>
      </c>
      <c r="D151">
        <v>1</v>
      </c>
      <c r="E151">
        <v>1994</v>
      </c>
      <c r="F151">
        <v>3</v>
      </c>
      <c r="G151">
        <v>57</v>
      </c>
      <c r="H151">
        <v>0</v>
      </c>
      <c r="I151">
        <v>0</v>
      </c>
      <c r="J151">
        <v>0</v>
      </c>
      <c r="K151">
        <v>0</v>
      </c>
      <c r="L151">
        <v>0</v>
      </c>
      <c r="M151">
        <v>0</v>
      </c>
      <c r="N151">
        <v>0</v>
      </c>
      <c r="O151">
        <v>0</v>
      </c>
      <c r="P151">
        <v>0</v>
      </c>
      <c r="Q151">
        <v>0</v>
      </c>
      <c r="R151">
        <v>0</v>
      </c>
      <c r="S151">
        <v>0</v>
      </c>
      <c r="T151">
        <v>6</v>
      </c>
      <c r="U151">
        <v>0</v>
      </c>
      <c r="V151">
        <v>6</v>
      </c>
      <c r="W151">
        <v>2</v>
      </c>
      <c r="X151">
        <v>6</v>
      </c>
      <c r="Y151">
        <v>2</v>
      </c>
      <c r="Z151">
        <v>0</v>
      </c>
      <c r="AA151">
        <v>6</v>
      </c>
      <c r="AB151">
        <v>9</v>
      </c>
      <c r="AC151">
        <v>10</v>
      </c>
      <c r="AD151">
        <v>6</v>
      </c>
      <c r="AE151">
        <v>0</v>
      </c>
      <c r="AF151">
        <v>2</v>
      </c>
      <c r="AG151">
        <v>0</v>
      </c>
      <c r="AH151">
        <v>0</v>
      </c>
      <c r="AI151">
        <v>0</v>
      </c>
      <c r="AJ151">
        <v>0</v>
      </c>
      <c r="AK151">
        <v>0</v>
      </c>
      <c r="AL151">
        <v>0</v>
      </c>
      <c r="AM151">
        <v>0</v>
      </c>
      <c r="AN151">
        <v>2</v>
      </c>
      <c r="AO151">
        <v>0</v>
      </c>
      <c r="AP151">
        <v>0</v>
      </c>
      <c r="AQ151">
        <v>0</v>
      </c>
      <c r="AR151">
        <v>0</v>
      </c>
      <c r="AS151">
        <v>0</v>
      </c>
      <c r="AT151">
        <v>0</v>
      </c>
      <c r="AU151">
        <v>0</v>
      </c>
      <c r="AV151">
        <v>0</v>
      </c>
    </row>
    <row r="152" spans="1:48" ht="15.75" customHeight="1" x14ac:dyDescent="0.25">
      <c r="A152">
        <v>1</v>
      </c>
      <c r="B152">
        <v>1</v>
      </c>
      <c r="C152">
        <v>2</v>
      </c>
      <c r="D152">
        <v>1</v>
      </c>
      <c r="E152">
        <v>1994</v>
      </c>
      <c r="F152">
        <v>6</v>
      </c>
      <c r="G152">
        <v>22</v>
      </c>
      <c r="H152">
        <v>0</v>
      </c>
      <c r="I152">
        <v>0</v>
      </c>
      <c r="J152">
        <v>0</v>
      </c>
      <c r="K152">
        <v>0</v>
      </c>
      <c r="L152">
        <v>0</v>
      </c>
      <c r="M152">
        <v>0</v>
      </c>
      <c r="N152">
        <v>0</v>
      </c>
      <c r="O152">
        <v>0</v>
      </c>
      <c r="P152">
        <v>0</v>
      </c>
      <c r="Q152">
        <v>0</v>
      </c>
      <c r="R152">
        <v>0</v>
      </c>
      <c r="S152">
        <v>0</v>
      </c>
      <c r="T152">
        <v>0</v>
      </c>
      <c r="U152">
        <v>0</v>
      </c>
      <c r="V152">
        <v>0</v>
      </c>
      <c r="W152">
        <v>2</v>
      </c>
      <c r="X152">
        <v>2</v>
      </c>
      <c r="Y152">
        <v>0</v>
      </c>
      <c r="Z152">
        <v>2</v>
      </c>
      <c r="AA152">
        <v>0</v>
      </c>
      <c r="AB152">
        <v>0</v>
      </c>
      <c r="AC152">
        <v>0</v>
      </c>
      <c r="AD152">
        <v>2</v>
      </c>
      <c r="AE152">
        <v>0</v>
      </c>
      <c r="AF152">
        <v>4</v>
      </c>
      <c r="AG152">
        <v>0</v>
      </c>
      <c r="AH152">
        <v>2</v>
      </c>
      <c r="AI152">
        <v>0</v>
      </c>
      <c r="AJ152">
        <v>0</v>
      </c>
      <c r="AK152">
        <v>2</v>
      </c>
      <c r="AL152">
        <v>2</v>
      </c>
      <c r="AM152">
        <v>0</v>
      </c>
      <c r="AN152">
        <v>4</v>
      </c>
      <c r="AO152">
        <v>0</v>
      </c>
      <c r="AP152">
        <v>0</v>
      </c>
      <c r="AQ152">
        <v>0</v>
      </c>
      <c r="AR152">
        <v>0</v>
      </c>
      <c r="AS152">
        <v>0</v>
      </c>
      <c r="AT152">
        <v>0</v>
      </c>
      <c r="AU152">
        <v>0</v>
      </c>
      <c r="AV152">
        <v>0</v>
      </c>
    </row>
    <row r="153" spans="1:48" ht="15.75" customHeight="1" x14ac:dyDescent="0.25">
      <c r="A153">
        <v>1</v>
      </c>
      <c r="B153">
        <v>1</v>
      </c>
      <c r="C153">
        <v>2</v>
      </c>
      <c r="D153">
        <v>1</v>
      </c>
      <c r="E153">
        <v>1995</v>
      </c>
      <c r="F153">
        <v>1</v>
      </c>
      <c r="G153">
        <v>22</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2</v>
      </c>
      <c r="AB153">
        <v>2</v>
      </c>
      <c r="AC153">
        <v>8</v>
      </c>
      <c r="AD153">
        <v>4</v>
      </c>
      <c r="AE153">
        <v>0</v>
      </c>
      <c r="AF153">
        <v>2</v>
      </c>
      <c r="AG153">
        <v>0</v>
      </c>
      <c r="AH153">
        <v>2</v>
      </c>
      <c r="AI153">
        <v>0</v>
      </c>
      <c r="AJ153">
        <v>2</v>
      </c>
      <c r="AK153">
        <v>0</v>
      </c>
      <c r="AL153">
        <v>0</v>
      </c>
      <c r="AM153">
        <v>0</v>
      </c>
      <c r="AN153">
        <v>0</v>
      </c>
      <c r="AO153">
        <v>0</v>
      </c>
      <c r="AP153">
        <v>0</v>
      </c>
      <c r="AQ153">
        <v>0</v>
      </c>
      <c r="AR153">
        <v>0</v>
      </c>
      <c r="AS153">
        <v>0</v>
      </c>
      <c r="AT153">
        <v>0</v>
      </c>
      <c r="AU153">
        <v>0</v>
      </c>
      <c r="AV153">
        <v>0</v>
      </c>
    </row>
    <row r="154" spans="1:48" ht="15.75" customHeight="1" x14ac:dyDescent="0.25">
      <c r="A154">
        <v>1</v>
      </c>
      <c r="B154">
        <v>1</v>
      </c>
      <c r="C154">
        <v>2</v>
      </c>
      <c r="D154">
        <v>1</v>
      </c>
      <c r="E154">
        <v>1995</v>
      </c>
      <c r="F154">
        <v>2</v>
      </c>
      <c r="G154">
        <v>62</v>
      </c>
      <c r="H154">
        <v>0</v>
      </c>
      <c r="I154">
        <v>0</v>
      </c>
      <c r="J154">
        <v>0</v>
      </c>
      <c r="K154">
        <v>0</v>
      </c>
      <c r="L154">
        <v>0</v>
      </c>
      <c r="M154">
        <v>0</v>
      </c>
      <c r="N154">
        <v>0</v>
      </c>
      <c r="O154">
        <v>0</v>
      </c>
      <c r="P154">
        <v>0</v>
      </c>
      <c r="Q154">
        <v>0</v>
      </c>
      <c r="R154">
        <v>0</v>
      </c>
      <c r="S154">
        <v>0</v>
      </c>
      <c r="T154">
        <v>0</v>
      </c>
      <c r="U154">
        <v>0</v>
      </c>
      <c r="V154">
        <v>2</v>
      </c>
      <c r="W154">
        <v>2</v>
      </c>
      <c r="X154">
        <v>4</v>
      </c>
      <c r="Y154">
        <v>2</v>
      </c>
      <c r="Z154">
        <v>0</v>
      </c>
      <c r="AA154">
        <v>2</v>
      </c>
      <c r="AB154">
        <v>2</v>
      </c>
      <c r="AC154">
        <v>0</v>
      </c>
      <c r="AD154">
        <v>4</v>
      </c>
      <c r="AE154">
        <v>6</v>
      </c>
      <c r="AF154">
        <v>2</v>
      </c>
      <c r="AG154">
        <v>4</v>
      </c>
      <c r="AH154">
        <v>4</v>
      </c>
      <c r="AI154">
        <v>6</v>
      </c>
      <c r="AJ154">
        <v>2</v>
      </c>
      <c r="AK154">
        <v>6</v>
      </c>
      <c r="AL154">
        <v>4</v>
      </c>
      <c r="AM154">
        <v>0</v>
      </c>
      <c r="AN154">
        <v>2</v>
      </c>
      <c r="AO154">
        <v>2</v>
      </c>
      <c r="AP154">
        <v>0</v>
      </c>
      <c r="AQ154">
        <v>6</v>
      </c>
      <c r="AR154">
        <v>0</v>
      </c>
      <c r="AS154">
        <v>0</v>
      </c>
      <c r="AT154">
        <v>0</v>
      </c>
      <c r="AU154">
        <v>0</v>
      </c>
      <c r="AV154">
        <v>0</v>
      </c>
    </row>
    <row r="155" spans="1:48" ht="15.75" customHeight="1" x14ac:dyDescent="0.25">
      <c r="A155">
        <v>1</v>
      </c>
      <c r="B155">
        <v>1</v>
      </c>
      <c r="C155">
        <v>2</v>
      </c>
      <c r="D155">
        <v>1</v>
      </c>
      <c r="E155">
        <v>1995</v>
      </c>
      <c r="F155">
        <v>3</v>
      </c>
      <c r="G155">
        <v>10</v>
      </c>
      <c r="H155">
        <v>0</v>
      </c>
      <c r="I155">
        <v>0</v>
      </c>
      <c r="J155">
        <v>0</v>
      </c>
      <c r="K155">
        <v>0</v>
      </c>
      <c r="L155">
        <v>0</v>
      </c>
      <c r="M155">
        <v>0</v>
      </c>
      <c r="N155">
        <v>0</v>
      </c>
      <c r="O155">
        <v>0</v>
      </c>
      <c r="P155">
        <v>0</v>
      </c>
      <c r="Q155">
        <v>0</v>
      </c>
      <c r="R155">
        <v>0</v>
      </c>
      <c r="S155">
        <v>0</v>
      </c>
      <c r="T155">
        <v>2</v>
      </c>
      <c r="U155">
        <v>0</v>
      </c>
      <c r="V155">
        <v>0</v>
      </c>
      <c r="W155">
        <v>2</v>
      </c>
      <c r="X155">
        <v>2</v>
      </c>
      <c r="Y155">
        <v>0</v>
      </c>
      <c r="Z155">
        <v>0</v>
      </c>
      <c r="AA155">
        <v>2</v>
      </c>
      <c r="AB155">
        <v>2</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row>
    <row r="156" spans="1:48" ht="15.75" customHeight="1" x14ac:dyDescent="0.25">
      <c r="A156">
        <v>1</v>
      </c>
      <c r="B156">
        <v>1</v>
      </c>
      <c r="C156">
        <v>2</v>
      </c>
      <c r="D156">
        <v>1</v>
      </c>
      <c r="E156">
        <v>1996</v>
      </c>
      <c r="F156">
        <v>1</v>
      </c>
      <c r="G156">
        <v>6</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2</v>
      </c>
      <c r="AC156">
        <v>0</v>
      </c>
      <c r="AD156">
        <v>0</v>
      </c>
      <c r="AE156">
        <v>2</v>
      </c>
      <c r="AF156">
        <v>0</v>
      </c>
      <c r="AG156">
        <v>0</v>
      </c>
      <c r="AH156">
        <v>0</v>
      </c>
      <c r="AI156">
        <v>0</v>
      </c>
      <c r="AJ156">
        <v>0</v>
      </c>
      <c r="AK156">
        <v>0</v>
      </c>
      <c r="AL156">
        <v>0</v>
      </c>
      <c r="AM156">
        <v>0</v>
      </c>
      <c r="AN156">
        <v>0</v>
      </c>
      <c r="AO156">
        <v>0</v>
      </c>
      <c r="AP156">
        <v>0</v>
      </c>
      <c r="AQ156">
        <v>2</v>
      </c>
      <c r="AR156">
        <v>0</v>
      </c>
      <c r="AS156">
        <v>0</v>
      </c>
      <c r="AT156">
        <v>0</v>
      </c>
      <c r="AU156">
        <v>0</v>
      </c>
      <c r="AV156">
        <v>0</v>
      </c>
    </row>
    <row r="157" spans="1:48" ht="15.75" customHeight="1" x14ac:dyDescent="0.25">
      <c r="A157">
        <v>1</v>
      </c>
      <c r="B157">
        <v>1</v>
      </c>
      <c r="C157">
        <v>2</v>
      </c>
      <c r="D157">
        <v>1</v>
      </c>
      <c r="E157">
        <v>1996</v>
      </c>
      <c r="F157">
        <v>2</v>
      </c>
      <c r="G157">
        <v>47</v>
      </c>
      <c r="H157">
        <v>0</v>
      </c>
      <c r="I157">
        <v>0</v>
      </c>
      <c r="J157">
        <v>0</v>
      </c>
      <c r="K157">
        <v>0</v>
      </c>
      <c r="L157">
        <v>0</v>
      </c>
      <c r="M157">
        <v>0</v>
      </c>
      <c r="N157">
        <v>0</v>
      </c>
      <c r="O157">
        <v>0</v>
      </c>
      <c r="P157">
        <v>0</v>
      </c>
      <c r="Q157">
        <v>0</v>
      </c>
      <c r="R157">
        <v>0</v>
      </c>
      <c r="S157">
        <v>0</v>
      </c>
      <c r="T157">
        <v>0</v>
      </c>
      <c r="U157">
        <v>1</v>
      </c>
      <c r="V157">
        <v>2</v>
      </c>
      <c r="W157">
        <v>1</v>
      </c>
      <c r="X157">
        <v>0</v>
      </c>
      <c r="Y157">
        <v>0</v>
      </c>
      <c r="Z157">
        <v>2</v>
      </c>
      <c r="AA157">
        <v>5</v>
      </c>
      <c r="AB157">
        <v>2</v>
      </c>
      <c r="AC157">
        <v>2</v>
      </c>
      <c r="AD157">
        <v>4</v>
      </c>
      <c r="AE157">
        <v>2</v>
      </c>
      <c r="AF157">
        <v>0</v>
      </c>
      <c r="AG157">
        <v>0</v>
      </c>
      <c r="AH157">
        <v>2</v>
      </c>
      <c r="AI157">
        <v>4</v>
      </c>
      <c r="AJ157">
        <v>0</v>
      </c>
      <c r="AK157">
        <v>2</v>
      </c>
      <c r="AL157">
        <v>0</v>
      </c>
      <c r="AM157">
        <v>4</v>
      </c>
      <c r="AN157">
        <v>0</v>
      </c>
      <c r="AO157">
        <v>2</v>
      </c>
      <c r="AP157">
        <v>2</v>
      </c>
      <c r="AQ157">
        <v>10</v>
      </c>
      <c r="AR157">
        <v>0</v>
      </c>
      <c r="AS157">
        <v>0</v>
      </c>
      <c r="AT157">
        <v>0</v>
      </c>
      <c r="AU157">
        <v>0</v>
      </c>
      <c r="AV157">
        <v>0</v>
      </c>
    </row>
    <row r="158" spans="1:48" ht="15.75" customHeight="1" x14ac:dyDescent="0.25">
      <c r="A158">
        <v>1</v>
      </c>
      <c r="B158">
        <v>1</v>
      </c>
      <c r="C158">
        <v>2</v>
      </c>
      <c r="D158">
        <v>1</v>
      </c>
      <c r="E158">
        <v>1996</v>
      </c>
      <c r="F158">
        <v>3</v>
      </c>
      <c r="G158">
        <v>11</v>
      </c>
      <c r="H158">
        <v>0</v>
      </c>
      <c r="I158">
        <v>0</v>
      </c>
      <c r="J158">
        <v>0</v>
      </c>
      <c r="K158">
        <v>0</v>
      </c>
      <c r="L158">
        <v>0</v>
      </c>
      <c r="M158">
        <v>0</v>
      </c>
      <c r="N158">
        <v>0</v>
      </c>
      <c r="O158">
        <v>0</v>
      </c>
      <c r="P158">
        <v>0</v>
      </c>
      <c r="Q158">
        <v>0</v>
      </c>
      <c r="R158">
        <v>0</v>
      </c>
      <c r="S158">
        <v>0</v>
      </c>
      <c r="T158">
        <v>0</v>
      </c>
      <c r="U158">
        <v>1</v>
      </c>
      <c r="V158">
        <v>0</v>
      </c>
      <c r="W158">
        <v>4</v>
      </c>
      <c r="X158">
        <v>0</v>
      </c>
      <c r="Y158">
        <v>0</v>
      </c>
      <c r="Z158">
        <v>0</v>
      </c>
      <c r="AA158">
        <v>0</v>
      </c>
      <c r="AB158">
        <v>0</v>
      </c>
      <c r="AC158">
        <v>0</v>
      </c>
      <c r="AD158">
        <v>0</v>
      </c>
      <c r="AE158">
        <v>1</v>
      </c>
      <c r="AF158">
        <v>0</v>
      </c>
      <c r="AG158">
        <v>1</v>
      </c>
      <c r="AH158">
        <v>1</v>
      </c>
      <c r="AI158">
        <v>3</v>
      </c>
      <c r="AJ158">
        <v>0</v>
      </c>
      <c r="AK158">
        <v>0</v>
      </c>
      <c r="AL158">
        <v>0</v>
      </c>
      <c r="AM158">
        <v>0</v>
      </c>
      <c r="AN158">
        <v>0</v>
      </c>
      <c r="AO158">
        <v>0</v>
      </c>
      <c r="AP158">
        <v>0</v>
      </c>
      <c r="AQ158">
        <v>0</v>
      </c>
      <c r="AR158">
        <v>0</v>
      </c>
      <c r="AS158">
        <v>0</v>
      </c>
      <c r="AT158">
        <v>0</v>
      </c>
      <c r="AU158">
        <v>0</v>
      </c>
      <c r="AV158">
        <v>0</v>
      </c>
    </row>
    <row r="159" spans="1:48" ht="15.75" customHeight="1" x14ac:dyDescent="0.25">
      <c r="A159">
        <v>1</v>
      </c>
      <c r="B159">
        <v>1</v>
      </c>
      <c r="C159">
        <v>2</v>
      </c>
      <c r="D159">
        <v>1</v>
      </c>
      <c r="E159">
        <v>1996</v>
      </c>
      <c r="F159">
        <v>6</v>
      </c>
      <c r="G159">
        <v>20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1</v>
      </c>
      <c r="AG159">
        <v>2</v>
      </c>
      <c r="AH159">
        <v>2</v>
      </c>
      <c r="AI159">
        <v>1</v>
      </c>
      <c r="AJ159">
        <v>2</v>
      </c>
      <c r="AK159">
        <v>0</v>
      </c>
      <c r="AL159">
        <v>2</v>
      </c>
      <c r="AM159">
        <v>1</v>
      </c>
      <c r="AN159">
        <v>0</v>
      </c>
      <c r="AO159">
        <v>2</v>
      </c>
      <c r="AP159">
        <v>3</v>
      </c>
      <c r="AQ159">
        <v>4</v>
      </c>
      <c r="AR159">
        <v>0</v>
      </c>
      <c r="AS159">
        <v>0</v>
      </c>
      <c r="AT159">
        <v>0</v>
      </c>
      <c r="AU159">
        <v>0</v>
      </c>
      <c r="AV159">
        <v>0</v>
      </c>
    </row>
    <row r="160" spans="1:48" ht="15.75" customHeight="1" x14ac:dyDescent="0.25">
      <c r="A160">
        <v>1</v>
      </c>
      <c r="B160">
        <v>1</v>
      </c>
      <c r="C160">
        <v>2</v>
      </c>
      <c r="D160">
        <v>1</v>
      </c>
      <c r="E160">
        <v>1997</v>
      </c>
      <c r="F160">
        <v>1</v>
      </c>
      <c r="G160">
        <v>9</v>
      </c>
      <c r="H160">
        <v>0</v>
      </c>
      <c r="I160">
        <v>0</v>
      </c>
      <c r="J160">
        <v>0</v>
      </c>
      <c r="K160">
        <v>0</v>
      </c>
      <c r="L160">
        <v>0</v>
      </c>
      <c r="M160">
        <v>0</v>
      </c>
      <c r="N160">
        <v>0</v>
      </c>
      <c r="O160">
        <v>0</v>
      </c>
      <c r="P160">
        <v>0</v>
      </c>
      <c r="Q160">
        <v>0</v>
      </c>
      <c r="R160">
        <v>0</v>
      </c>
      <c r="S160">
        <v>0</v>
      </c>
      <c r="T160">
        <v>0</v>
      </c>
      <c r="U160">
        <v>0</v>
      </c>
      <c r="V160">
        <v>0</v>
      </c>
      <c r="W160">
        <v>1</v>
      </c>
      <c r="X160">
        <v>0</v>
      </c>
      <c r="Y160">
        <v>0</v>
      </c>
      <c r="Z160">
        <v>0</v>
      </c>
      <c r="AA160">
        <v>1</v>
      </c>
      <c r="AB160">
        <v>0</v>
      </c>
      <c r="AC160">
        <v>0</v>
      </c>
      <c r="AD160">
        <v>0</v>
      </c>
      <c r="AE160">
        <v>0</v>
      </c>
      <c r="AF160">
        <v>0</v>
      </c>
      <c r="AG160">
        <v>2</v>
      </c>
      <c r="AH160">
        <v>1</v>
      </c>
      <c r="AI160">
        <v>0</v>
      </c>
      <c r="AJ160">
        <v>0</v>
      </c>
      <c r="AK160">
        <v>0</v>
      </c>
      <c r="AL160">
        <v>2</v>
      </c>
      <c r="AM160">
        <v>0</v>
      </c>
      <c r="AN160">
        <v>0</v>
      </c>
      <c r="AO160">
        <v>0</v>
      </c>
      <c r="AP160">
        <v>0</v>
      </c>
      <c r="AQ160">
        <v>2</v>
      </c>
      <c r="AR160">
        <v>0</v>
      </c>
      <c r="AS160">
        <v>0</v>
      </c>
      <c r="AT160">
        <v>0</v>
      </c>
      <c r="AU160">
        <v>0</v>
      </c>
      <c r="AV160">
        <v>0</v>
      </c>
    </row>
    <row r="161" spans="1:48" ht="15.75" customHeight="1" x14ac:dyDescent="0.25">
      <c r="A161">
        <v>1</v>
      </c>
      <c r="B161">
        <v>1</v>
      </c>
      <c r="C161">
        <v>2</v>
      </c>
      <c r="D161">
        <v>1</v>
      </c>
      <c r="E161">
        <v>1997</v>
      </c>
      <c r="F161">
        <v>2</v>
      </c>
      <c r="G161">
        <v>51</v>
      </c>
      <c r="H161">
        <v>0</v>
      </c>
      <c r="I161">
        <v>0</v>
      </c>
      <c r="J161">
        <v>0</v>
      </c>
      <c r="K161">
        <v>0</v>
      </c>
      <c r="L161">
        <v>0</v>
      </c>
      <c r="M161">
        <v>0</v>
      </c>
      <c r="N161">
        <v>0</v>
      </c>
      <c r="O161">
        <v>0</v>
      </c>
      <c r="P161">
        <v>0</v>
      </c>
      <c r="Q161">
        <v>0</v>
      </c>
      <c r="R161">
        <v>0</v>
      </c>
      <c r="S161">
        <v>0</v>
      </c>
      <c r="T161">
        <v>2</v>
      </c>
      <c r="U161">
        <v>4</v>
      </c>
      <c r="V161">
        <v>6</v>
      </c>
      <c r="W161">
        <v>7</v>
      </c>
      <c r="X161">
        <v>2</v>
      </c>
      <c r="Y161">
        <v>2</v>
      </c>
      <c r="Z161">
        <v>2</v>
      </c>
      <c r="AA161">
        <v>1</v>
      </c>
      <c r="AB161">
        <v>3</v>
      </c>
      <c r="AC161">
        <v>0</v>
      </c>
      <c r="AD161">
        <v>1</v>
      </c>
      <c r="AE161">
        <v>0</v>
      </c>
      <c r="AF161">
        <v>0</v>
      </c>
      <c r="AG161">
        <v>3</v>
      </c>
      <c r="AH161">
        <v>6</v>
      </c>
      <c r="AI161">
        <v>4</v>
      </c>
      <c r="AJ161">
        <v>1</v>
      </c>
      <c r="AK161">
        <v>3</v>
      </c>
      <c r="AL161">
        <v>0</v>
      </c>
      <c r="AM161">
        <v>0</v>
      </c>
      <c r="AN161">
        <v>2</v>
      </c>
      <c r="AO161">
        <v>0</v>
      </c>
      <c r="AP161">
        <v>0</v>
      </c>
      <c r="AQ161">
        <v>2</v>
      </c>
      <c r="AR161">
        <v>0</v>
      </c>
      <c r="AS161">
        <v>0</v>
      </c>
      <c r="AT161">
        <v>0</v>
      </c>
      <c r="AU161">
        <v>0</v>
      </c>
      <c r="AV161">
        <v>0</v>
      </c>
    </row>
    <row r="162" spans="1:48" ht="15.75" customHeight="1" x14ac:dyDescent="0.25">
      <c r="A162">
        <v>1</v>
      </c>
      <c r="B162">
        <v>1</v>
      </c>
      <c r="C162">
        <v>2</v>
      </c>
      <c r="D162">
        <v>1</v>
      </c>
      <c r="E162">
        <v>1997</v>
      </c>
      <c r="F162">
        <v>3</v>
      </c>
      <c r="G162">
        <v>12</v>
      </c>
      <c r="H162">
        <v>0</v>
      </c>
      <c r="I162">
        <v>0</v>
      </c>
      <c r="J162">
        <v>0</v>
      </c>
      <c r="K162">
        <v>0</v>
      </c>
      <c r="L162">
        <v>0</v>
      </c>
      <c r="M162">
        <v>0</v>
      </c>
      <c r="N162">
        <v>0</v>
      </c>
      <c r="O162">
        <v>0</v>
      </c>
      <c r="P162">
        <v>0</v>
      </c>
      <c r="Q162">
        <v>0</v>
      </c>
      <c r="R162">
        <v>0</v>
      </c>
      <c r="S162">
        <v>0</v>
      </c>
      <c r="T162">
        <v>0</v>
      </c>
      <c r="U162">
        <v>1</v>
      </c>
      <c r="V162">
        <v>1</v>
      </c>
      <c r="W162">
        <v>2</v>
      </c>
      <c r="X162">
        <v>1</v>
      </c>
      <c r="Y162">
        <v>1</v>
      </c>
      <c r="Z162">
        <v>0</v>
      </c>
      <c r="AA162">
        <v>0</v>
      </c>
      <c r="AB162">
        <v>0</v>
      </c>
      <c r="AC162">
        <v>2</v>
      </c>
      <c r="AD162">
        <v>1</v>
      </c>
      <c r="AE162">
        <v>0</v>
      </c>
      <c r="AF162">
        <v>2</v>
      </c>
      <c r="AG162">
        <v>0</v>
      </c>
      <c r="AH162">
        <v>0</v>
      </c>
      <c r="AI162">
        <v>0</v>
      </c>
      <c r="AJ162">
        <v>1</v>
      </c>
      <c r="AK162">
        <v>0</v>
      </c>
      <c r="AL162">
        <v>0</v>
      </c>
      <c r="AM162">
        <v>0</v>
      </c>
      <c r="AN162">
        <v>0</v>
      </c>
      <c r="AO162">
        <v>0</v>
      </c>
      <c r="AP162">
        <v>0</v>
      </c>
      <c r="AQ162">
        <v>0</v>
      </c>
      <c r="AR162">
        <v>0</v>
      </c>
      <c r="AS162">
        <v>0</v>
      </c>
      <c r="AT162">
        <v>0</v>
      </c>
      <c r="AU162">
        <v>0</v>
      </c>
      <c r="AV162">
        <v>0</v>
      </c>
    </row>
    <row r="163" spans="1:48" ht="15.75" customHeight="1" x14ac:dyDescent="0.25">
      <c r="A163">
        <v>1</v>
      </c>
      <c r="B163">
        <v>1</v>
      </c>
      <c r="C163">
        <v>2</v>
      </c>
      <c r="D163">
        <v>1</v>
      </c>
      <c r="E163">
        <v>1997</v>
      </c>
      <c r="F163">
        <v>6</v>
      </c>
      <c r="G163">
        <v>4</v>
      </c>
      <c r="H163">
        <v>0</v>
      </c>
      <c r="I163">
        <v>0</v>
      </c>
      <c r="J163">
        <v>0</v>
      </c>
      <c r="K163">
        <v>0</v>
      </c>
      <c r="L163">
        <v>0</v>
      </c>
      <c r="M163">
        <v>0</v>
      </c>
      <c r="N163">
        <v>0</v>
      </c>
      <c r="O163">
        <v>0</v>
      </c>
      <c r="P163">
        <v>0</v>
      </c>
      <c r="Q163">
        <v>0</v>
      </c>
      <c r="R163">
        <v>0</v>
      </c>
      <c r="S163">
        <v>0</v>
      </c>
      <c r="T163">
        <v>0</v>
      </c>
      <c r="U163">
        <v>1</v>
      </c>
      <c r="V163">
        <v>0</v>
      </c>
      <c r="W163">
        <v>0</v>
      </c>
      <c r="X163">
        <v>0</v>
      </c>
      <c r="Y163">
        <v>0</v>
      </c>
      <c r="Z163">
        <v>0</v>
      </c>
      <c r="AA163">
        <v>1</v>
      </c>
      <c r="AB163">
        <v>0</v>
      </c>
      <c r="AC163">
        <v>1</v>
      </c>
      <c r="AD163">
        <v>0</v>
      </c>
      <c r="AE163">
        <v>0</v>
      </c>
      <c r="AF163">
        <v>0</v>
      </c>
      <c r="AG163">
        <v>0</v>
      </c>
      <c r="AH163">
        <v>1</v>
      </c>
      <c r="AI163">
        <v>0</v>
      </c>
      <c r="AJ163">
        <v>0</v>
      </c>
      <c r="AK163">
        <v>0</v>
      </c>
      <c r="AL163">
        <v>0</v>
      </c>
      <c r="AM163">
        <v>0</v>
      </c>
      <c r="AN163">
        <v>0</v>
      </c>
      <c r="AO163">
        <v>0</v>
      </c>
      <c r="AP163">
        <v>0</v>
      </c>
      <c r="AQ163">
        <v>0</v>
      </c>
      <c r="AR163">
        <v>0</v>
      </c>
      <c r="AS163">
        <v>0</v>
      </c>
      <c r="AT163">
        <v>0</v>
      </c>
      <c r="AU163">
        <v>0</v>
      </c>
      <c r="AV163">
        <v>0</v>
      </c>
    </row>
    <row r="164" spans="1:48" ht="15.75" customHeight="1" x14ac:dyDescent="0.25">
      <c r="A164">
        <v>1</v>
      </c>
      <c r="B164">
        <v>1</v>
      </c>
      <c r="C164">
        <v>2</v>
      </c>
      <c r="D164">
        <v>1</v>
      </c>
      <c r="E164">
        <v>1998</v>
      </c>
      <c r="F164">
        <v>1</v>
      </c>
      <c r="G164">
        <v>3</v>
      </c>
      <c r="H164">
        <v>0</v>
      </c>
      <c r="I164">
        <v>0</v>
      </c>
      <c r="J164">
        <v>0</v>
      </c>
      <c r="K164">
        <v>0</v>
      </c>
      <c r="L164">
        <v>0</v>
      </c>
      <c r="M164">
        <v>0</v>
      </c>
      <c r="N164">
        <v>0</v>
      </c>
      <c r="O164">
        <v>0</v>
      </c>
      <c r="P164">
        <v>0</v>
      </c>
      <c r="Q164">
        <v>0</v>
      </c>
      <c r="R164">
        <v>0</v>
      </c>
      <c r="S164">
        <v>0</v>
      </c>
      <c r="T164">
        <v>1</v>
      </c>
      <c r="U164">
        <v>0</v>
      </c>
      <c r="V164">
        <v>1</v>
      </c>
      <c r="W164">
        <v>0</v>
      </c>
      <c r="X164">
        <v>0</v>
      </c>
      <c r="Y164">
        <v>0</v>
      </c>
      <c r="Z164">
        <v>0</v>
      </c>
      <c r="AA164">
        <v>0</v>
      </c>
      <c r="AB164">
        <v>1</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row>
    <row r="165" spans="1:48" ht="15.75" customHeight="1" x14ac:dyDescent="0.25">
      <c r="A165">
        <v>1</v>
      </c>
      <c r="B165">
        <v>1</v>
      </c>
      <c r="C165">
        <v>2</v>
      </c>
      <c r="D165">
        <v>1</v>
      </c>
      <c r="E165">
        <v>1998</v>
      </c>
      <c r="F165">
        <v>2</v>
      </c>
      <c r="G165">
        <v>23</v>
      </c>
      <c r="H165">
        <v>0</v>
      </c>
      <c r="I165">
        <v>0</v>
      </c>
      <c r="J165">
        <v>0</v>
      </c>
      <c r="K165">
        <v>0</v>
      </c>
      <c r="L165">
        <v>0</v>
      </c>
      <c r="M165">
        <v>0</v>
      </c>
      <c r="N165">
        <v>0</v>
      </c>
      <c r="O165">
        <v>0</v>
      </c>
      <c r="P165">
        <v>0</v>
      </c>
      <c r="Q165">
        <v>0</v>
      </c>
      <c r="R165">
        <v>0</v>
      </c>
      <c r="S165">
        <v>0</v>
      </c>
      <c r="T165">
        <v>3</v>
      </c>
      <c r="U165">
        <v>0</v>
      </c>
      <c r="V165">
        <v>2</v>
      </c>
      <c r="W165">
        <v>0</v>
      </c>
      <c r="X165">
        <v>2</v>
      </c>
      <c r="Y165">
        <v>2</v>
      </c>
      <c r="Z165">
        <v>0</v>
      </c>
      <c r="AA165">
        <v>1</v>
      </c>
      <c r="AB165">
        <v>1</v>
      </c>
      <c r="AC165">
        <v>1</v>
      </c>
      <c r="AD165">
        <v>0</v>
      </c>
      <c r="AE165">
        <v>1</v>
      </c>
      <c r="AF165">
        <v>0</v>
      </c>
      <c r="AG165">
        <v>2</v>
      </c>
      <c r="AH165">
        <v>0</v>
      </c>
      <c r="AI165">
        <v>0</v>
      </c>
      <c r="AJ165">
        <v>1</v>
      </c>
      <c r="AK165">
        <v>0</v>
      </c>
      <c r="AL165">
        <v>1</v>
      </c>
      <c r="AM165">
        <v>1</v>
      </c>
      <c r="AN165">
        <v>3</v>
      </c>
      <c r="AO165">
        <v>0</v>
      </c>
      <c r="AP165">
        <v>0</v>
      </c>
      <c r="AQ165">
        <v>2</v>
      </c>
      <c r="AR165">
        <v>0</v>
      </c>
      <c r="AS165">
        <v>0</v>
      </c>
      <c r="AT165">
        <v>0</v>
      </c>
      <c r="AU165">
        <v>0</v>
      </c>
      <c r="AV165">
        <v>0</v>
      </c>
    </row>
    <row r="166" spans="1:48" ht="15.75" customHeight="1" x14ac:dyDescent="0.25">
      <c r="A166">
        <v>1</v>
      </c>
      <c r="B166">
        <v>1</v>
      </c>
      <c r="C166">
        <v>2</v>
      </c>
      <c r="D166">
        <v>1</v>
      </c>
      <c r="E166">
        <v>1998</v>
      </c>
      <c r="F166">
        <v>3</v>
      </c>
      <c r="G166">
        <v>33</v>
      </c>
      <c r="H166">
        <v>0</v>
      </c>
      <c r="I166">
        <v>0</v>
      </c>
      <c r="J166">
        <v>0</v>
      </c>
      <c r="K166">
        <v>0</v>
      </c>
      <c r="L166">
        <v>0</v>
      </c>
      <c r="M166">
        <v>0</v>
      </c>
      <c r="N166">
        <v>0</v>
      </c>
      <c r="O166">
        <v>0</v>
      </c>
      <c r="P166">
        <v>0</v>
      </c>
      <c r="Q166">
        <v>0</v>
      </c>
      <c r="R166">
        <v>0</v>
      </c>
      <c r="S166">
        <v>0</v>
      </c>
      <c r="T166">
        <v>1</v>
      </c>
      <c r="U166">
        <v>3</v>
      </c>
      <c r="V166">
        <v>2</v>
      </c>
      <c r="W166">
        <v>4</v>
      </c>
      <c r="X166">
        <v>0</v>
      </c>
      <c r="Y166">
        <v>1</v>
      </c>
      <c r="Z166">
        <v>3</v>
      </c>
      <c r="AA166">
        <v>1</v>
      </c>
      <c r="AB166">
        <v>0</v>
      </c>
      <c r="AC166">
        <v>1</v>
      </c>
      <c r="AD166">
        <v>4</v>
      </c>
      <c r="AE166">
        <v>2</v>
      </c>
      <c r="AF166">
        <v>1</v>
      </c>
      <c r="AG166">
        <v>0</v>
      </c>
      <c r="AH166">
        <v>3</v>
      </c>
      <c r="AI166">
        <v>2</v>
      </c>
      <c r="AJ166">
        <v>3</v>
      </c>
      <c r="AK166">
        <v>1</v>
      </c>
      <c r="AL166">
        <v>0</v>
      </c>
      <c r="AM166">
        <v>0</v>
      </c>
      <c r="AN166">
        <v>1</v>
      </c>
      <c r="AO166">
        <v>0</v>
      </c>
      <c r="AP166">
        <v>0</v>
      </c>
      <c r="AQ166">
        <v>0</v>
      </c>
      <c r="AR166">
        <v>0</v>
      </c>
      <c r="AS166">
        <v>0</v>
      </c>
      <c r="AT166">
        <v>0</v>
      </c>
      <c r="AU166">
        <v>0</v>
      </c>
      <c r="AV166">
        <v>0</v>
      </c>
    </row>
    <row r="167" spans="1:48" ht="15.75" customHeight="1" x14ac:dyDescent="0.25">
      <c r="A167">
        <v>1</v>
      </c>
      <c r="B167">
        <v>1</v>
      </c>
      <c r="C167">
        <v>2</v>
      </c>
      <c r="D167">
        <v>1</v>
      </c>
      <c r="E167">
        <v>1998</v>
      </c>
      <c r="F167">
        <v>6</v>
      </c>
      <c r="G167">
        <v>6</v>
      </c>
      <c r="H167">
        <v>0</v>
      </c>
      <c r="I167">
        <v>0</v>
      </c>
      <c r="J167">
        <v>0</v>
      </c>
      <c r="K167">
        <v>0</v>
      </c>
      <c r="L167">
        <v>0</v>
      </c>
      <c r="M167">
        <v>0</v>
      </c>
      <c r="N167">
        <v>0</v>
      </c>
      <c r="O167">
        <v>0</v>
      </c>
      <c r="P167">
        <v>0</v>
      </c>
      <c r="Q167">
        <v>0</v>
      </c>
      <c r="R167">
        <v>0</v>
      </c>
      <c r="S167">
        <v>0</v>
      </c>
      <c r="T167">
        <v>0</v>
      </c>
      <c r="U167">
        <v>0</v>
      </c>
      <c r="V167">
        <v>0</v>
      </c>
      <c r="W167">
        <v>0</v>
      </c>
      <c r="X167">
        <v>3</v>
      </c>
      <c r="Y167">
        <v>1</v>
      </c>
      <c r="Z167">
        <v>1</v>
      </c>
      <c r="AA167">
        <v>0</v>
      </c>
      <c r="AB167">
        <v>1</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row>
    <row r="168" spans="1:48" ht="15.75" customHeight="1" x14ac:dyDescent="0.25">
      <c r="A168">
        <v>1</v>
      </c>
      <c r="B168">
        <v>1</v>
      </c>
      <c r="C168">
        <v>2</v>
      </c>
      <c r="D168">
        <v>1</v>
      </c>
      <c r="E168">
        <v>1999</v>
      </c>
      <c r="F168">
        <v>1</v>
      </c>
      <c r="G168">
        <v>15</v>
      </c>
      <c r="H168">
        <v>0</v>
      </c>
      <c r="I168">
        <v>0</v>
      </c>
      <c r="J168">
        <v>0</v>
      </c>
      <c r="K168">
        <v>0</v>
      </c>
      <c r="L168">
        <v>0</v>
      </c>
      <c r="M168">
        <v>0</v>
      </c>
      <c r="N168">
        <v>0</v>
      </c>
      <c r="O168">
        <v>0</v>
      </c>
      <c r="P168">
        <v>0</v>
      </c>
      <c r="Q168">
        <v>0</v>
      </c>
      <c r="R168">
        <v>0</v>
      </c>
      <c r="S168">
        <v>0</v>
      </c>
      <c r="T168">
        <v>1</v>
      </c>
      <c r="U168">
        <v>0</v>
      </c>
      <c r="V168">
        <v>0</v>
      </c>
      <c r="W168">
        <v>1</v>
      </c>
      <c r="X168">
        <v>1</v>
      </c>
      <c r="Y168">
        <v>1</v>
      </c>
      <c r="Z168">
        <v>1</v>
      </c>
      <c r="AA168">
        <v>1</v>
      </c>
      <c r="AB168">
        <v>1</v>
      </c>
      <c r="AC168">
        <v>1</v>
      </c>
      <c r="AD168">
        <v>3</v>
      </c>
      <c r="AE168">
        <v>1</v>
      </c>
      <c r="AF168">
        <v>1</v>
      </c>
      <c r="AG168">
        <v>1</v>
      </c>
      <c r="AH168">
        <v>1</v>
      </c>
      <c r="AI168">
        <v>0</v>
      </c>
      <c r="AJ168">
        <v>0</v>
      </c>
      <c r="AK168">
        <v>0</v>
      </c>
      <c r="AL168">
        <v>0</v>
      </c>
      <c r="AM168">
        <v>0</v>
      </c>
      <c r="AN168">
        <v>0</v>
      </c>
      <c r="AO168">
        <v>0</v>
      </c>
      <c r="AP168">
        <v>0</v>
      </c>
      <c r="AQ168">
        <v>0</v>
      </c>
      <c r="AR168">
        <v>0</v>
      </c>
      <c r="AS168">
        <v>0</v>
      </c>
      <c r="AT168">
        <v>0</v>
      </c>
      <c r="AU168">
        <v>0</v>
      </c>
      <c r="AV168">
        <v>0</v>
      </c>
    </row>
    <row r="169" spans="1:48" ht="15.75" customHeight="1" x14ac:dyDescent="0.25">
      <c r="A169">
        <v>1</v>
      </c>
      <c r="B169">
        <v>1</v>
      </c>
      <c r="C169">
        <v>2</v>
      </c>
      <c r="D169">
        <v>1</v>
      </c>
      <c r="E169">
        <v>1999</v>
      </c>
      <c r="F169">
        <v>2</v>
      </c>
      <c r="G169">
        <v>34</v>
      </c>
      <c r="H169">
        <v>0</v>
      </c>
      <c r="I169">
        <v>0</v>
      </c>
      <c r="J169">
        <v>0</v>
      </c>
      <c r="K169">
        <v>0</v>
      </c>
      <c r="L169">
        <v>0</v>
      </c>
      <c r="M169">
        <v>0</v>
      </c>
      <c r="N169">
        <v>0</v>
      </c>
      <c r="O169">
        <v>0</v>
      </c>
      <c r="P169">
        <v>0</v>
      </c>
      <c r="Q169">
        <v>0</v>
      </c>
      <c r="R169">
        <v>0</v>
      </c>
      <c r="S169">
        <v>0</v>
      </c>
      <c r="T169">
        <v>0</v>
      </c>
      <c r="U169">
        <v>0</v>
      </c>
      <c r="V169">
        <v>3</v>
      </c>
      <c r="W169">
        <v>7</v>
      </c>
      <c r="X169">
        <v>5</v>
      </c>
      <c r="Y169">
        <v>3</v>
      </c>
      <c r="Z169">
        <v>1</v>
      </c>
      <c r="AA169">
        <v>1</v>
      </c>
      <c r="AB169">
        <v>1</v>
      </c>
      <c r="AC169">
        <v>1</v>
      </c>
      <c r="AD169">
        <v>1</v>
      </c>
      <c r="AE169">
        <v>3</v>
      </c>
      <c r="AF169">
        <v>1</v>
      </c>
      <c r="AG169">
        <v>0</v>
      </c>
      <c r="AH169">
        <v>2</v>
      </c>
      <c r="AI169">
        <v>1</v>
      </c>
      <c r="AJ169">
        <v>1</v>
      </c>
      <c r="AK169">
        <v>1</v>
      </c>
      <c r="AL169">
        <v>0</v>
      </c>
      <c r="AM169">
        <v>0</v>
      </c>
      <c r="AN169">
        <v>1</v>
      </c>
      <c r="AO169">
        <v>0</v>
      </c>
      <c r="AP169">
        <v>1</v>
      </c>
      <c r="AQ169">
        <v>0</v>
      </c>
      <c r="AR169">
        <v>0</v>
      </c>
      <c r="AS169">
        <v>0</v>
      </c>
      <c r="AT169">
        <v>0</v>
      </c>
      <c r="AU169">
        <v>0</v>
      </c>
      <c r="AV169">
        <v>0</v>
      </c>
    </row>
    <row r="170" spans="1:48" ht="15.75" customHeight="1" x14ac:dyDescent="0.25">
      <c r="A170">
        <v>1</v>
      </c>
      <c r="B170">
        <v>1</v>
      </c>
      <c r="C170">
        <v>2</v>
      </c>
      <c r="D170">
        <v>1</v>
      </c>
      <c r="E170">
        <v>1999</v>
      </c>
      <c r="F170">
        <v>3</v>
      </c>
      <c r="G170">
        <v>7</v>
      </c>
      <c r="H170">
        <v>0</v>
      </c>
      <c r="I170">
        <v>0</v>
      </c>
      <c r="J170">
        <v>0</v>
      </c>
      <c r="K170">
        <v>0</v>
      </c>
      <c r="L170">
        <v>0</v>
      </c>
      <c r="M170">
        <v>0</v>
      </c>
      <c r="N170">
        <v>0</v>
      </c>
      <c r="O170">
        <v>0</v>
      </c>
      <c r="P170">
        <v>0</v>
      </c>
      <c r="Q170">
        <v>0</v>
      </c>
      <c r="R170">
        <v>0</v>
      </c>
      <c r="S170">
        <v>0</v>
      </c>
      <c r="T170">
        <v>0</v>
      </c>
      <c r="U170">
        <v>0</v>
      </c>
      <c r="V170">
        <v>0</v>
      </c>
      <c r="W170">
        <v>0</v>
      </c>
      <c r="X170">
        <v>1</v>
      </c>
      <c r="Y170">
        <v>1</v>
      </c>
      <c r="Z170">
        <v>0</v>
      </c>
      <c r="AA170">
        <v>1</v>
      </c>
      <c r="AB170">
        <v>0</v>
      </c>
      <c r="AC170">
        <v>0</v>
      </c>
      <c r="AD170">
        <v>0</v>
      </c>
      <c r="AE170">
        <v>0</v>
      </c>
      <c r="AF170">
        <v>0</v>
      </c>
      <c r="AG170">
        <v>0</v>
      </c>
      <c r="AH170">
        <v>0</v>
      </c>
      <c r="AI170">
        <v>0</v>
      </c>
      <c r="AJ170">
        <v>0</v>
      </c>
      <c r="AK170">
        <v>3</v>
      </c>
      <c r="AL170">
        <v>0</v>
      </c>
      <c r="AM170">
        <v>0</v>
      </c>
      <c r="AN170">
        <v>0</v>
      </c>
      <c r="AO170">
        <v>0</v>
      </c>
      <c r="AP170">
        <v>0</v>
      </c>
      <c r="AQ170">
        <v>1</v>
      </c>
      <c r="AR170">
        <v>0</v>
      </c>
      <c r="AS170">
        <v>0</v>
      </c>
      <c r="AT170">
        <v>0</v>
      </c>
      <c r="AU170">
        <v>0</v>
      </c>
      <c r="AV170">
        <v>0</v>
      </c>
    </row>
    <row r="171" spans="1:48" ht="15.75" customHeight="1" x14ac:dyDescent="0.25">
      <c r="A171">
        <v>1</v>
      </c>
      <c r="B171">
        <v>1</v>
      </c>
      <c r="C171">
        <v>2</v>
      </c>
      <c r="D171">
        <v>1</v>
      </c>
      <c r="E171">
        <v>1999</v>
      </c>
      <c r="F171">
        <v>6</v>
      </c>
      <c r="G171">
        <v>1</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1</v>
      </c>
      <c r="AF171">
        <v>0</v>
      </c>
      <c r="AG171">
        <v>0</v>
      </c>
      <c r="AH171">
        <v>0</v>
      </c>
      <c r="AI171">
        <v>0</v>
      </c>
      <c r="AJ171">
        <v>0</v>
      </c>
      <c r="AK171">
        <v>0</v>
      </c>
      <c r="AL171">
        <v>0</v>
      </c>
      <c r="AM171">
        <v>0</v>
      </c>
      <c r="AN171">
        <v>0</v>
      </c>
      <c r="AO171">
        <v>0</v>
      </c>
      <c r="AP171">
        <v>0</v>
      </c>
      <c r="AQ171">
        <v>0</v>
      </c>
      <c r="AR171">
        <v>0</v>
      </c>
      <c r="AS171">
        <v>0</v>
      </c>
      <c r="AT171">
        <v>0</v>
      </c>
      <c r="AU171">
        <v>0</v>
      </c>
      <c r="AV171">
        <v>0</v>
      </c>
    </row>
    <row r="172" spans="1:48" ht="15.75" customHeight="1" x14ac:dyDescent="0.25">
      <c r="A172">
        <v>1</v>
      </c>
      <c r="B172">
        <v>1</v>
      </c>
      <c r="C172">
        <v>2</v>
      </c>
      <c r="D172">
        <v>1</v>
      </c>
      <c r="E172">
        <v>2000</v>
      </c>
      <c r="F172">
        <v>2</v>
      </c>
      <c r="G172">
        <v>5</v>
      </c>
      <c r="H172">
        <v>0</v>
      </c>
      <c r="I172">
        <v>0</v>
      </c>
      <c r="J172">
        <v>0</v>
      </c>
      <c r="K172">
        <v>0</v>
      </c>
      <c r="L172">
        <v>0</v>
      </c>
      <c r="M172">
        <v>0</v>
      </c>
      <c r="N172">
        <v>0</v>
      </c>
      <c r="O172">
        <v>0</v>
      </c>
      <c r="P172">
        <v>0</v>
      </c>
      <c r="Q172">
        <v>0</v>
      </c>
      <c r="R172">
        <v>0</v>
      </c>
      <c r="S172">
        <v>0</v>
      </c>
      <c r="T172">
        <v>0</v>
      </c>
      <c r="U172">
        <v>0</v>
      </c>
      <c r="V172">
        <v>0</v>
      </c>
      <c r="W172">
        <v>0</v>
      </c>
      <c r="X172">
        <v>0</v>
      </c>
      <c r="Y172">
        <v>1</v>
      </c>
      <c r="Z172">
        <v>0</v>
      </c>
      <c r="AA172">
        <v>0</v>
      </c>
      <c r="AB172">
        <v>0</v>
      </c>
      <c r="AC172">
        <v>1</v>
      </c>
      <c r="AD172">
        <v>1</v>
      </c>
      <c r="AE172">
        <v>0</v>
      </c>
      <c r="AF172">
        <v>0</v>
      </c>
      <c r="AG172">
        <v>0</v>
      </c>
      <c r="AH172">
        <v>0</v>
      </c>
      <c r="AI172">
        <v>0</v>
      </c>
      <c r="AJ172">
        <v>0</v>
      </c>
      <c r="AK172">
        <v>0</v>
      </c>
      <c r="AL172">
        <v>0</v>
      </c>
      <c r="AM172">
        <v>0</v>
      </c>
      <c r="AN172">
        <v>0</v>
      </c>
      <c r="AO172">
        <v>1</v>
      </c>
      <c r="AP172">
        <v>0</v>
      </c>
      <c r="AQ172">
        <v>1</v>
      </c>
      <c r="AR172">
        <v>0</v>
      </c>
      <c r="AS172">
        <v>0</v>
      </c>
      <c r="AT172">
        <v>0</v>
      </c>
      <c r="AU172">
        <v>0</v>
      </c>
      <c r="AV172">
        <v>0</v>
      </c>
    </row>
    <row r="173" spans="1:48" ht="15.75" customHeight="1" x14ac:dyDescent="0.25">
      <c r="A173">
        <v>1</v>
      </c>
      <c r="B173">
        <v>2</v>
      </c>
      <c r="C173">
        <v>1</v>
      </c>
      <c r="D173">
        <v>1</v>
      </c>
      <c r="E173">
        <v>2004</v>
      </c>
      <c r="F173">
        <v>2</v>
      </c>
      <c r="G173">
        <v>2</v>
      </c>
      <c r="H173">
        <v>0</v>
      </c>
      <c r="I173">
        <v>0</v>
      </c>
      <c r="J173">
        <v>0</v>
      </c>
      <c r="K173">
        <v>0</v>
      </c>
      <c r="L173">
        <v>0</v>
      </c>
      <c r="M173">
        <v>0</v>
      </c>
      <c r="N173">
        <v>0</v>
      </c>
      <c r="O173">
        <v>0</v>
      </c>
      <c r="P173">
        <v>0</v>
      </c>
      <c r="Q173">
        <v>0</v>
      </c>
      <c r="R173">
        <v>0</v>
      </c>
      <c r="S173">
        <v>0</v>
      </c>
      <c r="T173">
        <v>0</v>
      </c>
      <c r="U173">
        <v>1</v>
      </c>
      <c r="V173">
        <v>1</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row>
    <row r="174" spans="1:48" ht="15.75" customHeight="1" x14ac:dyDescent="0.25">
      <c r="A174">
        <v>1</v>
      </c>
      <c r="B174">
        <v>2</v>
      </c>
      <c r="C174">
        <v>1</v>
      </c>
      <c r="D174">
        <v>1</v>
      </c>
      <c r="E174">
        <v>2004</v>
      </c>
      <c r="F174">
        <v>3</v>
      </c>
      <c r="G174">
        <v>8</v>
      </c>
      <c r="H174">
        <v>0</v>
      </c>
      <c r="I174">
        <v>0</v>
      </c>
      <c r="J174">
        <v>0</v>
      </c>
      <c r="K174">
        <v>0</v>
      </c>
      <c r="L174">
        <v>0</v>
      </c>
      <c r="M174">
        <v>0</v>
      </c>
      <c r="N174">
        <v>0</v>
      </c>
      <c r="O174">
        <v>0</v>
      </c>
      <c r="P174">
        <v>0</v>
      </c>
      <c r="Q174">
        <v>0</v>
      </c>
      <c r="R174">
        <v>0</v>
      </c>
      <c r="S174">
        <v>0</v>
      </c>
      <c r="T174">
        <v>2</v>
      </c>
      <c r="U174">
        <v>4</v>
      </c>
      <c r="V174">
        <v>0</v>
      </c>
      <c r="W174">
        <v>0</v>
      </c>
      <c r="X174">
        <v>0</v>
      </c>
      <c r="Y174">
        <v>1</v>
      </c>
      <c r="Z174">
        <v>0</v>
      </c>
      <c r="AA174">
        <v>0</v>
      </c>
      <c r="AB174">
        <v>1</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row>
    <row r="175" spans="1:48" ht="15.75" customHeight="1" x14ac:dyDescent="0.25">
      <c r="A175">
        <v>1</v>
      </c>
      <c r="B175">
        <v>2</v>
      </c>
      <c r="C175">
        <v>1</v>
      </c>
      <c r="D175">
        <v>1</v>
      </c>
      <c r="E175">
        <v>2005</v>
      </c>
      <c r="F175">
        <v>2</v>
      </c>
      <c r="G175">
        <v>3</v>
      </c>
      <c r="H175">
        <v>0</v>
      </c>
      <c r="I175">
        <v>0</v>
      </c>
      <c r="J175">
        <v>0</v>
      </c>
      <c r="K175">
        <v>0</v>
      </c>
      <c r="L175">
        <v>0</v>
      </c>
      <c r="M175">
        <v>0</v>
      </c>
      <c r="N175">
        <v>0</v>
      </c>
      <c r="O175">
        <v>0</v>
      </c>
      <c r="P175">
        <v>0</v>
      </c>
      <c r="Q175">
        <v>0</v>
      </c>
      <c r="R175">
        <v>0</v>
      </c>
      <c r="S175">
        <v>0</v>
      </c>
      <c r="T175">
        <v>0</v>
      </c>
      <c r="U175">
        <v>2</v>
      </c>
      <c r="V175">
        <v>0</v>
      </c>
      <c r="W175">
        <v>0</v>
      </c>
      <c r="X175">
        <v>0</v>
      </c>
      <c r="Y175">
        <v>0</v>
      </c>
      <c r="Z175">
        <v>0</v>
      </c>
      <c r="AA175">
        <v>1</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row>
    <row r="176" spans="1:48" ht="15.75" customHeight="1" x14ac:dyDescent="0.25">
      <c r="A176">
        <v>1</v>
      </c>
      <c r="B176">
        <v>2</v>
      </c>
      <c r="C176">
        <v>1</v>
      </c>
      <c r="D176">
        <v>1</v>
      </c>
      <c r="E176">
        <v>2005</v>
      </c>
      <c r="F176">
        <v>3</v>
      </c>
      <c r="G176">
        <v>7</v>
      </c>
      <c r="H176">
        <v>0</v>
      </c>
      <c r="I176">
        <v>0</v>
      </c>
      <c r="J176">
        <v>0</v>
      </c>
      <c r="K176">
        <v>0</v>
      </c>
      <c r="L176">
        <v>0</v>
      </c>
      <c r="M176">
        <v>0</v>
      </c>
      <c r="N176">
        <v>0</v>
      </c>
      <c r="O176">
        <v>0</v>
      </c>
      <c r="P176">
        <v>0</v>
      </c>
      <c r="Q176">
        <v>0</v>
      </c>
      <c r="R176">
        <v>0</v>
      </c>
      <c r="S176">
        <v>0</v>
      </c>
      <c r="T176">
        <v>2</v>
      </c>
      <c r="U176">
        <v>3</v>
      </c>
      <c r="V176">
        <v>1</v>
      </c>
      <c r="W176">
        <v>0</v>
      </c>
      <c r="X176">
        <v>0</v>
      </c>
      <c r="Y176">
        <v>1</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row>
    <row r="177" spans="1:48" ht="15.75" customHeight="1" x14ac:dyDescent="0.25">
      <c r="A177">
        <v>1</v>
      </c>
      <c r="B177">
        <v>2</v>
      </c>
      <c r="C177">
        <v>1</v>
      </c>
      <c r="D177">
        <v>1</v>
      </c>
      <c r="E177">
        <v>2005</v>
      </c>
      <c r="F177">
        <v>6</v>
      </c>
      <c r="G177">
        <v>1</v>
      </c>
      <c r="H177">
        <v>0</v>
      </c>
      <c r="I177">
        <v>0</v>
      </c>
      <c r="J177">
        <v>0</v>
      </c>
      <c r="K177">
        <v>0</v>
      </c>
      <c r="L177">
        <v>0</v>
      </c>
      <c r="M177">
        <v>0</v>
      </c>
      <c r="N177">
        <v>0</v>
      </c>
      <c r="O177">
        <v>0</v>
      </c>
      <c r="P177">
        <v>0</v>
      </c>
      <c r="Q177">
        <v>0</v>
      </c>
      <c r="R177">
        <v>0</v>
      </c>
      <c r="S177">
        <v>0</v>
      </c>
      <c r="T177">
        <v>1</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row>
    <row r="178" spans="1:48" ht="15.75" customHeight="1" x14ac:dyDescent="0.25">
      <c r="A178">
        <v>1</v>
      </c>
      <c r="B178">
        <v>2</v>
      </c>
      <c r="C178">
        <v>1</v>
      </c>
      <c r="D178">
        <v>1</v>
      </c>
      <c r="E178">
        <v>2006</v>
      </c>
      <c r="F178">
        <v>1</v>
      </c>
      <c r="G178">
        <v>1</v>
      </c>
      <c r="H178">
        <v>0</v>
      </c>
      <c r="I178">
        <v>0</v>
      </c>
      <c r="J178">
        <v>0</v>
      </c>
      <c r="K178">
        <v>0</v>
      </c>
      <c r="L178">
        <v>0</v>
      </c>
      <c r="M178">
        <v>0</v>
      </c>
      <c r="N178">
        <v>0</v>
      </c>
      <c r="O178">
        <v>0</v>
      </c>
      <c r="P178">
        <v>0</v>
      </c>
      <c r="Q178">
        <v>0</v>
      </c>
      <c r="R178">
        <v>0</v>
      </c>
      <c r="S178">
        <v>0</v>
      </c>
      <c r="T178">
        <v>0</v>
      </c>
      <c r="U178">
        <v>0</v>
      </c>
      <c r="V178">
        <v>1</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row>
    <row r="179" spans="1:48" ht="15.75" customHeight="1" x14ac:dyDescent="0.25">
      <c r="A179">
        <v>1</v>
      </c>
      <c r="B179">
        <v>2</v>
      </c>
      <c r="C179">
        <v>1</v>
      </c>
      <c r="D179">
        <v>1</v>
      </c>
      <c r="E179">
        <v>2006</v>
      </c>
      <c r="F179">
        <v>3</v>
      </c>
      <c r="G179">
        <v>5</v>
      </c>
      <c r="H179">
        <v>0</v>
      </c>
      <c r="I179">
        <v>0</v>
      </c>
      <c r="J179">
        <v>0</v>
      </c>
      <c r="K179">
        <v>0</v>
      </c>
      <c r="L179">
        <v>0</v>
      </c>
      <c r="M179">
        <v>0</v>
      </c>
      <c r="N179">
        <v>0</v>
      </c>
      <c r="O179">
        <v>0</v>
      </c>
      <c r="P179">
        <v>0</v>
      </c>
      <c r="Q179">
        <v>0</v>
      </c>
      <c r="R179">
        <v>0</v>
      </c>
      <c r="S179">
        <v>0</v>
      </c>
      <c r="T179">
        <v>3</v>
      </c>
      <c r="U179">
        <v>1</v>
      </c>
      <c r="V179">
        <v>1</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row>
    <row r="180" spans="1:48" ht="15.75" customHeight="1" x14ac:dyDescent="0.25">
      <c r="A180">
        <v>1</v>
      </c>
      <c r="B180">
        <v>2</v>
      </c>
      <c r="C180">
        <v>1</v>
      </c>
      <c r="D180">
        <v>1</v>
      </c>
      <c r="E180">
        <v>2006</v>
      </c>
      <c r="F180">
        <v>6</v>
      </c>
      <c r="G180">
        <v>3</v>
      </c>
      <c r="H180">
        <v>0</v>
      </c>
      <c r="I180">
        <v>0</v>
      </c>
      <c r="J180">
        <v>0</v>
      </c>
      <c r="K180">
        <v>0</v>
      </c>
      <c r="L180">
        <v>0</v>
      </c>
      <c r="M180">
        <v>0</v>
      </c>
      <c r="N180">
        <v>0</v>
      </c>
      <c r="O180">
        <v>0</v>
      </c>
      <c r="P180">
        <v>0</v>
      </c>
      <c r="Q180">
        <v>0</v>
      </c>
      <c r="R180">
        <v>0</v>
      </c>
      <c r="S180">
        <v>0</v>
      </c>
      <c r="T180">
        <v>0</v>
      </c>
      <c r="U180">
        <v>1</v>
      </c>
      <c r="V180">
        <v>2</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row>
    <row r="181" spans="1:48" ht="15.75" customHeight="1" x14ac:dyDescent="0.25">
      <c r="A181">
        <v>1</v>
      </c>
      <c r="B181">
        <v>2</v>
      </c>
      <c r="C181">
        <v>1</v>
      </c>
      <c r="D181">
        <v>1</v>
      </c>
      <c r="E181">
        <v>2007</v>
      </c>
      <c r="F181">
        <v>1</v>
      </c>
      <c r="G181">
        <v>1</v>
      </c>
      <c r="H181">
        <v>0</v>
      </c>
      <c r="I181">
        <v>0</v>
      </c>
      <c r="J181">
        <v>0</v>
      </c>
      <c r="K181">
        <v>0</v>
      </c>
      <c r="L181">
        <v>0</v>
      </c>
      <c r="M181">
        <v>0</v>
      </c>
      <c r="N181">
        <v>0</v>
      </c>
      <c r="O181">
        <v>0</v>
      </c>
      <c r="P181">
        <v>0</v>
      </c>
      <c r="Q181">
        <v>0</v>
      </c>
      <c r="R181">
        <v>0</v>
      </c>
      <c r="S181">
        <v>0</v>
      </c>
      <c r="T181">
        <v>0</v>
      </c>
      <c r="U181">
        <v>0</v>
      </c>
      <c r="V181">
        <v>0</v>
      </c>
      <c r="W181">
        <v>1</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row>
    <row r="182" spans="1:48" ht="15.75" customHeight="1" x14ac:dyDescent="0.25">
      <c r="A182">
        <v>1</v>
      </c>
      <c r="B182">
        <v>2</v>
      </c>
      <c r="C182">
        <v>1</v>
      </c>
      <c r="D182">
        <v>1</v>
      </c>
      <c r="E182">
        <v>2007</v>
      </c>
      <c r="F182">
        <v>2</v>
      </c>
      <c r="G182">
        <v>1</v>
      </c>
      <c r="H182">
        <v>0</v>
      </c>
      <c r="I182">
        <v>0</v>
      </c>
      <c r="J182">
        <v>0</v>
      </c>
      <c r="K182">
        <v>0</v>
      </c>
      <c r="L182">
        <v>0</v>
      </c>
      <c r="M182">
        <v>0</v>
      </c>
      <c r="N182">
        <v>0</v>
      </c>
      <c r="O182">
        <v>0</v>
      </c>
      <c r="P182">
        <v>0</v>
      </c>
      <c r="Q182">
        <v>0</v>
      </c>
      <c r="R182">
        <v>0</v>
      </c>
      <c r="S182">
        <v>0</v>
      </c>
      <c r="T182">
        <v>0</v>
      </c>
      <c r="U182">
        <v>1</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row>
    <row r="183" spans="1:48" ht="15.75" customHeight="1" x14ac:dyDescent="0.25">
      <c r="A183">
        <v>1</v>
      </c>
      <c r="B183">
        <v>2</v>
      </c>
      <c r="C183">
        <v>1</v>
      </c>
      <c r="D183">
        <v>1</v>
      </c>
      <c r="E183">
        <v>2007</v>
      </c>
      <c r="F183">
        <v>3</v>
      </c>
      <c r="G183">
        <v>2</v>
      </c>
      <c r="H183">
        <v>0</v>
      </c>
      <c r="I183">
        <v>0</v>
      </c>
      <c r="J183">
        <v>0</v>
      </c>
      <c r="K183">
        <v>0</v>
      </c>
      <c r="L183">
        <v>0</v>
      </c>
      <c r="M183">
        <v>0</v>
      </c>
      <c r="N183">
        <v>0</v>
      </c>
      <c r="O183">
        <v>0</v>
      </c>
      <c r="P183">
        <v>0</v>
      </c>
      <c r="Q183">
        <v>0</v>
      </c>
      <c r="R183">
        <v>0</v>
      </c>
      <c r="S183">
        <v>0</v>
      </c>
      <c r="T183">
        <v>1</v>
      </c>
      <c r="U183">
        <v>0</v>
      </c>
      <c r="V183">
        <v>0</v>
      </c>
      <c r="W183">
        <v>0</v>
      </c>
      <c r="X183">
        <v>1</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row>
    <row r="184" spans="1:48" ht="15.75" customHeight="1" x14ac:dyDescent="0.25">
      <c r="A184">
        <v>1</v>
      </c>
      <c r="B184">
        <v>2</v>
      </c>
      <c r="C184">
        <v>1</v>
      </c>
      <c r="D184">
        <v>1</v>
      </c>
      <c r="E184">
        <v>2008</v>
      </c>
      <c r="F184">
        <v>2</v>
      </c>
      <c r="G184">
        <v>2</v>
      </c>
      <c r="H184">
        <v>0</v>
      </c>
      <c r="I184">
        <v>0</v>
      </c>
      <c r="J184">
        <v>0</v>
      </c>
      <c r="K184">
        <v>0</v>
      </c>
      <c r="L184">
        <v>0</v>
      </c>
      <c r="M184">
        <v>0</v>
      </c>
      <c r="N184">
        <v>0</v>
      </c>
      <c r="O184">
        <v>0</v>
      </c>
      <c r="P184">
        <v>0</v>
      </c>
      <c r="Q184">
        <v>0</v>
      </c>
      <c r="R184">
        <v>0</v>
      </c>
      <c r="S184">
        <v>0</v>
      </c>
      <c r="T184">
        <v>0</v>
      </c>
      <c r="U184">
        <v>0</v>
      </c>
      <c r="V184">
        <v>1</v>
      </c>
      <c r="W184">
        <v>0</v>
      </c>
      <c r="X184">
        <v>0</v>
      </c>
      <c r="Y184">
        <v>0</v>
      </c>
      <c r="Z184">
        <v>0</v>
      </c>
      <c r="AA184">
        <v>1</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row>
    <row r="185" spans="1:48" ht="15.75" customHeight="1" x14ac:dyDescent="0.25">
      <c r="A185">
        <v>1</v>
      </c>
      <c r="B185">
        <v>2</v>
      </c>
      <c r="C185">
        <v>1</v>
      </c>
      <c r="D185">
        <v>1</v>
      </c>
      <c r="E185">
        <v>2008</v>
      </c>
      <c r="F185">
        <v>3</v>
      </c>
      <c r="G185">
        <v>6</v>
      </c>
      <c r="H185">
        <v>0</v>
      </c>
      <c r="I185">
        <v>0</v>
      </c>
      <c r="J185">
        <v>0</v>
      </c>
      <c r="K185">
        <v>0</v>
      </c>
      <c r="L185">
        <v>0</v>
      </c>
      <c r="M185">
        <v>0</v>
      </c>
      <c r="N185">
        <v>0</v>
      </c>
      <c r="O185">
        <v>0</v>
      </c>
      <c r="P185">
        <v>0</v>
      </c>
      <c r="Q185">
        <v>0</v>
      </c>
      <c r="R185">
        <v>0</v>
      </c>
      <c r="S185">
        <v>0</v>
      </c>
      <c r="T185">
        <v>1</v>
      </c>
      <c r="U185">
        <v>3</v>
      </c>
      <c r="V185">
        <v>2</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row>
    <row r="186" spans="1:48" ht="15.75" customHeight="1" x14ac:dyDescent="0.25">
      <c r="A186">
        <v>1</v>
      </c>
      <c r="B186">
        <v>2</v>
      </c>
      <c r="C186">
        <v>1</v>
      </c>
      <c r="D186">
        <v>1</v>
      </c>
      <c r="E186">
        <v>2014</v>
      </c>
      <c r="F186">
        <v>3</v>
      </c>
      <c r="G186">
        <v>2</v>
      </c>
      <c r="H186">
        <v>0</v>
      </c>
      <c r="I186">
        <v>0</v>
      </c>
      <c r="J186">
        <v>0</v>
      </c>
      <c r="K186">
        <v>0</v>
      </c>
      <c r="L186">
        <v>0</v>
      </c>
      <c r="M186">
        <v>0</v>
      </c>
      <c r="N186">
        <v>0</v>
      </c>
      <c r="O186">
        <v>0</v>
      </c>
      <c r="P186">
        <v>0</v>
      </c>
      <c r="Q186">
        <v>0</v>
      </c>
      <c r="R186">
        <v>0</v>
      </c>
      <c r="S186">
        <v>0</v>
      </c>
      <c r="T186">
        <v>0</v>
      </c>
      <c r="U186">
        <v>1</v>
      </c>
      <c r="V186">
        <v>0</v>
      </c>
      <c r="W186">
        <v>0</v>
      </c>
      <c r="X186">
        <v>0</v>
      </c>
      <c r="Y186">
        <v>0</v>
      </c>
      <c r="Z186">
        <v>0</v>
      </c>
      <c r="AA186">
        <v>0</v>
      </c>
      <c r="AB186">
        <v>0</v>
      </c>
      <c r="AC186">
        <v>1</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row>
    <row r="187" spans="1:48" ht="15.75" customHeight="1" x14ac:dyDescent="0.25">
      <c r="A187">
        <v>1</v>
      </c>
      <c r="B187">
        <v>2</v>
      </c>
      <c r="C187">
        <v>1</v>
      </c>
      <c r="D187">
        <v>1</v>
      </c>
      <c r="E187">
        <v>2014</v>
      </c>
      <c r="F187">
        <v>6</v>
      </c>
      <c r="G187">
        <v>2</v>
      </c>
      <c r="H187">
        <v>0</v>
      </c>
      <c r="I187">
        <v>0</v>
      </c>
      <c r="J187">
        <v>0</v>
      </c>
      <c r="K187">
        <v>0</v>
      </c>
      <c r="L187">
        <v>0</v>
      </c>
      <c r="M187">
        <v>0</v>
      </c>
      <c r="N187">
        <v>0</v>
      </c>
      <c r="O187">
        <v>0</v>
      </c>
      <c r="P187">
        <v>0</v>
      </c>
      <c r="Q187">
        <v>0</v>
      </c>
      <c r="R187">
        <v>0</v>
      </c>
      <c r="S187">
        <v>0</v>
      </c>
      <c r="T187">
        <v>0</v>
      </c>
      <c r="U187">
        <v>1</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1</v>
      </c>
      <c r="AR187">
        <v>0</v>
      </c>
      <c r="AS187">
        <v>0</v>
      </c>
      <c r="AT187">
        <v>0</v>
      </c>
      <c r="AU187">
        <v>0</v>
      </c>
      <c r="AV187">
        <v>0</v>
      </c>
    </row>
    <row r="188" spans="1:48" ht="15.75" customHeight="1" x14ac:dyDescent="0.25">
      <c r="A188">
        <v>1</v>
      </c>
      <c r="B188">
        <v>2</v>
      </c>
      <c r="C188">
        <v>1</v>
      </c>
      <c r="D188">
        <v>1</v>
      </c>
      <c r="E188">
        <v>2015</v>
      </c>
      <c r="F188">
        <v>1</v>
      </c>
      <c r="G188">
        <v>1</v>
      </c>
      <c r="H188">
        <v>0</v>
      </c>
      <c r="I188">
        <v>0</v>
      </c>
      <c r="J188">
        <v>0</v>
      </c>
      <c r="K188">
        <v>0</v>
      </c>
      <c r="L188">
        <v>0</v>
      </c>
      <c r="M188">
        <v>0</v>
      </c>
      <c r="N188">
        <v>0</v>
      </c>
      <c r="O188">
        <v>0</v>
      </c>
      <c r="P188">
        <v>0</v>
      </c>
      <c r="Q188">
        <v>0</v>
      </c>
      <c r="R188">
        <v>0</v>
      </c>
      <c r="S188">
        <v>0</v>
      </c>
      <c r="T188">
        <v>1</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row>
    <row r="189" spans="1:48" ht="15.75" customHeight="1" x14ac:dyDescent="0.25">
      <c r="A189">
        <v>1</v>
      </c>
      <c r="B189">
        <v>2</v>
      </c>
      <c r="C189">
        <v>1</v>
      </c>
      <c r="D189">
        <v>1</v>
      </c>
      <c r="E189">
        <v>2015</v>
      </c>
      <c r="F189">
        <v>2</v>
      </c>
      <c r="G189">
        <v>4</v>
      </c>
      <c r="H189">
        <v>0</v>
      </c>
      <c r="I189">
        <v>0</v>
      </c>
      <c r="J189">
        <v>0</v>
      </c>
      <c r="K189">
        <v>0</v>
      </c>
      <c r="L189">
        <v>0</v>
      </c>
      <c r="M189">
        <v>0</v>
      </c>
      <c r="N189">
        <v>0</v>
      </c>
      <c r="O189">
        <v>0</v>
      </c>
      <c r="P189">
        <v>0</v>
      </c>
      <c r="Q189">
        <v>0</v>
      </c>
      <c r="R189">
        <v>0</v>
      </c>
      <c r="S189">
        <v>0</v>
      </c>
      <c r="T189">
        <v>0</v>
      </c>
      <c r="U189">
        <v>1</v>
      </c>
      <c r="V189">
        <v>1</v>
      </c>
      <c r="W189">
        <v>0</v>
      </c>
      <c r="X189">
        <v>0</v>
      </c>
      <c r="Y189">
        <v>0</v>
      </c>
      <c r="Z189">
        <v>0</v>
      </c>
      <c r="AA189">
        <v>1</v>
      </c>
      <c r="AB189">
        <v>0</v>
      </c>
      <c r="AC189">
        <v>0</v>
      </c>
      <c r="AD189">
        <v>0</v>
      </c>
      <c r="AE189">
        <v>1</v>
      </c>
      <c r="AF189">
        <v>0</v>
      </c>
      <c r="AG189">
        <v>0</v>
      </c>
      <c r="AH189">
        <v>0</v>
      </c>
      <c r="AI189">
        <v>0</v>
      </c>
      <c r="AJ189">
        <v>0</v>
      </c>
      <c r="AK189">
        <v>0</v>
      </c>
      <c r="AL189">
        <v>0</v>
      </c>
      <c r="AM189">
        <v>0</v>
      </c>
      <c r="AN189">
        <v>0</v>
      </c>
      <c r="AO189">
        <v>0</v>
      </c>
      <c r="AP189">
        <v>0</v>
      </c>
      <c r="AQ189">
        <v>0</v>
      </c>
      <c r="AR189">
        <v>0</v>
      </c>
      <c r="AS189">
        <v>0</v>
      </c>
      <c r="AT189">
        <v>0</v>
      </c>
      <c r="AU189">
        <v>0</v>
      </c>
      <c r="AV189">
        <v>0</v>
      </c>
    </row>
    <row r="190" spans="1:48" ht="15.75" customHeight="1" x14ac:dyDescent="0.25">
      <c r="A190">
        <v>1</v>
      </c>
      <c r="B190">
        <v>2</v>
      </c>
      <c r="C190">
        <v>1</v>
      </c>
      <c r="D190">
        <v>1</v>
      </c>
      <c r="E190">
        <v>2015</v>
      </c>
      <c r="F190">
        <v>3</v>
      </c>
      <c r="G190">
        <v>5</v>
      </c>
      <c r="H190">
        <v>0</v>
      </c>
      <c r="I190">
        <v>0</v>
      </c>
      <c r="J190">
        <v>0</v>
      </c>
      <c r="K190">
        <v>0</v>
      </c>
      <c r="L190">
        <v>0</v>
      </c>
      <c r="M190">
        <v>0</v>
      </c>
      <c r="N190">
        <v>0</v>
      </c>
      <c r="O190">
        <v>0</v>
      </c>
      <c r="P190">
        <v>0</v>
      </c>
      <c r="Q190">
        <v>0</v>
      </c>
      <c r="R190">
        <v>0</v>
      </c>
      <c r="S190">
        <v>0</v>
      </c>
      <c r="T190">
        <v>0</v>
      </c>
      <c r="U190">
        <v>0</v>
      </c>
      <c r="V190">
        <v>2</v>
      </c>
      <c r="W190">
        <v>0</v>
      </c>
      <c r="X190">
        <v>0</v>
      </c>
      <c r="Y190">
        <v>1</v>
      </c>
      <c r="Z190">
        <v>0</v>
      </c>
      <c r="AA190">
        <v>0</v>
      </c>
      <c r="AB190">
        <v>0</v>
      </c>
      <c r="AC190">
        <v>0</v>
      </c>
      <c r="AD190">
        <v>0</v>
      </c>
      <c r="AE190">
        <v>1</v>
      </c>
      <c r="AF190">
        <v>0</v>
      </c>
      <c r="AG190">
        <v>1</v>
      </c>
      <c r="AH190">
        <v>0</v>
      </c>
      <c r="AI190">
        <v>0</v>
      </c>
      <c r="AJ190">
        <v>0</v>
      </c>
      <c r="AK190">
        <v>0</v>
      </c>
      <c r="AL190">
        <v>0</v>
      </c>
      <c r="AM190">
        <v>0</v>
      </c>
      <c r="AN190">
        <v>0</v>
      </c>
      <c r="AO190">
        <v>0</v>
      </c>
      <c r="AP190">
        <v>0</v>
      </c>
      <c r="AQ190">
        <v>0</v>
      </c>
      <c r="AR190">
        <v>0</v>
      </c>
      <c r="AS190">
        <v>0</v>
      </c>
      <c r="AT190">
        <v>0</v>
      </c>
      <c r="AU190">
        <v>0</v>
      </c>
      <c r="AV190">
        <v>0</v>
      </c>
    </row>
    <row r="191" spans="1:48" ht="15.75" customHeight="1" x14ac:dyDescent="0.25">
      <c r="A191">
        <v>1</v>
      </c>
      <c r="B191">
        <v>2</v>
      </c>
      <c r="C191">
        <v>1</v>
      </c>
      <c r="D191">
        <v>1</v>
      </c>
      <c r="E191">
        <v>2015</v>
      </c>
      <c r="F191">
        <v>4</v>
      </c>
      <c r="G191">
        <v>4</v>
      </c>
      <c r="H191">
        <v>0</v>
      </c>
      <c r="I191">
        <v>0</v>
      </c>
      <c r="J191">
        <v>0</v>
      </c>
      <c r="K191">
        <v>0</v>
      </c>
      <c r="L191">
        <v>0</v>
      </c>
      <c r="M191">
        <v>0</v>
      </c>
      <c r="N191">
        <v>0</v>
      </c>
      <c r="O191">
        <v>0</v>
      </c>
      <c r="P191">
        <v>0</v>
      </c>
      <c r="Q191">
        <v>0</v>
      </c>
      <c r="R191">
        <v>0</v>
      </c>
      <c r="S191">
        <v>0</v>
      </c>
      <c r="T191">
        <v>0</v>
      </c>
      <c r="U191">
        <v>1</v>
      </c>
      <c r="V191">
        <v>0</v>
      </c>
      <c r="W191">
        <v>0</v>
      </c>
      <c r="X191">
        <v>0</v>
      </c>
      <c r="Y191">
        <v>0</v>
      </c>
      <c r="Z191">
        <v>3</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row>
    <row r="192" spans="1:48" ht="15.75" customHeight="1" x14ac:dyDescent="0.25">
      <c r="A192">
        <v>1</v>
      </c>
      <c r="B192">
        <v>2</v>
      </c>
      <c r="C192">
        <v>1</v>
      </c>
      <c r="D192">
        <v>1</v>
      </c>
      <c r="E192">
        <v>2015</v>
      </c>
      <c r="F192">
        <v>5</v>
      </c>
      <c r="G192">
        <v>11</v>
      </c>
      <c r="H192">
        <v>0</v>
      </c>
      <c r="I192">
        <v>0</v>
      </c>
      <c r="J192">
        <v>0</v>
      </c>
      <c r="K192">
        <v>0</v>
      </c>
      <c r="L192">
        <v>0</v>
      </c>
      <c r="M192">
        <v>0</v>
      </c>
      <c r="N192">
        <v>0</v>
      </c>
      <c r="O192">
        <v>0</v>
      </c>
      <c r="P192">
        <v>0</v>
      </c>
      <c r="Q192">
        <v>0</v>
      </c>
      <c r="R192">
        <v>0</v>
      </c>
      <c r="S192">
        <v>0</v>
      </c>
      <c r="T192">
        <v>1</v>
      </c>
      <c r="U192">
        <v>0</v>
      </c>
      <c r="V192">
        <v>2</v>
      </c>
      <c r="W192">
        <v>2</v>
      </c>
      <c r="X192">
        <v>1</v>
      </c>
      <c r="Y192">
        <v>1</v>
      </c>
      <c r="Z192">
        <v>0</v>
      </c>
      <c r="AA192">
        <v>0</v>
      </c>
      <c r="AB192">
        <v>0</v>
      </c>
      <c r="AC192">
        <v>0</v>
      </c>
      <c r="AD192">
        <v>1</v>
      </c>
      <c r="AE192">
        <v>1</v>
      </c>
      <c r="AF192">
        <v>0</v>
      </c>
      <c r="AG192">
        <v>0</v>
      </c>
      <c r="AH192">
        <v>0</v>
      </c>
      <c r="AI192">
        <v>0</v>
      </c>
      <c r="AJ192">
        <v>0</v>
      </c>
      <c r="AK192">
        <v>1</v>
      </c>
      <c r="AL192">
        <v>0</v>
      </c>
      <c r="AM192">
        <v>0</v>
      </c>
      <c r="AN192">
        <v>0</v>
      </c>
      <c r="AO192">
        <v>0</v>
      </c>
      <c r="AP192">
        <v>0</v>
      </c>
      <c r="AQ192">
        <v>1</v>
      </c>
      <c r="AR192">
        <v>0</v>
      </c>
      <c r="AS192">
        <v>0</v>
      </c>
      <c r="AT192">
        <v>0</v>
      </c>
      <c r="AU192">
        <v>0</v>
      </c>
      <c r="AV192">
        <v>0</v>
      </c>
    </row>
    <row r="193" spans="1:48" ht="15.75" customHeight="1" x14ac:dyDescent="0.25">
      <c r="A193">
        <v>1</v>
      </c>
      <c r="B193">
        <v>2</v>
      </c>
      <c r="C193">
        <v>1</v>
      </c>
      <c r="D193">
        <v>1</v>
      </c>
      <c r="E193">
        <v>2015</v>
      </c>
      <c r="F193">
        <v>6</v>
      </c>
      <c r="G193">
        <v>8</v>
      </c>
      <c r="H193">
        <v>0</v>
      </c>
      <c r="I193">
        <v>0</v>
      </c>
      <c r="J193">
        <v>0</v>
      </c>
      <c r="K193">
        <v>0</v>
      </c>
      <c r="L193">
        <v>0</v>
      </c>
      <c r="M193">
        <v>0</v>
      </c>
      <c r="N193">
        <v>0</v>
      </c>
      <c r="O193">
        <v>0</v>
      </c>
      <c r="P193">
        <v>0</v>
      </c>
      <c r="Q193">
        <v>0</v>
      </c>
      <c r="R193">
        <v>0</v>
      </c>
      <c r="S193">
        <v>0</v>
      </c>
      <c r="T193">
        <v>0</v>
      </c>
      <c r="U193">
        <v>0</v>
      </c>
      <c r="V193">
        <v>1</v>
      </c>
      <c r="W193">
        <v>1</v>
      </c>
      <c r="X193">
        <v>0</v>
      </c>
      <c r="Y193">
        <v>1</v>
      </c>
      <c r="Z193">
        <v>2</v>
      </c>
      <c r="AA193">
        <v>0</v>
      </c>
      <c r="AB193">
        <v>0</v>
      </c>
      <c r="AC193">
        <v>1</v>
      </c>
      <c r="AD193">
        <v>0</v>
      </c>
      <c r="AE193">
        <v>2</v>
      </c>
      <c r="AF193">
        <v>0</v>
      </c>
      <c r="AG193">
        <v>0</v>
      </c>
      <c r="AH193">
        <v>0</v>
      </c>
      <c r="AI193">
        <v>0</v>
      </c>
      <c r="AJ193">
        <v>0</v>
      </c>
      <c r="AK193">
        <v>0</v>
      </c>
      <c r="AL193">
        <v>0</v>
      </c>
      <c r="AM193">
        <v>0</v>
      </c>
      <c r="AN193">
        <v>0</v>
      </c>
      <c r="AO193">
        <v>0</v>
      </c>
      <c r="AP193">
        <v>0</v>
      </c>
      <c r="AQ193">
        <v>0</v>
      </c>
      <c r="AR193">
        <v>0</v>
      </c>
      <c r="AS193">
        <v>0</v>
      </c>
      <c r="AT193">
        <v>0</v>
      </c>
      <c r="AU193">
        <v>0</v>
      </c>
      <c r="AV193">
        <v>0</v>
      </c>
    </row>
    <row r="194" spans="1:48" ht="15.75" customHeight="1" x14ac:dyDescent="0.25">
      <c r="A194">
        <v>1</v>
      </c>
      <c r="B194">
        <v>2</v>
      </c>
      <c r="C194">
        <v>1</v>
      </c>
      <c r="D194">
        <v>1</v>
      </c>
      <c r="E194">
        <v>2016</v>
      </c>
      <c r="F194">
        <v>1</v>
      </c>
      <c r="G194">
        <v>10</v>
      </c>
      <c r="H194">
        <v>0</v>
      </c>
      <c r="I194">
        <v>0</v>
      </c>
      <c r="J194">
        <v>0</v>
      </c>
      <c r="K194">
        <v>0</v>
      </c>
      <c r="L194">
        <v>0</v>
      </c>
      <c r="M194">
        <v>0</v>
      </c>
      <c r="N194">
        <v>0</v>
      </c>
      <c r="O194">
        <v>0</v>
      </c>
      <c r="P194">
        <v>0</v>
      </c>
      <c r="Q194">
        <v>0</v>
      </c>
      <c r="R194">
        <v>0</v>
      </c>
      <c r="S194">
        <v>0</v>
      </c>
      <c r="T194">
        <v>0</v>
      </c>
      <c r="U194">
        <v>3</v>
      </c>
      <c r="V194">
        <v>1</v>
      </c>
      <c r="W194">
        <v>1</v>
      </c>
      <c r="X194">
        <v>0</v>
      </c>
      <c r="Y194">
        <v>0</v>
      </c>
      <c r="Z194">
        <v>0</v>
      </c>
      <c r="AA194">
        <v>1</v>
      </c>
      <c r="AB194">
        <v>0</v>
      </c>
      <c r="AC194">
        <v>0</v>
      </c>
      <c r="AD194">
        <v>0</v>
      </c>
      <c r="AE194">
        <v>0</v>
      </c>
      <c r="AF194">
        <v>1</v>
      </c>
      <c r="AG194">
        <v>0</v>
      </c>
      <c r="AH194">
        <v>1</v>
      </c>
      <c r="AI194">
        <v>0</v>
      </c>
      <c r="AJ194">
        <v>0</v>
      </c>
      <c r="AK194">
        <v>0</v>
      </c>
      <c r="AL194">
        <v>0</v>
      </c>
      <c r="AM194">
        <v>0</v>
      </c>
      <c r="AN194">
        <v>0</v>
      </c>
      <c r="AO194">
        <v>0</v>
      </c>
      <c r="AP194">
        <v>0</v>
      </c>
      <c r="AQ194">
        <v>2</v>
      </c>
      <c r="AR194">
        <v>0</v>
      </c>
      <c r="AS194">
        <v>0</v>
      </c>
      <c r="AT194">
        <v>0</v>
      </c>
      <c r="AU194">
        <v>0</v>
      </c>
      <c r="AV194">
        <v>0</v>
      </c>
    </row>
    <row r="195" spans="1:48" ht="15.75" customHeight="1" x14ac:dyDescent="0.25">
      <c r="A195">
        <v>1</v>
      </c>
      <c r="B195">
        <v>2</v>
      </c>
      <c r="C195">
        <v>1</v>
      </c>
      <c r="D195">
        <v>1</v>
      </c>
      <c r="E195">
        <v>2016</v>
      </c>
      <c r="F195">
        <v>2</v>
      </c>
      <c r="G195">
        <v>13</v>
      </c>
      <c r="H195">
        <v>0</v>
      </c>
      <c r="I195">
        <v>0</v>
      </c>
      <c r="J195">
        <v>0</v>
      </c>
      <c r="K195">
        <v>0</v>
      </c>
      <c r="L195">
        <v>0</v>
      </c>
      <c r="M195">
        <v>0</v>
      </c>
      <c r="N195">
        <v>0</v>
      </c>
      <c r="O195">
        <v>0</v>
      </c>
      <c r="P195">
        <v>0</v>
      </c>
      <c r="Q195">
        <v>0</v>
      </c>
      <c r="R195">
        <v>0</v>
      </c>
      <c r="S195">
        <v>0</v>
      </c>
      <c r="T195">
        <v>1</v>
      </c>
      <c r="U195">
        <v>2</v>
      </c>
      <c r="V195">
        <v>0</v>
      </c>
      <c r="W195">
        <v>1</v>
      </c>
      <c r="X195">
        <v>0</v>
      </c>
      <c r="Y195">
        <v>0</v>
      </c>
      <c r="Z195">
        <v>1</v>
      </c>
      <c r="AA195">
        <v>1</v>
      </c>
      <c r="AB195">
        <v>1</v>
      </c>
      <c r="AC195">
        <v>0</v>
      </c>
      <c r="AD195">
        <v>1</v>
      </c>
      <c r="AE195">
        <v>1</v>
      </c>
      <c r="AF195">
        <v>2</v>
      </c>
      <c r="AG195">
        <v>0</v>
      </c>
      <c r="AH195">
        <v>0</v>
      </c>
      <c r="AI195">
        <v>0</v>
      </c>
      <c r="AJ195">
        <v>0</v>
      </c>
      <c r="AK195">
        <v>1</v>
      </c>
      <c r="AL195">
        <v>0</v>
      </c>
      <c r="AM195">
        <v>0</v>
      </c>
      <c r="AN195">
        <v>1</v>
      </c>
      <c r="AO195">
        <v>0</v>
      </c>
      <c r="AP195">
        <v>0</v>
      </c>
      <c r="AQ195">
        <v>0</v>
      </c>
      <c r="AR195">
        <v>0</v>
      </c>
      <c r="AS195">
        <v>0</v>
      </c>
      <c r="AT195">
        <v>0</v>
      </c>
      <c r="AU195">
        <v>0</v>
      </c>
      <c r="AV195">
        <v>0</v>
      </c>
    </row>
    <row r="196" spans="1:48" ht="15.75" customHeight="1" x14ac:dyDescent="0.25">
      <c r="A196">
        <v>1</v>
      </c>
      <c r="B196">
        <v>2</v>
      </c>
      <c r="C196">
        <v>1</v>
      </c>
      <c r="D196">
        <v>1</v>
      </c>
      <c r="E196">
        <v>2016</v>
      </c>
      <c r="F196">
        <v>3</v>
      </c>
      <c r="G196">
        <v>31</v>
      </c>
      <c r="H196">
        <v>0</v>
      </c>
      <c r="I196">
        <v>0</v>
      </c>
      <c r="J196">
        <v>0</v>
      </c>
      <c r="K196">
        <v>0</v>
      </c>
      <c r="L196">
        <v>0</v>
      </c>
      <c r="M196">
        <v>0</v>
      </c>
      <c r="N196">
        <v>0</v>
      </c>
      <c r="O196">
        <v>0</v>
      </c>
      <c r="P196">
        <v>0</v>
      </c>
      <c r="Q196">
        <v>0</v>
      </c>
      <c r="R196">
        <v>0</v>
      </c>
      <c r="S196">
        <v>0</v>
      </c>
      <c r="T196">
        <v>2</v>
      </c>
      <c r="U196">
        <v>1</v>
      </c>
      <c r="V196">
        <v>5</v>
      </c>
      <c r="W196">
        <v>5</v>
      </c>
      <c r="X196">
        <v>4</v>
      </c>
      <c r="Y196">
        <v>1</v>
      </c>
      <c r="Z196">
        <v>1</v>
      </c>
      <c r="AA196">
        <v>0</v>
      </c>
      <c r="AB196">
        <v>1</v>
      </c>
      <c r="AC196">
        <v>2</v>
      </c>
      <c r="AD196">
        <v>3</v>
      </c>
      <c r="AE196">
        <v>3</v>
      </c>
      <c r="AF196">
        <v>0</v>
      </c>
      <c r="AG196">
        <v>0</v>
      </c>
      <c r="AH196">
        <v>0</v>
      </c>
      <c r="AI196">
        <v>0</v>
      </c>
      <c r="AJ196">
        <v>0</v>
      </c>
      <c r="AK196">
        <v>0</v>
      </c>
      <c r="AL196">
        <v>2</v>
      </c>
      <c r="AM196">
        <v>0</v>
      </c>
      <c r="AN196">
        <v>0</v>
      </c>
      <c r="AO196">
        <v>0</v>
      </c>
      <c r="AP196">
        <v>0</v>
      </c>
      <c r="AQ196">
        <v>1</v>
      </c>
      <c r="AR196">
        <v>0</v>
      </c>
      <c r="AS196">
        <v>0</v>
      </c>
      <c r="AT196">
        <v>0</v>
      </c>
      <c r="AU196">
        <v>0</v>
      </c>
      <c r="AV196">
        <v>0</v>
      </c>
    </row>
    <row r="197" spans="1:48" ht="15.75" customHeight="1" x14ac:dyDescent="0.25">
      <c r="A197">
        <v>1</v>
      </c>
      <c r="B197">
        <v>2</v>
      </c>
      <c r="C197">
        <v>1</v>
      </c>
      <c r="D197">
        <v>1</v>
      </c>
      <c r="E197">
        <v>2016</v>
      </c>
      <c r="F197">
        <v>4</v>
      </c>
      <c r="G197">
        <v>12</v>
      </c>
      <c r="H197">
        <v>0</v>
      </c>
      <c r="I197">
        <v>0</v>
      </c>
      <c r="J197">
        <v>0</v>
      </c>
      <c r="K197">
        <v>0</v>
      </c>
      <c r="L197">
        <v>0</v>
      </c>
      <c r="M197">
        <v>0</v>
      </c>
      <c r="N197">
        <v>0</v>
      </c>
      <c r="O197">
        <v>0</v>
      </c>
      <c r="P197">
        <v>0</v>
      </c>
      <c r="Q197">
        <v>0</v>
      </c>
      <c r="R197">
        <v>0</v>
      </c>
      <c r="S197">
        <v>0</v>
      </c>
      <c r="T197">
        <v>1</v>
      </c>
      <c r="U197">
        <v>3</v>
      </c>
      <c r="V197">
        <v>4</v>
      </c>
      <c r="W197">
        <v>0</v>
      </c>
      <c r="X197">
        <v>1</v>
      </c>
      <c r="Y197">
        <v>0</v>
      </c>
      <c r="Z197">
        <v>2</v>
      </c>
      <c r="AA197">
        <v>0</v>
      </c>
      <c r="AB197">
        <v>0</v>
      </c>
      <c r="AC197">
        <v>0</v>
      </c>
      <c r="AD197">
        <v>0</v>
      </c>
      <c r="AE197">
        <v>0</v>
      </c>
      <c r="AF197">
        <v>0</v>
      </c>
      <c r="AG197">
        <v>1</v>
      </c>
      <c r="AH197">
        <v>0</v>
      </c>
      <c r="AI197">
        <v>0</v>
      </c>
      <c r="AJ197">
        <v>0</v>
      </c>
      <c r="AK197">
        <v>0</v>
      </c>
      <c r="AL197">
        <v>0</v>
      </c>
      <c r="AM197">
        <v>0</v>
      </c>
      <c r="AN197">
        <v>0</v>
      </c>
      <c r="AO197">
        <v>0</v>
      </c>
      <c r="AP197">
        <v>0</v>
      </c>
      <c r="AQ197">
        <v>0</v>
      </c>
      <c r="AR197">
        <v>0</v>
      </c>
      <c r="AS197">
        <v>0</v>
      </c>
      <c r="AT197">
        <v>0</v>
      </c>
      <c r="AU197">
        <v>0</v>
      </c>
      <c r="AV197">
        <v>0</v>
      </c>
    </row>
    <row r="198" spans="1:48" ht="15.75" customHeight="1" x14ac:dyDescent="0.25">
      <c r="A198">
        <v>1</v>
      </c>
      <c r="B198">
        <v>2</v>
      </c>
      <c r="C198">
        <v>1</v>
      </c>
      <c r="D198">
        <v>1</v>
      </c>
      <c r="E198">
        <v>2016</v>
      </c>
      <c r="F198">
        <v>5</v>
      </c>
      <c r="G198">
        <v>14</v>
      </c>
      <c r="H198">
        <v>0</v>
      </c>
      <c r="I198">
        <v>0</v>
      </c>
      <c r="J198">
        <v>0</v>
      </c>
      <c r="K198">
        <v>0</v>
      </c>
      <c r="L198">
        <v>0</v>
      </c>
      <c r="M198">
        <v>0</v>
      </c>
      <c r="N198">
        <v>0</v>
      </c>
      <c r="O198">
        <v>0</v>
      </c>
      <c r="P198">
        <v>0</v>
      </c>
      <c r="Q198">
        <v>0</v>
      </c>
      <c r="R198">
        <v>0</v>
      </c>
      <c r="S198">
        <v>0</v>
      </c>
      <c r="T198">
        <v>1</v>
      </c>
      <c r="U198">
        <v>2</v>
      </c>
      <c r="V198">
        <v>2</v>
      </c>
      <c r="W198">
        <v>0</v>
      </c>
      <c r="X198">
        <v>1</v>
      </c>
      <c r="Y198">
        <v>1</v>
      </c>
      <c r="Z198">
        <v>1</v>
      </c>
      <c r="AA198">
        <v>1</v>
      </c>
      <c r="AB198">
        <v>1</v>
      </c>
      <c r="AC198">
        <v>0</v>
      </c>
      <c r="AD198">
        <v>0</v>
      </c>
      <c r="AE198">
        <v>2</v>
      </c>
      <c r="AF198">
        <v>1</v>
      </c>
      <c r="AG198">
        <v>0</v>
      </c>
      <c r="AH198">
        <v>0</v>
      </c>
      <c r="AI198">
        <v>0</v>
      </c>
      <c r="AJ198">
        <v>0</v>
      </c>
      <c r="AK198">
        <v>0</v>
      </c>
      <c r="AL198">
        <v>0</v>
      </c>
      <c r="AM198">
        <v>0</v>
      </c>
      <c r="AN198">
        <v>0</v>
      </c>
      <c r="AO198">
        <v>0</v>
      </c>
      <c r="AP198">
        <v>0</v>
      </c>
      <c r="AQ198">
        <v>1</v>
      </c>
      <c r="AR198">
        <v>0</v>
      </c>
      <c r="AS198">
        <v>0</v>
      </c>
      <c r="AT198">
        <v>0</v>
      </c>
      <c r="AU198">
        <v>0</v>
      </c>
      <c r="AV198">
        <v>0</v>
      </c>
    </row>
    <row r="199" spans="1:48" ht="15.75" customHeight="1" x14ac:dyDescent="0.25">
      <c r="A199">
        <v>1</v>
      </c>
      <c r="B199">
        <v>2</v>
      </c>
      <c r="C199">
        <v>1</v>
      </c>
      <c r="D199">
        <v>1</v>
      </c>
      <c r="E199">
        <v>2016</v>
      </c>
      <c r="F199">
        <v>6</v>
      </c>
      <c r="G199">
        <v>14</v>
      </c>
      <c r="H199">
        <v>0</v>
      </c>
      <c r="I199">
        <v>0</v>
      </c>
      <c r="J199">
        <v>0</v>
      </c>
      <c r="K199">
        <v>0</v>
      </c>
      <c r="L199">
        <v>0</v>
      </c>
      <c r="M199">
        <v>0</v>
      </c>
      <c r="N199">
        <v>0</v>
      </c>
      <c r="O199">
        <v>0</v>
      </c>
      <c r="P199">
        <v>0</v>
      </c>
      <c r="Q199">
        <v>0</v>
      </c>
      <c r="R199">
        <v>0</v>
      </c>
      <c r="S199">
        <v>0</v>
      </c>
      <c r="T199">
        <v>0</v>
      </c>
      <c r="U199">
        <v>1</v>
      </c>
      <c r="V199">
        <v>4</v>
      </c>
      <c r="W199">
        <v>1</v>
      </c>
      <c r="X199">
        <v>1</v>
      </c>
      <c r="Y199">
        <v>1</v>
      </c>
      <c r="Z199">
        <v>0</v>
      </c>
      <c r="AA199">
        <v>1</v>
      </c>
      <c r="AB199">
        <v>0</v>
      </c>
      <c r="AC199">
        <v>0</v>
      </c>
      <c r="AD199">
        <v>1</v>
      </c>
      <c r="AE199">
        <v>1</v>
      </c>
      <c r="AF199">
        <v>1</v>
      </c>
      <c r="AG199">
        <v>0</v>
      </c>
      <c r="AH199">
        <v>0</v>
      </c>
      <c r="AI199">
        <v>1</v>
      </c>
      <c r="AJ199">
        <v>0</v>
      </c>
      <c r="AK199">
        <v>0</v>
      </c>
      <c r="AL199">
        <v>0</v>
      </c>
      <c r="AM199">
        <v>1</v>
      </c>
      <c r="AN199">
        <v>0</v>
      </c>
      <c r="AO199">
        <v>0</v>
      </c>
      <c r="AP199">
        <v>0</v>
      </c>
      <c r="AQ199">
        <v>0</v>
      </c>
      <c r="AR199">
        <v>0</v>
      </c>
      <c r="AS199">
        <v>0</v>
      </c>
      <c r="AT199">
        <v>0</v>
      </c>
      <c r="AU199">
        <v>0</v>
      </c>
      <c r="AV199">
        <v>0</v>
      </c>
    </row>
    <row r="200" spans="1:48" ht="15.75" customHeight="1" x14ac:dyDescent="0.25">
      <c r="A200">
        <v>1</v>
      </c>
      <c r="B200">
        <v>2</v>
      </c>
      <c r="C200">
        <v>1</v>
      </c>
      <c r="D200">
        <v>1</v>
      </c>
      <c r="E200">
        <v>2017</v>
      </c>
      <c r="F200">
        <v>1</v>
      </c>
      <c r="G200">
        <v>14</v>
      </c>
      <c r="H200">
        <v>0</v>
      </c>
      <c r="I200">
        <v>0</v>
      </c>
      <c r="J200">
        <v>0</v>
      </c>
      <c r="K200">
        <v>0</v>
      </c>
      <c r="L200">
        <v>0</v>
      </c>
      <c r="M200">
        <v>0</v>
      </c>
      <c r="N200">
        <v>0</v>
      </c>
      <c r="O200">
        <v>0</v>
      </c>
      <c r="P200">
        <v>0</v>
      </c>
      <c r="Q200">
        <v>0</v>
      </c>
      <c r="R200">
        <v>0</v>
      </c>
      <c r="S200">
        <v>0</v>
      </c>
      <c r="T200">
        <v>0</v>
      </c>
      <c r="U200">
        <v>2</v>
      </c>
      <c r="V200">
        <v>0</v>
      </c>
      <c r="W200">
        <v>4</v>
      </c>
      <c r="X200">
        <v>0</v>
      </c>
      <c r="Y200">
        <v>2</v>
      </c>
      <c r="Z200">
        <v>0</v>
      </c>
      <c r="AA200">
        <v>0</v>
      </c>
      <c r="AB200">
        <v>1</v>
      </c>
      <c r="AC200">
        <v>0</v>
      </c>
      <c r="AD200">
        <v>0</v>
      </c>
      <c r="AE200">
        <v>0</v>
      </c>
      <c r="AF200">
        <v>1</v>
      </c>
      <c r="AG200">
        <v>0</v>
      </c>
      <c r="AH200">
        <v>0</v>
      </c>
      <c r="AI200">
        <v>0</v>
      </c>
      <c r="AJ200">
        <v>0</v>
      </c>
      <c r="AK200">
        <v>0</v>
      </c>
      <c r="AL200">
        <v>2</v>
      </c>
      <c r="AM200">
        <v>0</v>
      </c>
      <c r="AN200">
        <v>0</v>
      </c>
      <c r="AO200">
        <v>1</v>
      </c>
      <c r="AP200">
        <v>0</v>
      </c>
      <c r="AQ200">
        <v>1</v>
      </c>
      <c r="AR200">
        <v>0</v>
      </c>
      <c r="AS200">
        <v>0</v>
      </c>
      <c r="AT200">
        <v>0</v>
      </c>
      <c r="AU200">
        <v>0</v>
      </c>
      <c r="AV200">
        <v>0</v>
      </c>
    </row>
    <row r="201" spans="1:48" ht="15.75" customHeight="1" x14ac:dyDescent="0.25">
      <c r="A201">
        <v>1</v>
      </c>
      <c r="B201">
        <v>2</v>
      </c>
      <c r="C201">
        <v>1</v>
      </c>
      <c r="D201">
        <v>1</v>
      </c>
      <c r="E201">
        <v>2017</v>
      </c>
      <c r="F201">
        <v>2</v>
      </c>
      <c r="G201">
        <v>11</v>
      </c>
      <c r="H201">
        <v>0</v>
      </c>
      <c r="I201">
        <v>0</v>
      </c>
      <c r="J201">
        <v>0</v>
      </c>
      <c r="K201">
        <v>0</v>
      </c>
      <c r="L201">
        <v>0</v>
      </c>
      <c r="M201">
        <v>0</v>
      </c>
      <c r="N201">
        <v>0</v>
      </c>
      <c r="O201">
        <v>0</v>
      </c>
      <c r="P201">
        <v>0</v>
      </c>
      <c r="Q201">
        <v>0</v>
      </c>
      <c r="R201">
        <v>0</v>
      </c>
      <c r="S201">
        <v>0</v>
      </c>
      <c r="T201">
        <v>0</v>
      </c>
      <c r="U201">
        <v>0</v>
      </c>
      <c r="V201">
        <v>4</v>
      </c>
      <c r="W201">
        <v>2</v>
      </c>
      <c r="X201">
        <v>1</v>
      </c>
      <c r="Y201">
        <v>0</v>
      </c>
      <c r="Z201">
        <v>0</v>
      </c>
      <c r="AA201">
        <v>1</v>
      </c>
      <c r="AB201">
        <v>0</v>
      </c>
      <c r="AC201">
        <v>1</v>
      </c>
      <c r="AD201">
        <v>0</v>
      </c>
      <c r="AE201">
        <v>0</v>
      </c>
      <c r="AF201">
        <v>0</v>
      </c>
      <c r="AG201">
        <v>0</v>
      </c>
      <c r="AH201">
        <v>0</v>
      </c>
      <c r="AI201">
        <v>0</v>
      </c>
      <c r="AJ201">
        <v>1</v>
      </c>
      <c r="AK201">
        <v>0</v>
      </c>
      <c r="AL201">
        <v>0</v>
      </c>
      <c r="AM201">
        <v>0</v>
      </c>
      <c r="AN201">
        <v>0</v>
      </c>
      <c r="AO201">
        <v>0</v>
      </c>
      <c r="AP201">
        <v>0</v>
      </c>
      <c r="AQ201">
        <v>1</v>
      </c>
      <c r="AR201">
        <v>0</v>
      </c>
      <c r="AS201">
        <v>0</v>
      </c>
      <c r="AT201">
        <v>0</v>
      </c>
      <c r="AU201">
        <v>0</v>
      </c>
      <c r="AV201">
        <v>0</v>
      </c>
    </row>
    <row r="202" spans="1:48" ht="15.75" customHeight="1" x14ac:dyDescent="0.25">
      <c r="A202">
        <v>1</v>
      </c>
      <c r="B202">
        <v>2</v>
      </c>
      <c r="C202">
        <v>1</v>
      </c>
      <c r="D202">
        <v>1</v>
      </c>
      <c r="E202">
        <v>2017</v>
      </c>
      <c r="F202">
        <v>3</v>
      </c>
      <c r="G202">
        <v>17</v>
      </c>
      <c r="H202">
        <v>0</v>
      </c>
      <c r="I202">
        <v>0</v>
      </c>
      <c r="J202">
        <v>0</v>
      </c>
      <c r="K202">
        <v>0</v>
      </c>
      <c r="L202">
        <v>0</v>
      </c>
      <c r="M202">
        <v>0</v>
      </c>
      <c r="N202">
        <v>0</v>
      </c>
      <c r="O202">
        <v>0</v>
      </c>
      <c r="P202">
        <v>0</v>
      </c>
      <c r="Q202">
        <v>0</v>
      </c>
      <c r="R202">
        <v>0</v>
      </c>
      <c r="S202">
        <v>0</v>
      </c>
      <c r="T202">
        <v>0</v>
      </c>
      <c r="U202">
        <v>5</v>
      </c>
      <c r="V202">
        <v>1</v>
      </c>
      <c r="W202">
        <v>0</v>
      </c>
      <c r="X202">
        <v>3</v>
      </c>
      <c r="Y202">
        <v>0</v>
      </c>
      <c r="Z202">
        <v>1</v>
      </c>
      <c r="AA202">
        <v>3</v>
      </c>
      <c r="AB202">
        <v>1</v>
      </c>
      <c r="AC202">
        <v>0</v>
      </c>
      <c r="AD202">
        <v>0</v>
      </c>
      <c r="AE202">
        <v>1</v>
      </c>
      <c r="AF202">
        <v>0</v>
      </c>
      <c r="AG202">
        <v>1</v>
      </c>
      <c r="AH202">
        <v>0</v>
      </c>
      <c r="AI202">
        <v>0</v>
      </c>
      <c r="AJ202">
        <v>0</v>
      </c>
      <c r="AK202">
        <v>0</v>
      </c>
      <c r="AL202">
        <v>0</v>
      </c>
      <c r="AM202">
        <v>0</v>
      </c>
      <c r="AN202">
        <v>0</v>
      </c>
      <c r="AO202">
        <v>1</v>
      </c>
      <c r="AP202">
        <v>0</v>
      </c>
      <c r="AQ202">
        <v>0</v>
      </c>
      <c r="AR202">
        <v>0</v>
      </c>
      <c r="AS202">
        <v>0</v>
      </c>
      <c r="AT202">
        <v>0</v>
      </c>
      <c r="AU202">
        <v>0</v>
      </c>
      <c r="AV202">
        <v>0</v>
      </c>
    </row>
    <row r="203" spans="1:48" ht="15.75" customHeight="1" x14ac:dyDescent="0.25">
      <c r="A203">
        <v>1</v>
      </c>
      <c r="B203">
        <v>2</v>
      </c>
      <c r="C203">
        <v>1</v>
      </c>
      <c r="D203">
        <v>1</v>
      </c>
      <c r="E203">
        <v>2017</v>
      </c>
      <c r="F203">
        <v>4</v>
      </c>
      <c r="G203">
        <v>2</v>
      </c>
      <c r="H203">
        <v>0</v>
      </c>
      <c r="I203">
        <v>0</v>
      </c>
      <c r="J203">
        <v>0</v>
      </c>
      <c r="K203">
        <v>0</v>
      </c>
      <c r="L203">
        <v>0</v>
      </c>
      <c r="M203">
        <v>0</v>
      </c>
      <c r="N203">
        <v>0</v>
      </c>
      <c r="O203">
        <v>0</v>
      </c>
      <c r="P203">
        <v>0</v>
      </c>
      <c r="Q203">
        <v>0</v>
      </c>
      <c r="R203">
        <v>0</v>
      </c>
      <c r="S203">
        <v>0</v>
      </c>
      <c r="T203">
        <v>1</v>
      </c>
      <c r="U203">
        <v>0</v>
      </c>
      <c r="V203">
        <v>1</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row>
    <row r="204" spans="1:48" ht="15.75" customHeight="1" x14ac:dyDescent="0.25">
      <c r="A204">
        <v>1</v>
      </c>
      <c r="B204">
        <v>2</v>
      </c>
      <c r="C204">
        <v>1</v>
      </c>
      <c r="D204">
        <v>1</v>
      </c>
      <c r="E204">
        <v>2017</v>
      </c>
      <c r="F204">
        <v>5</v>
      </c>
      <c r="G204">
        <v>23</v>
      </c>
      <c r="H204">
        <v>0</v>
      </c>
      <c r="I204">
        <v>0</v>
      </c>
      <c r="J204">
        <v>0</v>
      </c>
      <c r="K204">
        <v>0</v>
      </c>
      <c r="L204">
        <v>0</v>
      </c>
      <c r="M204">
        <v>0</v>
      </c>
      <c r="N204">
        <v>0</v>
      </c>
      <c r="O204">
        <v>0</v>
      </c>
      <c r="P204">
        <v>0</v>
      </c>
      <c r="Q204">
        <v>0</v>
      </c>
      <c r="R204">
        <v>0</v>
      </c>
      <c r="S204">
        <v>0</v>
      </c>
      <c r="T204">
        <v>1</v>
      </c>
      <c r="U204">
        <v>1</v>
      </c>
      <c r="V204">
        <v>1</v>
      </c>
      <c r="W204">
        <v>1</v>
      </c>
      <c r="X204">
        <v>1</v>
      </c>
      <c r="Y204">
        <v>0</v>
      </c>
      <c r="Z204">
        <v>0</v>
      </c>
      <c r="AA204">
        <v>1</v>
      </c>
      <c r="AB204">
        <v>0</v>
      </c>
      <c r="AC204">
        <v>0</v>
      </c>
      <c r="AD204">
        <v>0</v>
      </c>
      <c r="AE204">
        <v>0</v>
      </c>
      <c r="AF204">
        <v>2</v>
      </c>
      <c r="AG204">
        <v>2</v>
      </c>
      <c r="AH204">
        <v>0</v>
      </c>
      <c r="AI204">
        <v>1</v>
      </c>
      <c r="AJ204">
        <v>3</v>
      </c>
      <c r="AK204">
        <v>3</v>
      </c>
      <c r="AL204">
        <v>3</v>
      </c>
      <c r="AM204">
        <v>0</v>
      </c>
      <c r="AN204">
        <v>0</v>
      </c>
      <c r="AO204">
        <v>1</v>
      </c>
      <c r="AP204">
        <v>1</v>
      </c>
      <c r="AQ204">
        <v>1</v>
      </c>
      <c r="AR204">
        <v>0</v>
      </c>
      <c r="AS204">
        <v>0</v>
      </c>
      <c r="AT204">
        <v>0</v>
      </c>
      <c r="AU204">
        <v>0</v>
      </c>
      <c r="AV204">
        <v>0</v>
      </c>
    </row>
    <row r="205" spans="1:48" ht="15.75" customHeight="1" x14ac:dyDescent="0.25">
      <c r="A205">
        <v>1</v>
      </c>
      <c r="B205">
        <v>2</v>
      </c>
      <c r="C205">
        <v>1</v>
      </c>
      <c r="D205">
        <v>1</v>
      </c>
      <c r="E205">
        <v>2017</v>
      </c>
      <c r="F205">
        <v>6</v>
      </c>
      <c r="G205">
        <v>8</v>
      </c>
      <c r="H205">
        <v>0</v>
      </c>
      <c r="I205">
        <v>0</v>
      </c>
      <c r="J205">
        <v>0</v>
      </c>
      <c r="K205">
        <v>0</v>
      </c>
      <c r="L205">
        <v>0</v>
      </c>
      <c r="M205">
        <v>0</v>
      </c>
      <c r="N205">
        <v>0</v>
      </c>
      <c r="O205">
        <v>0</v>
      </c>
      <c r="P205">
        <v>0</v>
      </c>
      <c r="Q205">
        <v>0</v>
      </c>
      <c r="R205">
        <v>0</v>
      </c>
      <c r="S205">
        <v>0</v>
      </c>
      <c r="T205">
        <v>1</v>
      </c>
      <c r="U205">
        <v>3</v>
      </c>
      <c r="V205">
        <v>1</v>
      </c>
      <c r="W205">
        <v>1</v>
      </c>
      <c r="X205">
        <v>1</v>
      </c>
      <c r="Y205">
        <v>0</v>
      </c>
      <c r="Z205">
        <v>0</v>
      </c>
      <c r="AA205">
        <v>0</v>
      </c>
      <c r="AB205">
        <v>0</v>
      </c>
      <c r="AC205">
        <v>0</v>
      </c>
      <c r="AD205">
        <v>0</v>
      </c>
      <c r="AE205">
        <v>0</v>
      </c>
      <c r="AF205">
        <v>0</v>
      </c>
      <c r="AG205">
        <v>0</v>
      </c>
      <c r="AH205">
        <v>0</v>
      </c>
      <c r="AI205">
        <v>0</v>
      </c>
      <c r="AJ205">
        <v>0</v>
      </c>
      <c r="AK205">
        <v>0</v>
      </c>
      <c r="AL205">
        <v>0</v>
      </c>
      <c r="AM205">
        <v>0</v>
      </c>
      <c r="AN205">
        <v>1</v>
      </c>
      <c r="AO205">
        <v>0</v>
      </c>
      <c r="AP205">
        <v>0</v>
      </c>
      <c r="AQ205">
        <v>0</v>
      </c>
      <c r="AR205">
        <v>0</v>
      </c>
      <c r="AS205">
        <v>0</v>
      </c>
      <c r="AT205">
        <v>0</v>
      </c>
      <c r="AU205">
        <v>0</v>
      </c>
      <c r="AV205">
        <v>0</v>
      </c>
    </row>
    <row r="206" spans="1:48" ht="15.75" customHeight="1" x14ac:dyDescent="0.25">
      <c r="A206">
        <v>1</v>
      </c>
      <c r="B206">
        <v>2</v>
      </c>
      <c r="C206">
        <v>1</v>
      </c>
      <c r="D206">
        <v>1</v>
      </c>
      <c r="E206">
        <v>2018</v>
      </c>
      <c r="F206">
        <v>1</v>
      </c>
      <c r="G206">
        <v>16</v>
      </c>
      <c r="H206">
        <v>0</v>
      </c>
      <c r="I206">
        <v>0</v>
      </c>
      <c r="J206">
        <v>0</v>
      </c>
      <c r="K206">
        <v>0</v>
      </c>
      <c r="L206">
        <v>0</v>
      </c>
      <c r="M206">
        <v>0</v>
      </c>
      <c r="N206">
        <v>0</v>
      </c>
      <c r="O206">
        <v>0</v>
      </c>
      <c r="P206">
        <v>0</v>
      </c>
      <c r="Q206">
        <v>0</v>
      </c>
      <c r="R206">
        <v>0</v>
      </c>
      <c r="S206">
        <v>0</v>
      </c>
      <c r="T206">
        <v>0</v>
      </c>
      <c r="U206">
        <v>1</v>
      </c>
      <c r="V206">
        <v>2</v>
      </c>
      <c r="W206">
        <v>1</v>
      </c>
      <c r="X206">
        <v>1</v>
      </c>
      <c r="Y206">
        <v>1</v>
      </c>
      <c r="Z206">
        <v>1</v>
      </c>
      <c r="AA206">
        <v>0</v>
      </c>
      <c r="AB206">
        <v>0</v>
      </c>
      <c r="AC206">
        <v>0</v>
      </c>
      <c r="AD206">
        <v>0</v>
      </c>
      <c r="AE206">
        <v>0</v>
      </c>
      <c r="AF206">
        <v>2</v>
      </c>
      <c r="AG206">
        <v>3</v>
      </c>
      <c r="AH206">
        <v>2</v>
      </c>
      <c r="AI206">
        <v>0</v>
      </c>
      <c r="AJ206">
        <v>1</v>
      </c>
      <c r="AK206">
        <v>0</v>
      </c>
      <c r="AL206">
        <v>0</v>
      </c>
      <c r="AM206">
        <v>0</v>
      </c>
      <c r="AN206">
        <v>0</v>
      </c>
      <c r="AO206">
        <v>1</v>
      </c>
      <c r="AP206">
        <v>0</v>
      </c>
      <c r="AQ206">
        <v>0</v>
      </c>
      <c r="AR206">
        <v>0</v>
      </c>
      <c r="AS206">
        <v>0</v>
      </c>
      <c r="AT206">
        <v>0</v>
      </c>
      <c r="AU206">
        <v>0</v>
      </c>
      <c r="AV206">
        <v>0</v>
      </c>
    </row>
    <row r="207" spans="1:48" ht="15.75" customHeight="1" x14ac:dyDescent="0.25">
      <c r="A207">
        <v>1</v>
      </c>
      <c r="B207">
        <v>2</v>
      </c>
      <c r="C207">
        <v>1</v>
      </c>
      <c r="D207">
        <v>1</v>
      </c>
      <c r="E207">
        <v>2018</v>
      </c>
      <c r="F207">
        <v>2</v>
      </c>
      <c r="G207">
        <v>15</v>
      </c>
      <c r="H207">
        <v>0</v>
      </c>
      <c r="I207">
        <v>0</v>
      </c>
      <c r="J207">
        <v>0</v>
      </c>
      <c r="K207">
        <v>0</v>
      </c>
      <c r="L207">
        <v>0</v>
      </c>
      <c r="M207">
        <v>0</v>
      </c>
      <c r="N207">
        <v>0</v>
      </c>
      <c r="O207">
        <v>0</v>
      </c>
      <c r="P207">
        <v>0</v>
      </c>
      <c r="Q207">
        <v>0</v>
      </c>
      <c r="R207">
        <v>0</v>
      </c>
      <c r="S207">
        <v>0</v>
      </c>
      <c r="T207">
        <v>0</v>
      </c>
      <c r="U207">
        <v>1</v>
      </c>
      <c r="V207">
        <v>2</v>
      </c>
      <c r="W207">
        <v>0</v>
      </c>
      <c r="X207">
        <v>1</v>
      </c>
      <c r="Y207">
        <v>0</v>
      </c>
      <c r="Z207">
        <v>1</v>
      </c>
      <c r="AA207">
        <v>1</v>
      </c>
      <c r="AB207">
        <v>3</v>
      </c>
      <c r="AC207">
        <v>1</v>
      </c>
      <c r="AD207">
        <v>0</v>
      </c>
      <c r="AE207">
        <v>1</v>
      </c>
      <c r="AF207">
        <v>0</v>
      </c>
      <c r="AG207">
        <v>0</v>
      </c>
      <c r="AH207">
        <v>0</v>
      </c>
      <c r="AI207">
        <v>0</v>
      </c>
      <c r="AJ207">
        <v>0</v>
      </c>
      <c r="AK207">
        <v>3</v>
      </c>
      <c r="AL207">
        <v>0</v>
      </c>
      <c r="AM207">
        <v>0</v>
      </c>
      <c r="AN207">
        <v>0</v>
      </c>
      <c r="AO207">
        <v>0</v>
      </c>
      <c r="AP207">
        <v>0</v>
      </c>
      <c r="AQ207">
        <v>1</v>
      </c>
      <c r="AR207">
        <v>0</v>
      </c>
      <c r="AS207">
        <v>0</v>
      </c>
      <c r="AT207">
        <v>0</v>
      </c>
      <c r="AU207">
        <v>0</v>
      </c>
      <c r="AV207">
        <v>0</v>
      </c>
    </row>
    <row r="208" spans="1:48" ht="15.75" customHeight="1" x14ac:dyDescent="0.25">
      <c r="A208">
        <v>1</v>
      </c>
      <c r="B208">
        <v>2</v>
      </c>
      <c r="C208">
        <v>1</v>
      </c>
      <c r="D208">
        <v>1</v>
      </c>
      <c r="E208">
        <v>2018</v>
      </c>
      <c r="F208">
        <v>3</v>
      </c>
      <c r="G208">
        <v>1</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1</v>
      </c>
      <c r="AN208">
        <v>0</v>
      </c>
      <c r="AO208">
        <v>0</v>
      </c>
      <c r="AP208">
        <v>0</v>
      </c>
      <c r="AQ208">
        <v>0</v>
      </c>
      <c r="AR208">
        <v>0</v>
      </c>
      <c r="AS208">
        <v>0</v>
      </c>
      <c r="AT208">
        <v>0</v>
      </c>
      <c r="AU208">
        <v>0</v>
      </c>
      <c r="AV208">
        <v>0</v>
      </c>
    </row>
    <row r="209" spans="1:48" ht="15.75" customHeight="1" x14ac:dyDescent="0.25">
      <c r="A209">
        <v>1</v>
      </c>
      <c r="B209">
        <v>2</v>
      </c>
      <c r="C209">
        <v>1</v>
      </c>
      <c r="D209">
        <v>1</v>
      </c>
      <c r="E209">
        <v>2018</v>
      </c>
      <c r="F209">
        <v>4</v>
      </c>
      <c r="G209">
        <v>6</v>
      </c>
      <c r="H209">
        <v>0</v>
      </c>
      <c r="I209">
        <v>0</v>
      </c>
      <c r="J209">
        <v>0</v>
      </c>
      <c r="K209">
        <v>0</v>
      </c>
      <c r="L209">
        <v>0</v>
      </c>
      <c r="M209">
        <v>0</v>
      </c>
      <c r="N209">
        <v>0</v>
      </c>
      <c r="O209">
        <v>0</v>
      </c>
      <c r="P209">
        <v>0</v>
      </c>
      <c r="Q209">
        <v>0</v>
      </c>
      <c r="R209">
        <v>0</v>
      </c>
      <c r="S209">
        <v>0</v>
      </c>
      <c r="T209">
        <v>0</v>
      </c>
      <c r="U209">
        <v>0</v>
      </c>
      <c r="V209">
        <v>2</v>
      </c>
      <c r="W209">
        <v>1</v>
      </c>
      <c r="X209">
        <v>1</v>
      </c>
      <c r="Y209">
        <v>1</v>
      </c>
      <c r="Z209">
        <v>0</v>
      </c>
      <c r="AA209">
        <v>0</v>
      </c>
      <c r="AB209">
        <v>0</v>
      </c>
      <c r="AC209">
        <v>0</v>
      </c>
      <c r="AD209">
        <v>1</v>
      </c>
      <c r="AE209">
        <v>0</v>
      </c>
      <c r="AF209">
        <v>0</v>
      </c>
      <c r="AG209">
        <v>0</v>
      </c>
      <c r="AH209">
        <v>0</v>
      </c>
      <c r="AI209">
        <v>0</v>
      </c>
      <c r="AJ209">
        <v>0</v>
      </c>
      <c r="AK209">
        <v>0</v>
      </c>
      <c r="AL209">
        <v>0</v>
      </c>
      <c r="AM209">
        <v>0</v>
      </c>
      <c r="AN209">
        <v>0</v>
      </c>
      <c r="AO209">
        <v>0</v>
      </c>
      <c r="AP209">
        <v>0</v>
      </c>
      <c r="AQ209">
        <v>0</v>
      </c>
      <c r="AR209">
        <v>0</v>
      </c>
      <c r="AS209">
        <v>0</v>
      </c>
      <c r="AT209">
        <v>0</v>
      </c>
      <c r="AU209">
        <v>0</v>
      </c>
      <c r="AV209">
        <v>0</v>
      </c>
    </row>
    <row r="210" spans="1:48" ht="15.75" customHeight="1" x14ac:dyDescent="0.25">
      <c r="A210">
        <v>1</v>
      </c>
      <c r="B210">
        <v>2</v>
      </c>
      <c r="C210">
        <v>1</v>
      </c>
      <c r="D210">
        <v>1</v>
      </c>
      <c r="E210">
        <v>2018</v>
      </c>
      <c r="F210">
        <v>5</v>
      </c>
      <c r="G210">
        <v>1</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1</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row>
    <row r="211" spans="1:48" ht="15.75" customHeight="1" x14ac:dyDescent="0.25">
      <c r="A211">
        <v>1</v>
      </c>
      <c r="B211">
        <v>2</v>
      </c>
      <c r="C211">
        <v>1</v>
      </c>
      <c r="D211">
        <v>1</v>
      </c>
      <c r="E211">
        <v>2018</v>
      </c>
      <c r="F211">
        <v>6</v>
      </c>
      <c r="G211">
        <v>11</v>
      </c>
      <c r="H211">
        <v>0</v>
      </c>
      <c r="I211">
        <v>0</v>
      </c>
      <c r="J211">
        <v>0</v>
      </c>
      <c r="K211">
        <v>0</v>
      </c>
      <c r="L211">
        <v>0</v>
      </c>
      <c r="M211">
        <v>0</v>
      </c>
      <c r="N211">
        <v>0</v>
      </c>
      <c r="O211">
        <v>0</v>
      </c>
      <c r="P211">
        <v>0</v>
      </c>
      <c r="Q211">
        <v>0</v>
      </c>
      <c r="R211">
        <v>0</v>
      </c>
      <c r="S211">
        <v>0</v>
      </c>
      <c r="T211">
        <v>1</v>
      </c>
      <c r="U211">
        <v>2</v>
      </c>
      <c r="V211">
        <v>3</v>
      </c>
      <c r="W211">
        <v>0</v>
      </c>
      <c r="X211">
        <v>0</v>
      </c>
      <c r="Y211">
        <v>0</v>
      </c>
      <c r="Z211">
        <v>1</v>
      </c>
      <c r="AA211">
        <v>0</v>
      </c>
      <c r="AB211">
        <v>0</v>
      </c>
      <c r="AC211">
        <v>0</v>
      </c>
      <c r="AD211">
        <v>0</v>
      </c>
      <c r="AE211">
        <v>0</v>
      </c>
      <c r="AF211">
        <v>0</v>
      </c>
      <c r="AG211">
        <v>0</v>
      </c>
      <c r="AH211">
        <v>1</v>
      </c>
      <c r="AI211">
        <v>0</v>
      </c>
      <c r="AJ211">
        <v>0</v>
      </c>
      <c r="AK211">
        <v>0</v>
      </c>
      <c r="AL211">
        <v>0</v>
      </c>
      <c r="AM211">
        <v>0</v>
      </c>
      <c r="AN211">
        <v>0</v>
      </c>
      <c r="AO211">
        <v>0</v>
      </c>
      <c r="AP211">
        <v>0</v>
      </c>
      <c r="AQ211">
        <v>3</v>
      </c>
      <c r="AR211">
        <v>0</v>
      </c>
      <c r="AS211">
        <v>0</v>
      </c>
      <c r="AT211">
        <v>0</v>
      </c>
      <c r="AU211">
        <v>0</v>
      </c>
      <c r="AV211">
        <v>0</v>
      </c>
    </row>
    <row r="212" spans="1:48" ht="15.75" customHeight="1" x14ac:dyDescent="0.25">
      <c r="A212">
        <v>1</v>
      </c>
      <c r="B212">
        <v>2</v>
      </c>
      <c r="C212">
        <v>1</v>
      </c>
      <c r="D212">
        <v>2</v>
      </c>
      <c r="E212">
        <v>2015</v>
      </c>
      <c r="F212">
        <v>6</v>
      </c>
      <c r="G212">
        <v>1</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1</v>
      </c>
      <c r="AE212">
        <v>0</v>
      </c>
      <c r="AF212">
        <v>0</v>
      </c>
      <c r="AG212">
        <v>0</v>
      </c>
      <c r="AH212">
        <v>0</v>
      </c>
      <c r="AI212">
        <v>0</v>
      </c>
      <c r="AJ212">
        <v>0</v>
      </c>
      <c r="AK212">
        <v>0</v>
      </c>
      <c r="AL212">
        <v>0</v>
      </c>
      <c r="AM212">
        <v>0</v>
      </c>
      <c r="AN212">
        <v>0</v>
      </c>
      <c r="AO212">
        <v>0</v>
      </c>
      <c r="AP212">
        <v>0</v>
      </c>
      <c r="AQ212">
        <v>0</v>
      </c>
      <c r="AR212">
        <v>0</v>
      </c>
      <c r="AS212">
        <v>0</v>
      </c>
      <c r="AT212">
        <v>0</v>
      </c>
      <c r="AU212">
        <v>0</v>
      </c>
      <c r="AV212">
        <v>0</v>
      </c>
    </row>
    <row r="213" spans="1:48" ht="15.75" customHeight="1" x14ac:dyDescent="0.25">
      <c r="A213">
        <v>1</v>
      </c>
      <c r="B213">
        <v>2</v>
      </c>
      <c r="C213">
        <v>1</v>
      </c>
      <c r="D213">
        <v>2</v>
      </c>
      <c r="E213">
        <v>2016</v>
      </c>
      <c r="F213">
        <v>1</v>
      </c>
      <c r="G213">
        <v>3</v>
      </c>
      <c r="H213">
        <v>0</v>
      </c>
      <c r="I213">
        <v>0</v>
      </c>
      <c r="J213">
        <v>0</v>
      </c>
      <c r="K213">
        <v>0</v>
      </c>
      <c r="L213">
        <v>0</v>
      </c>
      <c r="M213">
        <v>0</v>
      </c>
      <c r="N213">
        <v>0</v>
      </c>
      <c r="O213">
        <v>0</v>
      </c>
      <c r="P213">
        <v>0</v>
      </c>
      <c r="Q213">
        <v>0</v>
      </c>
      <c r="R213">
        <v>0</v>
      </c>
      <c r="S213">
        <v>0</v>
      </c>
      <c r="T213">
        <v>0</v>
      </c>
      <c r="U213">
        <v>0</v>
      </c>
      <c r="V213">
        <v>0</v>
      </c>
      <c r="W213">
        <v>2</v>
      </c>
      <c r="X213">
        <v>0</v>
      </c>
      <c r="Y213">
        <v>1</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row>
    <row r="214" spans="1:48" ht="15.75" customHeight="1" x14ac:dyDescent="0.25">
      <c r="A214">
        <v>1</v>
      </c>
      <c r="B214">
        <v>2</v>
      </c>
      <c r="C214">
        <v>1</v>
      </c>
      <c r="D214">
        <v>2</v>
      </c>
      <c r="E214">
        <v>2016</v>
      </c>
      <c r="F214">
        <v>4</v>
      </c>
      <c r="G214">
        <v>1</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1</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row>
    <row r="215" spans="1:48" ht="15.75" customHeight="1" x14ac:dyDescent="0.25">
      <c r="A215">
        <v>1</v>
      </c>
      <c r="B215">
        <v>2</v>
      </c>
      <c r="C215">
        <v>1</v>
      </c>
      <c r="D215">
        <v>2</v>
      </c>
      <c r="E215">
        <v>2017</v>
      </c>
      <c r="F215">
        <v>1</v>
      </c>
      <c r="G215">
        <v>1</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1</v>
      </c>
      <c r="AN215">
        <v>0</v>
      </c>
      <c r="AO215">
        <v>0</v>
      </c>
      <c r="AP215">
        <v>0</v>
      </c>
      <c r="AQ215">
        <v>0</v>
      </c>
      <c r="AR215">
        <v>0</v>
      </c>
      <c r="AS215">
        <v>0</v>
      </c>
      <c r="AT215">
        <v>0</v>
      </c>
      <c r="AU215">
        <v>0</v>
      </c>
      <c r="AV215">
        <v>0</v>
      </c>
    </row>
    <row r="216" spans="1:48" ht="15.75" customHeight="1" x14ac:dyDescent="0.25">
      <c r="A216">
        <v>1</v>
      </c>
      <c r="B216">
        <v>2</v>
      </c>
      <c r="C216">
        <v>1</v>
      </c>
      <c r="D216">
        <v>2</v>
      </c>
      <c r="E216">
        <v>2017</v>
      </c>
      <c r="F216">
        <v>3</v>
      </c>
      <c r="G216">
        <v>3</v>
      </c>
      <c r="H216">
        <v>0</v>
      </c>
      <c r="I216">
        <v>0</v>
      </c>
      <c r="J216">
        <v>0</v>
      </c>
      <c r="K216">
        <v>0</v>
      </c>
      <c r="L216">
        <v>0</v>
      </c>
      <c r="M216">
        <v>0</v>
      </c>
      <c r="N216">
        <v>0</v>
      </c>
      <c r="O216">
        <v>0</v>
      </c>
      <c r="P216">
        <v>0</v>
      </c>
      <c r="Q216">
        <v>0</v>
      </c>
      <c r="R216">
        <v>0</v>
      </c>
      <c r="S216">
        <v>0</v>
      </c>
      <c r="T216">
        <v>0</v>
      </c>
      <c r="U216">
        <v>1</v>
      </c>
      <c r="V216">
        <v>1</v>
      </c>
      <c r="W216">
        <v>0</v>
      </c>
      <c r="X216">
        <v>1</v>
      </c>
      <c r="Y216">
        <v>0</v>
      </c>
      <c r="Z216">
        <v>0</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row>
    <row r="217" spans="1:48" ht="15.75" customHeight="1" x14ac:dyDescent="0.25">
      <c r="A217">
        <v>1</v>
      </c>
      <c r="B217">
        <v>2</v>
      </c>
      <c r="C217">
        <v>1</v>
      </c>
      <c r="D217">
        <v>2</v>
      </c>
      <c r="E217">
        <v>2017</v>
      </c>
      <c r="F217">
        <v>4</v>
      </c>
      <c r="G217">
        <v>1</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1</v>
      </c>
      <c r="AH217">
        <v>0</v>
      </c>
      <c r="AI217">
        <v>0</v>
      </c>
      <c r="AJ217">
        <v>0</v>
      </c>
      <c r="AK217">
        <v>0</v>
      </c>
      <c r="AL217">
        <v>0</v>
      </c>
      <c r="AM217">
        <v>0</v>
      </c>
      <c r="AN217">
        <v>0</v>
      </c>
      <c r="AO217">
        <v>0</v>
      </c>
      <c r="AP217">
        <v>0</v>
      </c>
      <c r="AQ217">
        <v>0</v>
      </c>
      <c r="AR217">
        <v>0</v>
      </c>
      <c r="AS217">
        <v>0</v>
      </c>
      <c r="AT217">
        <v>0</v>
      </c>
      <c r="AU217">
        <v>0</v>
      </c>
      <c r="AV217">
        <v>0</v>
      </c>
    </row>
    <row r="218" spans="1:48" ht="15.75" customHeight="1" x14ac:dyDescent="0.25">
      <c r="A218">
        <v>1</v>
      </c>
      <c r="B218">
        <v>2</v>
      </c>
      <c r="C218">
        <v>1</v>
      </c>
      <c r="D218">
        <v>2</v>
      </c>
      <c r="E218">
        <v>2018</v>
      </c>
      <c r="F218">
        <v>1</v>
      </c>
      <c r="G218">
        <v>2</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c r="AL218">
        <v>1</v>
      </c>
      <c r="AM218">
        <v>1</v>
      </c>
      <c r="AN218">
        <v>0</v>
      </c>
      <c r="AO218">
        <v>0</v>
      </c>
      <c r="AP218">
        <v>0</v>
      </c>
      <c r="AQ218">
        <v>0</v>
      </c>
      <c r="AR218">
        <v>0</v>
      </c>
      <c r="AS218">
        <v>0</v>
      </c>
      <c r="AT218">
        <v>0</v>
      </c>
      <c r="AU218">
        <v>0</v>
      </c>
      <c r="AV218">
        <v>0</v>
      </c>
    </row>
    <row r="219" spans="1:48" ht="15.75" customHeight="1" x14ac:dyDescent="0.25">
      <c r="A219">
        <v>1</v>
      </c>
      <c r="B219">
        <v>2</v>
      </c>
      <c r="C219">
        <v>2</v>
      </c>
      <c r="D219">
        <v>1</v>
      </c>
      <c r="E219">
        <v>2004</v>
      </c>
      <c r="F219">
        <v>2</v>
      </c>
      <c r="G219">
        <v>1</v>
      </c>
      <c r="H219">
        <v>0</v>
      </c>
      <c r="I219">
        <v>0</v>
      </c>
      <c r="J219">
        <v>0</v>
      </c>
      <c r="K219">
        <v>0</v>
      </c>
      <c r="L219">
        <v>0</v>
      </c>
      <c r="M219">
        <v>0</v>
      </c>
      <c r="N219">
        <v>0</v>
      </c>
      <c r="O219">
        <v>0</v>
      </c>
      <c r="P219">
        <v>0</v>
      </c>
      <c r="Q219">
        <v>0</v>
      </c>
      <c r="R219">
        <v>0</v>
      </c>
      <c r="S219">
        <v>0</v>
      </c>
      <c r="T219">
        <v>0</v>
      </c>
      <c r="U219">
        <v>0</v>
      </c>
      <c r="V219">
        <v>0</v>
      </c>
      <c r="W219">
        <v>0</v>
      </c>
      <c r="X219">
        <v>0</v>
      </c>
      <c r="Y219">
        <v>1</v>
      </c>
      <c r="Z219">
        <v>0</v>
      </c>
      <c r="AA219">
        <v>0</v>
      </c>
      <c r="AB219">
        <v>0</v>
      </c>
      <c r="AC219">
        <v>0</v>
      </c>
      <c r="AD219">
        <v>0</v>
      </c>
      <c r="AE219">
        <v>0</v>
      </c>
      <c r="AF219">
        <v>0</v>
      </c>
      <c r="AG219">
        <v>0</v>
      </c>
      <c r="AH219">
        <v>0</v>
      </c>
      <c r="AI219">
        <v>0</v>
      </c>
      <c r="AJ219">
        <v>0</v>
      </c>
      <c r="AK219">
        <v>0</v>
      </c>
      <c r="AL219">
        <v>0</v>
      </c>
      <c r="AM219">
        <v>0</v>
      </c>
      <c r="AN219">
        <v>0</v>
      </c>
      <c r="AO219">
        <v>0</v>
      </c>
      <c r="AP219">
        <v>0</v>
      </c>
      <c r="AQ219">
        <v>0</v>
      </c>
      <c r="AR219">
        <v>0</v>
      </c>
      <c r="AS219">
        <v>0</v>
      </c>
      <c r="AT219">
        <v>0</v>
      </c>
      <c r="AU219">
        <v>0</v>
      </c>
      <c r="AV219">
        <v>0</v>
      </c>
    </row>
    <row r="220" spans="1:48" ht="15.75" customHeight="1" x14ac:dyDescent="0.25">
      <c r="A220">
        <v>1</v>
      </c>
      <c r="B220">
        <v>2</v>
      </c>
      <c r="C220">
        <v>2</v>
      </c>
      <c r="D220">
        <v>1</v>
      </c>
      <c r="E220">
        <v>2004</v>
      </c>
      <c r="F220">
        <v>3</v>
      </c>
      <c r="G220">
        <v>4</v>
      </c>
      <c r="H220">
        <v>0</v>
      </c>
      <c r="I220">
        <v>0</v>
      </c>
      <c r="J220">
        <v>0</v>
      </c>
      <c r="K220">
        <v>0</v>
      </c>
      <c r="L220">
        <v>0</v>
      </c>
      <c r="M220">
        <v>0</v>
      </c>
      <c r="N220">
        <v>0</v>
      </c>
      <c r="O220">
        <v>0</v>
      </c>
      <c r="P220">
        <v>0</v>
      </c>
      <c r="Q220">
        <v>0</v>
      </c>
      <c r="R220">
        <v>0</v>
      </c>
      <c r="S220">
        <v>0</v>
      </c>
      <c r="T220">
        <v>0</v>
      </c>
      <c r="U220">
        <v>0</v>
      </c>
      <c r="V220">
        <v>1</v>
      </c>
      <c r="W220">
        <v>0</v>
      </c>
      <c r="X220">
        <v>0</v>
      </c>
      <c r="Y220">
        <v>0</v>
      </c>
      <c r="Z220">
        <v>1</v>
      </c>
      <c r="AA220">
        <v>0</v>
      </c>
      <c r="AB220">
        <v>2</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row>
    <row r="221" spans="1:48" ht="15.75" customHeight="1" x14ac:dyDescent="0.25">
      <c r="A221">
        <v>1</v>
      </c>
      <c r="B221">
        <v>2</v>
      </c>
      <c r="C221">
        <v>2</v>
      </c>
      <c r="D221">
        <v>1</v>
      </c>
      <c r="E221">
        <v>2007</v>
      </c>
      <c r="F221">
        <v>2</v>
      </c>
      <c r="G221">
        <v>1</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1</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row>
    <row r="222" spans="1:48" ht="15.75" customHeight="1" x14ac:dyDescent="0.25">
      <c r="A222">
        <v>1</v>
      </c>
      <c r="B222">
        <v>2</v>
      </c>
      <c r="C222">
        <v>2</v>
      </c>
      <c r="D222">
        <v>1</v>
      </c>
      <c r="E222">
        <v>2012</v>
      </c>
      <c r="F222">
        <v>6</v>
      </c>
      <c r="G222">
        <v>1</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1</v>
      </c>
      <c r="AD222">
        <v>0</v>
      </c>
      <c r="AE222">
        <v>0</v>
      </c>
      <c r="AF222">
        <v>0</v>
      </c>
      <c r="AG222">
        <v>0</v>
      </c>
      <c r="AH222">
        <v>0</v>
      </c>
      <c r="AI222">
        <v>0</v>
      </c>
      <c r="AJ222">
        <v>0</v>
      </c>
      <c r="AK222">
        <v>0</v>
      </c>
      <c r="AL222">
        <v>0</v>
      </c>
      <c r="AM222">
        <v>0</v>
      </c>
      <c r="AN222">
        <v>0</v>
      </c>
      <c r="AO222">
        <v>0</v>
      </c>
      <c r="AP222">
        <v>0</v>
      </c>
      <c r="AQ222">
        <v>0</v>
      </c>
      <c r="AR222">
        <v>0</v>
      </c>
      <c r="AS222">
        <v>0</v>
      </c>
      <c r="AT222">
        <v>0</v>
      </c>
      <c r="AU222">
        <v>0</v>
      </c>
      <c r="AV222">
        <v>0</v>
      </c>
    </row>
    <row r="223" spans="1:48" ht="15.75" customHeight="1" x14ac:dyDescent="0.25">
      <c r="A223">
        <v>1</v>
      </c>
      <c r="B223">
        <v>2</v>
      </c>
      <c r="C223">
        <v>2</v>
      </c>
      <c r="D223">
        <v>1</v>
      </c>
      <c r="E223">
        <v>2013</v>
      </c>
      <c r="F223">
        <v>3</v>
      </c>
      <c r="G223">
        <v>4</v>
      </c>
      <c r="H223">
        <v>0</v>
      </c>
      <c r="I223">
        <v>0</v>
      </c>
      <c r="J223">
        <v>0</v>
      </c>
      <c r="K223">
        <v>0</v>
      </c>
      <c r="L223">
        <v>0</v>
      </c>
      <c r="M223">
        <v>0</v>
      </c>
      <c r="N223">
        <v>0</v>
      </c>
      <c r="O223">
        <v>0</v>
      </c>
      <c r="P223">
        <v>0</v>
      </c>
      <c r="Q223">
        <v>0</v>
      </c>
      <c r="R223">
        <v>0</v>
      </c>
      <c r="S223">
        <v>0</v>
      </c>
      <c r="T223">
        <v>0</v>
      </c>
      <c r="U223">
        <v>1</v>
      </c>
      <c r="V223">
        <v>0</v>
      </c>
      <c r="W223">
        <v>0</v>
      </c>
      <c r="X223">
        <v>0</v>
      </c>
      <c r="Y223">
        <v>0</v>
      </c>
      <c r="Z223">
        <v>0</v>
      </c>
      <c r="AA223">
        <v>0</v>
      </c>
      <c r="AB223">
        <v>1</v>
      </c>
      <c r="AC223">
        <v>0</v>
      </c>
      <c r="AD223">
        <v>0</v>
      </c>
      <c r="AE223">
        <v>0</v>
      </c>
      <c r="AF223">
        <v>0</v>
      </c>
      <c r="AG223">
        <v>0</v>
      </c>
      <c r="AH223">
        <v>0</v>
      </c>
      <c r="AI223">
        <v>0</v>
      </c>
      <c r="AJ223">
        <v>0</v>
      </c>
      <c r="AK223">
        <v>0</v>
      </c>
      <c r="AL223">
        <v>0</v>
      </c>
      <c r="AM223">
        <v>0</v>
      </c>
      <c r="AN223">
        <v>0</v>
      </c>
      <c r="AO223">
        <v>1</v>
      </c>
      <c r="AP223">
        <v>1</v>
      </c>
      <c r="AQ223">
        <v>0</v>
      </c>
      <c r="AR223">
        <v>0</v>
      </c>
      <c r="AS223">
        <v>0</v>
      </c>
      <c r="AT223">
        <v>0</v>
      </c>
      <c r="AU223">
        <v>0</v>
      </c>
      <c r="AV223">
        <v>0</v>
      </c>
    </row>
    <row r="224" spans="1:48" ht="15.75" customHeight="1" x14ac:dyDescent="0.25">
      <c r="A224">
        <v>1</v>
      </c>
      <c r="B224">
        <v>2</v>
      </c>
      <c r="C224">
        <v>2</v>
      </c>
      <c r="D224">
        <v>1</v>
      </c>
      <c r="E224">
        <v>2014</v>
      </c>
      <c r="F224">
        <v>2</v>
      </c>
      <c r="G224">
        <v>2</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1</v>
      </c>
      <c r="AH224">
        <v>1</v>
      </c>
      <c r="AI224">
        <v>0</v>
      </c>
      <c r="AJ224">
        <v>0</v>
      </c>
      <c r="AK224">
        <v>0</v>
      </c>
      <c r="AL224">
        <v>0</v>
      </c>
      <c r="AM224">
        <v>0</v>
      </c>
      <c r="AN224">
        <v>0</v>
      </c>
      <c r="AO224">
        <v>0</v>
      </c>
      <c r="AP224">
        <v>0</v>
      </c>
      <c r="AQ224">
        <v>0</v>
      </c>
      <c r="AR224">
        <v>0</v>
      </c>
      <c r="AS224">
        <v>0</v>
      </c>
      <c r="AT224">
        <v>0</v>
      </c>
      <c r="AU224">
        <v>0</v>
      </c>
      <c r="AV224">
        <v>0</v>
      </c>
    </row>
    <row r="225" spans="1:48" ht="15.75" customHeight="1" x14ac:dyDescent="0.25">
      <c r="A225">
        <v>1</v>
      </c>
      <c r="B225">
        <v>2</v>
      </c>
      <c r="C225">
        <v>2</v>
      </c>
      <c r="D225">
        <v>1</v>
      </c>
      <c r="E225">
        <v>2014</v>
      </c>
      <c r="F225">
        <v>3</v>
      </c>
      <c r="G225">
        <v>1</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1</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0</v>
      </c>
    </row>
    <row r="226" spans="1:48" ht="15.75" customHeight="1" x14ac:dyDescent="0.25">
      <c r="A226">
        <v>1</v>
      </c>
      <c r="B226">
        <v>2</v>
      </c>
      <c r="C226">
        <v>2</v>
      </c>
      <c r="D226">
        <v>1</v>
      </c>
      <c r="E226">
        <v>2014</v>
      </c>
      <c r="F226">
        <v>4</v>
      </c>
      <c r="G226">
        <v>1</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1</v>
      </c>
      <c r="AH226">
        <v>0</v>
      </c>
      <c r="AI226">
        <v>0</v>
      </c>
      <c r="AJ226">
        <v>0</v>
      </c>
      <c r="AK226">
        <v>0</v>
      </c>
      <c r="AL226">
        <v>0</v>
      </c>
      <c r="AM226">
        <v>0</v>
      </c>
      <c r="AN226">
        <v>0</v>
      </c>
      <c r="AO226">
        <v>0</v>
      </c>
      <c r="AP226">
        <v>0</v>
      </c>
      <c r="AQ226">
        <v>0</v>
      </c>
      <c r="AR226">
        <v>0</v>
      </c>
      <c r="AS226">
        <v>0</v>
      </c>
      <c r="AT226">
        <v>0</v>
      </c>
      <c r="AU226">
        <v>0</v>
      </c>
      <c r="AV226">
        <v>0</v>
      </c>
    </row>
    <row r="227" spans="1:48" ht="15.75" customHeight="1" x14ac:dyDescent="0.25">
      <c r="A227">
        <v>1</v>
      </c>
      <c r="B227">
        <v>2</v>
      </c>
      <c r="C227">
        <v>2</v>
      </c>
      <c r="D227">
        <v>1</v>
      </c>
      <c r="E227">
        <v>2015</v>
      </c>
      <c r="F227">
        <v>1</v>
      </c>
      <c r="G227">
        <v>1</v>
      </c>
      <c r="H227">
        <v>0</v>
      </c>
      <c r="I227">
        <v>0</v>
      </c>
      <c r="J227">
        <v>0</v>
      </c>
      <c r="K227">
        <v>0</v>
      </c>
      <c r="L227">
        <v>0</v>
      </c>
      <c r="M227">
        <v>0</v>
      </c>
      <c r="N227">
        <v>0</v>
      </c>
      <c r="O227">
        <v>0</v>
      </c>
      <c r="P227">
        <v>0</v>
      </c>
      <c r="Q227">
        <v>0</v>
      </c>
      <c r="R227">
        <v>0</v>
      </c>
      <c r="S227">
        <v>0</v>
      </c>
      <c r="T227">
        <v>0</v>
      </c>
      <c r="U227">
        <v>0</v>
      </c>
      <c r="V227">
        <v>0</v>
      </c>
      <c r="W227">
        <v>0</v>
      </c>
      <c r="X227">
        <v>0</v>
      </c>
      <c r="Y227">
        <v>0</v>
      </c>
      <c r="Z227">
        <v>0</v>
      </c>
      <c r="AA227">
        <v>0</v>
      </c>
      <c r="AB227">
        <v>1</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row>
    <row r="228" spans="1:48" ht="15.75" customHeight="1" x14ac:dyDescent="0.25">
      <c r="A228">
        <v>1</v>
      </c>
      <c r="B228">
        <v>2</v>
      </c>
      <c r="C228">
        <v>2</v>
      </c>
      <c r="D228">
        <v>1</v>
      </c>
      <c r="E228">
        <v>2015</v>
      </c>
      <c r="F228">
        <v>2</v>
      </c>
      <c r="G228">
        <v>3</v>
      </c>
      <c r="H228">
        <v>0</v>
      </c>
      <c r="I228">
        <v>0</v>
      </c>
      <c r="J228">
        <v>0</v>
      </c>
      <c r="K228">
        <v>0</v>
      </c>
      <c r="L228">
        <v>0</v>
      </c>
      <c r="M228">
        <v>0</v>
      </c>
      <c r="N228">
        <v>0</v>
      </c>
      <c r="O228">
        <v>0</v>
      </c>
      <c r="P228">
        <v>0</v>
      </c>
      <c r="Q228">
        <v>0</v>
      </c>
      <c r="R228">
        <v>0</v>
      </c>
      <c r="S228">
        <v>0</v>
      </c>
      <c r="T228">
        <v>0</v>
      </c>
      <c r="U228">
        <v>0</v>
      </c>
      <c r="V228">
        <v>1</v>
      </c>
      <c r="W228">
        <v>1</v>
      </c>
      <c r="X228">
        <v>0</v>
      </c>
      <c r="Y228">
        <v>0</v>
      </c>
      <c r="Z228">
        <v>0</v>
      </c>
      <c r="AA228">
        <v>0</v>
      </c>
      <c r="AB228">
        <v>0</v>
      </c>
      <c r="AC228">
        <v>0</v>
      </c>
      <c r="AD228">
        <v>0</v>
      </c>
      <c r="AE228">
        <v>0</v>
      </c>
      <c r="AF228">
        <v>0</v>
      </c>
      <c r="AG228">
        <v>0</v>
      </c>
      <c r="AH228">
        <v>0</v>
      </c>
      <c r="AI228">
        <v>0</v>
      </c>
      <c r="AJ228">
        <v>0</v>
      </c>
      <c r="AK228">
        <v>0</v>
      </c>
      <c r="AL228">
        <v>1</v>
      </c>
      <c r="AM228">
        <v>0</v>
      </c>
      <c r="AN228">
        <v>0</v>
      </c>
      <c r="AO228">
        <v>0</v>
      </c>
      <c r="AP228">
        <v>0</v>
      </c>
      <c r="AQ228">
        <v>0</v>
      </c>
      <c r="AR228">
        <v>0</v>
      </c>
      <c r="AS228">
        <v>0</v>
      </c>
      <c r="AT228">
        <v>0</v>
      </c>
      <c r="AU228">
        <v>0</v>
      </c>
      <c r="AV228">
        <v>0</v>
      </c>
    </row>
    <row r="229" spans="1:48" ht="15.75" customHeight="1" x14ac:dyDescent="0.25">
      <c r="A229">
        <v>1</v>
      </c>
      <c r="B229">
        <v>2</v>
      </c>
      <c r="C229">
        <v>2</v>
      </c>
      <c r="D229">
        <v>1</v>
      </c>
      <c r="E229">
        <v>2015</v>
      </c>
      <c r="F229">
        <v>3</v>
      </c>
      <c r="G229">
        <v>9</v>
      </c>
      <c r="H229">
        <v>0</v>
      </c>
      <c r="I229">
        <v>0</v>
      </c>
      <c r="J229">
        <v>0</v>
      </c>
      <c r="K229">
        <v>0</v>
      </c>
      <c r="L229">
        <v>0</v>
      </c>
      <c r="M229">
        <v>0</v>
      </c>
      <c r="N229">
        <v>0</v>
      </c>
      <c r="O229">
        <v>0</v>
      </c>
      <c r="P229">
        <v>0</v>
      </c>
      <c r="Q229">
        <v>0</v>
      </c>
      <c r="R229">
        <v>0</v>
      </c>
      <c r="S229">
        <v>0</v>
      </c>
      <c r="T229">
        <v>0</v>
      </c>
      <c r="U229">
        <v>0</v>
      </c>
      <c r="V229">
        <v>5</v>
      </c>
      <c r="W229">
        <v>1</v>
      </c>
      <c r="X229">
        <v>1</v>
      </c>
      <c r="Y229">
        <v>0</v>
      </c>
      <c r="Z229">
        <v>0</v>
      </c>
      <c r="AA229">
        <v>1</v>
      </c>
      <c r="AB229">
        <v>1</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row>
    <row r="230" spans="1:48" ht="15.75" customHeight="1" x14ac:dyDescent="0.25">
      <c r="A230">
        <v>1</v>
      </c>
      <c r="B230">
        <v>2</v>
      </c>
      <c r="C230">
        <v>2</v>
      </c>
      <c r="D230">
        <v>1</v>
      </c>
      <c r="E230">
        <v>2015</v>
      </c>
      <c r="F230">
        <v>4</v>
      </c>
      <c r="G230">
        <v>1</v>
      </c>
      <c r="H230">
        <v>0</v>
      </c>
      <c r="I230">
        <v>0</v>
      </c>
      <c r="J230">
        <v>0</v>
      </c>
      <c r="K230">
        <v>0</v>
      </c>
      <c r="L230">
        <v>0</v>
      </c>
      <c r="M230">
        <v>0</v>
      </c>
      <c r="N230">
        <v>0</v>
      </c>
      <c r="O230">
        <v>0</v>
      </c>
      <c r="P230">
        <v>0</v>
      </c>
      <c r="Q230">
        <v>0</v>
      </c>
      <c r="R230">
        <v>0</v>
      </c>
      <c r="S230">
        <v>0</v>
      </c>
      <c r="T230">
        <v>0</v>
      </c>
      <c r="U230">
        <v>0</v>
      </c>
      <c r="V230">
        <v>0</v>
      </c>
      <c r="W230">
        <v>0</v>
      </c>
      <c r="X230">
        <v>1</v>
      </c>
      <c r="Y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c r="AU230">
        <v>0</v>
      </c>
      <c r="AV230">
        <v>0</v>
      </c>
    </row>
    <row r="231" spans="1:48" ht="15.75" customHeight="1" x14ac:dyDescent="0.25">
      <c r="A231">
        <v>1</v>
      </c>
      <c r="B231">
        <v>2</v>
      </c>
      <c r="C231">
        <v>2</v>
      </c>
      <c r="D231">
        <v>1</v>
      </c>
      <c r="E231">
        <v>2015</v>
      </c>
      <c r="F231">
        <v>6</v>
      </c>
      <c r="G231">
        <v>1</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1</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row>
    <row r="232" spans="1:48" ht="15.75" customHeight="1" x14ac:dyDescent="0.25">
      <c r="A232">
        <v>1</v>
      </c>
      <c r="B232">
        <v>2</v>
      </c>
      <c r="C232">
        <v>2</v>
      </c>
      <c r="D232">
        <v>1</v>
      </c>
      <c r="E232">
        <v>2016</v>
      </c>
      <c r="F232">
        <v>1</v>
      </c>
      <c r="G232">
        <v>13</v>
      </c>
      <c r="H232">
        <v>0</v>
      </c>
      <c r="I232">
        <v>0</v>
      </c>
      <c r="J232">
        <v>0</v>
      </c>
      <c r="K232">
        <v>0</v>
      </c>
      <c r="L232">
        <v>0</v>
      </c>
      <c r="M232">
        <v>0</v>
      </c>
      <c r="N232">
        <v>0</v>
      </c>
      <c r="O232">
        <v>0</v>
      </c>
      <c r="P232">
        <v>0</v>
      </c>
      <c r="Q232">
        <v>0</v>
      </c>
      <c r="R232">
        <v>0</v>
      </c>
      <c r="S232">
        <v>0</v>
      </c>
      <c r="T232">
        <v>0</v>
      </c>
      <c r="U232">
        <v>1</v>
      </c>
      <c r="V232">
        <v>0</v>
      </c>
      <c r="W232">
        <v>0</v>
      </c>
      <c r="X232">
        <v>0</v>
      </c>
      <c r="Y232">
        <v>1</v>
      </c>
      <c r="Z232">
        <v>3</v>
      </c>
      <c r="AA232">
        <v>2</v>
      </c>
      <c r="AB232">
        <v>2</v>
      </c>
      <c r="AC232">
        <v>1</v>
      </c>
      <c r="AD232">
        <v>1</v>
      </c>
      <c r="AE232">
        <v>0</v>
      </c>
      <c r="AF232">
        <v>0</v>
      </c>
      <c r="AG232">
        <v>0</v>
      </c>
      <c r="AH232">
        <v>0</v>
      </c>
      <c r="AI232">
        <v>0</v>
      </c>
      <c r="AJ232">
        <v>0</v>
      </c>
      <c r="AK232">
        <v>1</v>
      </c>
      <c r="AL232">
        <v>1</v>
      </c>
      <c r="AM232">
        <v>0</v>
      </c>
      <c r="AN232">
        <v>0</v>
      </c>
      <c r="AO232">
        <v>0</v>
      </c>
      <c r="AP232">
        <v>0</v>
      </c>
      <c r="AQ232">
        <v>0</v>
      </c>
      <c r="AR232">
        <v>0</v>
      </c>
      <c r="AS232">
        <v>0</v>
      </c>
      <c r="AT232">
        <v>0</v>
      </c>
      <c r="AU232">
        <v>0</v>
      </c>
      <c r="AV232">
        <v>0</v>
      </c>
    </row>
    <row r="233" spans="1:48" ht="15.75" customHeight="1" x14ac:dyDescent="0.25">
      <c r="A233">
        <v>1</v>
      </c>
      <c r="B233">
        <v>2</v>
      </c>
      <c r="C233">
        <v>2</v>
      </c>
      <c r="D233">
        <v>1</v>
      </c>
      <c r="E233">
        <v>2016</v>
      </c>
      <c r="F233">
        <v>2</v>
      </c>
      <c r="G233">
        <v>5</v>
      </c>
      <c r="H233">
        <v>0</v>
      </c>
      <c r="I233">
        <v>0</v>
      </c>
      <c r="J233">
        <v>0</v>
      </c>
      <c r="K233">
        <v>0</v>
      </c>
      <c r="L233">
        <v>0</v>
      </c>
      <c r="M233">
        <v>0</v>
      </c>
      <c r="N233">
        <v>0</v>
      </c>
      <c r="O233">
        <v>0</v>
      </c>
      <c r="P233">
        <v>0</v>
      </c>
      <c r="Q233">
        <v>0</v>
      </c>
      <c r="R233">
        <v>0</v>
      </c>
      <c r="S233">
        <v>0</v>
      </c>
      <c r="T233">
        <v>0</v>
      </c>
      <c r="U233">
        <v>0</v>
      </c>
      <c r="V233">
        <v>0</v>
      </c>
      <c r="W233">
        <v>0</v>
      </c>
      <c r="X233">
        <v>0</v>
      </c>
      <c r="Y233">
        <v>1</v>
      </c>
      <c r="Z233">
        <v>0</v>
      </c>
      <c r="AA233">
        <v>0</v>
      </c>
      <c r="AB233">
        <v>0</v>
      </c>
      <c r="AC233">
        <v>1</v>
      </c>
      <c r="AD233">
        <v>0</v>
      </c>
      <c r="AE233">
        <v>1</v>
      </c>
      <c r="AF233">
        <v>0</v>
      </c>
      <c r="AG233">
        <v>0</v>
      </c>
      <c r="AH233">
        <v>0</v>
      </c>
      <c r="AI233">
        <v>2</v>
      </c>
      <c r="AJ233">
        <v>0</v>
      </c>
      <c r="AK233">
        <v>0</v>
      </c>
      <c r="AL233">
        <v>0</v>
      </c>
      <c r="AM233">
        <v>0</v>
      </c>
      <c r="AN233">
        <v>0</v>
      </c>
      <c r="AO233">
        <v>0</v>
      </c>
      <c r="AP233">
        <v>0</v>
      </c>
      <c r="AQ233">
        <v>0</v>
      </c>
      <c r="AR233">
        <v>0</v>
      </c>
      <c r="AS233">
        <v>0</v>
      </c>
      <c r="AT233">
        <v>0</v>
      </c>
      <c r="AU233">
        <v>0</v>
      </c>
      <c r="AV233">
        <v>0</v>
      </c>
    </row>
    <row r="234" spans="1:48" ht="15.75" customHeight="1" x14ac:dyDescent="0.25">
      <c r="A234">
        <v>1</v>
      </c>
      <c r="B234">
        <v>2</v>
      </c>
      <c r="C234">
        <v>2</v>
      </c>
      <c r="D234">
        <v>1</v>
      </c>
      <c r="E234">
        <v>2016</v>
      </c>
      <c r="F234">
        <v>3</v>
      </c>
      <c r="G234">
        <v>12</v>
      </c>
      <c r="H234">
        <v>0</v>
      </c>
      <c r="I234">
        <v>0</v>
      </c>
      <c r="J234">
        <v>0</v>
      </c>
      <c r="K234">
        <v>0</v>
      </c>
      <c r="L234">
        <v>0</v>
      </c>
      <c r="M234">
        <v>0</v>
      </c>
      <c r="N234">
        <v>0</v>
      </c>
      <c r="O234">
        <v>0</v>
      </c>
      <c r="P234">
        <v>0</v>
      </c>
      <c r="Q234">
        <v>0</v>
      </c>
      <c r="R234">
        <v>0</v>
      </c>
      <c r="S234">
        <v>0</v>
      </c>
      <c r="T234">
        <v>0</v>
      </c>
      <c r="U234">
        <v>0</v>
      </c>
      <c r="V234">
        <v>0</v>
      </c>
      <c r="W234">
        <v>1</v>
      </c>
      <c r="X234">
        <v>1</v>
      </c>
      <c r="Y234">
        <v>0</v>
      </c>
      <c r="Z234">
        <v>1</v>
      </c>
      <c r="AA234">
        <v>2</v>
      </c>
      <c r="AB234">
        <v>1</v>
      </c>
      <c r="AC234">
        <v>3</v>
      </c>
      <c r="AD234">
        <v>0</v>
      </c>
      <c r="AE234">
        <v>0</v>
      </c>
      <c r="AF234">
        <v>1</v>
      </c>
      <c r="AG234">
        <v>1</v>
      </c>
      <c r="AH234">
        <v>0</v>
      </c>
      <c r="AI234">
        <v>0</v>
      </c>
      <c r="AJ234">
        <v>0</v>
      </c>
      <c r="AK234">
        <v>0</v>
      </c>
      <c r="AL234">
        <v>1</v>
      </c>
      <c r="AM234">
        <v>0</v>
      </c>
      <c r="AN234">
        <v>0</v>
      </c>
      <c r="AO234">
        <v>0</v>
      </c>
      <c r="AP234">
        <v>0</v>
      </c>
      <c r="AQ234">
        <v>0</v>
      </c>
      <c r="AR234">
        <v>0</v>
      </c>
      <c r="AS234">
        <v>0</v>
      </c>
      <c r="AT234">
        <v>0</v>
      </c>
      <c r="AU234">
        <v>0</v>
      </c>
      <c r="AV234">
        <v>0</v>
      </c>
    </row>
    <row r="235" spans="1:48" ht="15.75" customHeight="1" x14ac:dyDescent="0.25">
      <c r="A235">
        <v>1</v>
      </c>
      <c r="B235">
        <v>2</v>
      </c>
      <c r="C235">
        <v>2</v>
      </c>
      <c r="D235">
        <v>1</v>
      </c>
      <c r="E235">
        <v>2016</v>
      </c>
      <c r="F235">
        <v>4</v>
      </c>
      <c r="G235">
        <v>12</v>
      </c>
      <c r="H235">
        <v>0</v>
      </c>
      <c r="I235">
        <v>0</v>
      </c>
      <c r="J235">
        <v>0</v>
      </c>
      <c r="K235">
        <v>0</v>
      </c>
      <c r="L235">
        <v>0</v>
      </c>
      <c r="M235">
        <v>0</v>
      </c>
      <c r="N235">
        <v>0</v>
      </c>
      <c r="O235">
        <v>0</v>
      </c>
      <c r="P235">
        <v>0</v>
      </c>
      <c r="Q235">
        <v>0</v>
      </c>
      <c r="R235">
        <v>0</v>
      </c>
      <c r="S235">
        <v>0</v>
      </c>
      <c r="T235">
        <v>0</v>
      </c>
      <c r="U235">
        <v>0</v>
      </c>
      <c r="V235">
        <v>1</v>
      </c>
      <c r="W235">
        <v>1</v>
      </c>
      <c r="X235">
        <v>1</v>
      </c>
      <c r="Y235">
        <v>2</v>
      </c>
      <c r="Z235">
        <v>0</v>
      </c>
      <c r="AA235">
        <v>1</v>
      </c>
      <c r="AB235">
        <v>0</v>
      </c>
      <c r="AC235">
        <v>2</v>
      </c>
      <c r="AD235">
        <v>0</v>
      </c>
      <c r="AE235">
        <v>2</v>
      </c>
      <c r="AF235">
        <v>0</v>
      </c>
      <c r="AG235">
        <v>0</v>
      </c>
      <c r="AH235">
        <v>1</v>
      </c>
      <c r="AI235">
        <v>0</v>
      </c>
      <c r="AJ235">
        <v>0</v>
      </c>
      <c r="AK235">
        <v>0</v>
      </c>
      <c r="AL235">
        <v>1</v>
      </c>
      <c r="AM235">
        <v>0</v>
      </c>
      <c r="AN235">
        <v>0</v>
      </c>
      <c r="AO235">
        <v>0</v>
      </c>
      <c r="AP235">
        <v>0</v>
      </c>
      <c r="AQ235">
        <v>0</v>
      </c>
      <c r="AR235">
        <v>0</v>
      </c>
      <c r="AS235">
        <v>0</v>
      </c>
      <c r="AT235">
        <v>0</v>
      </c>
      <c r="AU235">
        <v>0</v>
      </c>
      <c r="AV235">
        <v>0</v>
      </c>
    </row>
    <row r="236" spans="1:48" ht="15.75" customHeight="1" x14ac:dyDescent="0.25">
      <c r="A236">
        <v>1</v>
      </c>
      <c r="B236">
        <v>2</v>
      </c>
      <c r="C236">
        <v>2</v>
      </c>
      <c r="D236">
        <v>1</v>
      </c>
      <c r="E236">
        <v>2016</v>
      </c>
      <c r="F236">
        <v>5</v>
      </c>
      <c r="G236">
        <v>6</v>
      </c>
      <c r="H236">
        <v>0</v>
      </c>
      <c r="I236">
        <v>0</v>
      </c>
      <c r="J236">
        <v>0</v>
      </c>
      <c r="K236">
        <v>0</v>
      </c>
      <c r="L236">
        <v>0</v>
      </c>
      <c r="M236">
        <v>0</v>
      </c>
      <c r="N236">
        <v>0</v>
      </c>
      <c r="O236">
        <v>0</v>
      </c>
      <c r="P236">
        <v>0</v>
      </c>
      <c r="Q236">
        <v>0</v>
      </c>
      <c r="R236">
        <v>0</v>
      </c>
      <c r="S236">
        <v>0</v>
      </c>
      <c r="T236">
        <v>1</v>
      </c>
      <c r="U236">
        <v>0</v>
      </c>
      <c r="V236">
        <v>1</v>
      </c>
      <c r="W236">
        <v>0</v>
      </c>
      <c r="X236">
        <v>1</v>
      </c>
      <c r="Y236">
        <v>0</v>
      </c>
      <c r="Z236">
        <v>0</v>
      </c>
      <c r="AA236">
        <v>0</v>
      </c>
      <c r="AB236">
        <v>0</v>
      </c>
      <c r="AC236">
        <v>1</v>
      </c>
      <c r="AD236">
        <v>0</v>
      </c>
      <c r="AE236">
        <v>0</v>
      </c>
      <c r="AF236">
        <v>1</v>
      </c>
      <c r="AG236">
        <v>0</v>
      </c>
      <c r="AH236">
        <v>0</v>
      </c>
      <c r="AI236">
        <v>0</v>
      </c>
      <c r="AJ236">
        <v>0</v>
      </c>
      <c r="AK236">
        <v>1</v>
      </c>
      <c r="AL236">
        <v>0</v>
      </c>
      <c r="AM236">
        <v>0</v>
      </c>
      <c r="AN236">
        <v>0</v>
      </c>
      <c r="AO236">
        <v>0</v>
      </c>
      <c r="AP236">
        <v>0</v>
      </c>
      <c r="AQ236">
        <v>0</v>
      </c>
      <c r="AR236">
        <v>0</v>
      </c>
      <c r="AS236">
        <v>0</v>
      </c>
      <c r="AT236">
        <v>0</v>
      </c>
      <c r="AU236">
        <v>0</v>
      </c>
      <c r="AV236">
        <v>0</v>
      </c>
    </row>
    <row r="237" spans="1:48" ht="15.75" customHeight="1" x14ac:dyDescent="0.25">
      <c r="A237">
        <v>1</v>
      </c>
      <c r="B237">
        <v>2</v>
      </c>
      <c r="C237">
        <v>2</v>
      </c>
      <c r="D237">
        <v>1</v>
      </c>
      <c r="E237">
        <v>2016</v>
      </c>
      <c r="F237">
        <v>6</v>
      </c>
      <c r="G237">
        <v>2</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1</v>
      </c>
      <c r="AC237">
        <v>0</v>
      </c>
      <c r="AD237">
        <v>1</v>
      </c>
      <c r="AE237">
        <v>0</v>
      </c>
      <c r="AF237">
        <v>0</v>
      </c>
      <c r="AG237">
        <v>0</v>
      </c>
      <c r="AH237">
        <v>0</v>
      </c>
      <c r="AI237">
        <v>0</v>
      </c>
      <c r="AJ237">
        <v>0</v>
      </c>
      <c r="AK237">
        <v>0</v>
      </c>
      <c r="AL237">
        <v>0</v>
      </c>
      <c r="AM237">
        <v>0</v>
      </c>
      <c r="AN237">
        <v>0</v>
      </c>
      <c r="AO237">
        <v>0</v>
      </c>
      <c r="AP237">
        <v>0</v>
      </c>
      <c r="AQ237">
        <v>0</v>
      </c>
      <c r="AR237">
        <v>0</v>
      </c>
      <c r="AS237">
        <v>0</v>
      </c>
      <c r="AT237">
        <v>0</v>
      </c>
      <c r="AU237">
        <v>0</v>
      </c>
      <c r="AV237">
        <v>0</v>
      </c>
    </row>
    <row r="238" spans="1:48" ht="15.75" customHeight="1" x14ac:dyDescent="0.25">
      <c r="A238">
        <v>1</v>
      </c>
      <c r="B238">
        <v>2</v>
      </c>
      <c r="C238">
        <v>2</v>
      </c>
      <c r="D238">
        <v>1</v>
      </c>
      <c r="E238">
        <v>2017</v>
      </c>
      <c r="F238">
        <v>1</v>
      </c>
      <c r="G238">
        <v>11</v>
      </c>
      <c r="H238">
        <v>0</v>
      </c>
      <c r="I238">
        <v>0</v>
      </c>
      <c r="J238">
        <v>0</v>
      </c>
      <c r="K238">
        <v>0</v>
      </c>
      <c r="L238">
        <v>0</v>
      </c>
      <c r="M238">
        <v>0</v>
      </c>
      <c r="N238">
        <v>0</v>
      </c>
      <c r="O238">
        <v>0</v>
      </c>
      <c r="P238">
        <v>0</v>
      </c>
      <c r="Q238">
        <v>0</v>
      </c>
      <c r="R238">
        <v>0</v>
      </c>
      <c r="S238">
        <v>0</v>
      </c>
      <c r="T238">
        <v>0</v>
      </c>
      <c r="U238">
        <v>0</v>
      </c>
      <c r="V238">
        <v>2</v>
      </c>
      <c r="W238">
        <v>0</v>
      </c>
      <c r="X238">
        <v>3</v>
      </c>
      <c r="Y238">
        <v>1</v>
      </c>
      <c r="Z238">
        <v>0</v>
      </c>
      <c r="AA238">
        <v>0</v>
      </c>
      <c r="AB238">
        <v>2</v>
      </c>
      <c r="AC238">
        <v>1</v>
      </c>
      <c r="AD238">
        <v>2</v>
      </c>
      <c r="AE238">
        <v>0</v>
      </c>
      <c r="AF238">
        <v>0</v>
      </c>
      <c r="AG238">
        <v>0</v>
      </c>
      <c r="AH238">
        <v>0</v>
      </c>
      <c r="AI238">
        <v>0</v>
      </c>
      <c r="AJ238">
        <v>0</v>
      </c>
      <c r="AK238">
        <v>0</v>
      </c>
      <c r="AL238">
        <v>0</v>
      </c>
      <c r="AM238">
        <v>0</v>
      </c>
      <c r="AN238">
        <v>0</v>
      </c>
      <c r="AO238">
        <v>0</v>
      </c>
      <c r="AP238">
        <v>0</v>
      </c>
      <c r="AQ238">
        <v>0</v>
      </c>
      <c r="AR238">
        <v>0</v>
      </c>
      <c r="AS238">
        <v>0</v>
      </c>
      <c r="AT238">
        <v>0</v>
      </c>
      <c r="AU238">
        <v>0</v>
      </c>
      <c r="AV238">
        <v>0</v>
      </c>
    </row>
    <row r="239" spans="1:48" ht="15.75" customHeight="1" x14ac:dyDescent="0.25">
      <c r="A239">
        <v>1</v>
      </c>
      <c r="B239">
        <v>2</v>
      </c>
      <c r="C239">
        <v>2</v>
      </c>
      <c r="D239">
        <v>1</v>
      </c>
      <c r="E239">
        <v>2017</v>
      </c>
      <c r="F239">
        <v>2</v>
      </c>
      <c r="G239">
        <v>13</v>
      </c>
      <c r="H239">
        <v>0</v>
      </c>
      <c r="I239">
        <v>0</v>
      </c>
      <c r="J239">
        <v>0</v>
      </c>
      <c r="K239">
        <v>0</v>
      </c>
      <c r="L239">
        <v>0</v>
      </c>
      <c r="M239">
        <v>0</v>
      </c>
      <c r="N239">
        <v>0</v>
      </c>
      <c r="O239">
        <v>0</v>
      </c>
      <c r="P239">
        <v>0</v>
      </c>
      <c r="Q239">
        <v>0</v>
      </c>
      <c r="R239">
        <v>0</v>
      </c>
      <c r="S239">
        <v>0</v>
      </c>
      <c r="T239">
        <v>0</v>
      </c>
      <c r="U239">
        <v>0</v>
      </c>
      <c r="V239">
        <v>0</v>
      </c>
      <c r="W239">
        <v>0</v>
      </c>
      <c r="X239">
        <v>0</v>
      </c>
      <c r="Y239">
        <v>2</v>
      </c>
      <c r="Z239">
        <v>1</v>
      </c>
      <c r="AA239">
        <v>0</v>
      </c>
      <c r="AB239">
        <v>1</v>
      </c>
      <c r="AC239">
        <v>0</v>
      </c>
      <c r="AD239">
        <v>0</v>
      </c>
      <c r="AE239">
        <v>1</v>
      </c>
      <c r="AF239">
        <v>1</v>
      </c>
      <c r="AG239">
        <v>1</v>
      </c>
      <c r="AH239">
        <v>0</v>
      </c>
      <c r="AI239">
        <v>0</v>
      </c>
      <c r="AJ239">
        <v>0</v>
      </c>
      <c r="AK239">
        <v>1</v>
      </c>
      <c r="AL239">
        <v>1</v>
      </c>
      <c r="AM239">
        <v>2</v>
      </c>
      <c r="AN239">
        <v>1</v>
      </c>
      <c r="AO239">
        <v>1</v>
      </c>
      <c r="AP239">
        <v>0</v>
      </c>
      <c r="AQ239">
        <v>0</v>
      </c>
      <c r="AR239">
        <v>0</v>
      </c>
      <c r="AS239">
        <v>0</v>
      </c>
      <c r="AT239">
        <v>0</v>
      </c>
      <c r="AU239">
        <v>0</v>
      </c>
      <c r="AV239">
        <v>0</v>
      </c>
    </row>
    <row r="240" spans="1:48" ht="15.75" customHeight="1" x14ac:dyDescent="0.25">
      <c r="A240">
        <v>1</v>
      </c>
      <c r="B240">
        <v>2</v>
      </c>
      <c r="C240">
        <v>2</v>
      </c>
      <c r="D240">
        <v>1</v>
      </c>
      <c r="E240">
        <v>2017</v>
      </c>
      <c r="F240">
        <v>3</v>
      </c>
      <c r="G240">
        <v>24</v>
      </c>
      <c r="H240">
        <v>0</v>
      </c>
      <c r="I240">
        <v>0</v>
      </c>
      <c r="J240">
        <v>0</v>
      </c>
      <c r="K240">
        <v>0</v>
      </c>
      <c r="L240">
        <v>0</v>
      </c>
      <c r="M240">
        <v>0</v>
      </c>
      <c r="N240">
        <v>0</v>
      </c>
      <c r="O240">
        <v>0</v>
      </c>
      <c r="P240">
        <v>0</v>
      </c>
      <c r="Q240">
        <v>0</v>
      </c>
      <c r="R240">
        <v>0</v>
      </c>
      <c r="S240">
        <v>0</v>
      </c>
      <c r="T240">
        <v>0</v>
      </c>
      <c r="U240">
        <v>0</v>
      </c>
      <c r="V240">
        <v>0</v>
      </c>
      <c r="W240">
        <v>1</v>
      </c>
      <c r="X240">
        <v>0</v>
      </c>
      <c r="Y240">
        <v>0</v>
      </c>
      <c r="Z240">
        <v>2</v>
      </c>
      <c r="AA240">
        <v>3</v>
      </c>
      <c r="AB240">
        <v>0</v>
      </c>
      <c r="AC240">
        <v>0</v>
      </c>
      <c r="AD240">
        <v>1</v>
      </c>
      <c r="AE240">
        <v>0</v>
      </c>
      <c r="AF240">
        <v>1</v>
      </c>
      <c r="AG240">
        <v>1</v>
      </c>
      <c r="AH240">
        <v>4</v>
      </c>
      <c r="AI240">
        <v>2</v>
      </c>
      <c r="AJ240">
        <v>1</v>
      </c>
      <c r="AK240">
        <v>0</v>
      </c>
      <c r="AL240">
        <v>4</v>
      </c>
      <c r="AM240">
        <v>1</v>
      </c>
      <c r="AN240">
        <v>1</v>
      </c>
      <c r="AO240">
        <v>1</v>
      </c>
      <c r="AP240">
        <v>1</v>
      </c>
      <c r="AQ240">
        <v>0</v>
      </c>
      <c r="AR240">
        <v>0</v>
      </c>
      <c r="AS240">
        <v>0</v>
      </c>
      <c r="AT240">
        <v>0</v>
      </c>
      <c r="AU240">
        <v>0</v>
      </c>
      <c r="AV240">
        <v>0</v>
      </c>
    </row>
    <row r="241" spans="1:48" ht="15.75" customHeight="1" x14ac:dyDescent="0.25">
      <c r="A241">
        <v>1</v>
      </c>
      <c r="B241">
        <v>2</v>
      </c>
      <c r="C241">
        <v>2</v>
      </c>
      <c r="D241">
        <v>1</v>
      </c>
      <c r="E241">
        <v>2017</v>
      </c>
      <c r="F241">
        <v>4</v>
      </c>
      <c r="G241">
        <v>12</v>
      </c>
      <c r="H241">
        <v>0</v>
      </c>
      <c r="I241">
        <v>0</v>
      </c>
      <c r="J241">
        <v>0</v>
      </c>
      <c r="K241">
        <v>0</v>
      </c>
      <c r="L241">
        <v>0</v>
      </c>
      <c r="M241">
        <v>0</v>
      </c>
      <c r="N241">
        <v>0</v>
      </c>
      <c r="O241">
        <v>0</v>
      </c>
      <c r="P241">
        <v>0</v>
      </c>
      <c r="Q241">
        <v>0</v>
      </c>
      <c r="R241">
        <v>0</v>
      </c>
      <c r="S241">
        <v>0</v>
      </c>
      <c r="T241">
        <v>0</v>
      </c>
      <c r="U241">
        <v>1</v>
      </c>
      <c r="V241">
        <v>1</v>
      </c>
      <c r="W241">
        <v>0</v>
      </c>
      <c r="X241">
        <v>1</v>
      </c>
      <c r="Y241">
        <v>0</v>
      </c>
      <c r="Z241">
        <v>0</v>
      </c>
      <c r="AA241">
        <v>0</v>
      </c>
      <c r="AB241">
        <v>2</v>
      </c>
      <c r="AC241">
        <v>0</v>
      </c>
      <c r="AD241">
        <v>1</v>
      </c>
      <c r="AE241">
        <v>0</v>
      </c>
      <c r="AF241">
        <v>1</v>
      </c>
      <c r="AG241">
        <v>1</v>
      </c>
      <c r="AH241">
        <v>0</v>
      </c>
      <c r="AI241">
        <v>2</v>
      </c>
      <c r="AJ241">
        <v>0</v>
      </c>
      <c r="AK241">
        <v>0</v>
      </c>
      <c r="AL241">
        <v>1</v>
      </c>
      <c r="AM241">
        <v>1</v>
      </c>
      <c r="AN241">
        <v>0</v>
      </c>
      <c r="AO241">
        <v>0</v>
      </c>
      <c r="AP241">
        <v>0</v>
      </c>
      <c r="AQ241">
        <v>0</v>
      </c>
      <c r="AR241">
        <v>0</v>
      </c>
      <c r="AS241">
        <v>0</v>
      </c>
      <c r="AT241">
        <v>0</v>
      </c>
      <c r="AU241">
        <v>0</v>
      </c>
      <c r="AV241">
        <v>0</v>
      </c>
    </row>
    <row r="242" spans="1:48" ht="15.75" customHeight="1" x14ac:dyDescent="0.25">
      <c r="A242">
        <v>1</v>
      </c>
      <c r="B242">
        <v>2</v>
      </c>
      <c r="C242">
        <v>2</v>
      </c>
      <c r="D242">
        <v>1</v>
      </c>
      <c r="E242">
        <v>2017</v>
      </c>
      <c r="F242">
        <v>5</v>
      </c>
      <c r="G242">
        <v>5</v>
      </c>
      <c r="H242">
        <v>0</v>
      </c>
      <c r="I242">
        <v>0</v>
      </c>
      <c r="J242">
        <v>0</v>
      </c>
      <c r="K242">
        <v>0</v>
      </c>
      <c r="L242">
        <v>0</v>
      </c>
      <c r="M242">
        <v>0</v>
      </c>
      <c r="N242">
        <v>0</v>
      </c>
      <c r="O242">
        <v>0</v>
      </c>
      <c r="P242">
        <v>0</v>
      </c>
      <c r="Q242">
        <v>0</v>
      </c>
      <c r="R242">
        <v>0</v>
      </c>
      <c r="S242">
        <v>0</v>
      </c>
      <c r="T242">
        <v>0</v>
      </c>
      <c r="U242">
        <v>0</v>
      </c>
      <c r="V242">
        <v>2</v>
      </c>
      <c r="W242">
        <v>1</v>
      </c>
      <c r="X242">
        <v>0</v>
      </c>
      <c r="Y242">
        <v>0</v>
      </c>
      <c r="Z242">
        <v>0</v>
      </c>
      <c r="AA242">
        <v>1</v>
      </c>
      <c r="AB242">
        <v>0</v>
      </c>
      <c r="AC242">
        <v>0</v>
      </c>
      <c r="AD242">
        <v>0</v>
      </c>
      <c r="AE242">
        <v>0</v>
      </c>
      <c r="AF242">
        <v>0</v>
      </c>
      <c r="AG242">
        <v>0</v>
      </c>
      <c r="AH242">
        <v>0</v>
      </c>
      <c r="AI242">
        <v>1</v>
      </c>
      <c r="AJ242">
        <v>0</v>
      </c>
      <c r="AK242">
        <v>0</v>
      </c>
      <c r="AL242">
        <v>0</v>
      </c>
      <c r="AM242">
        <v>0</v>
      </c>
      <c r="AN242">
        <v>0</v>
      </c>
      <c r="AO242">
        <v>0</v>
      </c>
      <c r="AP242">
        <v>0</v>
      </c>
      <c r="AQ242">
        <v>0</v>
      </c>
      <c r="AR242">
        <v>0</v>
      </c>
      <c r="AS242">
        <v>0</v>
      </c>
      <c r="AT242">
        <v>0</v>
      </c>
      <c r="AU242">
        <v>0</v>
      </c>
      <c r="AV242">
        <v>0</v>
      </c>
    </row>
    <row r="243" spans="1:48" ht="15.75" customHeight="1" x14ac:dyDescent="0.25">
      <c r="A243">
        <v>1</v>
      </c>
      <c r="B243">
        <v>2</v>
      </c>
      <c r="C243">
        <v>2</v>
      </c>
      <c r="D243">
        <v>1</v>
      </c>
      <c r="E243">
        <v>2018</v>
      </c>
      <c r="F243">
        <v>1</v>
      </c>
      <c r="G243">
        <v>25</v>
      </c>
      <c r="H243">
        <v>0</v>
      </c>
      <c r="I243">
        <v>0</v>
      </c>
      <c r="J243">
        <v>0</v>
      </c>
      <c r="K243">
        <v>0</v>
      </c>
      <c r="L243">
        <v>0</v>
      </c>
      <c r="M243">
        <v>0</v>
      </c>
      <c r="N243">
        <v>0</v>
      </c>
      <c r="O243">
        <v>0</v>
      </c>
      <c r="P243">
        <v>0</v>
      </c>
      <c r="Q243">
        <v>0</v>
      </c>
      <c r="R243">
        <v>0</v>
      </c>
      <c r="S243">
        <v>0</v>
      </c>
      <c r="T243">
        <v>0</v>
      </c>
      <c r="U243">
        <v>4</v>
      </c>
      <c r="V243">
        <v>2</v>
      </c>
      <c r="W243">
        <v>4</v>
      </c>
      <c r="X243">
        <v>1</v>
      </c>
      <c r="Y243">
        <v>0</v>
      </c>
      <c r="Z243">
        <v>2</v>
      </c>
      <c r="AA243">
        <v>1</v>
      </c>
      <c r="AB243">
        <v>1</v>
      </c>
      <c r="AC243">
        <v>1</v>
      </c>
      <c r="AD243">
        <v>0</v>
      </c>
      <c r="AE243">
        <v>1</v>
      </c>
      <c r="AF243">
        <v>2</v>
      </c>
      <c r="AG243">
        <v>0</v>
      </c>
      <c r="AH243">
        <v>2</v>
      </c>
      <c r="AI243">
        <v>0</v>
      </c>
      <c r="AJ243">
        <v>2</v>
      </c>
      <c r="AK243">
        <v>0</v>
      </c>
      <c r="AL243">
        <v>1</v>
      </c>
      <c r="AM243">
        <v>0</v>
      </c>
      <c r="AN243">
        <v>0</v>
      </c>
      <c r="AO243">
        <v>0</v>
      </c>
      <c r="AP243">
        <v>0</v>
      </c>
      <c r="AQ243">
        <v>1</v>
      </c>
      <c r="AR243">
        <v>0</v>
      </c>
      <c r="AS243">
        <v>0</v>
      </c>
      <c r="AT243">
        <v>0</v>
      </c>
      <c r="AU243">
        <v>0</v>
      </c>
      <c r="AV243">
        <v>0</v>
      </c>
    </row>
    <row r="244" spans="1:48" ht="15.75" customHeight="1" x14ac:dyDescent="0.25">
      <c r="A244">
        <v>1</v>
      </c>
      <c r="B244">
        <v>2</v>
      </c>
      <c r="C244">
        <v>2</v>
      </c>
      <c r="D244">
        <v>1</v>
      </c>
      <c r="E244">
        <v>2018</v>
      </c>
      <c r="F244">
        <v>2</v>
      </c>
      <c r="G244">
        <v>21</v>
      </c>
      <c r="H244">
        <v>0</v>
      </c>
      <c r="I244">
        <v>0</v>
      </c>
      <c r="J244">
        <v>0</v>
      </c>
      <c r="K244">
        <v>0</v>
      </c>
      <c r="L244">
        <v>0</v>
      </c>
      <c r="M244">
        <v>0</v>
      </c>
      <c r="N244">
        <v>0</v>
      </c>
      <c r="O244">
        <v>0</v>
      </c>
      <c r="P244">
        <v>0</v>
      </c>
      <c r="Q244">
        <v>0</v>
      </c>
      <c r="R244">
        <v>0</v>
      </c>
      <c r="S244">
        <v>0</v>
      </c>
      <c r="T244">
        <v>0</v>
      </c>
      <c r="U244">
        <v>0</v>
      </c>
      <c r="V244">
        <v>2</v>
      </c>
      <c r="W244">
        <v>0</v>
      </c>
      <c r="X244">
        <v>0</v>
      </c>
      <c r="Y244">
        <v>1</v>
      </c>
      <c r="Z244">
        <v>2</v>
      </c>
      <c r="AA244">
        <v>0</v>
      </c>
      <c r="AB244">
        <v>0</v>
      </c>
      <c r="AC244">
        <v>1</v>
      </c>
      <c r="AD244">
        <v>1</v>
      </c>
      <c r="AE244">
        <v>0</v>
      </c>
      <c r="AF244">
        <v>1</v>
      </c>
      <c r="AG244">
        <v>0</v>
      </c>
      <c r="AH244">
        <v>0</v>
      </c>
      <c r="AI244">
        <v>1</v>
      </c>
      <c r="AJ244">
        <v>2</v>
      </c>
      <c r="AK244">
        <v>4</v>
      </c>
      <c r="AL244">
        <v>1</v>
      </c>
      <c r="AM244">
        <v>1</v>
      </c>
      <c r="AN244">
        <v>0</v>
      </c>
      <c r="AO244">
        <v>1</v>
      </c>
      <c r="AP244">
        <v>0</v>
      </c>
      <c r="AQ244">
        <v>3</v>
      </c>
      <c r="AR244">
        <v>0</v>
      </c>
      <c r="AS244">
        <v>0</v>
      </c>
      <c r="AT244">
        <v>0</v>
      </c>
      <c r="AU244">
        <v>0</v>
      </c>
      <c r="AV244">
        <v>0</v>
      </c>
    </row>
    <row r="245" spans="1:48" ht="15.75" customHeight="1" x14ac:dyDescent="0.25">
      <c r="A245">
        <v>1</v>
      </c>
      <c r="B245">
        <v>2</v>
      </c>
      <c r="C245">
        <v>2</v>
      </c>
      <c r="D245">
        <v>1</v>
      </c>
      <c r="E245">
        <v>2018</v>
      </c>
      <c r="F245">
        <v>3</v>
      </c>
      <c r="G245">
        <v>10</v>
      </c>
      <c r="H245">
        <v>0</v>
      </c>
      <c r="I245">
        <v>0</v>
      </c>
      <c r="J245">
        <v>0</v>
      </c>
      <c r="K245">
        <v>0</v>
      </c>
      <c r="L245">
        <v>0</v>
      </c>
      <c r="M245">
        <v>0</v>
      </c>
      <c r="N245">
        <v>0</v>
      </c>
      <c r="O245">
        <v>0</v>
      </c>
      <c r="P245">
        <v>0</v>
      </c>
      <c r="Q245">
        <v>0</v>
      </c>
      <c r="R245">
        <v>0</v>
      </c>
      <c r="S245">
        <v>0</v>
      </c>
      <c r="T245">
        <v>0</v>
      </c>
      <c r="U245">
        <v>1</v>
      </c>
      <c r="V245">
        <v>2</v>
      </c>
      <c r="W245">
        <v>2</v>
      </c>
      <c r="X245">
        <v>0</v>
      </c>
      <c r="Y245">
        <v>0</v>
      </c>
      <c r="Z245">
        <v>0</v>
      </c>
      <c r="AA245">
        <v>0</v>
      </c>
      <c r="AB245">
        <v>0</v>
      </c>
      <c r="AC245">
        <v>0</v>
      </c>
      <c r="AD245">
        <v>1</v>
      </c>
      <c r="AE245">
        <v>0</v>
      </c>
      <c r="AF245">
        <v>0</v>
      </c>
      <c r="AG245">
        <v>0</v>
      </c>
      <c r="AH245">
        <v>1</v>
      </c>
      <c r="AI245">
        <v>0</v>
      </c>
      <c r="AJ245">
        <v>1</v>
      </c>
      <c r="AK245">
        <v>0</v>
      </c>
      <c r="AL245">
        <v>0</v>
      </c>
      <c r="AM245">
        <v>1</v>
      </c>
      <c r="AN245">
        <v>0</v>
      </c>
      <c r="AO245">
        <v>0</v>
      </c>
      <c r="AP245">
        <v>1</v>
      </c>
      <c r="AQ245">
        <v>0</v>
      </c>
      <c r="AR245">
        <v>0</v>
      </c>
      <c r="AS245">
        <v>0</v>
      </c>
      <c r="AT245">
        <v>0</v>
      </c>
      <c r="AU245">
        <v>0</v>
      </c>
      <c r="AV245">
        <v>0</v>
      </c>
    </row>
    <row r="246" spans="1:48" ht="15.75" customHeight="1" x14ac:dyDescent="0.25">
      <c r="A246">
        <v>1</v>
      </c>
      <c r="B246">
        <v>2</v>
      </c>
      <c r="C246">
        <v>2</v>
      </c>
      <c r="D246">
        <v>1</v>
      </c>
      <c r="E246">
        <v>2018</v>
      </c>
      <c r="F246">
        <v>5</v>
      </c>
      <c r="G246">
        <v>1</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1</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row>
    <row r="247" spans="1:48" ht="15.75" customHeight="1" x14ac:dyDescent="0.25">
      <c r="A247">
        <v>1</v>
      </c>
      <c r="B247">
        <v>2</v>
      </c>
      <c r="C247">
        <v>2</v>
      </c>
      <c r="D247">
        <v>2</v>
      </c>
      <c r="E247">
        <v>2016</v>
      </c>
      <c r="F247">
        <v>4</v>
      </c>
      <c r="G247">
        <v>2</v>
      </c>
      <c r="H247">
        <v>0</v>
      </c>
      <c r="I247">
        <v>0</v>
      </c>
      <c r="J247">
        <v>0</v>
      </c>
      <c r="K247">
        <v>0</v>
      </c>
      <c r="L247">
        <v>0</v>
      </c>
      <c r="M247">
        <v>0</v>
      </c>
      <c r="N247">
        <v>0</v>
      </c>
      <c r="O247">
        <v>0</v>
      </c>
      <c r="P247">
        <v>0</v>
      </c>
      <c r="Q247">
        <v>0</v>
      </c>
      <c r="R247">
        <v>0</v>
      </c>
      <c r="S247">
        <v>0</v>
      </c>
      <c r="T247">
        <v>0</v>
      </c>
      <c r="U247">
        <v>0</v>
      </c>
      <c r="V247">
        <v>0</v>
      </c>
      <c r="W247">
        <v>0</v>
      </c>
      <c r="X247">
        <v>0</v>
      </c>
      <c r="Y247">
        <v>0</v>
      </c>
      <c r="Z247">
        <v>2</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row>
    <row r="248" spans="1:48" ht="15.75" customHeight="1" x14ac:dyDescent="0.25">
      <c r="A248">
        <v>1</v>
      </c>
      <c r="B248">
        <v>2</v>
      </c>
      <c r="C248">
        <v>2</v>
      </c>
      <c r="D248">
        <v>2</v>
      </c>
      <c r="E248">
        <v>2017</v>
      </c>
      <c r="F248">
        <v>3</v>
      </c>
      <c r="G248">
        <v>1</v>
      </c>
      <c r="H248">
        <v>0</v>
      </c>
      <c r="I248">
        <v>0</v>
      </c>
      <c r="J248">
        <v>0</v>
      </c>
      <c r="K248">
        <v>0</v>
      </c>
      <c r="L248">
        <v>0</v>
      </c>
      <c r="M248">
        <v>0</v>
      </c>
      <c r="N248">
        <v>0</v>
      </c>
      <c r="O248">
        <v>0</v>
      </c>
      <c r="P248">
        <v>0</v>
      </c>
      <c r="Q248">
        <v>0</v>
      </c>
      <c r="R248">
        <v>0</v>
      </c>
      <c r="S248">
        <v>0</v>
      </c>
      <c r="T248">
        <v>0</v>
      </c>
      <c r="U248">
        <v>0</v>
      </c>
      <c r="V248">
        <v>0</v>
      </c>
      <c r="W248">
        <v>1</v>
      </c>
      <c r="X248">
        <v>0</v>
      </c>
      <c r="Y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row>
    <row r="249" spans="1:48" ht="15.75" customHeight="1" x14ac:dyDescent="0.25">
      <c r="A249">
        <v>2</v>
      </c>
      <c r="B249">
        <v>1</v>
      </c>
      <c r="C249">
        <v>1</v>
      </c>
      <c r="D249">
        <v>1</v>
      </c>
      <c r="E249">
        <v>1991</v>
      </c>
      <c r="F249">
        <v>6</v>
      </c>
      <c r="G249">
        <v>2</v>
      </c>
      <c r="H249">
        <v>0</v>
      </c>
      <c r="I249">
        <v>0</v>
      </c>
      <c r="J249">
        <v>0</v>
      </c>
      <c r="K249">
        <v>0</v>
      </c>
      <c r="L249">
        <v>0</v>
      </c>
      <c r="M249">
        <v>0</v>
      </c>
      <c r="N249">
        <v>0</v>
      </c>
      <c r="O249">
        <v>0</v>
      </c>
      <c r="P249">
        <v>0</v>
      </c>
      <c r="Q249">
        <v>0</v>
      </c>
      <c r="R249">
        <v>0</v>
      </c>
      <c r="S249">
        <v>0</v>
      </c>
      <c r="T249">
        <v>1</v>
      </c>
      <c r="U249">
        <v>0</v>
      </c>
      <c r="V249">
        <v>1</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row>
    <row r="250" spans="1:48" ht="15.75" customHeight="1" x14ac:dyDescent="0.25">
      <c r="A250">
        <v>2</v>
      </c>
      <c r="B250">
        <v>1</v>
      </c>
      <c r="C250">
        <v>1</v>
      </c>
      <c r="D250">
        <v>1</v>
      </c>
      <c r="E250">
        <v>1992</v>
      </c>
      <c r="F250">
        <v>1</v>
      </c>
      <c r="G250">
        <v>17</v>
      </c>
      <c r="H250">
        <v>0</v>
      </c>
      <c r="I250">
        <v>0</v>
      </c>
      <c r="J250">
        <v>0</v>
      </c>
      <c r="K250">
        <v>0</v>
      </c>
      <c r="L250">
        <v>0</v>
      </c>
      <c r="M250">
        <v>0</v>
      </c>
      <c r="N250">
        <v>0</v>
      </c>
      <c r="O250">
        <v>0</v>
      </c>
      <c r="P250">
        <v>0</v>
      </c>
      <c r="Q250">
        <v>0</v>
      </c>
      <c r="R250">
        <v>0</v>
      </c>
      <c r="S250">
        <v>0</v>
      </c>
      <c r="T250">
        <v>2</v>
      </c>
      <c r="U250">
        <v>6</v>
      </c>
      <c r="V250">
        <v>1</v>
      </c>
      <c r="W250">
        <v>4</v>
      </c>
      <c r="X250">
        <v>1</v>
      </c>
      <c r="Y250">
        <v>1</v>
      </c>
      <c r="Z250">
        <v>0</v>
      </c>
      <c r="AA250">
        <v>0</v>
      </c>
      <c r="AB250">
        <v>0</v>
      </c>
      <c r="AC250">
        <v>0</v>
      </c>
      <c r="AD250">
        <v>0</v>
      </c>
      <c r="AE250">
        <v>0</v>
      </c>
      <c r="AF250">
        <v>0</v>
      </c>
      <c r="AG250">
        <v>1</v>
      </c>
      <c r="AH250">
        <v>0</v>
      </c>
      <c r="AI250">
        <v>0</v>
      </c>
      <c r="AJ250">
        <v>0</v>
      </c>
      <c r="AK250">
        <v>0</v>
      </c>
      <c r="AL250">
        <v>0</v>
      </c>
      <c r="AM250">
        <v>0</v>
      </c>
      <c r="AN250">
        <v>0</v>
      </c>
      <c r="AO250">
        <v>0</v>
      </c>
      <c r="AP250">
        <v>0</v>
      </c>
      <c r="AQ250">
        <v>1</v>
      </c>
      <c r="AR250">
        <v>0</v>
      </c>
      <c r="AS250">
        <v>0</v>
      </c>
      <c r="AT250">
        <v>0</v>
      </c>
      <c r="AU250">
        <v>0</v>
      </c>
      <c r="AV250">
        <v>0</v>
      </c>
    </row>
    <row r="251" spans="1:48" ht="15.75" customHeight="1" x14ac:dyDescent="0.25">
      <c r="A251">
        <v>2</v>
      </c>
      <c r="B251">
        <v>1</v>
      </c>
      <c r="C251">
        <v>1</v>
      </c>
      <c r="D251">
        <v>1</v>
      </c>
      <c r="E251">
        <v>1992</v>
      </c>
      <c r="F251">
        <v>2</v>
      </c>
      <c r="G251">
        <v>10</v>
      </c>
      <c r="H251">
        <v>0</v>
      </c>
      <c r="I251">
        <v>0</v>
      </c>
      <c r="J251">
        <v>0</v>
      </c>
      <c r="K251">
        <v>0</v>
      </c>
      <c r="L251">
        <v>0</v>
      </c>
      <c r="M251">
        <v>0</v>
      </c>
      <c r="N251">
        <v>0</v>
      </c>
      <c r="O251">
        <v>0</v>
      </c>
      <c r="P251">
        <v>0</v>
      </c>
      <c r="Q251">
        <v>0</v>
      </c>
      <c r="R251">
        <v>0</v>
      </c>
      <c r="S251">
        <v>0</v>
      </c>
      <c r="T251">
        <v>2</v>
      </c>
      <c r="U251">
        <v>0</v>
      </c>
      <c r="V251">
        <v>2</v>
      </c>
      <c r="W251">
        <v>3</v>
      </c>
      <c r="X251">
        <v>1</v>
      </c>
      <c r="Y251">
        <v>0</v>
      </c>
      <c r="Z251">
        <v>0</v>
      </c>
      <c r="AA251">
        <v>1</v>
      </c>
      <c r="AB251">
        <v>0</v>
      </c>
      <c r="AC251">
        <v>1</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row>
    <row r="252" spans="1:48" ht="15.75" customHeight="1" x14ac:dyDescent="0.25">
      <c r="A252">
        <v>2</v>
      </c>
      <c r="B252">
        <v>1</v>
      </c>
      <c r="C252">
        <v>1</v>
      </c>
      <c r="D252">
        <v>1</v>
      </c>
      <c r="E252">
        <v>1992</v>
      </c>
      <c r="F252">
        <v>3</v>
      </c>
      <c r="G252">
        <v>2</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1</v>
      </c>
      <c r="AB252">
        <v>0</v>
      </c>
      <c r="AC252">
        <v>0</v>
      </c>
      <c r="AD252">
        <v>0</v>
      </c>
      <c r="AE252">
        <v>0</v>
      </c>
      <c r="AF252">
        <v>0</v>
      </c>
      <c r="AG252">
        <v>0</v>
      </c>
      <c r="AH252">
        <v>0</v>
      </c>
      <c r="AI252">
        <v>1</v>
      </c>
      <c r="AJ252">
        <v>0</v>
      </c>
      <c r="AK252">
        <v>0</v>
      </c>
      <c r="AL252">
        <v>0</v>
      </c>
      <c r="AM252">
        <v>0</v>
      </c>
      <c r="AN252">
        <v>0</v>
      </c>
      <c r="AO252">
        <v>0</v>
      </c>
      <c r="AP252">
        <v>0</v>
      </c>
      <c r="AQ252">
        <v>0</v>
      </c>
      <c r="AR252">
        <v>0</v>
      </c>
      <c r="AS252">
        <v>0</v>
      </c>
      <c r="AT252">
        <v>0</v>
      </c>
      <c r="AU252">
        <v>0</v>
      </c>
      <c r="AV252">
        <v>0</v>
      </c>
    </row>
    <row r="253" spans="1:48" ht="15.75" customHeight="1" x14ac:dyDescent="0.25">
      <c r="A253">
        <v>2</v>
      </c>
      <c r="B253">
        <v>1</v>
      </c>
      <c r="C253">
        <v>1</v>
      </c>
      <c r="D253">
        <v>1</v>
      </c>
      <c r="E253">
        <v>1992</v>
      </c>
      <c r="F253">
        <v>6</v>
      </c>
      <c r="G253">
        <v>1</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1</v>
      </c>
      <c r="AF253">
        <v>0</v>
      </c>
      <c r="AG253">
        <v>0</v>
      </c>
      <c r="AH253">
        <v>0</v>
      </c>
      <c r="AI253">
        <v>0</v>
      </c>
      <c r="AJ253">
        <v>0</v>
      </c>
      <c r="AK253">
        <v>0</v>
      </c>
      <c r="AL253">
        <v>0</v>
      </c>
      <c r="AM253">
        <v>0</v>
      </c>
      <c r="AN253">
        <v>0</v>
      </c>
      <c r="AO253">
        <v>0</v>
      </c>
      <c r="AP253">
        <v>0</v>
      </c>
      <c r="AQ253">
        <v>0</v>
      </c>
      <c r="AR253">
        <v>0</v>
      </c>
      <c r="AS253">
        <v>0</v>
      </c>
      <c r="AT253">
        <v>0</v>
      </c>
      <c r="AU253">
        <v>0</v>
      </c>
      <c r="AV253">
        <v>0</v>
      </c>
    </row>
    <row r="254" spans="1:48" ht="15.75" customHeight="1" x14ac:dyDescent="0.25">
      <c r="A254">
        <v>2</v>
      </c>
      <c r="B254">
        <v>1</v>
      </c>
      <c r="C254">
        <v>1</v>
      </c>
      <c r="D254">
        <v>1</v>
      </c>
      <c r="E254">
        <v>1993</v>
      </c>
      <c r="F254">
        <v>1</v>
      </c>
      <c r="G254">
        <v>1</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v>0</v>
      </c>
      <c r="AH254">
        <v>0</v>
      </c>
      <c r="AI254">
        <v>0</v>
      </c>
      <c r="AJ254">
        <v>0</v>
      </c>
      <c r="AK254">
        <v>0</v>
      </c>
      <c r="AL254">
        <v>0</v>
      </c>
      <c r="AM254">
        <v>0</v>
      </c>
      <c r="AN254">
        <v>0</v>
      </c>
      <c r="AO254">
        <v>0</v>
      </c>
      <c r="AP254">
        <v>1</v>
      </c>
      <c r="AQ254">
        <v>0</v>
      </c>
      <c r="AR254">
        <v>0</v>
      </c>
      <c r="AS254">
        <v>0</v>
      </c>
      <c r="AT254">
        <v>0</v>
      </c>
      <c r="AU254">
        <v>0</v>
      </c>
      <c r="AV254">
        <v>0</v>
      </c>
    </row>
    <row r="255" spans="1:48" ht="15.75" customHeight="1" x14ac:dyDescent="0.25">
      <c r="A255">
        <v>2</v>
      </c>
      <c r="B255">
        <v>1</v>
      </c>
      <c r="C255">
        <v>1</v>
      </c>
      <c r="D255">
        <v>1</v>
      </c>
      <c r="E255">
        <v>1993</v>
      </c>
      <c r="F255">
        <v>2</v>
      </c>
      <c r="G255">
        <v>14</v>
      </c>
      <c r="H255">
        <v>0</v>
      </c>
      <c r="I255">
        <v>0</v>
      </c>
      <c r="J255">
        <v>0</v>
      </c>
      <c r="K255">
        <v>0</v>
      </c>
      <c r="L255">
        <v>0</v>
      </c>
      <c r="M255">
        <v>0</v>
      </c>
      <c r="N255">
        <v>0</v>
      </c>
      <c r="O255">
        <v>0</v>
      </c>
      <c r="P255">
        <v>0</v>
      </c>
      <c r="Q255">
        <v>0</v>
      </c>
      <c r="R255">
        <v>0</v>
      </c>
      <c r="S255">
        <v>0</v>
      </c>
      <c r="T255">
        <v>3</v>
      </c>
      <c r="U255">
        <v>4</v>
      </c>
      <c r="V255">
        <v>2</v>
      </c>
      <c r="W255">
        <v>1</v>
      </c>
      <c r="X255">
        <v>0</v>
      </c>
      <c r="Y255">
        <v>1</v>
      </c>
      <c r="Z255">
        <v>0</v>
      </c>
      <c r="AA255">
        <v>0</v>
      </c>
      <c r="AB255">
        <v>2</v>
      </c>
      <c r="AC255">
        <v>1</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row>
    <row r="256" spans="1:48" ht="15.75" customHeight="1" x14ac:dyDescent="0.25">
      <c r="A256">
        <v>2</v>
      </c>
      <c r="B256">
        <v>1</v>
      </c>
      <c r="C256">
        <v>1</v>
      </c>
      <c r="D256">
        <v>1</v>
      </c>
      <c r="E256">
        <v>1993</v>
      </c>
      <c r="F256">
        <v>3</v>
      </c>
      <c r="G256">
        <v>100</v>
      </c>
      <c r="H256">
        <v>0</v>
      </c>
      <c r="I256">
        <v>0</v>
      </c>
      <c r="J256">
        <v>0</v>
      </c>
      <c r="K256">
        <v>0</v>
      </c>
      <c r="L256">
        <v>0</v>
      </c>
      <c r="M256">
        <v>0</v>
      </c>
      <c r="N256">
        <v>0</v>
      </c>
      <c r="O256">
        <v>0</v>
      </c>
      <c r="P256">
        <v>0</v>
      </c>
      <c r="Q256">
        <v>0</v>
      </c>
      <c r="R256">
        <v>0</v>
      </c>
      <c r="S256">
        <v>0</v>
      </c>
      <c r="T256">
        <v>43</v>
      </c>
      <c r="U256">
        <v>21</v>
      </c>
      <c r="V256">
        <v>26</v>
      </c>
      <c r="W256">
        <v>0</v>
      </c>
      <c r="X256">
        <v>6</v>
      </c>
      <c r="Y256">
        <v>0</v>
      </c>
      <c r="Z256">
        <v>0</v>
      </c>
      <c r="AA256">
        <v>2</v>
      </c>
      <c r="AB256">
        <v>0</v>
      </c>
      <c r="AC256">
        <v>0</v>
      </c>
      <c r="AD256">
        <v>1</v>
      </c>
      <c r="AE256">
        <v>0</v>
      </c>
      <c r="AF256">
        <v>0</v>
      </c>
      <c r="AG256">
        <v>0</v>
      </c>
      <c r="AH256">
        <v>1</v>
      </c>
      <c r="AI256">
        <v>0</v>
      </c>
      <c r="AJ256">
        <v>0</v>
      </c>
      <c r="AK256">
        <v>0</v>
      </c>
      <c r="AL256">
        <v>0</v>
      </c>
      <c r="AM256">
        <v>0</v>
      </c>
      <c r="AN256">
        <v>0</v>
      </c>
      <c r="AO256">
        <v>0</v>
      </c>
      <c r="AP256">
        <v>0</v>
      </c>
      <c r="AQ256">
        <v>0</v>
      </c>
      <c r="AR256">
        <v>0</v>
      </c>
      <c r="AS256">
        <v>0</v>
      </c>
      <c r="AT256">
        <v>0</v>
      </c>
      <c r="AU256">
        <v>0</v>
      </c>
      <c r="AV256">
        <v>0</v>
      </c>
    </row>
    <row r="257" spans="1:48" ht="15.75" customHeight="1" x14ac:dyDescent="0.25">
      <c r="A257">
        <v>2</v>
      </c>
      <c r="B257">
        <v>1</v>
      </c>
      <c r="C257">
        <v>1</v>
      </c>
      <c r="D257">
        <v>1</v>
      </c>
      <c r="E257">
        <v>1993</v>
      </c>
      <c r="F257">
        <v>6</v>
      </c>
      <c r="G257">
        <v>300</v>
      </c>
      <c r="H257">
        <v>0</v>
      </c>
      <c r="I257">
        <v>0</v>
      </c>
      <c r="J257">
        <v>0</v>
      </c>
      <c r="K257">
        <v>0</v>
      </c>
      <c r="L257">
        <v>0</v>
      </c>
      <c r="M257">
        <v>0</v>
      </c>
      <c r="N257">
        <v>0</v>
      </c>
      <c r="O257">
        <v>0</v>
      </c>
      <c r="P257">
        <v>0</v>
      </c>
      <c r="Q257">
        <v>0</v>
      </c>
      <c r="R257">
        <v>0</v>
      </c>
      <c r="S257">
        <v>0</v>
      </c>
      <c r="T257">
        <v>76</v>
      </c>
      <c r="U257">
        <v>100</v>
      </c>
      <c r="V257">
        <v>78</v>
      </c>
      <c r="W257">
        <v>38</v>
      </c>
      <c r="X257">
        <v>4</v>
      </c>
      <c r="Y257">
        <v>4</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row>
    <row r="258" spans="1:48" ht="15.75" customHeight="1" x14ac:dyDescent="0.25">
      <c r="A258">
        <v>2</v>
      </c>
      <c r="B258">
        <v>1</v>
      </c>
      <c r="C258">
        <v>1</v>
      </c>
      <c r="D258">
        <v>1</v>
      </c>
      <c r="E258">
        <v>1994</v>
      </c>
      <c r="F258">
        <v>1</v>
      </c>
      <c r="G258">
        <v>68</v>
      </c>
      <c r="H258">
        <v>0</v>
      </c>
      <c r="I258">
        <v>0</v>
      </c>
      <c r="J258">
        <v>0</v>
      </c>
      <c r="K258">
        <v>0</v>
      </c>
      <c r="L258">
        <v>0</v>
      </c>
      <c r="M258">
        <v>0</v>
      </c>
      <c r="N258">
        <v>0</v>
      </c>
      <c r="O258">
        <v>0</v>
      </c>
      <c r="P258">
        <v>0</v>
      </c>
      <c r="Q258">
        <v>0</v>
      </c>
      <c r="R258">
        <v>0</v>
      </c>
      <c r="S258">
        <v>0</v>
      </c>
      <c r="T258">
        <v>26</v>
      </c>
      <c r="U258">
        <v>18</v>
      </c>
      <c r="V258">
        <v>20</v>
      </c>
      <c r="W258">
        <v>2</v>
      </c>
      <c r="X258">
        <v>0</v>
      </c>
      <c r="Y258">
        <v>0</v>
      </c>
      <c r="Z258">
        <v>2</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row>
    <row r="259" spans="1:48" ht="15.75" customHeight="1" x14ac:dyDescent="0.25">
      <c r="A259">
        <v>2</v>
      </c>
      <c r="B259">
        <v>1</v>
      </c>
      <c r="C259">
        <v>1</v>
      </c>
      <c r="D259">
        <v>1</v>
      </c>
      <c r="E259">
        <v>1994</v>
      </c>
      <c r="F259">
        <v>2</v>
      </c>
      <c r="G259">
        <v>197</v>
      </c>
      <c r="H259">
        <v>0</v>
      </c>
      <c r="I259">
        <v>0</v>
      </c>
      <c r="J259">
        <v>0</v>
      </c>
      <c r="K259">
        <v>0</v>
      </c>
      <c r="L259">
        <v>0</v>
      </c>
      <c r="M259">
        <v>0</v>
      </c>
      <c r="N259">
        <v>0</v>
      </c>
      <c r="O259">
        <v>0</v>
      </c>
      <c r="P259">
        <v>0</v>
      </c>
      <c r="Q259">
        <v>0</v>
      </c>
      <c r="R259">
        <v>0</v>
      </c>
      <c r="S259">
        <v>0</v>
      </c>
      <c r="T259">
        <v>79</v>
      </c>
      <c r="U259">
        <v>53</v>
      </c>
      <c r="V259">
        <v>38</v>
      </c>
      <c r="W259">
        <v>8</v>
      </c>
      <c r="X259">
        <v>8</v>
      </c>
      <c r="Y259">
        <v>0</v>
      </c>
      <c r="Z259">
        <v>5</v>
      </c>
      <c r="AA259">
        <v>1</v>
      </c>
      <c r="AB259">
        <v>2</v>
      </c>
      <c r="AC259">
        <v>2</v>
      </c>
      <c r="AD259">
        <v>0</v>
      </c>
      <c r="AE259">
        <v>0</v>
      </c>
      <c r="AF259">
        <v>0</v>
      </c>
      <c r="AG259">
        <v>0</v>
      </c>
      <c r="AH259">
        <v>0</v>
      </c>
      <c r="AI259">
        <v>1</v>
      </c>
      <c r="AJ259">
        <v>0</v>
      </c>
      <c r="AK259">
        <v>0</v>
      </c>
      <c r="AL259">
        <v>0</v>
      </c>
      <c r="AM259">
        <v>0</v>
      </c>
      <c r="AN259">
        <v>0</v>
      </c>
      <c r="AO259">
        <v>0</v>
      </c>
      <c r="AP259">
        <v>0</v>
      </c>
      <c r="AQ259">
        <v>0</v>
      </c>
      <c r="AR259">
        <v>0</v>
      </c>
      <c r="AS259">
        <v>0</v>
      </c>
      <c r="AT259">
        <v>0</v>
      </c>
      <c r="AU259">
        <v>0</v>
      </c>
      <c r="AV259">
        <v>0</v>
      </c>
    </row>
    <row r="260" spans="1:48" ht="15.75" customHeight="1" x14ac:dyDescent="0.25">
      <c r="A260">
        <v>2</v>
      </c>
      <c r="B260">
        <v>1</v>
      </c>
      <c r="C260">
        <v>1</v>
      </c>
      <c r="D260">
        <v>1</v>
      </c>
      <c r="E260">
        <v>1994</v>
      </c>
      <c r="F260">
        <v>3</v>
      </c>
      <c r="G260">
        <v>126</v>
      </c>
      <c r="H260">
        <v>0</v>
      </c>
      <c r="I260">
        <v>0</v>
      </c>
      <c r="J260">
        <v>0</v>
      </c>
      <c r="K260">
        <v>0</v>
      </c>
      <c r="L260">
        <v>0</v>
      </c>
      <c r="M260">
        <v>0</v>
      </c>
      <c r="N260">
        <v>0</v>
      </c>
      <c r="O260">
        <v>0</v>
      </c>
      <c r="P260">
        <v>0</v>
      </c>
      <c r="Q260">
        <v>0</v>
      </c>
      <c r="R260">
        <v>0</v>
      </c>
      <c r="S260">
        <v>0</v>
      </c>
      <c r="T260">
        <v>34</v>
      </c>
      <c r="U260">
        <v>38</v>
      </c>
      <c r="V260">
        <v>20</v>
      </c>
      <c r="W260">
        <v>6</v>
      </c>
      <c r="X260">
        <v>6</v>
      </c>
      <c r="Y260">
        <v>6</v>
      </c>
      <c r="Z260">
        <v>8</v>
      </c>
      <c r="AA260">
        <v>6</v>
      </c>
      <c r="AB260">
        <v>0</v>
      </c>
      <c r="AC260">
        <v>0</v>
      </c>
      <c r="AD260">
        <v>0</v>
      </c>
      <c r="AE260">
        <v>0</v>
      </c>
      <c r="AF260">
        <v>0</v>
      </c>
      <c r="AG260">
        <v>0</v>
      </c>
      <c r="AH260">
        <v>0</v>
      </c>
      <c r="AI260">
        <v>0</v>
      </c>
      <c r="AJ260">
        <v>2</v>
      </c>
      <c r="AK260">
        <v>0</v>
      </c>
      <c r="AL260">
        <v>0</v>
      </c>
      <c r="AM260">
        <v>0</v>
      </c>
      <c r="AN260">
        <v>0</v>
      </c>
      <c r="AO260">
        <v>0</v>
      </c>
      <c r="AP260">
        <v>0</v>
      </c>
      <c r="AQ260">
        <v>0</v>
      </c>
      <c r="AR260">
        <v>0</v>
      </c>
      <c r="AS260">
        <v>0</v>
      </c>
      <c r="AT260">
        <v>0</v>
      </c>
      <c r="AU260">
        <v>0</v>
      </c>
      <c r="AV260">
        <v>0</v>
      </c>
    </row>
    <row r="261" spans="1:48" ht="15.75" customHeight="1" x14ac:dyDescent="0.25">
      <c r="A261">
        <v>2</v>
      </c>
      <c r="B261">
        <v>1</v>
      </c>
      <c r="C261">
        <v>1</v>
      </c>
      <c r="D261">
        <v>1</v>
      </c>
      <c r="E261">
        <v>1994</v>
      </c>
      <c r="F261">
        <v>6</v>
      </c>
      <c r="G261">
        <v>40</v>
      </c>
      <c r="H261">
        <v>0</v>
      </c>
      <c r="I261">
        <v>0</v>
      </c>
      <c r="J261">
        <v>0</v>
      </c>
      <c r="K261">
        <v>0</v>
      </c>
      <c r="L261">
        <v>0</v>
      </c>
      <c r="M261">
        <v>0</v>
      </c>
      <c r="N261">
        <v>0</v>
      </c>
      <c r="O261">
        <v>0</v>
      </c>
      <c r="P261">
        <v>0</v>
      </c>
      <c r="Q261">
        <v>0</v>
      </c>
      <c r="R261">
        <v>0</v>
      </c>
      <c r="S261">
        <v>0</v>
      </c>
      <c r="T261">
        <v>10</v>
      </c>
      <c r="U261">
        <v>8</v>
      </c>
      <c r="V261">
        <v>4</v>
      </c>
      <c r="W261">
        <v>6</v>
      </c>
      <c r="X261">
        <v>4</v>
      </c>
      <c r="Y261">
        <v>0</v>
      </c>
      <c r="Z261">
        <v>2</v>
      </c>
      <c r="AA261">
        <v>4</v>
      </c>
      <c r="AB261">
        <v>0</v>
      </c>
      <c r="AC261">
        <v>0</v>
      </c>
      <c r="AD261">
        <v>0</v>
      </c>
      <c r="AE261">
        <v>0</v>
      </c>
      <c r="AF261">
        <v>0</v>
      </c>
      <c r="AG261">
        <v>0</v>
      </c>
      <c r="AH261">
        <v>0</v>
      </c>
      <c r="AI261">
        <v>0</v>
      </c>
      <c r="AJ261">
        <v>0</v>
      </c>
      <c r="AK261">
        <v>0</v>
      </c>
      <c r="AL261">
        <v>0</v>
      </c>
      <c r="AM261">
        <v>2</v>
      </c>
      <c r="AN261">
        <v>0</v>
      </c>
      <c r="AO261">
        <v>0</v>
      </c>
      <c r="AP261">
        <v>0</v>
      </c>
      <c r="AQ261">
        <v>0</v>
      </c>
      <c r="AR261">
        <v>0</v>
      </c>
      <c r="AS261">
        <v>0</v>
      </c>
      <c r="AT261">
        <v>0</v>
      </c>
      <c r="AU261">
        <v>0</v>
      </c>
      <c r="AV261">
        <v>0</v>
      </c>
    </row>
    <row r="262" spans="1:48" ht="15.75" customHeight="1" x14ac:dyDescent="0.25">
      <c r="A262">
        <v>2</v>
      </c>
      <c r="B262">
        <v>1</v>
      </c>
      <c r="C262">
        <v>1</v>
      </c>
      <c r="D262">
        <v>1</v>
      </c>
      <c r="E262">
        <v>1995</v>
      </c>
      <c r="F262">
        <v>1</v>
      </c>
      <c r="G262">
        <v>18</v>
      </c>
      <c r="H262">
        <v>0</v>
      </c>
      <c r="I262">
        <v>0</v>
      </c>
      <c r="J262">
        <v>0</v>
      </c>
      <c r="K262">
        <v>0</v>
      </c>
      <c r="L262">
        <v>0</v>
      </c>
      <c r="M262">
        <v>0</v>
      </c>
      <c r="N262">
        <v>0</v>
      </c>
      <c r="O262">
        <v>0</v>
      </c>
      <c r="P262">
        <v>0</v>
      </c>
      <c r="Q262">
        <v>0</v>
      </c>
      <c r="R262">
        <v>0</v>
      </c>
      <c r="S262">
        <v>0</v>
      </c>
      <c r="T262">
        <v>6</v>
      </c>
      <c r="U262">
        <v>2</v>
      </c>
      <c r="V262">
        <v>8</v>
      </c>
      <c r="W262">
        <v>2</v>
      </c>
      <c r="X262">
        <v>0</v>
      </c>
      <c r="Y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row>
    <row r="263" spans="1:48" ht="15.75" customHeight="1" x14ac:dyDescent="0.25">
      <c r="A263">
        <v>2</v>
      </c>
      <c r="B263">
        <v>1</v>
      </c>
      <c r="C263">
        <v>1</v>
      </c>
      <c r="D263">
        <v>1</v>
      </c>
      <c r="E263">
        <v>1995</v>
      </c>
      <c r="F263">
        <v>2</v>
      </c>
      <c r="G263">
        <v>158</v>
      </c>
      <c r="H263">
        <v>0</v>
      </c>
      <c r="I263">
        <v>0</v>
      </c>
      <c r="J263">
        <v>0</v>
      </c>
      <c r="K263">
        <v>0</v>
      </c>
      <c r="L263">
        <v>0</v>
      </c>
      <c r="M263">
        <v>0</v>
      </c>
      <c r="N263">
        <v>0</v>
      </c>
      <c r="O263">
        <v>0</v>
      </c>
      <c r="P263">
        <v>0</v>
      </c>
      <c r="Q263">
        <v>0</v>
      </c>
      <c r="R263">
        <v>0</v>
      </c>
      <c r="S263">
        <v>0</v>
      </c>
      <c r="T263">
        <v>45</v>
      </c>
      <c r="U263">
        <v>33</v>
      </c>
      <c r="V263">
        <v>29</v>
      </c>
      <c r="W263">
        <v>2</v>
      </c>
      <c r="X263">
        <v>6</v>
      </c>
      <c r="Y263">
        <v>2</v>
      </c>
      <c r="Z263">
        <v>8</v>
      </c>
      <c r="AA263">
        <v>6</v>
      </c>
      <c r="AB263">
        <v>3</v>
      </c>
      <c r="AC263">
        <v>8</v>
      </c>
      <c r="AD263">
        <v>0</v>
      </c>
      <c r="AE263">
        <v>10</v>
      </c>
      <c r="AF263">
        <v>2</v>
      </c>
      <c r="AG263">
        <v>2</v>
      </c>
      <c r="AH263">
        <v>0</v>
      </c>
      <c r="AI263">
        <v>0</v>
      </c>
      <c r="AJ263">
        <v>0</v>
      </c>
      <c r="AK263">
        <v>0</v>
      </c>
      <c r="AL263">
        <v>0</v>
      </c>
      <c r="AM263">
        <v>2</v>
      </c>
      <c r="AN263">
        <v>0</v>
      </c>
      <c r="AO263">
        <v>0</v>
      </c>
      <c r="AP263">
        <v>0</v>
      </c>
      <c r="AQ263">
        <v>0</v>
      </c>
      <c r="AR263">
        <v>0</v>
      </c>
      <c r="AS263">
        <v>0</v>
      </c>
      <c r="AT263">
        <v>0</v>
      </c>
      <c r="AU263">
        <v>0</v>
      </c>
      <c r="AV263">
        <v>0</v>
      </c>
    </row>
    <row r="264" spans="1:48" ht="15.75" customHeight="1" x14ac:dyDescent="0.25">
      <c r="A264">
        <v>2</v>
      </c>
      <c r="B264">
        <v>1</v>
      </c>
      <c r="C264">
        <v>1</v>
      </c>
      <c r="D264">
        <v>1</v>
      </c>
      <c r="E264">
        <v>1995</v>
      </c>
      <c r="F264">
        <v>3</v>
      </c>
      <c r="G264">
        <v>61</v>
      </c>
      <c r="H264">
        <v>0</v>
      </c>
      <c r="I264">
        <v>0</v>
      </c>
      <c r="J264">
        <v>0</v>
      </c>
      <c r="K264">
        <v>0</v>
      </c>
      <c r="L264">
        <v>0</v>
      </c>
      <c r="M264">
        <v>0</v>
      </c>
      <c r="N264">
        <v>0</v>
      </c>
      <c r="O264">
        <v>0</v>
      </c>
      <c r="P264">
        <v>0</v>
      </c>
      <c r="Q264">
        <v>0</v>
      </c>
      <c r="R264">
        <v>0</v>
      </c>
      <c r="S264">
        <v>0</v>
      </c>
      <c r="T264">
        <v>25</v>
      </c>
      <c r="U264">
        <v>9</v>
      </c>
      <c r="V264">
        <v>5</v>
      </c>
      <c r="W264">
        <v>0</v>
      </c>
      <c r="X264">
        <v>4</v>
      </c>
      <c r="Y264">
        <v>4</v>
      </c>
      <c r="Z264">
        <v>2</v>
      </c>
      <c r="AA264">
        <v>4</v>
      </c>
      <c r="AB264">
        <v>0</v>
      </c>
      <c r="AC264">
        <v>4</v>
      </c>
      <c r="AD264">
        <v>0</v>
      </c>
      <c r="AE264">
        <v>0</v>
      </c>
      <c r="AF264">
        <v>2</v>
      </c>
      <c r="AG264">
        <v>0</v>
      </c>
      <c r="AH264">
        <v>0</v>
      </c>
      <c r="AI264">
        <v>0</v>
      </c>
      <c r="AJ264">
        <v>0</v>
      </c>
      <c r="AK264">
        <v>0</v>
      </c>
      <c r="AL264">
        <v>0</v>
      </c>
      <c r="AM264">
        <v>2</v>
      </c>
      <c r="AN264">
        <v>0</v>
      </c>
      <c r="AO264">
        <v>0</v>
      </c>
      <c r="AP264">
        <v>0</v>
      </c>
      <c r="AQ264">
        <v>0</v>
      </c>
      <c r="AR264">
        <v>0</v>
      </c>
      <c r="AS264">
        <v>0</v>
      </c>
      <c r="AT264">
        <v>0</v>
      </c>
      <c r="AU264">
        <v>0</v>
      </c>
      <c r="AV264">
        <v>0</v>
      </c>
    </row>
    <row r="265" spans="1:48" ht="15.75" customHeight="1" x14ac:dyDescent="0.25">
      <c r="A265">
        <v>2</v>
      </c>
      <c r="B265">
        <v>1</v>
      </c>
      <c r="C265">
        <v>1</v>
      </c>
      <c r="D265">
        <v>1</v>
      </c>
      <c r="E265">
        <v>1995</v>
      </c>
      <c r="F265">
        <v>6</v>
      </c>
      <c r="G265">
        <v>10</v>
      </c>
      <c r="H265">
        <v>0</v>
      </c>
      <c r="I265">
        <v>0</v>
      </c>
      <c r="J265">
        <v>0</v>
      </c>
      <c r="K265">
        <v>0</v>
      </c>
      <c r="L265">
        <v>0</v>
      </c>
      <c r="M265">
        <v>0</v>
      </c>
      <c r="N265">
        <v>0</v>
      </c>
      <c r="O265">
        <v>0</v>
      </c>
      <c r="P265">
        <v>0</v>
      </c>
      <c r="Q265">
        <v>0</v>
      </c>
      <c r="R265">
        <v>0</v>
      </c>
      <c r="S265">
        <v>0</v>
      </c>
      <c r="T265">
        <v>2</v>
      </c>
      <c r="U265">
        <v>0</v>
      </c>
      <c r="V265">
        <v>0</v>
      </c>
      <c r="W265">
        <v>0</v>
      </c>
      <c r="X265">
        <v>2</v>
      </c>
      <c r="Y265">
        <v>0</v>
      </c>
      <c r="Z265">
        <v>0</v>
      </c>
      <c r="AA265">
        <v>2</v>
      </c>
      <c r="AB265">
        <v>0</v>
      </c>
      <c r="AC265">
        <v>0</v>
      </c>
      <c r="AD265">
        <v>0</v>
      </c>
      <c r="AE265">
        <v>2</v>
      </c>
      <c r="AF265">
        <v>0</v>
      </c>
      <c r="AG265">
        <v>0</v>
      </c>
      <c r="AH265">
        <v>2</v>
      </c>
      <c r="AI265">
        <v>0</v>
      </c>
      <c r="AJ265">
        <v>0</v>
      </c>
      <c r="AK265">
        <v>0</v>
      </c>
      <c r="AL265">
        <v>0</v>
      </c>
      <c r="AM265">
        <v>0</v>
      </c>
      <c r="AN265">
        <v>0</v>
      </c>
      <c r="AO265">
        <v>0</v>
      </c>
      <c r="AP265">
        <v>0</v>
      </c>
      <c r="AQ265">
        <v>0</v>
      </c>
      <c r="AR265">
        <v>0</v>
      </c>
      <c r="AS265">
        <v>0</v>
      </c>
      <c r="AT265">
        <v>0</v>
      </c>
      <c r="AU265">
        <v>0</v>
      </c>
      <c r="AV265">
        <v>0</v>
      </c>
    </row>
    <row r="266" spans="1:48" ht="15.75" customHeight="1" x14ac:dyDescent="0.25">
      <c r="A266">
        <v>2</v>
      </c>
      <c r="B266">
        <v>1</v>
      </c>
      <c r="C266">
        <v>1</v>
      </c>
      <c r="D266">
        <v>1</v>
      </c>
      <c r="E266">
        <v>1996</v>
      </c>
      <c r="F266">
        <v>1</v>
      </c>
      <c r="G266">
        <v>14</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2</v>
      </c>
      <c r="AB266">
        <v>0</v>
      </c>
      <c r="AC266">
        <v>0</v>
      </c>
      <c r="AD266">
        <v>2</v>
      </c>
      <c r="AE266">
        <v>0</v>
      </c>
      <c r="AF266">
        <v>6</v>
      </c>
      <c r="AG266">
        <v>0</v>
      </c>
      <c r="AH266">
        <v>0</v>
      </c>
      <c r="AI266">
        <v>2</v>
      </c>
      <c r="AJ266">
        <v>0</v>
      </c>
      <c r="AK266">
        <v>0</v>
      </c>
      <c r="AL266">
        <v>0</v>
      </c>
      <c r="AM266">
        <v>0</v>
      </c>
      <c r="AN266">
        <v>2</v>
      </c>
      <c r="AO266">
        <v>0</v>
      </c>
      <c r="AP266">
        <v>0</v>
      </c>
      <c r="AQ266">
        <v>0</v>
      </c>
      <c r="AR266">
        <v>0</v>
      </c>
      <c r="AS266">
        <v>0</v>
      </c>
      <c r="AT266">
        <v>0</v>
      </c>
      <c r="AU266">
        <v>0</v>
      </c>
      <c r="AV266">
        <v>0</v>
      </c>
    </row>
    <row r="267" spans="1:48" ht="15.75" customHeight="1" x14ac:dyDescent="0.25">
      <c r="A267">
        <v>2</v>
      </c>
      <c r="B267">
        <v>1</v>
      </c>
      <c r="C267">
        <v>1</v>
      </c>
      <c r="D267">
        <v>1</v>
      </c>
      <c r="E267">
        <v>1996</v>
      </c>
      <c r="F267">
        <v>2</v>
      </c>
      <c r="G267">
        <v>280</v>
      </c>
      <c r="H267">
        <v>0</v>
      </c>
      <c r="I267">
        <v>0</v>
      </c>
      <c r="J267">
        <v>0</v>
      </c>
      <c r="K267">
        <v>0</v>
      </c>
      <c r="L267">
        <v>0</v>
      </c>
      <c r="M267">
        <v>0</v>
      </c>
      <c r="N267">
        <v>0</v>
      </c>
      <c r="O267">
        <v>0</v>
      </c>
      <c r="P267">
        <v>0</v>
      </c>
      <c r="Q267">
        <v>0</v>
      </c>
      <c r="R267">
        <v>0</v>
      </c>
      <c r="S267">
        <v>0</v>
      </c>
      <c r="T267">
        <v>42</v>
      </c>
      <c r="U267">
        <v>30</v>
      </c>
      <c r="V267">
        <v>13</v>
      </c>
      <c r="W267">
        <v>8</v>
      </c>
      <c r="X267">
        <v>9</v>
      </c>
      <c r="Y267">
        <v>12</v>
      </c>
      <c r="Z267">
        <v>6</v>
      </c>
      <c r="AA267">
        <v>16</v>
      </c>
      <c r="AB267">
        <v>29</v>
      </c>
      <c r="AC267">
        <v>18</v>
      </c>
      <c r="AD267">
        <v>23</v>
      </c>
      <c r="AE267">
        <v>23</v>
      </c>
      <c r="AF267">
        <v>24</v>
      </c>
      <c r="AG267">
        <v>9</v>
      </c>
      <c r="AH267">
        <v>12</v>
      </c>
      <c r="AI267">
        <v>2</v>
      </c>
      <c r="AJ267">
        <v>0</v>
      </c>
      <c r="AK267">
        <v>2</v>
      </c>
      <c r="AL267">
        <v>0</v>
      </c>
      <c r="AM267">
        <v>0</v>
      </c>
      <c r="AN267">
        <v>0</v>
      </c>
      <c r="AO267">
        <v>0</v>
      </c>
      <c r="AP267">
        <v>0</v>
      </c>
      <c r="AQ267">
        <v>2</v>
      </c>
      <c r="AR267">
        <v>0</v>
      </c>
      <c r="AS267">
        <v>0</v>
      </c>
      <c r="AT267">
        <v>0</v>
      </c>
      <c r="AU267">
        <v>0</v>
      </c>
      <c r="AV267">
        <v>0</v>
      </c>
    </row>
    <row r="268" spans="1:48" ht="15.75" customHeight="1" x14ac:dyDescent="0.25">
      <c r="A268">
        <v>2</v>
      </c>
      <c r="B268">
        <v>1</v>
      </c>
      <c r="C268">
        <v>1</v>
      </c>
      <c r="D268">
        <v>1</v>
      </c>
      <c r="E268">
        <v>1996</v>
      </c>
      <c r="F268">
        <v>3</v>
      </c>
      <c r="G268">
        <v>91</v>
      </c>
      <c r="H268">
        <v>0</v>
      </c>
      <c r="I268">
        <v>0</v>
      </c>
      <c r="J268">
        <v>0</v>
      </c>
      <c r="K268">
        <v>0</v>
      </c>
      <c r="L268">
        <v>0</v>
      </c>
      <c r="M268">
        <v>0</v>
      </c>
      <c r="N268">
        <v>0</v>
      </c>
      <c r="O268">
        <v>0</v>
      </c>
      <c r="P268">
        <v>0</v>
      </c>
      <c r="Q268">
        <v>0</v>
      </c>
      <c r="R268">
        <v>0</v>
      </c>
      <c r="S268">
        <v>0</v>
      </c>
      <c r="T268">
        <v>28</v>
      </c>
      <c r="U268">
        <v>22</v>
      </c>
      <c r="V268">
        <v>11</v>
      </c>
      <c r="W268">
        <v>3</v>
      </c>
      <c r="X268">
        <v>1</v>
      </c>
      <c r="Y268">
        <v>2</v>
      </c>
      <c r="Z268">
        <v>8</v>
      </c>
      <c r="AA268">
        <v>4</v>
      </c>
      <c r="AB268">
        <v>1</v>
      </c>
      <c r="AC268">
        <v>1</v>
      </c>
      <c r="AD268">
        <v>0</v>
      </c>
      <c r="AE268">
        <v>0</v>
      </c>
      <c r="AF268">
        <v>3</v>
      </c>
      <c r="AG268">
        <v>1</v>
      </c>
      <c r="AH268">
        <v>1</v>
      </c>
      <c r="AI268">
        <v>2</v>
      </c>
      <c r="AJ268">
        <v>0</v>
      </c>
      <c r="AK268">
        <v>1</v>
      </c>
      <c r="AL268">
        <v>0</v>
      </c>
      <c r="AM268">
        <v>0</v>
      </c>
      <c r="AN268">
        <v>0</v>
      </c>
      <c r="AO268">
        <v>0</v>
      </c>
      <c r="AP268">
        <v>0</v>
      </c>
      <c r="AQ268">
        <v>2</v>
      </c>
      <c r="AR268">
        <v>0</v>
      </c>
      <c r="AS268">
        <v>0</v>
      </c>
      <c r="AT268">
        <v>0</v>
      </c>
      <c r="AU268">
        <v>0</v>
      </c>
      <c r="AV268">
        <v>0</v>
      </c>
    </row>
    <row r="269" spans="1:48" ht="15.75" customHeight="1" x14ac:dyDescent="0.25">
      <c r="A269">
        <v>2</v>
      </c>
      <c r="B269">
        <v>1</v>
      </c>
      <c r="C269">
        <v>1</v>
      </c>
      <c r="D269">
        <v>1</v>
      </c>
      <c r="E269">
        <v>1996</v>
      </c>
      <c r="F269">
        <v>6</v>
      </c>
      <c r="G269">
        <v>57</v>
      </c>
      <c r="H269">
        <v>0</v>
      </c>
      <c r="I269">
        <v>0</v>
      </c>
      <c r="J269">
        <v>0</v>
      </c>
      <c r="K269">
        <v>0</v>
      </c>
      <c r="L269">
        <v>0</v>
      </c>
      <c r="M269">
        <v>0</v>
      </c>
      <c r="N269">
        <v>0</v>
      </c>
      <c r="O269">
        <v>0</v>
      </c>
      <c r="P269">
        <v>0</v>
      </c>
      <c r="Q269">
        <v>0</v>
      </c>
      <c r="R269">
        <v>0</v>
      </c>
      <c r="S269">
        <v>0</v>
      </c>
      <c r="T269">
        <v>9</v>
      </c>
      <c r="U269">
        <v>21</v>
      </c>
      <c r="V269">
        <v>11</v>
      </c>
      <c r="W269">
        <v>5</v>
      </c>
      <c r="X269">
        <v>3</v>
      </c>
      <c r="Y269">
        <v>0</v>
      </c>
      <c r="Z269">
        <v>1</v>
      </c>
      <c r="AA269">
        <v>0</v>
      </c>
      <c r="AB269">
        <v>0</v>
      </c>
      <c r="AC269">
        <v>0</v>
      </c>
      <c r="AD269">
        <v>0</v>
      </c>
      <c r="AE269">
        <v>0</v>
      </c>
      <c r="AF269">
        <v>0</v>
      </c>
      <c r="AG269">
        <v>0</v>
      </c>
      <c r="AH269">
        <v>0</v>
      </c>
      <c r="AI269">
        <v>2</v>
      </c>
      <c r="AJ269">
        <v>0</v>
      </c>
      <c r="AK269">
        <v>0</v>
      </c>
      <c r="AL269">
        <v>0</v>
      </c>
      <c r="AM269">
        <v>0</v>
      </c>
      <c r="AN269">
        <v>0</v>
      </c>
      <c r="AO269">
        <v>0</v>
      </c>
      <c r="AP269">
        <v>2</v>
      </c>
      <c r="AQ269">
        <v>3</v>
      </c>
      <c r="AR269">
        <v>0</v>
      </c>
      <c r="AS269">
        <v>0</v>
      </c>
      <c r="AT269">
        <v>0</v>
      </c>
      <c r="AU269">
        <v>0</v>
      </c>
      <c r="AV269">
        <v>0</v>
      </c>
    </row>
    <row r="270" spans="1:48" ht="15.75" customHeight="1" x14ac:dyDescent="0.25">
      <c r="A270">
        <v>2</v>
      </c>
      <c r="B270">
        <v>1</v>
      </c>
      <c r="C270">
        <v>1</v>
      </c>
      <c r="D270">
        <v>1</v>
      </c>
      <c r="E270">
        <v>1997</v>
      </c>
      <c r="F270">
        <v>1</v>
      </c>
      <c r="G270">
        <v>73</v>
      </c>
      <c r="H270">
        <v>0</v>
      </c>
      <c r="I270">
        <v>0</v>
      </c>
      <c r="J270">
        <v>0</v>
      </c>
      <c r="K270">
        <v>0</v>
      </c>
      <c r="L270">
        <v>0</v>
      </c>
      <c r="M270">
        <v>0</v>
      </c>
      <c r="N270">
        <v>0</v>
      </c>
      <c r="O270">
        <v>0</v>
      </c>
      <c r="P270">
        <v>0</v>
      </c>
      <c r="Q270">
        <v>0</v>
      </c>
      <c r="R270">
        <v>0</v>
      </c>
      <c r="S270">
        <v>0</v>
      </c>
      <c r="T270">
        <v>13</v>
      </c>
      <c r="U270">
        <v>10</v>
      </c>
      <c r="V270">
        <v>12</v>
      </c>
      <c r="W270">
        <v>1</v>
      </c>
      <c r="X270">
        <v>1</v>
      </c>
      <c r="Y270">
        <v>2</v>
      </c>
      <c r="Z270">
        <v>4</v>
      </c>
      <c r="AA270">
        <v>1</v>
      </c>
      <c r="AB270">
        <v>3</v>
      </c>
      <c r="AC270">
        <v>2</v>
      </c>
      <c r="AD270">
        <v>4</v>
      </c>
      <c r="AE270">
        <v>2</v>
      </c>
      <c r="AF270">
        <v>4</v>
      </c>
      <c r="AG270">
        <v>2</v>
      </c>
      <c r="AH270">
        <v>5</v>
      </c>
      <c r="AI270">
        <v>1</v>
      </c>
      <c r="AJ270">
        <v>2</v>
      </c>
      <c r="AK270">
        <v>2</v>
      </c>
      <c r="AL270">
        <v>2</v>
      </c>
      <c r="AM270">
        <v>0</v>
      </c>
      <c r="AN270">
        <v>0</v>
      </c>
      <c r="AO270">
        <v>0</v>
      </c>
      <c r="AP270">
        <v>0</v>
      </c>
      <c r="AQ270">
        <v>0</v>
      </c>
      <c r="AR270">
        <v>0</v>
      </c>
      <c r="AS270">
        <v>0</v>
      </c>
      <c r="AT270">
        <v>0</v>
      </c>
      <c r="AU270">
        <v>0</v>
      </c>
      <c r="AV270">
        <v>0</v>
      </c>
    </row>
    <row r="271" spans="1:48" ht="15.75" customHeight="1" x14ac:dyDescent="0.25">
      <c r="A271">
        <v>2</v>
      </c>
      <c r="B271">
        <v>1</v>
      </c>
      <c r="C271">
        <v>1</v>
      </c>
      <c r="D271">
        <v>1</v>
      </c>
      <c r="E271">
        <v>1997</v>
      </c>
      <c r="F271">
        <v>2</v>
      </c>
      <c r="G271">
        <v>265</v>
      </c>
      <c r="H271">
        <v>0</v>
      </c>
      <c r="I271">
        <v>0</v>
      </c>
      <c r="J271">
        <v>0</v>
      </c>
      <c r="K271">
        <v>0</v>
      </c>
      <c r="L271">
        <v>0</v>
      </c>
      <c r="M271">
        <v>0</v>
      </c>
      <c r="N271">
        <v>0</v>
      </c>
      <c r="O271">
        <v>0</v>
      </c>
      <c r="P271">
        <v>0</v>
      </c>
      <c r="Q271">
        <v>0</v>
      </c>
      <c r="R271">
        <v>0</v>
      </c>
      <c r="S271">
        <v>0</v>
      </c>
      <c r="T271">
        <v>47</v>
      </c>
      <c r="U271">
        <v>35</v>
      </c>
      <c r="V271">
        <v>22</v>
      </c>
      <c r="W271">
        <v>14</v>
      </c>
      <c r="X271">
        <v>7</v>
      </c>
      <c r="Y271">
        <v>8</v>
      </c>
      <c r="Z271">
        <v>11</v>
      </c>
      <c r="AA271">
        <v>14</v>
      </c>
      <c r="AB271">
        <v>14</v>
      </c>
      <c r="AC271">
        <v>13</v>
      </c>
      <c r="AD271">
        <v>3</v>
      </c>
      <c r="AE271">
        <v>10</v>
      </c>
      <c r="AF271">
        <v>6</v>
      </c>
      <c r="AG271">
        <v>18</v>
      </c>
      <c r="AH271">
        <v>9</v>
      </c>
      <c r="AI271">
        <v>6</v>
      </c>
      <c r="AJ271">
        <v>9</v>
      </c>
      <c r="AK271">
        <v>9</v>
      </c>
      <c r="AL271">
        <v>2</v>
      </c>
      <c r="AM271">
        <v>2</v>
      </c>
      <c r="AN271">
        <v>2</v>
      </c>
      <c r="AO271">
        <v>0</v>
      </c>
      <c r="AP271">
        <v>0</v>
      </c>
      <c r="AQ271">
        <v>4</v>
      </c>
      <c r="AR271">
        <v>0</v>
      </c>
      <c r="AS271">
        <v>0</v>
      </c>
      <c r="AT271">
        <v>0</v>
      </c>
      <c r="AU271">
        <v>0</v>
      </c>
      <c r="AV271">
        <v>0</v>
      </c>
    </row>
    <row r="272" spans="1:48" ht="15.75" customHeight="1" x14ac:dyDescent="0.25">
      <c r="A272">
        <v>2</v>
      </c>
      <c r="B272">
        <v>1</v>
      </c>
      <c r="C272">
        <v>1</v>
      </c>
      <c r="D272">
        <v>1</v>
      </c>
      <c r="E272">
        <v>1997</v>
      </c>
      <c r="F272">
        <v>3</v>
      </c>
      <c r="G272">
        <v>153</v>
      </c>
      <c r="H272">
        <v>0</v>
      </c>
      <c r="I272">
        <v>0</v>
      </c>
      <c r="J272">
        <v>0</v>
      </c>
      <c r="K272">
        <v>0</v>
      </c>
      <c r="L272">
        <v>0</v>
      </c>
      <c r="M272">
        <v>0</v>
      </c>
      <c r="N272">
        <v>0</v>
      </c>
      <c r="O272">
        <v>0</v>
      </c>
      <c r="P272">
        <v>0</v>
      </c>
      <c r="Q272">
        <v>0</v>
      </c>
      <c r="R272">
        <v>0</v>
      </c>
      <c r="S272">
        <v>0</v>
      </c>
      <c r="T272">
        <v>49</v>
      </c>
      <c r="U272">
        <v>34</v>
      </c>
      <c r="V272">
        <v>22</v>
      </c>
      <c r="W272">
        <v>8</v>
      </c>
      <c r="X272">
        <v>12</v>
      </c>
      <c r="Y272">
        <v>5</v>
      </c>
      <c r="Z272">
        <v>3</v>
      </c>
      <c r="AA272">
        <v>2</v>
      </c>
      <c r="AB272">
        <v>4</v>
      </c>
      <c r="AC272">
        <v>2</v>
      </c>
      <c r="AD272">
        <v>3</v>
      </c>
      <c r="AE272">
        <v>2</v>
      </c>
      <c r="AF272">
        <v>3</v>
      </c>
      <c r="AG272">
        <v>1</v>
      </c>
      <c r="AH272">
        <v>2</v>
      </c>
      <c r="AI272">
        <v>0</v>
      </c>
      <c r="AJ272">
        <v>0</v>
      </c>
      <c r="AK272">
        <v>0</v>
      </c>
      <c r="AL272">
        <v>0</v>
      </c>
      <c r="AM272">
        <v>0</v>
      </c>
      <c r="AN272">
        <v>0</v>
      </c>
      <c r="AO272">
        <v>0</v>
      </c>
      <c r="AP272">
        <v>0</v>
      </c>
      <c r="AQ272">
        <v>1</v>
      </c>
      <c r="AR272">
        <v>0</v>
      </c>
      <c r="AS272">
        <v>0</v>
      </c>
      <c r="AT272">
        <v>0</v>
      </c>
      <c r="AU272">
        <v>0</v>
      </c>
      <c r="AV272">
        <v>0</v>
      </c>
    </row>
    <row r="273" spans="1:48" ht="15.75" customHeight="1" x14ac:dyDescent="0.25">
      <c r="A273">
        <v>2</v>
      </c>
      <c r="B273">
        <v>1</v>
      </c>
      <c r="C273">
        <v>1</v>
      </c>
      <c r="D273">
        <v>1</v>
      </c>
      <c r="E273">
        <v>1997</v>
      </c>
      <c r="F273">
        <v>6</v>
      </c>
      <c r="G273">
        <v>83</v>
      </c>
      <c r="H273">
        <v>0</v>
      </c>
      <c r="I273">
        <v>0</v>
      </c>
      <c r="J273">
        <v>0</v>
      </c>
      <c r="K273">
        <v>0</v>
      </c>
      <c r="L273">
        <v>0</v>
      </c>
      <c r="M273">
        <v>0</v>
      </c>
      <c r="N273">
        <v>0</v>
      </c>
      <c r="O273">
        <v>0</v>
      </c>
      <c r="P273">
        <v>0</v>
      </c>
      <c r="Q273">
        <v>0</v>
      </c>
      <c r="R273">
        <v>0</v>
      </c>
      <c r="S273">
        <v>0</v>
      </c>
      <c r="T273">
        <v>15</v>
      </c>
      <c r="U273">
        <v>25</v>
      </c>
      <c r="V273">
        <v>15</v>
      </c>
      <c r="W273">
        <v>9</v>
      </c>
      <c r="X273">
        <v>6</v>
      </c>
      <c r="Y273">
        <v>6</v>
      </c>
      <c r="Z273">
        <v>0</v>
      </c>
      <c r="AA273">
        <v>1</v>
      </c>
      <c r="AB273">
        <v>1</v>
      </c>
      <c r="AC273">
        <v>0</v>
      </c>
      <c r="AD273">
        <v>1</v>
      </c>
      <c r="AE273">
        <v>0</v>
      </c>
      <c r="AF273">
        <v>1</v>
      </c>
      <c r="AG273">
        <v>0</v>
      </c>
      <c r="AH273">
        <v>0</v>
      </c>
      <c r="AI273">
        <v>0</v>
      </c>
      <c r="AJ273">
        <v>1</v>
      </c>
      <c r="AK273">
        <v>0</v>
      </c>
      <c r="AL273">
        <v>2</v>
      </c>
      <c r="AM273">
        <v>0</v>
      </c>
      <c r="AN273">
        <v>0</v>
      </c>
      <c r="AO273">
        <v>0</v>
      </c>
      <c r="AP273">
        <v>0</v>
      </c>
      <c r="AQ273">
        <v>0</v>
      </c>
      <c r="AR273">
        <v>0</v>
      </c>
      <c r="AS273">
        <v>0</v>
      </c>
      <c r="AT273">
        <v>0</v>
      </c>
      <c r="AU273">
        <v>0</v>
      </c>
      <c r="AV273">
        <v>0</v>
      </c>
    </row>
    <row r="274" spans="1:48" ht="15.75" customHeight="1" x14ac:dyDescent="0.25">
      <c r="A274">
        <v>2</v>
      </c>
      <c r="B274">
        <v>1</v>
      </c>
      <c r="C274">
        <v>1</v>
      </c>
      <c r="D274">
        <v>1</v>
      </c>
      <c r="E274">
        <v>1998</v>
      </c>
      <c r="F274">
        <v>1</v>
      </c>
      <c r="G274">
        <v>33</v>
      </c>
      <c r="H274">
        <v>0</v>
      </c>
      <c r="I274">
        <v>0</v>
      </c>
      <c r="J274">
        <v>0</v>
      </c>
      <c r="K274">
        <v>0</v>
      </c>
      <c r="L274">
        <v>0</v>
      </c>
      <c r="M274">
        <v>0</v>
      </c>
      <c r="N274">
        <v>0</v>
      </c>
      <c r="O274">
        <v>0</v>
      </c>
      <c r="P274">
        <v>0</v>
      </c>
      <c r="Q274">
        <v>0</v>
      </c>
      <c r="R274">
        <v>0</v>
      </c>
      <c r="S274">
        <v>0</v>
      </c>
      <c r="T274">
        <v>10</v>
      </c>
      <c r="U274">
        <v>4</v>
      </c>
      <c r="V274">
        <v>5</v>
      </c>
      <c r="W274">
        <v>5</v>
      </c>
      <c r="X274">
        <v>2</v>
      </c>
      <c r="Y274">
        <v>1</v>
      </c>
      <c r="Z274">
        <v>1</v>
      </c>
      <c r="AA274">
        <v>0</v>
      </c>
      <c r="AB274">
        <v>1</v>
      </c>
      <c r="AC274">
        <v>0</v>
      </c>
      <c r="AD274">
        <v>0</v>
      </c>
      <c r="AE274">
        <v>2</v>
      </c>
      <c r="AF274">
        <v>0</v>
      </c>
      <c r="AG274">
        <v>0</v>
      </c>
      <c r="AH274">
        <v>0</v>
      </c>
      <c r="AI274">
        <v>0</v>
      </c>
      <c r="AJ274">
        <v>2</v>
      </c>
      <c r="AK274">
        <v>0</v>
      </c>
      <c r="AL274">
        <v>0</v>
      </c>
      <c r="AM274">
        <v>0</v>
      </c>
      <c r="AN274">
        <v>0</v>
      </c>
      <c r="AO274">
        <v>0</v>
      </c>
      <c r="AP274">
        <v>0</v>
      </c>
      <c r="AQ274">
        <v>0</v>
      </c>
      <c r="AR274">
        <v>0</v>
      </c>
      <c r="AS274">
        <v>0</v>
      </c>
      <c r="AT274">
        <v>0</v>
      </c>
      <c r="AU274">
        <v>0</v>
      </c>
      <c r="AV274">
        <v>0</v>
      </c>
    </row>
    <row r="275" spans="1:48" ht="15.75" customHeight="1" x14ac:dyDescent="0.25">
      <c r="A275">
        <v>2</v>
      </c>
      <c r="B275">
        <v>1</v>
      </c>
      <c r="C275">
        <v>1</v>
      </c>
      <c r="D275">
        <v>1</v>
      </c>
      <c r="E275">
        <v>1998</v>
      </c>
      <c r="F275">
        <v>2</v>
      </c>
      <c r="G275">
        <v>163</v>
      </c>
      <c r="H275">
        <v>0</v>
      </c>
      <c r="I275">
        <v>0</v>
      </c>
      <c r="J275">
        <v>0</v>
      </c>
      <c r="K275">
        <v>0</v>
      </c>
      <c r="L275">
        <v>0</v>
      </c>
      <c r="M275">
        <v>0</v>
      </c>
      <c r="N275">
        <v>0</v>
      </c>
      <c r="O275">
        <v>0</v>
      </c>
      <c r="P275">
        <v>0</v>
      </c>
      <c r="Q275">
        <v>0</v>
      </c>
      <c r="R275">
        <v>0</v>
      </c>
      <c r="S275">
        <v>0</v>
      </c>
      <c r="T275">
        <v>38</v>
      </c>
      <c r="U275">
        <v>34</v>
      </c>
      <c r="V275">
        <v>29</v>
      </c>
      <c r="W275">
        <v>12</v>
      </c>
      <c r="X275">
        <v>4</v>
      </c>
      <c r="Y275">
        <v>6</v>
      </c>
      <c r="Z275">
        <v>5</v>
      </c>
      <c r="AA275">
        <v>5</v>
      </c>
      <c r="AB275">
        <v>6</v>
      </c>
      <c r="AC275">
        <v>4</v>
      </c>
      <c r="AD275">
        <v>2</v>
      </c>
      <c r="AE275">
        <v>3</v>
      </c>
      <c r="AF275">
        <v>3</v>
      </c>
      <c r="AG275">
        <v>2</v>
      </c>
      <c r="AH275">
        <v>3</v>
      </c>
      <c r="AI275">
        <v>1</v>
      </c>
      <c r="AJ275">
        <v>1</v>
      </c>
      <c r="AK275">
        <v>0</v>
      </c>
      <c r="AL275">
        <v>2</v>
      </c>
      <c r="AM275">
        <v>1</v>
      </c>
      <c r="AN275">
        <v>0</v>
      </c>
      <c r="AO275">
        <v>1</v>
      </c>
      <c r="AP275">
        <v>1</v>
      </c>
      <c r="AQ275">
        <v>0</v>
      </c>
      <c r="AR275">
        <v>0</v>
      </c>
      <c r="AS275">
        <v>0</v>
      </c>
      <c r="AT275">
        <v>0</v>
      </c>
      <c r="AU275">
        <v>0</v>
      </c>
      <c r="AV275">
        <v>0</v>
      </c>
    </row>
    <row r="276" spans="1:48" ht="15.75" customHeight="1" x14ac:dyDescent="0.25">
      <c r="A276">
        <v>2</v>
      </c>
      <c r="B276">
        <v>1</v>
      </c>
      <c r="C276">
        <v>1</v>
      </c>
      <c r="D276">
        <v>1</v>
      </c>
      <c r="E276">
        <v>1998</v>
      </c>
      <c r="F276">
        <v>3</v>
      </c>
      <c r="G276">
        <v>79</v>
      </c>
      <c r="H276">
        <v>0</v>
      </c>
      <c r="I276">
        <v>0</v>
      </c>
      <c r="J276">
        <v>0</v>
      </c>
      <c r="K276">
        <v>0</v>
      </c>
      <c r="L276">
        <v>0</v>
      </c>
      <c r="M276">
        <v>0</v>
      </c>
      <c r="N276">
        <v>0</v>
      </c>
      <c r="O276">
        <v>0</v>
      </c>
      <c r="P276">
        <v>0</v>
      </c>
      <c r="Q276">
        <v>0</v>
      </c>
      <c r="R276">
        <v>0</v>
      </c>
      <c r="S276">
        <v>0</v>
      </c>
      <c r="T276">
        <v>17</v>
      </c>
      <c r="U276">
        <v>13</v>
      </c>
      <c r="V276">
        <v>9</v>
      </c>
      <c r="W276">
        <v>3</v>
      </c>
      <c r="X276">
        <v>4</v>
      </c>
      <c r="Y276">
        <v>2</v>
      </c>
      <c r="Z276">
        <v>7</v>
      </c>
      <c r="AA276">
        <v>2</v>
      </c>
      <c r="AB276">
        <v>1</v>
      </c>
      <c r="AC276">
        <v>6</v>
      </c>
      <c r="AD276">
        <v>1</v>
      </c>
      <c r="AE276">
        <v>1</v>
      </c>
      <c r="AF276">
        <v>4</v>
      </c>
      <c r="AG276">
        <v>2</v>
      </c>
      <c r="AH276">
        <v>3</v>
      </c>
      <c r="AI276">
        <v>0</v>
      </c>
      <c r="AJ276">
        <v>1</v>
      </c>
      <c r="AK276">
        <v>0</v>
      </c>
      <c r="AL276">
        <v>0</v>
      </c>
      <c r="AM276">
        <v>0</v>
      </c>
      <c r="AN276">
        <v>0</v>
      </c>
      <c r="AO276">
        <v>2</v>
      </c>
      <c r="AP276">
        <v>0</v>
      </c>
      <c r="AQ276">
        <v>1</v>
      </c>
      <c r="AR276">
        <v>0</v>
      </c>
      <c r="AS276">
        <v>0</v>
      </c>
      <c r="AT276">
        <v>0</v>
      </c>
      <c r="AU276">
        <v>0</v>
      </c>
      <c r="AV276">
        <v>0</v>
      </c>
    </row>
    <row r="277" spans="1:48" ht="15.75" customHeight="1" x14ac:dyDescent="0.25">
      <c r="A277">
        <v>2</v>
      </c>
      <c r="B277">
        <v>1</v>
      </c>
      <c r="C277">
        <v>1</v>
      </c>
      <c r="D277">
        <v>1</v>
      </c>
      <c r="E277">
        <v>1998</v>
      </c>
      <c r="F277">
        <v>6</v>
      </c>
      <c r="G277">
        <v>27</v>
      </c>
      <c r="H277">
        <v>0</v>
      </c>
      <c r="I277">
        <v>0</v>
      </c>
      <c r="J277">
        <v>0</v>
      </c>
      <c r="K277">
        <v>0</v>
      </c>
      <c r="L277">
        <v>0</v>
      </c>
      <c r="M277">
        <v>0</v>
      </c>
      <c r="N277">
        <v>0</v>
      </c>
      <c r="O277">
        <v>0</v>
      </c>
      <c r="P277">
        <v>0</v>
      </c>
      <c r="Q277">
        <v>0</v>
      </c>
      <c r="R277">
        <v>0</v>
      </c>
      <c r="S277">
        <v>0</v>
      </c>
      <c r="T277">
        <v>1</v>
      </c>
      <c r="U277">
        <v>10</v>
      </c>
      <c r="V277">
        <v>9</v>
      </c>
      <c r="W277">
        <v>3</v>
      </c>
      <c r="X277">
        <v>2</v>
      </c>
      <c r="Y277">
        <v>0</v>
      </c>
      <c r="Z277">
        <v>1</v>
      </c>
      <c r="AA277">
        <v>0</v>
      </c>
      <c r="AB277">
        <v>0</v>
      </c>
      <c r="AC277">
        <v>0</v>
      </c>
      <c r="AD277">
        <v>0</v>
      </c>
      <c r="AE277">
        <v>0</v>
      </c>
      <c r="AF277">
        <v>1</v>
      </c>
      <c r="AG277">
        <v>0</v>
      </c>
      <c r="AH277">
        <v>0</v>
      </c>
      <c r="AI277">
        <v>0</v>
      </c>
      <c r="AJ277">
        <v>0</v>
      </c>
      <c r="AK277">
        <v>0</v>
      </c>
      <c r="AL277">
        <v>0</v>
      </c>
      <c r="AM277">
        <v>0</v>
      </c>
      <c r="AN277">
        <v>0</v>
      </c>
      <c r="AO277">
        <v>0</v>
      </c>
      <c r="AP277">
        <v>0</v>
      </c>
      <c r="AQ277">
        <v>0</v>
      </c>
      <c r="AR277">
        <v>0</v>
      </c>
      <c r="AS277">
        <v>0</v>
      </c>
      <c r="AT277">
        <v>0</v>
      </c>
      <c r="AU277">
        <v>0</v>
      </c>
      <c r="AV277">
        <v>0</v>
      </c>
    </row>
    <row r="278" spans="1:48" ht="15.75" customHeight="1" x14ac:dyDescent="0.25">
      <c r="A278">
        <v>2</v>
      </c>
      <c r="B278">
        <v>1</v>
      </c>
      <c r="C278">
        <v>1</v>
      </c>
      <c r="D278">
        <v>1</v>
      </c>
      <c r="E278">
        <v>1999</v>
      </c>
      <c r="F278">
        <v>1</v>
      </c>
      <c r="G278">
        <v>27</v>
      </c>
      <c r="H278">
        <v>0</v>
      </c>
      <c r="I278">
        <v>0</v>
      </c>
      <c r="J278">
        <v>0</v>
      </c>
      <c r="K278">
        <v>0</v>
      </c>
      <c r="L278">
        <v>0</v>
      </c>
      <c r="M278">
        <v>0</v>
      </c>
      <c r="N278">
        <v>0</v>
      </c>
      <c r="O278">
        <v>0</v>
      </c>
      <c r="P278">
        <v>0</v>
      </c>
      <c r="Q278">
        <v>0</v>
      </c>
      <c r="R278">
        <v>0</v>
      </c>
      <c r="S278">
        <v>0</v>
      </c>
      <c r="T278">
        <v>6</v>
      </c>
      <c r="U278">
        <v>3</v>
      </c>
      <c r="V278">
        <v>3</v>
      </c>
      <c r="W278">
        <v>4</v>
      </c>
      <c r="X278">
        <v>2</v>
      </c>
      <c r="Y278">
        <v>1</v>
      </c>
      <c r="Z278">
        <v>3</v>
      </c>
      <c r="AA278">
        <v>0</v>
      </c>
      <c r="AB278">
        <v>0</v>
      </c>
      <c r="AC278">
        <v>1</v>
      </c>
      <c r="AD278">
        <v>1</v>
      </c>
      <c r="AE278">
        <v>0</v>
      </c>
      <c r="AF278">
        <v>0</v>
      </c>
      <c r="AG278">
        <v>0</v>
      </c>
      <c r="AH278">
        <v>1</v>
      </c>
      <c r="AI278">
        <v>0</v>
      </c>
      <c r="AJ278">
        <v>0</v>
      </c>
      <c r="AK278">
        <v>0</v>
      </c>
      <c r="AL278">
        <v>2</v>
      </c>
      <c r="AM278">
        <v>0</v>
      </c>
      <c r="AN278">
        <v>0</v>
      </c>
      <c r="AO278">
        <v>0</v>
      </c>
      <c r="AP278">
        <v>0</v>
      </c>
      <c r="AQ278">
        <v>0</v>
      </c>
      <c r="AR278">
        <v>0</v>
      </c>
      <c r="AS278">
        <v>0</v>
      </c>
      <c r="AT278">
        <v>0</v>
      </c>
      <c r="AU278">
        <v>0</v>
      </c>
      <c r="AV278">
        <v>0</v>
      </c>
    </row>
    <row r="279" spans="1:48" ht="15.75" customHeight="1" x14ac:dyDescent="0.25">
      <c r="A279">
        <v>2</v>
      </c>
      <c r="B279">
        <v>1</v>
      </c>
      <c r="C279">
        <v>1</v>
      </c>
      <c r="D279">
        <v>1</v>
      </c>
      <c r="E279">
        <v>1999</v>
      </c>
      <c r="F279">
        <v>2</v>
      </c>
      <c r="G279">
        <v>126</v>
      </c>
      <c r="H279">
        <v>0</v>
      </c>
      <c r="I279">
        <v>0</v>
      </c>
      <c r="J279">
        <v>0</v>
      </c>
      <c r="K279">
        <v>0</v>
      </c>
      <c r="L279">
        <v>0</v>
      </c>
      <c r="M279">
        <v>0</v>
      </c>
      <c r="N279">
        <v>0</v>
      </c>
      <c r="O279">
        <v>0</v>
      </c>
      <c r="P279">
        <v>0</v>
      </c>
      <c r="Q279">
        <v>0</v>
      </c>
      <c r="R279">
        <v>0</v>
      </c>
      <c r="S279">
        <v>0</v>
      </c>
      <c r="T279">
        <v>40</v>
      </c>
      <c r="U279">
        <v>38</v>
      </c>
      <c r="V279">
        <v>20</v>
      </c>
      <c r="W279">
        <v>2</v>
      </c>
      <c r="X279">
        <v>2</v>
      </c>
      <c r="Y279">
        <v>1</v>
      </c>
      <c r="Z279">
        <v>2</v>
      </c>
      <c r="AA279">
        <v>3</v>
      </c>
      <c r="AB279">
        <v>0</v>
      </c>
      <c r="AC279">
        <v>2</v>
      </c>
      <c r="AD279">
        <v>1</v>
      </c>
      <c r="AE279">
        <v>1</v>
      </c>
      <c r="AF279">
        <v>2</v>
      </c>
      <c r="AG279">
        <v>0</v>
      </c>
      <c r="AH279">
        <v>2</v>
      </c>
      <c r="AI279">
        <v>0</v>
      </c>
      <c r="AJ279">
        <v>1</v>
      </c>
      <c r="AK279">
        <v>0</v>
      </c>
      <c r="AL279">
        <v>4</v>
      </c>
      <c r="AM279">
        <v>4</v>
      </c>
      <c r="AN279">
        <v>1</v>
      </c>
      <c r="AO279">
        <v>0</v>
      </c>
      <c r="AP279">
        <v>0</v>
      </c>
      <c r="AQ279">
        <v>0</v>
      </c>
      <c r="AR279">
        <v>0</v>
      </c>
      <c r="AS279">
        <v>0</v>
      </c>
      <c r="AT279">
        <v>0</v>
      </c>
      <c r="AU279">
        <v>0</v>
      </c>
      <c r="AV279">
        <v>0</v>
      </c>
    </row>
    <row r="280" spans="1:48" ht="15.75" customHeight="1" x14ac:dyDescent="0.25">
      <c r="A280">
        <v>2</v>
      </c>
      <c r="B280">
        <v>1</v>
      </c>
      <c r="C280">
        <v>1</v>
      </c>
      <c r="D280">
        <v>1</v>
      </c>
      <c r="E280">
        <v>1999</v>
      </c>
      <c r="F280">
        <v>3</v>
      </c>
      <c r="G280">
        <v>22</v>
      </c>
      <c r="H280">
        <v>0</v>
      </c>
      <c r="I280">
        <v>0</v>
      </c>
      <c r="J280">
        <v>0</v>
      </c>
      <c r="K280">
        <v>0</v>
      </c>
      <c r="L280">
        <v>0</v>
      </c>
      <c r="M280">
        <v>0</v>
      </c>
      <c r="N280">
        <v>0</v>
      </c>
      <c r="O280">
        <v>0</v>
      </c>
      <c r="P280">
        <v>0</v>
      </c>
      <c r="Q280">
        <v>0</v>
      </c>
      <c r="R280">
        <v>0</v>
      </c>
      <c r="S280">
        <v>0</v>
      </c>
      <c r="T280">
        <v>9</v>
      </c>
      <c r="U280">
        <v>4</v>
      </c>
      <c r="V280">
        <v>0</v>
      </c>
      <c r="W280">
        <v>1</v>
      </c>
      <c r="X280">
        <v>1</v>
      </c>
      <c r="Y280">
        <v>1</v>
      </c>
      <c r="Z280">
        <v>1</v>
      </c>
      <c r="AA280">
        <v>1</v>
      </c>
      <c r="AB280">
        <v>1</v>
      </c>
      <c r="AC280">
        <v>0</v>
      </c>
      <c r="AD280">
        <v>1</v>
      </c>
      <c r="AE280">
        <v>0</v>
      </c>
      <c r="AF280">
        <v>0</v>
      </c>
      <c r="AG280">
        <v>0</v>
      </c>
      <c r="AH280">
        <v>0</v>
      </c>
      <c r="AI280">
        <v>0</v>
      </c>
      <c r="AJ280">
        <v>0</v>
      </c>
      <c r="AK280">
        <v>0</v>
      </c>
      <c r="AL280">
        <v>2</v>
      </c>
      <c r="AM280">
        <v>0</v>
      </c>
      <c r="AN280">
        <v>0</v>
      </c>
      <c r="AO280">
        <v>0</v>
      </c>
      <c r="AP280">
        <v>0</v>
      </c>
      <c r="AQ280">
        <v>0</v>
      </c>
      <c r="AR280">
        <v>0</v>
      </c>
      <c r="AS280">
        <v>0</v>
      </c>
      <c r="AT280">
        <v>0</v>
      </c>
      <c r="AU280">
        <v>0</v>
      </c>
      <c r="AV280">
        <v>0</v>
      </c>
    </row>
    <row r="281" spans="1:48" ht="15.75" customHeight="1" x14ac:dyDescent="0.25">
      <c r="A281">
        <v>2</v>
      </c>
      <c r="B281">
        <v>1</v>
      </c>
      <c r="C281">
        <v>1</v>
      </c>
      <c r="D281">
        <v>1</v>
      </c>
      <c r="E281">
        <v>1999</v>
      </c>
      <c r="F281">
        <v>6</v>
      </c>
      <c r="G281">
        <v>2</v>
      </c>
      <c r="H281">
        <v>0</v>
      </c>
      <c r="I281">
        <v>0</v>
      </c>
      <c r="J281">
        <v>0</v>
      </c>
      <c r="K281">
        <v>0</v>
      </c>
      <c r="L281">
        <v>0</v>
      </c>
      <c r="M281">
        <v>0</v>
      </c>
      <c r="N281">
        <v>0</v>
      </c>
      <c r="O281">
        <v>0</v>
      </c>
      <c r="P281">
        <v>0</v>
      </c>
      <c r="Q281">
        <v>0</v>
      </c>
      <c r="R281">
        <v>0</v>
      </c>
      <c r="S281">
        <v>0</v>
      </c>
      <c r="T281">
        <v>0</v>
      </c>
      <c r="U281">
        <v>1</v>
      </c>
      <c r="V281">
        <v>1</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row>
    <row r="282" spans="1:48" ht="15.75" customHeight="1" x14ac:dyDescent="0.25">
      <c r="A282">
        <v>2</v>
      </c>
      <c r="B282">
        <v>1</v>
      </c>
      <c r="C282">
        <v>1</v>
      </c>
      <c r="D282">
        <v>1</v>
      </c>
      <c r="E282">
        <v>2000</v>
      </c>
      <c r="F282">
        <v>1</v>
      </c>
      <c r="G282">
        <v>5</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1</v>
      </c>
      <c r="AD282">
        <v>1</v>
      </c>
      <c r="AE282">
        <v>0</v>
      </c>
      <c r="AF282">
        <v>0</v>
      </c>
      <c r="AG282">
        <v>0</v>
      </c>
      <c r="AH282">
        <v>0</v>
      </c>
      <c r="AI282">
        <v>2</v>
      </c>
      <c r="AJ282">
        <v>0</v>
      </c>
      <c r="AK282">
        <v>0</v>
      </c>
      <c r="AL282">
        <v>0</v>
      </c>
      <c r="AM282">
        <v>0</v>
      </c>
      <c r="AN282">
        <v>0</v>
      </c>
      <c r="AO282">
        <v>0</v>
      </c>
      <c r="AP282">
        <v>0</v>
      </c>
      <c r="AQ282">
        <v>1</v>
      </c>
      <c r="AR282">
        <v>0</v>
      </c>
      <c r="AS282">
        <v>0</v>
      </c>
      <c r="AT282">
        <v>0</v>
      </c>
      <c r="AU282">
        <v>0</v>
      </c>
      <c r="AV282">
        <v>0</v>
      </c>
    </row>
    <row r="283" spans="1:48" ht="15.75" customHeight="1" x14ac:dyDescent="0.25">
      <c r="A283">
        <v>2</v>
      </c>
      <c r="B283">
        <v>1</v>
      </c>
      <c r="C283">
        <v>1</v>
      </c>
      <c r="D283">
        <v>1</v>
      </c>
      <c r="E283">
        <v>2000</v>
      </c>
      <c r="F283">
        <v>2</v>
      </c>
      <c r="G283">
        <v>33</v>
      </c>
      <c r="H283">
        <v>0</v>
      </c>
      <c r="I283">
        <v>0</v>
      </c>
      <c r="J283">
        <v>0</v>
      </c>
      <c r="K283">
        <v>0</v>
      </c>
      <c r="L283">
        <v>0</v>
      </c>
      <c r="M283">
        <v>0</v>
      </c>
      <c r="N283">
        <v>0</v>
      </c>
      <c r="O283">
        <v>0</v>
      </c>
      <c r="P283">
        <v>0</v>
      </c>
      <c r="Q283">
        <v>0</v>
      </c>
      <c r="R283">
        <v>0</v>
      </c>
      <c r="S283">
        <v>0</v>
      </c>
      <c r="T283">
        <v>8</v>
      </c>
      <c r="U283">
        <v>6</v>
      </c>
      <c r="V283">
        <v>0</v>
      </c>
      <c r="W283">
        <v>0</v>
      </c>
      <c r="X283">
        <v>0</v>
      </c>
      <c r="Y283">
        <v>0</v>
      </c>
      <c r="Z283">
        <v>0</v>
      </c>
      <c r="AA283">
        <v>1</v>
      </c>
      <c r="AB283">
        <v>0</v>
      </c>
      <c r="AC283">
        <v>0</v>
      </c>
      <c r="AD283">
        <v>1</v>
      </c>
      <c r="AE283">
        <v>2</v>
      </c>
      <c r="AF283">
        <v>1</v>
      </c>
      <c r="AG283">
        <v>0</v>
      </c>
      <c r="AH283">
        <v>0</v>
      </c>
      <c r="AI283">
        <v>1</v>
      </c>
      <c r="AJ283">
        <v>2</v>
      </c>
      <c r="AK283">
        <v>8</v>
      </c>
      <c r="AL283">
        <v>0</v>
      </c>
      <c r="AM283">
        <v>1</v>
      </c>
      <c r="AN283">
        <v>0</v>
      </c>
      <c r="AO283">
        <v>0</v>
      </c>
      <c r="AP283">
        <v>0</v>
      </c>
      <c r="AQ283">
        <v>2</v>
      </c>
      <c r="AR283">
        <v>0</v>
      </c>
      <c r="AS283">
        <v>0</v>
      </c>
      <c r="AT283">
        <v>0</v>
      </c>
      <c r="AU283">
        <v>0</v>
      </c>
      <c r="AV283">
        <v>0</v>
      </c>
    </row>
    <row r="284" spans="1:48" ht="15.75" customHeight="1" x14ac:dyDescent="0.25">
      <c r="A284">
        <v>2</v>
      </c>
      <c r="B284">
        <v>1</v>
      </c>
      <c r="C284">
        <v>1</v>
      </c>
      <c r="D284">
        <v>1</v>
      </c>
      <c r="E284">
        <v>2000</v>
      </c>
      <c r="F284">
        <v>3</v>
      </c>
      <c r="G284">
        <v>4</v>
      </c>
      <c r="H284">
        <v>0</v>
      </c>
      <c r="I284">
        <v>0</v>
      </c>
      <c r="J284">
        <v>0</v>
      </c>
      <c r="K284">
        <v>0</v>
      </c>
      <c r="L284">
        <v>0</v>
      </c>
      <c r="M284">
        <v>0</v>
      </c>
      <c r="N284">
        <v>0</v>
      </c>
      <c r="O284">
        <v>0</v>
      </c>
      <c r="P284">
        <v>0</v>
      </c>
      <c r="Q284">
        <v>0</v>
      </c>
      <c r="R284">
        <v>0</v>
      </c>
      <c r="S284">
        <v>0</v>
      </c>
      <c r="T284">
        <v>0</v>
      </c>
      <c r="U284">
        <v>2</v>
      </c>
      <c r="V284">
        <v>0</v>
      </c>
      <c r="W284">
        <v>0</v>
      </c>
      <c r="X284">
        <v>0</v>
      </c>
      <c r="Y284">
        <v>1</v>
      </c>
      <c r="Z284">
        <v>0</v>
      </c>
      <c r="AA284">
        <v>0</v>
      </c>
      <c r="AB284">
        <v>0</v>
      </c>
      <c r="AC284">
        <v>0</v>
      </c>
      <c r="AD284">
        <v>0</v>
      </c>
      <c r="AE284">
        <v>0</v>
      </c>
      <c r="AF284">
        <v>0</v>
      </c>
      <c r="AG284">
        <v>0</v>
      </c>
      <c r="AH284">
        <v>0</v>
      </c>
      <c r="AI284">
        <v>0</v>
      </c>
      <c r="AJ284">
        <v>0</v>
      </c>
      <c r="AK284">
        <v>0</v>
      </c>
      <c r="AL284">
        <v>0</v>
      </c>
      <c r="AM284">
        <v>1</v>
      </c>
      <c r="AN284">
        <v>0</v>
      </c>
      <c r="AO284">
        <v>0</v>
      </c>
      <c r="AP284">
        <v>0</v>
      </c>
      <c r="AQ284">
        <v>0</v>
      </c>
      <c r="AR284">
        <v>0</v>
      </c>
      <c r="AS284">
        <v>0</v>
      </c>
      <c r="AT284">
        <v>0</v>
      </c>
      <c r="AU284">
        <v>0</v>
      </c>
      <c r="AV284">
        <v>0</v>
      </c>
    </row>
    <row r="285" spans="1:48" ht="15.75" customHeight="1" x14ac:dyDescent="0.25">
      <c r="A285">
        <v>2</v>
      </c>
      <c r="B285">
        <v>1</v>
      </c>
      <c r="C285">
        <v>1</v>
      </c>
      <c r="D285">
        <v>1</v>
      </c>
      <c r="E285">
        <v>2001</v>
      </c>
      <c r="F285">
        <v>1</v>
      </c>
      <c r="G285">
        <v>1</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c r="AD285">
        <v>0</v>
      </c>
      <c r="AE285">
        <v>0</v>
      </c>
      <c r="AF285">
        <v>0</v>
      </c>
      <c r="AG285">
        <v>0</v>
      </c>
      <c r="AH285">
        <v>0</v>
      </c>
      <c r="AI285">
        <v>0</v>
      </c>
      <c r="AJ285">
        <v>1</v>
      </c>
      <c r="AK285">
        <v>0</v>
      </c>
      <c r="AL285">
        <v>0</v>
      </c>
      <c r="AM285">
        <v>0</v>
      </c>
      <c r="AN285">
        <v>0</v>
      </c>
      <c r="AO285">
        <v>0</v>
      </c>
      <c r="AP285">
        <v>0</v>
      </c>
      <c r="AQ285">
        <v>0</v>
      </c>
      <c r="AR285">
        <v>0</v>
      </c>
      <c r="AS285">
        <v>0</v>
      </c>
      <c r="AT285">
        <v>0</v>
      </c>
      <c r="AU285">
        <v>0</v>
      </c>
      <c r="AV285">
        <v>0</v>
      </c>
    </row>
    <row r="286" spans="1:48" ht="15.75" customHeight="1" x14ac:dyDescent="0.25">
      <c r="A286">
        <v>2</v>
      </c>
      <c r="B286">
        <v>1</v>
      </c>
      <c r="C286">
        <v>1</v>
      </c>
      <c r="D286">
        <v>1</v>
      </c>
      <c r="E286">
        <v>2001</v>
      </c>
      <c r="F286">
        <v>2</v>
      </c>
      <c r="G286">
        <v>7</v>
      </c>
      <c r="H286">
        <v>0</v>
      </c>
      <c r="I286">
        <v>0</v>
      </c>
      <c r="J286">
        <v>0</v>
      </c>
      <c r="K286">
        <v>0</v>
      </c>
      <c r="L286">
        <v>0</v>
      </c>
      <c r="M286">
        <v>0</v>
      </c>
      <c r="N286">
        <v>0</v>
      </c>
      <c r="O286">
        <v>0</v>
      </c>
      <c r="P286">
        <v>0</v>
      </c>
      <c r="Q286">
        <v>0</v>
      </c>
      <c r="R286">
        <v>0</v>
      </c>
      <c r="S286">
        <v>0</v>
      </c>
      <c r="T286">
        <v>2</v>
      </c>
      <c r="U286">
        <v>1</v>
      </c>
      <c r="V286">
        <v>0</v>
      </c>
      <c r="W286">
        <v>0</v>
      </c>
      <c r="X286">
        <v>0</v>
      </c>
      <c r="Y286">
        <v>0</v>
      </c>
      <c r="Z286">
        <v>0</v>
      </c>
      <c r="AA286">
        <v>0</v>
      </c>
      <c r="AB286">
        <v>0</v>
      </c>
      <c r="AC286">
        <v>0</v>
      </c>
      <c r="AD286">
        <v>0</v>
      </c>
      <c r="AE286">
        <v>0</v>
      </c>
      <c r="AF286">
        <v>0</v>
      </c>
      <c r="AG286">
        <v>0</v>
      </c>
      <c r="AH286">
        <v>2</v>
      </c>
      <c r="AI286">
        <v>0</v>
      </c>
      <c r="AJ286">
        <v>0</v>
      </c>
      <c r="AK286">
        <v>0</v>
      </c>
      <c r="AL286">
        <v>2</v>
      </c>
      <c r="AM286">
        <v>0</v>
      </c>
      <c r="AN286">
        <v>0</v>
      </c>
      <c r="AO286">
        <v>0</v>
      </c>
      <c r="AP286">
        <v>0</v>
      </c>
      <c r="AQ286">
        <v>0</v>
      </c>
      <c r="AR286">
        <v>0</v>
      </c>
      <c r="AS286">
        <v>0</v>
      </c>
      <c r="AT286">
        <v>0</v>
      </c>
      <c r="AU286">
        <v>0</v>
      </c>
      <c r="AV286">
        <v>0</v>
      </c>
    </row>
    <row r="287" spans="1:48" ht="15.75" customHeight="1" x14ac:dyDescent="0.25">
      <c r="A287">
        <v>2</v>
      </c>
      <c r="B287">
        <v>1</v>
      </c>
      <c r="C287">
        <v>1</v>
      </c>
      <c r="D287">
        <v>1</v>
      </c>
      <c r="E287">
        <v>2003</v>
      </c>
      <c r="F287">
        <v>1</v>
      </c>
      <c r="G287">
        <v>1</v>
      </c>
      <c r="H287">
        <v>0</v>
      </c>
      <c r="I287">
        <v>0</v>
      </c>
      <c r="J287">
        <v>0</v>
      </c>
      <c r="K287">
        <v>0</v>
      </c>
      <c r="L287">
        <v>0</v>
      </c>
      <c r="M287">
        <v>0</v>
      </c>
      <c r="N287">
        <v>0</v>
      </c>
      <c r="O287">
        <v>0</v>
      </c>
      <c r="P287">
        <v>0</v>
      </c>
      <c r="Q287">
        <v>0</v>
      </c>
      <c r="R287">
        <v>0</v>
      </c>
      <c r="S287">
        <v>0</v>
      </c>
      <c r="T287">
        <v>0</v>
      </c>
      <c r="U287">
        <v>0</v>
      </c>
      <c r="V287">
        <v>0</v>
      </c>
      <c r="W287">
        <v>0</v>
      </c>
      <c r="X287">
        <v>0</v>
      </c>
      <c r="Y287">
        <v>0</v>
      </c>
      <c r="Z287">
        <v>0</v>
      </c>
      <c r="AA287">
        <v>0</v>
      </c>
      <c r="AB287">
        <v>0</v>
      </c>
      <c r="AC287">
        <v>0</v>
      </c>
      <c r="AD287">
        <v>0</v>
      </c>
      <c r="AE287">
        <v>0</v>
      </c>
      <c r="AF287">
        <v>0</v>
      </c>
      <c r="AG287">
        <v>0</v>
      </c>
      <c r="AH287">
        <v>0</v>
      </c>
      <c r="AI287">
        <v>0</v>
      </c>
      <c r="AJ287">
        <v>0</v>
      </c>
      <c r="AK287">
        <v>0</v>
      </c>
      <c r="AL287">
        <v>0</v>
      </c>
      <c r="AM287">
        <v>0</v>
      </c>
      <c r="AN287">
        <v>0</v>
      </c>
      <c r="AO287">
        <v>0</v>
      </c>
      <c r="AP287">
        <v>0</v>
      </c>
      <c r="AQ287">
        <v>1</v>
      </c>
      <c r="AR287">
        <v>0</v>
      </c>
      <c r="AS287">
        <v>0</v>
      </c>
      <c r="AT287">
        <v>0</v>
      </c>
      <c r="AU287">
        <v>0</v>
      </c>
      <c r="AV287">
        <v>0</v>
      </c>
    </row>
    <row r="288" spans="1:48" ht="15.75" customHeight="1" x14ac:dyDescent="0.25">
      <c r="A288">
        <v>2</v>
      </c>
      <c r="B288">
        <v>1</v>
      </c>
      <c r="C288">
        <v>1</v>
      </c>
      <c r="D288">
        <v>1</v>
      </c>
      <c r="E288">
        <v>2003</v>
      </c>
      <c r="F288">
        <v>2</v>
      </c>
      <c r="G288">
        <v>1</v>
      </c>
      <c r="H288">
        <v>0</v>
      </c>
      <c r="I288">
        <v>0</v>
      </c>
      <c r="J288">
        <v>0</v>
      </c>
      <c r="K288">
        <v>0</v>
      </c>
      <c r="L288">
        <v>0</v>
      </c>
      <c r="M288">
        <v>0</v>
      </c>
      <c r="N288">
        <v>0</v>
      </c>
      <c r="O288">
        <v>0</v>
      </c>
      <c r="P288">
        <v>0</v>
      </c>
      <c r="Q288">
        <v>0</v>
      </c>
      <c r="R288">
        <v>0</v>
      </c>
      <c r="S288">
        <v>0</v>
      </c>
      <c r="T288">
        <v>0</v>
      </c>
      <c r="U288">
        <v>1</v>
      </c>
      <c r="V288">
        <v>0</v>
      </c>
      <c r="W288">
        <v>0</v>
      </c>
      <c r="X288">
        <v>0</v>
      </c>
      <c r="Y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row>
    <row r="289" spans="1:48" ht="15.75" customHeight="1" x14ac:dyDescent="0.25">
      <c r="A289">
        <v>2</v>
      </c>
      <c r="B289">
        <v>1</v>
      </c>
      <c r="C289">
        <v>1</v>
      </c>
      <c r="D289">
        <v>1</v>
      </c>
      <c r="E289">
        <v>2004</v>
      </c>
      <c r="F289">
        <v>2</v>
      </c>
      <c r="G289">
        <v>1</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c r="AD289">
        <v>0</v>
      </c>
      <c r="AE289">
        <v>0</v>
      </c>
      <c r="AF289">
        <v>0</v>
      </c>
      <c r="AG289">
        <v>0</v>
      </c>
      <c r="AH289">
        <v>0</v>
      </c>
      <c r="AI289">
        <v>1</v>
      </c>
      <c r="AJ289">
        <v>0</v>
      </c>
      <c r="AK289">
        <v>0</v>
      </c>
      <c r="AL289">
        <v>0</v>
      </c>
      <c r="AM289">
        <v>0</v>
      </c>
      <c r="AN289">
        <v>0</v>
      </c>
      <c r="AO289">
        <v>0</v>
      </c>
      <c r="AP289">
        <v>0</v>
      </c>
      <c r="AQ289">
        <v>0</v>
      </c>
      <c r="AR289">
        <v>0</v>
      </c>
      <c r="AS289">
        <v>0</v>
      </c>
      <c r="AT289">
        <v>0</v>
      </c>
      <c r="AU289">
        <v>0</v>
      </c>
      <c r="AV289">
        <v>0</v>
      </c>
    </row>
    <row r="290" spans="1:48" ht="15.75" customHeight="1" x14ac:dyDescent="0.25">
      <c r="A290">
        <v>2</v>
      </c>
      <c r="B290">
        <v>1</v>
      </c>
      <c r="C290">
        <v>1</v>
      </c>
      <c r="D290">
        <v>1</v>
      </c>
      <c r="E290">
        <v>2008</v>
      </c>
      <c r="F290">
        <v>2</v>
      </c>
      <c r="G290">
        <v>1</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v>0</v>
      </c>
      <c r="AH290">
        <v>0</v>
      </c>
      <c r="AI290">
        <v>0</v>
      </c>
      <c r="AJ290">
        <v>0</v>
      </c>
      <c r="AK290">
        <v>0</v>
      </c>
      <c r="AL290">
        <v>0</v>
      </c>
      <c r="AM290">
        <v>0</v>
      </c>
      <c r="AN290">
        <v>0</v>
      </c>
      <c r="AO290">
        <v>0</v>
      </c>
      <c r="AP290">
        <v>0</v>
      </c>
      <c r="AQ290">
        <v>1</v>
      </c>
      <c r="AR290">
        <v>0</v>
      </c>
      <c r="AS290">
        <v>0</v>
      </c>
      <c r="AT290">
        <v>0</v>
      </c>
      <c r="AU290">
        <v>0</v>
      </c>
      <c r="AV290">
        <v>0</v>
      </c>
    </row>
    <row r="291" spans="1:48" ht="15.75" customHeight="1" x14ac:dyDescent="0.25">
      <c r="A291">
        <v>2</v>
      </c>
      <c r="B291">
        <v>1</v>
      </c>
      <c r="C291">
        <v>2</v>
      </c>
      <c r="D291">
        <v>1</v>
      </c>
      <c r="E291">
        <v>1992</v>
      </c>
      <c r="F291">
        <v>1</v>
      </c>
      <c r="G291">
        <v>2</v>
      </c>
      <c r="H291">
        <v>0</v>
      </c>
      <c r="I291">
        <v>0</v>
      </c>
      <c r="J291">
        <v>0</v>
      </c>
      <c r="K291">
        <v>0</v>
      </c>
      <c r="L291">
        <v>0</v>
      </c>
      <c r="M291">
        <v>0</v>
      </c>
      <c r="N291">
        <v>0</v>
      </c>
      <c r="O291">
        <v>0</v>
      </c>
      <c r="P291">
        <v>0</v>
      </c>
      <c r="Q291">
        <v>0</v>
      </c>
      <c r="R291">
        <v>0</v>
      </c>
      <c r="S291">
        <v>0</v>
      </c>
      <c r="T291">
        <v>0</v>
      </c>
      <c r="U291">
        <v>0</v>
      </c>
      <c r="V291">
        <v>0</v>
      </c>
      <c r="W291">
        <v>1</v>
      </c>
      <c r="X291">
        <v>0</v>
      </c>
      <c r="Y291">
        <v>0</v>
      </c>
      <c r="Z291">
        <v>1</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row>
    <row r="292" spans="1:48" ht="15.75" customHeight="1" x14ac:dyDescent="0.25">
      <c r="A292">
        <v>2</v>
      </c>
      <c r="B292">
        <v>1</v>
      </c>
      <c r="C292">
        <v>2</v>
      </c>
      <c r="D292">
        <v>1</v>
      </c>
      <c r="E292">
        <v>1992</v>
      </c>
      <c r="F292">
        <v>2</v>
      </c>
      <c r="G292">
        <v>3</v>
      </c>
      <c r="H292">
        <v>0</v>
      </c>
      <c r="I292">
        <v>0</v>
      </c>
      <c r="J292">
        <v>0</v>
      </c>
      <c r="K292">
        <v>0</v>
      </c>
      <c r="L292">
        <v>0</v>
      </c>
      <c r="M292">
        <v>0</v>
      </c>
      <c r="N292">
        <v>0</v>
      </c>
      <c r="O292">
        <v>0</v>
      </c>
      <c r="P292">
        <v>0</v>
      </c>
      <c r="Q292">
        <v>0</v>
      </c>
      <c r="R292">
        <v>0</v>
      </c>
      <c r="S292">
        <v>0</v>
      </c>
      <c r="T292">
        <v>0</v>
      </c>
      <c r="U292">
        <v>0</v>
      </c>
      <c r="V292">
        <v>0</v>
      </c>
      <c r="W292">
        <v>0</v>
      </c>
      <c r="X292">
        <v>0</v>
      </c>
      <c r="Y292">
        <v>1</v>
      </c>
      <c r="Z292">
        <v>1</v>
      </c>
      <c r="AA292">
        <v>0</v>
      </c>
      <c r="AB292">
        <v>0</v>
      </c>
      <c r="AC292">
        <v>0</v>
      </c>
      <c r="AD292">
        <v>0</v>
      </c>
      <c r="AE292">
        <v>0</v>
      </c>
      <c r="AF292">
        <v>0</v>
      </c>
      <c r="AG292">
        <v>0</v>
      </c>
      <c r="AH292">
        <v>1</v>
      </c>
      <c r="AI292">
        <v>0</v>
      </c>
      <c r="AJ292">
        <v>0</v>
      </c>
      <c r="AK292">
        <v>0</v>
      </c>
      <c r="AL292">
        <v>0</v>
      </c>
      <c r="AM292">
        <v>0</v>
      </c>
      <c r="AN292">
        <v>0</v>
      </c>
      <c r="AO292">
        <v>0</v>
      </c>
      <c r="AP292">
        <v>0</v>
      </c>
      <c r="AQ292">
        <v>0</v>
      </c>
      <c r="AR292">
        <v>0</v>
      </c>
      <c r="AS292">
        <v>0</v>
      </c>
      <c r="AT292">
        <v>0</v>
      </c>
      <c r="AU292">
        <v>0</v>
      </c>
      <c r="AV292">
        <v>0</v>
      </c>
    </row>
    <row r="293" spans="1:48" ht="15.75" customHeight="1" x14ac:dyDescent="0.25">
      <c r="A293">
        <v>2</v>
      </c>
      <c r="B293">
        <v>1</v>
      </c>
      <c r="C293">
        <v>2</v>
      </c>
      <c r="D293">
        <v>1</v>
      </c>
      <c r="E293">
        <v>1992</v>
      </c>
      <c r="F293">
        <v>6</v>
      </c>
      <c r="G293">
        <v>1</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1</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row>
    <row r="294" spans="1:48" ht="15.75" customHeight="1" x14ac:dyDescent="0.25">
      <c r="A294">
        <v>2</v>
      </c>
      <c r="B294">
        <v>1</v>
      </c>
      <c r="C294">
        <v>2</v>
      </c>
      <c r="D294">
        <v>1</v>
      </c>
      <c r="E294">
        <v>1993</v>
      </c>
      <c r="F294">
        <v>2</v>
      </c>
      <c r="G294">
        <v>22</v>
      </c>
      <c r="H294">
        <v>0</v>
      </c>
      <c r="I294">
        <v>0</v>
      </c>
      <c r="J294">
        <v>0</v>
      </c>
      <c r="K294">
        <v>0</v>
      </c>
      <c r="L294">
        <v>0</v>
      </c>
      <c r="M294">
        <v>0</v>
      </c>
      <c r="N294">
        <v>0</v>
      </c>
      <c r="O294">
        <v>0</v>
      </c>
      <c r="P294">
        <v>0</v>
      </c>
      <c r="Q294">
        <v>0</v>
      </c>
      <c r="R294">
        <v>0</v>
      </c>
      <c r="S294">
        <v>0</v>
      </c>
      <c r="T294">
        <v>3</v>
      </c>
      <c r="U294">
        <v>5</v>
      </c>
      <c r="V294">
        <v>4</v>
      </c>
      <c r="W294">
        <v>0</v>
      </c>
      <c r="X294">
        <v>0</v>
      </c>
      <c r="Y294">
        <v>4</v>
      </c>
      <c r="Z294">
        <v>2</v>
      </c>
      <c r="AA294">
        <v>4</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row>
    <row r="295" spans="1:48" ht="15.75" customHeight="1" x14ac:dyDescent="0.25">
      <c r="A295">
        <v>2</v>
      </c>
      <c r="B295">
        <v>1</v>
      </c>
      <c r="C295">
        <v>2</v>
      </c>
      <c r="D295">
        <v>1</v>
      </c>
      <c r="E295">
        <v>1993</v>
      </c>
      <c r="F295">
        <v>3</v>
      </c>
      <c r="G295">
        <v>118</v>
      </c>
      <c r="H295">
        <v>0</v>
      </c>
      <c r="I295">
        <v>0</v>
      </c>
      <c r="J295">
        <v>0</v>
      </c>
      <c r="K295">
        <v>0</v>
      </c>
      <c r="L295">
        <v>0</v>
      </c>
      <c r="M295">
        <v>0</v>
      </c>
      <c r="N295">
        <v>0</v>
      </c>
      <c r="O295">
        <v>0</v>
      </c>
      <c r="P295">
        <v>0</v>
      </c>
      <c r="Q295">
        <v>0</v>
      </c>
      <c r="R295">
        <v>0</v>
      </c>
      <c r="S295">
        <v>0</v>
      </c>
      <c r="T295">
        <v>20</v>
      </c>
      <c r="U295">
        <v>26</v>
      </c>
      <c r="V295">
        <v>30</v>
      </c>
      <c r="W295">
        <v>7</v>
      </c>
      <c r="X295">
        <v>3</v>
      </c>
      <c r="Y295">
        <v>12</v>
      </c>
      <c r="Z295">
        <v>10</v>
      </c>
      <c r="AA295">
        <v>4</v>
      </c>
      <c r="AB295">
        <v>2</v>
      </c>
      <c r="AC295">
        <v>2</v>
      </c>
      <c r="AD295">
        <v>2</v>
      </c>
      <c r="AE295">
        <v>0</v>
      </c>
      <c r="AF295">
        <v>0</v>
      </c>
      <c r="AG295">
        <v>0</v>
      </c>
      <c r="AH295">
        <v>0</v>
      </c>
      <c r="AI295">
        <v>0</v>
      </c>
      <c r="AJ295">
        <v>0</v>
      </c>
      <c r="AK295">
        <v>0</v>
      </c>
      <c r="AL295">
        <v>0</v>
      </c>
      <c r="AM295">
        <v>0</v>
      </c>
      <c r="AN295">
        <v>0</v>
      </c>
      <c r="AO295">
        <v>0</v>
      </c>
      <c r="AP295">
        <v>0</v>
      </c>
      <c r="AQ295">
        <v>0</v>
      </c>
      <c r="AR295">
        <v>0</v>
      </c>
      <c r="AS295">
        <v>0</v>
      </c>
      <c r="AT295">
        <v>0</v>
      </c>
      <c r="AU295">
        <v>0</v>
      </c>
      <c r="AV295">
        <v>0</v>
      </c>
    </row>
    <row r="296" spans="1:48" ht="15.75" customHeight="1" x14ac:dyDescent="0.25">
      <c r="A296">
        <v>2</v>
      </c>
      <c r="B296">
        <v>1</v>
      </c>
      <c r="C296">
        <v>2</v>
      </c>
      <c r="D296">
        <v>1</v>
      </c>
      <c r="E296">
        <v>1993</v>
      </c>
      <c r="F296">
        <v>6</v>
      </c>
      <c r="G296">
        <v>265</v>
      </c>
      <c r="H296">
        <v>0</v>
      </c>
      <c r="I296">
        <v>0</v>
      </c>
      <c r="J296">
        <v>0</v>
      </c>
      <c r="K296">
        <v>0</v>
      </c>
      <c r="L296">
        <v>0</v>
      </c>
      <c r="M296">
        <v>0</v>
      </c>
      <c r="N296">
        <v>0</v>
      </c>
      <c r="O296">
        <v>0</v>
      </c>
      <c r="P296">
        <v>0</v>
      </c>
      <c r="Q296">
        <v>0</v>
      </c>
      <c r="R296">
        <v>0</v>
      </c>
      <c r="S296">
        <v>0</v>
      </c>
      <c r="T296">
        <v>10</v>
      </c>
      <c r="U296">
        <v>52</v>
      </c>
      <c r="V296">
        <v>76</v>
      </c>
      <c r="W296">
        <v>65</v>
      </c>
      <c r="X296">
        <v>34</v>
      </c>
      <c r="Y296">
        <v>14</v>
      </c>
      <c r="Z296">
        <v>2</v>
      </c>
      <c r="AA296">
        <v>6</v>
      </c>
      <c r="AB296">
        <v>2</v>
      </c>
      <c r="AC296">
        <v>0</v>
      </c>
      <c r="AD296">
        <v>0</v>
      </c>
      <c r="AE296">
        <v>0</v>
      </c>
      <c r="AF296">
        <v>2</v>
      </c>
      <c r="AG296">
        <v>0</v>
      </c>
      <c r="AH296">
        <v>0</v>
      </c>
      <c r="AI296">
        <v>0</v>
      </c>
      <c r="AJ296">
        <v>0</v>
      </c>
      <c r="AK296">
        <v>2</v>
      </c>
      <c r="AL296">
        <v>0</v>
      </c>
      <c r="AM296">
        <v>0</v>
      </c>
      <c r="AN296">
        <v>0</v>
      </c>
      <c r="AO296">
        <v>0</v>
      </c>
      <c r="AP296">
        <v>0</v>
      </c>
      <c r="AQ296">
        <v>0</v>
      </c>
      <c r="AR296">
        <v>0</v>
      </c>
      <c r="AS296">
        <v>0</v>
      </c>
      <c r="AT296">
        <v>0</v>
      </c>
      <c r="AU296">
        <v>0</v>
      </c>
      <c r="AV296">
        <v>0</v>
      </c>
    </row>
    <row r="297" spans="1:48" ht="15.75" customHeight="1" x14ac:dyDescent="0.25">
      <c r="A297">
        <v>2</v>
      </c>
      <c r="B297">
        <v>1</v>
      </c>
      <c r="C297">
        <v>2</v>
      </c>
      <c r="D297">
        <v>1</v>
      </c>
      <c r="E297">
        <v>1994</v>
      </c>
      <c r="F297">
        <v>1</v>
      </c>
      <c r="G297">
        <v>166</v>
      </c>
      <c r="H297">
        <v>0</v>
      </c>
      <c r="I297">
        <v>0</v>
      </c>
      <c r="J297">
        <v>0</v>
      </c>
      <c r="K297">
        <v>0</v>
      </c>
      <c r="L297">
        <v>0</v>
      </c>
      <c r="M297">
        <v>0</v>
      </c>
      <c r="N297">
        <v>0</v>
      </c>
      <c r="O297">
        <v>0</v>
      </c>
      <c r="P297">
        <v>0</v>
      </c>
      <c r="Q297">
        <v>0</v>
      </c>
      <c r="R297">
        <v>0</v>
      </c>
      <c r="S297">
        <v>0</v>
      </c>
      <c r="T297">
        <v>16</v>
      </c>
      <c r="U297">
        <v>46</v>
      </c>
      <c r="V297">
        <v>34</v>
      </c>
      <c r="W297">
        <v>38</v>
      </c>
      <c r="X297">
        <v>13</v>
      </c>
      <c r="Y297">
        <v>8</v>
      </c>
      <c r="Z297">
        <v>8</v>
      </c>
      <c r="AA297">
        <v>0</v>
      </c>
      <c r="AB297">
        <v>2</v>
      </c>
      <c r="AC297">
        <v>0</v>
      </c>
      <c r="AD297">
        <v>0</v>
      </c>
      <c r="AE297">
        <v>0</v>
      </c>
      <c r="AF297">
        <v>1</v>
      </c>
      <c r="AG297">
        <v>0</v>
      </c>
      <c r="AH297">
        <v>0</v>
      </c>
      <c r="AI297">
        <v>0</v>
      </c>
      <c r="AJ297">
        <v>0</v>
      </c>
      <c r="AK297">
        <v>0</v>
      </c>
      <c r="AL297">
        <v>0</v>
      </c>
      <c r="AM297">
        <v>0</v>
      </c>
      <c r="AN297">
        <v>0</v>
      </c>
      <c r="AO297">
        <v>0</v>
      </c>
      <c r="AP297">
        <v>0</v>
      </c>
      <c r="AQ297">
        <v>0</v>
      </c>
      <c r="AR297">
        <v>0</v>
      </c>
      <c r="AS297">
        <v>0</v>
      </c>
      <c r="AT297">
        <v>0</v>
      </c>
      <c r="AU297">
        <v>0</v>
      </c>
      <c r="AV297">
        <v>0</v>
      </c>
    </row>
    <row r="298" spans="1:48" ht="15.75" customHeight="1" x14ac:dyDescent="0.25">
      <c r="A298">
        <v>2</v>
      </c>
      <c r="B298">
        <v>1</v>
      </c>
      <c r="C298">
        <v>2</v>
      </c>
      <c r="D298">
        <v>1</v>
      </c>
      <c r="E298">
        <v>1994</v>
      </c>
      <c r="F298">
        <v>2</v>
      </c>
      <c r="G298">
        <v>259</v>
      </c>
      <c r="H298">
        <v>0</v>
      </c>
      <c r="I298">
        <v>0</v>
      </c>
      <c r="J298">
        <v>0</v>
      </c>
      <c r="K298">
        <v>0</v>
      </c>
      <c r="L298">
        <v>0</v>
      </c>
      <c r="M298">
        <v>0</v>
      </c>
      <c r="N298">
        <v>0</v>
      </c>
      <c r="O298">
        <v>0</v>
      </c>
      <c r="P298">
        <v>0</v>
      </c>
      <c r="Q298">
        <v>0</v>
      </c>
      <c r="R298">
        <v>0</v>
      </c>
      <c r="S298">
        <v>0</v>
      </c>
      <c r="T298">
        <v>17</v>
      </c>
      <c r="U298">
        <v>44</v>
      </c>
      <c r="V298">
        <v>42</v>
      </c>
      <c r="W298">
        <v>39</v>
      </c>
      <c r="X298">
        <v>24</v>
      </c>
      <c r="Y298">
        <v>19</v>
      </c>
      <c r="Z298">
        <v>22</v>
      </c>
      <c r="AA298">
        <v>18</v>
      </c>
      <c r="AB298">
        <v>10</v>
      </c>
      <c r="AC298">
        <v>8</v>
      </c>
      <c r="AD298">
        <v>6</v>
      </c>
      <c r="AE298">
        <v>6</v>
      </c>
      <c r="AF298">
        <v>2</v>
      </c>
      <c r="AG298">
        <v>2</v>
      </c>
      <c r="AH298">
        <v>0</v>
      </c>
      <c r="AI298">
        <v>0</v>
      </c>
      <c r="AJ298">
        <v>0</v>
      </c>
      <c r="AK298">
        <v>0</v>
      </c>
      <c r="AL298">
        <v>0</v>
      </c>
      <c r="AM298">
        <v>0</v>
      </c>
      <c r="AN298">
        <v>0</v>
      </c>
      <c r="AO298">
        <v>0</v>
      </c>
      <c r="AP298">
        <v>0</v>
      </c>
      <c r="AQ298">
        <v>0</v>
      </c>
      <c r="AR298">
        <v>0</v>
      </c>
      <c r="AS298">
        <v>0</v>
      </c>
      <c r="AT298">
        <v>0</v>
      </c>
      <c r="AU298">
        <v>0</v>
      </c>
      <c r="AV298">
        <v>0</v>
      </c>
    </row>
    <row r="299" spans="1:48" ht="15.75" customHeight="1" x14ac:dyDescent="0.25">
      <c r="A299">
        <v>2</v>
      </c>
      <c r="B299">
        <v>1</v>
      </c>
      <c r="C299">
        <v>2</v>
      </c>
      <c r="D299">
        <v>1</v>
      </c>
      <c r="E299">
        <v>1994</v>
      </c>
      <c r="F299">
        <v>3</v>
      </c>
      <c r="G299">
        <v>56</v>
      </c>
      <c r="H299">
        <v>0</v>
      </c>
      <c r="I299">
        <v>0</v>
      </c>
      <c r="J299">
        <v>0</v>
      </c>
      <c r="K299">
        <v>0</v>
      </c>
      <c r="L299">
        <v>0</v>
      </c>
      <c r="M299">
        <v>0</v>
      </c>
      <c r="N299">
        <v>0</v>
      </c>
      <c r="O299">
        <v>0</v>
      </c>
      <c r="P299">
        <v>0</v>
      </c>
      <c r="Q299">
        <v>0</v>
      </c>
      <c r="R299">
        <v>0</v>
      </c>
      <c r="S299">
        <v>0</v>
      </c>
      <c r="T299">
        <v>11</v>
      </c>
      <c r="U299">
        <v>11</v>
      </c>
      <c r="V299">
        <v>8</v>
      </c>
      <c r="W299">
        <v>8</v>
      </c>
      <c r="X299">
        <v>2</v>
      </c>
      <c r="Y299">
        <v>4</v>
      </c>
      <c r="Z299">
        <v>0</v>
      </c>
      <c r="AA299">
        <v>4</v>
      </c>
      <c r="AB299">
        <v>6</v>
      </c>
      <c r="AC299">
        <v>0</v>
      </c>
      <c r="AD299">
        <v>0</v>
      </c>
      <c r="AE299">
        <v>0</v>
      </c>
      <c r="AF299">
        <v>2</v>
      </c>
      <c r="AG299">
        <v>0</v>
      </c>
      <c r="AH299">
        <v>0</v>
      </c>
      <c r="AI299">
        <v>0</v>
      </c>
      <c r="AJ299">
        <v>0</v>
      </c>
      <c r="AK299">
        <v>0</v>
      </c>
      <c r="AL299">
        <v>0</v>
      </c>
      <c r="AM299">
        <v>0</v>
      </c>
      <c r="AN299">
        <v>0</v>
      </c>
      <c r="AO299">
        <v>0</v>
      </c>
      <c r="AP299">
        <v>0</v>
      </c>
      <c r="AQ299">
        <v>0</v>
      </c>
      <c r="AR299">
        <v>0</v>
      </c>
      <c r="AS299">
        <v>0</v>
      </c>
      <c r="AT299">
        <v>0</v>
      </c>
      <c r="AU299">
        <v>0</v>
      </c>
      <c r="AV299">
        <v>0</v>
      </c>
    </row>
    <row r="300" spans="1:48" ht="15.75" customHeight="1" x14ac:dyDescent="0.25">
      <c r="A300">
        <v>2</v>
      </c>
      <c r="B300">
        <v>1</v>
      </c>
      <c r="C300">
        <v>2</v>
      </c>
      <c r="D300">
        <v>1</v>
      </c>
      <c r="E300">
        <v>1994</v>
      </c>
      <c r="F300">
        <v>6</v>
      </c>
      <c r="G300">
        <v>24</v>
      </c>
      <c r="H300">
        <v>0</v>
      </c>
      <c r="I300">
        <v>0</v>
      </c>
      <c r="J300">
        <v>0</v>
      </c>
      <c r="K300">
        <v>0</v>
      </c>
      <c r="L300">
        <v>0</v>
      </c>
      <c r="M300">
        <v>0</v>
      </c>
      <c r="N300">
        <v>0</v>
      </c>
      <c r="O300">
        <v>0</v>
      </c>
      <c r="P300">
        <v>0</v>
      </c>
      <c r="Q300">
        <v>0</v>
      </c>
      <c r="R300">
        <v>0</v>
      </c>
      <c r="S300">
        <v>0</v>
      </c>
      <c r="T300">
        <v>0</v>
      </c>
      <c r="U300">
        <v>2</v>
      </c>
      <c r="V300">
        <v>2</v>
      </c>
      <c r="W300">
        <v>0</v>
      </c>
      <c r="X300">
        <v>0</v>
      </c>
      <c r="Y300">
        <v>0</v>
      </c>
      <c r="Z300">
        <v>6</v>
      </c>
      <c r="AA300">
        <v>6</v>
      </c>
      <c r="AB300">
        <v>2</v>
      </c>
      <c r="AC300">
        <v>2</v>
      </c>
      <c r="AD300">
        <v>0</v>
      </c>
      <c r="AE300">
        <v>0</v>
      </c>
      <c r="AF300">
        <v>2</v>
      </c>
      <c r="AG300">
        <v>2</v>
      </c>
      <c r="AH300">
        <v>0</v>
      </c>
      <c r="AI300">
        <v>0</v>
      </c>
      <c r="AJ300">
        <v>0</v>
      </c>
      <c r="AK300">
        <v>0</v>
      </c>
      <c r="AL300">
        <v>0</v>
      </c>
      <c r="AM300">
        <v>0</v>
      </c>
      <c r="AN300">
        <v>0</v>
      </c>
      <c r="AO300">
        <v>0</v>
      </c>
      <c r="AP300">
        <v>0</v>
      </c>
      <c r="AQ300">
        <v>0</v>
      </c>
      <c r="AR300">
        <v>0</v>
      </c>
      <c r="AS300">
        <v>0</v>
      </c>
      <c r="AT300">
        <v>0</v>
      </c>
      <c r="AU300">
        <v>0</v>
      </c>
      <c r="AV300">
        <v>0</v>
      </c>
    </row>
    <row r="301" spans="1:48" ht="15.75" customHeight="1" x14ac:dyDescent="0.25">
      <c r="A301">
        <v>2</v>
      </c>
      <c r="B301">
        <v>1</v>
      </c>
      <c r="C301">
        <v>2</v>
      </c>
      <c r="D301">
        <v>1</v>
      </c>
      <c r="E301">
        <v>1995</v>
      </c>
      <c r="F301">
        <v>1</v>
      </c>
      <c r="G301">
        <v>50</v>
      </c>
      <c r="H301">
        <v>0</v>
      </c>
      <c r="I301">
        <v>0</v>
      </c>
      <c r="J301">
        <v>0</v>
      </c>
      <c r="K301">
        <v>0</v>
      </c>
      <c r="L301">
        <v>0</v>
      </c>
      <c r="M301">
        <v>0</v>
      </c>
      <c r="N301">
        <v>0</v>
      </c>
      <c r="O301">
        <v>0</v>
      </c>
      <c r="P301">
        <v>0</v>
      </c>
      <c r="Q301">
        <v>0</v>
      </c>
      <c r="R301">
        <v>0</v>
      </c>
      <c r="S301">
        <v>0</v>
      </c>
      <c r="T301">
        <v>2</v>
      </c>
      <c r="U301">
        <v>6</v>
      </c>
      <c r="V301">
        <v>2</v>
      </c>
      <c r="W301">
        <v>6</v>
      </c>
      <c r="X301">
        <v>4</v>
      </c>
      <c r="Y301">
        <v>10</v>
      </c>
      <c r="Z301">
        <v>2</v>
      </c>
      <c r="AA301">
        <v>2</v>
      </c>
      <c r="AB301">
        <v>2</v>
      </c>
      <c r="AC301">
        <v>6</v>
      </c>
      <c r="AD301">
        <v>2</v>
      </c>
      <c r="AE301">
        <v>0</v>
      </c>
      <c r="AF301">
        <v>2</v>
      </c>
      <c r="AG301">
        <v>0</v>
      </c>
      <c r="AH301">
        <v>4</v>
      </c>
      <c r="AI301">
        <v>0</v>
      </c>
      <c r="AJ301">
        <v>0</v>
      </c>
      <c r="AK301">
        <v>0</v>
      </c>
      <c r="AL301">
        <v>0</v>
      </c>
      <c r="AM301">
        <v>0</v>
      </c>
      <c r="AN301">
        <v>0</v>
      </c>
      <c r="AO301">
        <v>0</v>
      </c>
      <c r="AP301">
        <v>0</v>
      </c>
      <c r="AQ301">
        <v>0</v>
      </c>
      <c r="AR301">
        <v>0</v>
      </c>
      <c r="AS301">
        <v>0</v>
      </c>
      <c r="AT301">
        <v>0</v>
      </c>
      <c r="AU301">
        <v>0</v>
      </c>
      <c r="AV301">
        <v>0</v>
      </c>
    </row>
    <row r="302" spans="1:48" ht="15.75" customHeight="1" x14ac:dyDescent="0.25">
      <c r="A302">
        <v>2</v>
      </c>
      <c r="B302">
        <v>1</v>
      </c>
      <c r="C302">
        <v>2</v>
      </c>
      <c r="D302">
        <v>1</v>
      </c>
      <c r="E302">
        <v>1995</v>
      </c>
      <c r="F302">
        <v>2</v>
      </c>
      <c r="G302">
        <v>201</v>
      </c>
      <c r="H302">
        <v>0</v>
      </c>
      <c r="I302">
        <v>0</v>
      </c>
      <c r="J302">
        <v>0</v>
      </c>
      <c r="K302">
        <v>0</v>
      </c>
      <c r="L302">
        <v>0</v>
      </c>
      <c r="M302">
        <v>0</v>
      </c>
      <c r="N302">
        <v>0</v>
      </c>
      <c r="O302">
        <v>0</v>
      </c>
      <c r="P302">
        <v>0</v>
      </c>
      <c r="Q302">
        <v>0</v>
      </c>
      <c r="R302">
        <v>0</v>
      </c>
      <c r="S302">
        <v>0</v>
      </c>
      <c r="T302">
        <v>16</v>
      </c>
      <c r="U302">
        <v>22</v>
      </c>
      <c r="V302">
        <v>8</v>
      </c>
      <c r="W302">
        <v>6</v>
      </c>
      <c r="X302">
        <v>12</v>
      </c>
      <c r="Y302">
        <v>4</v>
      </c>
      <c r="Z302">
        <v>6</v>
      </c>
      <c r="AA302">
        <v>10</v>
      </c>
      <c r="AB302">
        <v>16</v>
      </c>
      <c r="AC302">
        <v>16</v>
      </c>
      <c r="AD302">
        <v>16</v>
      </c>
      <c r="AE302">
        <v>12</v>
      </c>
      <c r="AF302">
        <v>14</v>
      </c>
      <c r="AG302">
        <v>10</v>
      </c>
      <c r="AH302">
        <v>16</v>
      </c>
      <c r="AI302">
        <v>2</v>
      </c>
      <c r="AJ302">
        <v>1</v>
      </c>
      <c r="AK302">
        <v>4</v>
      </c>
      <c r="AL302">
        <v>3</v>
      </c>
      <c r="AM302">
        <v>1</v>
      </c>
      <c r="AN302">
        <v>2</v>
      </c>
      <c r="AO302">
        <v>0</v>
      </c>
      <c r="AP302">
        <v>2</v>
      </c>
      <c r="AQ302">
        <v>2</v>
      </c>
      <c r="AR302">
        <v>0</v>
      </c>
      <c r="AS302">
        <v>0</v>
      </c>
      <c r="AT302">
        <v>0</v>
      </c>
      <c r="AU302">
        <v>0</v>
      </c>
      <c r="AV302">
        <v>0</v>
      </c>
    </row>
    <row r="303" spans="1:48" ht="15.75" customHeight="1" x14ac:dyDescent="0.25">
      <c r="A303">
        <v>2</v>
      </c>
      <c r="B303">
        <v>1</v>
      </c>
      <c r="C303">
        <v>2</v>
      </c>
      <c r="D303">
        <v>1</v>
      </c>
      <c r="E303">
        <v>1995</v>
      </c>
      <c r="F303">
        <v>3</v>
      </c>
      <c r="G303">
        <v>42</v>
      </c>
      <c r="H303">
        <v>0</v>
      </c>
      <c r="I303">
        <v>0</v>
      </c>
      <c r="J303">
        <v>0</v>
      </c>
      <c r="K303">
        <v>0</v>
      </c>
      <c r="L303">
        <v>0</v>
      </c>
      <c r="M303">
        <v>0</v>
      </c>
      <c r="N303">
        <v>0</v>
      </c>
      <c r="O303">
        <v>0</v>
      </c>
      <c r="P303">
        <v>0</v>
      </c>
      <c r="Q303">
        <v>0</v>
      </c>
      <c r="R303">
        <v>0</v>
      </c>
      <c r="S303">
        <v>0</v>
      </c>
      <c r="T303">
        <v>8</v>
      </c>
      <c r="U303">
        <v>4</v>
      </c>
      <c r="V303">
        <v>2</v>
      </c>
      <c r="W303">
        <v>6</v>
      </c>
      <c r="X303">
        <v>4</v>
      </c>
      <c r="Y303">
        <v>4</v>
      </c>
      <c r="Z303">
        <v>0</v>
      </c>
      <c r="AA303">
        <v>4</v>
      </c>
      <c r="AB303">
        <v>8</v>
      </c>
      <c r="AC303">
        <v>0</v>
      </c>
      <c r="AD303">
        <v>0</v>
      </c>
      <c r="AE303">
        <v>2</v>
      </c>
      <c r="AF303">
        <v>0</v>
      </c>
      <c r="AG303">
        <v>0</v>
      </c>
      <c r="AH303">
        <v>0</v>
      </c>
      <c r="AI303">
        <v>0</v>
      </c>
      <c r="AJ303">
        <v>0</v>
      </c>
      <c r="AK303">
        <v>0</v>
      </c>
      <c r="AL303">
        <v>0</v>
      </c>
      <c r="AM303">
        <v>0</v>
      </c>
      <c r="AN303">
        <v>0</v>
      </c>
      <c r="AO303">
        <v>0</v>
      </c>
      <c r="AP303">
        <v>0</v>
      </c>
      <c r="AQ303">
        <v>0</v>
      </c>
      <c r="AR303">
        <v>0</v>
      </c>
      <c r="AS303">
        <v>0</v>
      </c>
      <c r="AT303">
        <v>0</v>
      </c>
      <c r="AU303">
        <v>0</v>
      </c>
      <c r="AV303">
        <v>0</v>
      </c>
    </row>
    <row r="304" spans="1:48" ht="15.75" customHeight="1" x14ac:dyDescent="0.25">
      <c r="A304">
        <v>2</v>
      </c>
      <c r="B304">
        <v>1</v>
      </c>
      <c r="C304">
        <v>2</v>
      </c>
      <c r="D304">
        <v>1</v>
      </c>
      <c r="E304">
        <v>1995</v>
      </c>
      <c r="F304">
        <v>6</v>
      </c>
      <c r="G304">
        <v>22</v>
      </c>
      <c r="H304">
        <v>0</v>
      </c>
      <c r="I304">
        <v>0</v>
      </c>
      <c r="J304">
        <v>0</v>
      </c>
      <c r="K304">
        <v>0</v>
      </c>
      <c r="L304">
        <v>0</v>
      </c>
      <c r="M304">
        <v>0</v>
      </c>
      <c r="N304">
        <v>0</v>
      </c>
      <c r="O304">
        <v>0</v>
      </c>
      <c r="P304">
        <v>0</v>
      </c>
      <c r="Q304">
        <v>0</v>
      </c>
      <c r="R304">
        <v>0</v>
      </c>
      <c r="S304">
        <v>0</v>
      </c>
      <c r="T304">
        <v>0</v>
      </c>
      <c r="U304">
        <v>0</v>
      </c>
      <c r="V304">
        <v>0</v>
      </c>
      <c r="W304">
        <v>2</v>
      </c>
      <c r="X304">
        <v>0</v>
      </c>
      <c r="Y304">
        <v>0</v>
      </c>
      <c r="Z304">
        <v>4</v>
      </c>
      <c r="AA304">
        <v>0</v>
      </c>
      <c r="AB304">
        <v>0</v>
      </c>
      <c r="AC304">
        <v>0</v>
      </c>
      <c r="AD304">
        <v>2</v>
      </c>
      <c r="AE304">
        <v>4</v>
      </c>
      <c r="AF304">
        <v>2</v>
      </c>
      <c r="AG304">
        <v>0</v>
      </c>
      <c r="AH304">
        <v>2</v>
      </c>
      <c r="AI304">
        <v>0</v>
      </c>
      <c r="AJ304">
        <v>2</v>
      </c>
      <c r="AK304">
        <v>0</v>
      </c>
      <c r="AL304">
        <v>0</v>
      </c>
      <c r="AM304">
        <v>2</v>
      </c>
      <c r="AN304">
        <v>0</v>
      </c>
      <c r="AO304">
        <v>2</v>
      </c>
      <c r="AP304">
        <v>0</v>
      </c>
      <c r="AQ304">
        <v>0</v>
      </c>
      <c r="AR304">
        <v>0</v>
      </c>
      <c r="AS304">
        <v>0</v>
      </c>
      <c r="AT304">
        <v>0</v>
      </c>
      <c r="AU304">
        <v>0</v>
      </c>
      <c r="AV304">
        <v>0</v>
      </c>
    </row>
    <row r="305" spans="1:48" ht="15.75" customHeight="1" x14ac:dyDescent="0.25">
      <c r="A305">
        <v>2</v>
      </c>
      <c r="B305">
        <v>1</v>
      </c>
      <c r="C305">
        <v>2</v>
      </c>
      <c r="D305">
        <v>1</v>
      </c>
      <c r="E305">
        <v>1996</v>
      </c>
      <c r="F305">
        <v>1</v>
      </c>
      <c r="G305">
        <v>14</v>
      </c>
      <c r="H305">
        <v>0</v>
      </c>
      <c r="I305">
        <v>0</v>
      </c>
      <c r="J305">
        <v>0</v>
      </c>
      <c r="K305">
        <v>0</v>
      </c>
      <c r="L305">
        <v>0</v>
      </c>
      <c r="M305">
        <v>0</v>
      </c>
      <c r="N305">
        <v>0</v>
      </c>
      <c r="O305">
        <v>0</v>
      </c>
      <c r="P305">
        <v>0</v>
      </c>
      <c r="Q305">
        <v>0</v>
      </c>
      <c r="R305">
        <v>0</v>
      </c>
      <c r="S305">
        <v>0</v>
      </c>
      <c r="T305">
        <v>0</v>
      </c>
      <c r="U305">
        <v>4</v>
      </c>
      <c r="V305">
        <v>0</v>
      </c>
      <c r="W305">
        <v>0</v>
      </c>
      <c r="X305">
        <v>4</v>
      </c>
      <c r="Y305">
        <v>0</v>
      </c>
      <c r="Z305">
        <v>0</v>
      </c>
      <c r="AA305">
        <v>2</v>
      </c>
      <c r="AB305">
        <v>0</v>
      </c>
      <c r="AC305">
        <v>0</v>
      </c>
      <c r="AD305">
        <v>0</v>
      </c>
      <c r="AE305">
        <v>0</v>
      </c>
      <c r="AF305">
        <v>0</v>
      </c>
      <c r="AG305">
        <v>2</v>
      </c>
      <c r="AH305">
        <v>0</v>
      </c>
      <c r="AI305">
        <v>0</v>
      </c>
      <c r="AJ305">
        <v>0</v>
      </c>
      <c r="AK305">
        <v>0</v>
      </c>
      <c r="AL305">
        <v>0</v>
      </c>
      <c r="AM305">
        <v>2</v>
      </c>
      <c r="AN305">
        <v>0</v>
      </c>
      <c r="AO305">
        <v>0</v>
      </c>
      <c r="AP305">
        <v>0</v>
      </c>
      <c r="AQ305">
        <v>0</v>
      </c>
      <c r="AR305">
        <v>0</v>
      </c>
      <c r="AS305">
        <v>0</v>
      </c>
      <c r="AT305">
        <v>0</v>
      </c>
      <c r="AU305">
        <v>0</v>
      </c>
      <c r="AV305">
        <v>0</v>
      </c>
    </row>
    <row r="306" spans="1:48" ht="15.75" customHeight="1" x14ac:dyDescent="0.25">
      <c r="A306">
        <v>2</v>
      </c>
      <c r="B306">
        <v>1</v>
      </c>
      <c r="C306">
        <v>2</v>
      </c>
      <c r="D306">
        <v>1</v>
      </c>
      <c r="E306">
        <v>1996</v>
      </c>
      <c r="F306">
        <v>2</v>
      </c>
      <c r="G306">
        <v>241</v>
      </c>
      <c r="H306">
        <v>0</v>
      </c>
      <c r="I306">
        <v>0</v>
      </c>
      <c r="J306">
        <v>0</v>
      </c>
      <c r="K306">
        <v>0</v>
      </c>
      <c r="L306">
        <v>0</v>
      </c>
      <c r="M306">
        <v>0</v>
      </c>
      <c r="N306">
        <v>0</v>
      </c>
      <c r="O306">
        <v>0</v>
      </c>
      <c r="P306">
        <v>0</v>
      </c>
      <c r="Q306">
        <v>0</v>
      </c>
      <c r="R306">
        <v>0</v>
      </c>
      <c r="S306">
        <v>0</v>
      </c>
      <c r="T306">
        <v>11</v>
      </c>
      <c r="U306">
        <v>13</v>
      </c>
      <c r="V306">
        <v>13</v>
      </c>
      <c r="W306">
        <v>2</v>
      </c>
      <c r="X306">
        <v>12</v>
      </c>
      <c r="Y306">
        <v>1</v>
      </c>
      <c r="Z306">
        <v>2</v>
      </c>
      <c r="AA306">
        <v>16</v>
      </c>
      <c r="AB306">
        <v>14</v>
      </c>
      <c r="AC306">
        <v>22</v>
      </c>
      <c r="AD306">
        <v>25</v>
      </c>
      <c r="AE306">
        <v>24</v>
      </c>
      <c r="AF306">
        <v>26</v>
      </c>
      <c r="AG306">
        <v>19</v>
      </c>
      <c r="AH306">
        <v>21</v>
      </c>
      <c r="AI306">
        <v>8</v>
      </c>
      <c r="AJ306">
        <v>2</v>
      </c>
      <c r="AK306">
        <v>6</v>
      </c>
      <c r="AL306">
        <v>0</v>
      </c>
      <c r="AM306">
        <v>2</v>
      </c>
      <c r="AN306">
        <v>0</v>
      </c>
      <c r="AO306">
        <v>2</v>
      </c>
      <c r="AP306">
        <v>0</v>
      </c>
      <c r="AQ306">
        <v>0</v>
      </c>
      <c r="AR306">
        <v>0</v>
      </c>
      <c r="AS306">
        <v>0</v>
      </c>
      <c r="AT306">
        <v>0</v>
      </c>
      <c r="AU306">
        <v>0</v>
      </c>
      <c r="AV306">
        <v>0</v>
      </c>
    </row>
    <row r="307" spans="1:48" ht="15.75" customHeight="1" x14ac:dyDescent="0.25">
      <c r="A307">
        <v>2</v>
      </c>
      <c r="B307">
        <v>1</v>
      </c>
      <c r="C307">
        <v>2</v>
      </c>
      <c r="D307">
        <v>1</v>
      </c>
      <c r="E307">
        <v>1996</v>
      </c>
      <c r="F307">
        <v>3</v>
      </c>
      <c r="G307">
        <v>37</v>
      </c>
      <c r="H307">
        <v>0</v>
      </c>
      <c r="I307">
        <v>0</v>
      </c>
      <c r="J307">
        <v>0</v>
      </c>
      <c r="K307">
        <v>0</v>
      </c>
      <c r="L307">
        <v>0</v>
      </c>
      <c r="M307">
        <v>0</v>
      </c>
      <c r="N307">
        <v>0</v>
      </c>
      <c r="O307">
        <v>0</v>
      </c>
      <c r="P307">
        <v>0</v>
      </c>
      <c r="Q307">
        <v>0</v>
      </c>
      <c r="R307">
        <v>0</v>
      </c>
      <c r="S307">
        <v>0</v>
      </c>
      <c r="T307">
        <v>6</v>
      </c>
      <c r="U307">
        <v>0</v>
      </c>
      <c r="V307">
        <v>3</v>
      </c>
      <c r="W307">
        <v>0</v>
      </c>
      <c r="X307">
        <v>6</v>
      </c>
      <c r="Y307">
        <v>1</v>
      </c>
      <c r="Z307">
        <v>2</v>
      </c>
      <c r="AA307">
        <v>3</v>
      </c>
      <c r="AB307">
        <v>4</v>
      </c>
      <c r="AC307">
        <v>2</v>
      </c>
      <c r="AD307">
        <v>0</v>
      </c>
      <c r="AE307">
        <v>0</v>
      </c>
      <c r="AF307">
        <v>3</v>
      </c>
      <c r="AG307">
        <v>0</v>
      </c>
      <c r="AH307">
        <v>6</v>
      </c>
      <c r="AI307">
        <v>0</v>
      </c>
      <c r="AJ307">
        <v>0</v>
      </c>
      <c r="AK307">
        <v>0</v>
      </c>
      <c r="AL307">
        <v>0</v>
      </c>
      <c r="AM307">
        <v>1</v>
      </c>
      <c r="AN307">
        <v>0</v>
      </c>
      <c r="AO307">
        <v>0</v>
      </c>
      <c r="AP307">
        <v>0</v>
      </c>
      <c r="AQ307">
        <v>0</v>
      </c>
      <c r="AR307">
        <v>0</v>
      </c>
      <c r="AS307">
        <v>0</v>
      </c>
      <c r="AT307">
        <v>0</v>
      </c>
      <c r="AU307">
        <v>0</v>
      </c>
      <c r="AV307">
        <v>0</v>
      </c>
    </row>
    <row r="308" spans="1:48" ht="15.75" customHeight="1" x14ac:dyDescent="0.25">
      <c r="A308">
        <v>2</v>
      </c>
      <c r="B308">
        <v>1</v>
      </c>
      <c r="C308">
        <v>2</v>
      </c>
      <c r="D308">
        <v>1</v>
      </c>
      <c r="E308">
        <v>1996</v>
      </c>
      <c r="F308">
        <v>6</v>
      </c>
      <c r="G308">
        <v>23</v>
      </c>
      <c r="H308">
        <v>0</v>
      </c>
      <c r="I308">
        <v>0</v>
      </c>
      <c r="J308">
        <v>0</v>
      </c>
      <c r="K308">
        <v>0</v>
      </c>
      <c r="L308">
        <v>0</v>
      </c>
      <c r="M308">
        <v>0</v>
      </c>
      <c r="N308">
        <v>0</v>
      </c>
      <c r="O308">
        <v>0</v>
      </c>
      <c r="P308">
        <v>0</v>
      </c>
      <c r="Q308">
        <v>0</v>
      </c>
      <c r="R308">
        <v>0</v>
      </c>
      <c r="S308">
        <v>0</v>
      </c>
      <c r="T308">
        <v>1</v>
      </c>
      <c r="U308">
        <v>0</v>
      </c>
      <c r="V308">
        <v>2</v>
      </c>
      <c r="W308">
        <v>0</v>
      </c>
      <c r="X308">
        <v>0</v>
      </c>
      <c r="Y308">
        <v>0</v>
      </c>
      <c r="Z308">
        <v>0</v>
      </c>
      <c r="AA308">
        <v>0</v>
      </c>
      <c r="AB308">
        <v>0</v>
      </c>
      <c r="AC308">
        <v>1</v>
      </c>
      <c r="AD308">
        <v>1</v>
      </c>
      <c r="AE308">
        <v>4</v>
      </c>
      <c r="AF308">
        <v>4</v>
      </c>
      <c r="AG308">
        <v>0</v>
      </c>
      <c r="AH308">
        <v>1</v>
      </c>
      <c r="AI308">
        <v>0</v>
      </c>
      <c r="AJ308">
        <v>4</v>
      </c>
      <c r="AK308">
        <v>0</v>
      </c>
      <c r="AL308">
        <v>4</v>
      </c>
      <c r="AM308">
        <v>0</v>
      </c>
      <c r="AN308">
        <v>0</v>
      </c>
      <c r="AO308">
        <v>0</v>
      </c>
      <c r="AP308">
        <v>1</v>
      </c>
      <c r="AQ308">
        <v>0</v>
      </c>
      <c r="AR308">
        <v>0</v>
      </c>
      <c r="AS308">
        <v>0</v>
      </c>
      <c r="AT308">
        <v>0</v>
      </c>
      <c r="AU308">
        <v>0</v>
      </c>
      <c r="AV308">
        <v>0</v>
      </c>
    </row>
    <row r="309" spans="1:48" ht="15.75" customHeight="1" x14ac:dyDescent="0.25">
      <c r="A309">
        <v>2</v>
      </c>
      <c r="B309">
        <v>1</v>
      </c>
      <c r="C309">
        <v>2</v>
      </c>
      <c r="D309">
        <v>1</v>
      </c>
      <c r="E309">
        <v>1997</v>
      </c>
      <c r="F309">
        <v>1</v>
      </c>
      <c r="G309">
        <v>27</v>
      </c>
      <c r="H309">
        <v>0</v>
      </c>
      <c r="I309">
        <v>0</v>
      </c>
      <c r="J309">
        <v>0</v>
      </c>
      <c r="K309">
        <v>0</v>
      </c>
      <c r="L309">
        <v>0</v>
      </c>
      <c r="M309">
        <v>0</v>
      </c>
      <c r="N309">
        <v>0</v>
      </c>
      <c r="O309">
        <v>0</v>
      </c>
      <c r="P309">
        <v>0</v>
      </c>
      <c r="Q309">
        <v>0</v>
      </c>
      <c r="R309">
        <v>0</v>
      </c>
      <c r="S309">
        <v>0</v>
      </c>
      <c r="T309">
        <v>1</v>
      </c>
      <c r="U309">
        <v>1</v>
      </c>
      <c r="V309">
        <v>1</v>
      </c>
      <c r="W309">
        <v>2</v>
      </c>
      <c r="X309">
        <v>4</v>
      </c>
      <c r="Y309">
        <v>0</v>
      </c>
      <c r="Z309">
        <v>5</v>
      </c>
      <c r="AA309">
        <v>2</v>
      </c>
      <c r="AB309">
        <v>3</v>
      </c>
      <c r="AC309">
        <v>0</v>
      </c>
      <c r="AD309">
        <v>3</v>
      </c>
      <c r="AE309">
        <v>1</v>
      </c>
      <c r="AF309">
        <v>1</v>
      </c>
      <c r="AG309">
        <v>0</v>
      </c>
      <c r="AH309">
        <v>0</v>
      </c>
      <c r="AI309">
        <v>1</v>
      </c>
      <c r="AJ309">
        <v>0</v>
      </c>
      <c r="AK309">
        <v>0</v>
      </c>
      <c r="AL309">
        <v>2</v>
      </c>
      <c r="AM309">
        <v>0</v>
      </c>
      <c r="AN309">
        <v>0</v>
      </c>
      <c r="AO309">
        <v>0</v>
      </c>
      <c r="AP309">
        <v>0</v>
      </c>
      <c r="AQ309">
        <v>0</v>
      </c>
      <c r="AR309">
        <v>0</v>
      </c>
      <c r="AS309">
        <v>0</v>
      </c>
      <c r="AT309">
        <v>0</v>
      </c>
      <c r="AU309">
        <v>0</v>
      </c>
      <c r="AV309">
        <v>0</v>
      </c>
    </row>
    <row r="310" spans="1:48" ht="15.75" customHeight="1" x14ac:dyDescent="0.25">
      <c r="A310">
        <v>2</v>
      </c>
      <c r="B310">
        <v>1</v>
      </c>
      <c r="C310">
        <v>2</v>
      </c>
      <c r="D310">
        <v>1</v>
      </c>
      <c r="E310">
        <v>1997</v>
      </c>
      <c r="F310">
        <v>2</v>
      </c>
      <c r="G310">
        <v>300</v>
      </c>
      <c r="H310">
        <v>0</v>
      </c>
      <c r="I310">
        <v>0</v>
      </c>
      <c r="J310">
        <v>0</v>
      </c>
      <c r="K310">
        <v>0</v>
      </c>
      <c r="L310">
        <v>0</v>
      </c>
      <c r="M310">
        <v>0</v>
      </c>
      <c r="N310">
        <v>0</v>
      </c>
      <c r="O310">
        <v>0</v>
      </c>
      <c r="P310">
        <v>0</v>
      </c>
      <c r="Q310">
        <v>0</v>
      </c>
      <c r="R310">
        <v>0</v>
      </c>
      <c r="S310">
        <v>0</v>
      </c>
      <c r="T310">
        <v>10</v>
      </c>
      <c r="U310">
        <v>12</v>
      </c>
      <c r="V310">
        <v>12</v>
      </c>
      <c r="W310">
        <v>5</v>
      </c>
      <c r="X310">
        <v>8</v>
      </c>
      <c r="Y310">
        <v>8</v>
      </c>
      <c r="Z310">
        <v>10</v>
      </c>
      <c r="AA310">
        <v>12</v>
      </c>
      <c r="AB310">
        <v>21</v>
      </c>
      <c r="AC310">
        <v>16</v>
      </c>
      <c r="AD310">
        <v>29</v>
      </c>
      <c r="AE310">
        <v>30</v>
      </c>
      <c r="AF310">
        <v>20</v>
      </c>
      <c r="AG310">
        <v>21</v>
      </c>
      <c r="AH310">
        <v>21</v>
      </c>
      <c r="AI310">
        <v>22</v>
      </c>
      <c r="AJ310">
        <v>20</v>
      </c>
      <c r="AK310">
        <v>8</v>
      </c>
      <c r="AL310">
        <v>6</v>
      </c>
      <c r="AM310">
        <v>1</v>
      </c>
      <c r="AN310">
        <v>0</v>
      </c>
      <c r="AO310">
        <v>3</v>
      </c>
      <c r="AP310">
        <v>3</v>
      </c>
      <c r="AQ310">
        <v>2</v>
      </c>
      <c r="AR310">
        <v>0</v>
      </c>
      <c r="AS310">
        <v>0</v>
      </c>
      <c r="AT310">
        <v>0</v>
      </c>
      <c r="AU310">
        <v>0</v>
      </c>
      <c r="AV310">
        <v>0</v>
      </c>
    </row>
    <row r="311" spans="1:48" ht="15.75" customHeight="1" x14ac:dyDescent="0.25">
      <c r="A311">
        <v>2</v>
      </c>
      <c r="B311">
        <v>1</v>
      </c>
      <c r="C311">
        <v>2</v>
      </c>
      <c r="D311">
        <v>1</v>
      </c>
      <c r="E311">
        <v>1997</v>
      </c>
      <c r="F311">
        <v>3</v>
      </c>
      <c r="G311">
        <v>58</v>
      </c>
      <c r="H311">
        <v>0</v>
      </c>
      <c r="I311">
        <v>0</v>
      </c>
      <c r="J311">
        <v>0</v>
      </c>
      <c r="K311">
        <v>0</v>
      </c>
      <c r="L311">
        <v>0</v>
      </c>
      <c r="M311">
        <v>0</v>
      </c>
      <c r="N311">
        <v>0</v>
      </c>
      <c r="O311">
        <v>0</v>
      </c>
      <c r="P311">
        <v>0</v>
      </c>
      <c r="Q311">
        <v>0</v>
      </c>
      <c r="R311">
        <v>0</v>
      </c>
      <c r="S311">
        <v>0</v>
      </c>
      <c r="T311">
        <v>7</v>
      </c>
      <c r="U311">
        <v>4</v>
      </c>
      <c r="V311">
        <v>0</v>
      </c>
      <c r="W311">
        <v>2</v>
      </c>
      <c r="X311">
        <v>3</v>
      </c>
      <c r="Y311">
        <v>4</v>
      </c>
      <c r="Z311">
        <v>5</v>
      </c>
      <c r="AA311">
        <v>4</v>
      </c>
      <c r="AB311">
        <v>4</v>
      </c>
      <c r="AC311">
        <v>4</v>
      </c>
      <c r="AD311">
        <v>1</v>
      </c>
      <c r="AE311">
        <v>3</v>
      </c>
      <c r="AF311">
        <v>3</v>
      </c>
      <c r="AG311">
        <v>2</v>
      </c>
      <c r="AH311">
        <v>1</v>
      </c>
      <c r="AI311">
        <v>2</v>
      </c>
      <c r="AJ311">
        <v>0</v>
      </c>
      <c r="AK311">
        <v>4</v>
      </c>
      <c r="AL311">
        <v>1</v>
      </c>
      <c r="AM311">
        <v>1</v>
      </c>
      <c r="AN311">
        <v>1</v>
      </c>
      <c r="AO311">
        <v>0</v>
      </c>
      <c r="AP311">
        <v>0</v>
      </c>
      <c r="AQ311">
        <v>2</v>
      </c>
      <c r="AR311">
        <v>0</v>
      </c>
      <c r="AS311">
        <v>0</v>
      </c>
      <c r="AT311">
        <v>0</v>
      </c>
      <c r="AU311">
        <v>0</v>
      </c>
      <c r="AV311">
        <v>0</v>
      </c>
    </row>
    <row r="312" spans="1:48" ht="15.75" customHeight="1" x14ac:dyDescent="0.25">
      <c r="A312">
        <v>2</v>
      </c>
      <c r="B312">
        <v>1</v>
      </c>
      <c r="C312">
        <v>2</v>
      </c>
      <c r="D312">
        <v>1</v>
      </c>
      <c r="E312">
        <v>1997</v>
      </c>
      <c r="F312">
        <v>6</v>
      </c>
      <c r="G312">
        <v>21</v>
      </c>
      <c r="H312">
        <v>0</v>
      </c>
      <c r="I312">
        <v>0</v>
      </c>
      <c r="J312">
        <v>0</v>
      </c>
      <c r="K312">
        <v>0</v>
      </c>
      <c r="L312">
        <v>0</v>
      </c>
      <c r="M312">
        <v>0</v>
      </c>
      <c r="N312">
        <v>0</v>
      </c>
      <c r="O312">
        <v>0</v>
      </c>
      <c r="P312">
        <v>0</v>
      </c>
      <c r="Q312">
        <v>0</v>
      </c>
      <c r="R312">
        <v>0</v>
      </c>
      <c r="S312">
        <v>0</v>
      </c>
      <c r="T312">
        <v>0</v>
      </c>
      <c r="U312">
        <v>1</v>
      </c>
      <c r="V312">
        <v>1</v>
      </c>
      <c r="W312">
        <v>0</v>
      </c>
      <c r="X312">
        <v>0</v>
      </c>
      <c r="Y312">
        <v>1</v>
      </c>
      <c r="Z312">
        <v>1</v>
      </c>
      <c r="AA312">
        <v>1</v>
      </c>
      <c r="AB312">
        <v>0</v>
      </c>
      <c r="AC312">
        <v>0</v>
      </c>
      <c r="AD312">
        <v>0</v>
      </c>
      <c r="AE312">
        <v>1</v>
      </c>
      <c r="AF312">
        <v>2</v>
      </c>
      <c r="AG312">
        <v>0</v>
      </c>
      <c r="AH312">
        <v>0</v>
      </c>
      <c r="AI312">
        <v>2</v>
      </c>
      <c r="AJ312">
        <v>0</v>
      </c>
      <c r="AK312">
        <v>0</v>
      </c>
      <c r="AL312">
        <v>1</v>
      </c>
      <c r="AM312">
        <v>4</v>
      </c>
      <c r="AN312">
        <v>2</v>
      </c>
      <c r="AO312">
        <v>2</v>
      </c>
      <c r="AP312">
        <v>2</v>
      </c>
      <c r="AQ312">
        <v>0</v>
      </c>
      <c r="AR312">
        <v>0</v>
      </c>
      <c r="AS312">
        <v>0</v>
      </c>
      <c r="AT312">
        <v>0</v>
      </c>
      <c r="AU312">
        <v>0</v>
      </c>
      <c r="AV312">
        <v>0</v>
      </c>
    </row>
    <row r="313" spans="1:48" ht="15.75" customHeight="1" x14ac:dyDescent="0.25">
      <c r="A313">
        <v>2</v>
      </c>
      <c r="B313">
        <v>1</v>
      </c>
      <c r="C313">
        <v>2</v>
      </c>
      <c r="D313">
        <v>1</v>
      </c>
      <c r="E313">
        <v>1998</v>
      </c>
      <c r="F313">
        <v>1</v>
      </c>
      <c r="G313">
        <v>16</v>
      </c>
      <c r="H313">
        <v>0</v>
      </c>
      <c r="I313">
        <v>0</v>
      </c>
      <c r="J313">
        <v>0</v>
      </c>
      <c r="K313">
        <v>0</v>
      </c>
      <c r="L313">
        <v>0</v>
      </c>
      <c r="M313">
        <v>0</v>
      </c>
      <c r="N313">
        <v>0</v>
      </c>
      <c r="O313">
        <v>0</v>
      </c>
      <c r="P313">
        <v>0</v>
      </c>
      <c r="Q313">
        <v>0</v>
      </c>
      <c r="R313">
        <v>0</v>
      </c>
      <c r="S313">
        <v>0</v>
      </c>
      <c r="T313">
        <v>0</v>
      </c>
      <c r="U313">
        <v>1</v>
      </c>
      <c r="V313">
        <v>4</v>
      </c>
      <c r="W313">
        <v>0</v>
      </c>
      <c r="X313">
        <v>0</v>
      </c>
      <c r="Y313">
        <v>1</v>
      </c>
      <c r="Z313">
        <v>2</v>
      </c>
      <c r="AA313">
        <v>1</v>
      </c>
      <c r="AB313">
        <v>1</v>
      </c>
      <c r="AC313">
        <v>1</v>
      </c>
      <c r="AD313">
        <v>0</v>
      </c>
      <c r="AE313">
        <v>1</v>
      </c>
      <c r="AF313">
        <v>0</v>
      </c>
      <c r="AG313">
        <v>0</v>
      </c>
      <c r="AH313">
        <v>0</v>
      </c>
      <c r="AI313">
        <v>0</v>
      </c>
      <c r="AJ313">
        <v>0</v>
      </c>
      <c r="AK313">
        <v>0</v>
      </c>
      <c r="AL313">
        <v>0</v>
      </c>
      <c r="AM313">
        <v>2</v>
      </c>
      <c r="AN313">
        <v>0</v>
      </c>
      <c r="AO313">
        <v>0</v>
      </c>
      <c r="AP313">
        <v>0</v>
      </c>
      <c r="AQ313">
        <v>2</v>
      </c>
      <c r="AR313">
        <v>0</v>
      </c>
      <c r="AS313">
        <v>0</v>
      </c>
      <c r="AT313">
        <v>0</v>
      </c>
      <c r="AU313">
        <v>0</v>
      </c>
      <c r="AV313">
        <v>0</v>
      </c>
    </row>
    <row r="314" spans="1:48" ht="15.75" customHeight="1" x14ac:dyDescent="0.25">
      <c r="A314">
        <v>2</v>
      </c>
      <c r="B314">
        <v>1</v>
      </c>
      <c r="C314">
        <v>2</v>
      </c>
      <c r="D314">
        <v>1</v>
      </c>
      <c r="E314">
        <v>1998</v>
      </c>
      <c r="F314">
        <v>2</v>
      </c>
      <c r="G314">
        <v>162</v>
      </c>
      <c r="H314">
        <v>0</v>
      </c>
      <c r="I314">
        <v>0</v>
      </c>
      <c r="J314">
        <v>0</v>
      </c>
      <c r="K314">
        <v>0</v>
      </c>
      <c r="L314">
        <v>0</v>
      </c>
      <c r="M314">
        <v>0</v>
      </c>
      <c r="N314">
        <v>0</v>
      </c>
      <c r="O314">
        <v>0</v>
      </c>
      <c r="P314">
        <v>0</v>
      </c>
      <c r="Q314">
        <v>0</v>
      </c>
      <c r="R314">
        <v>0</v>
      </c>
      <c r="S314">
        <v>0</v>
      </c>
      <c r="T314">
        <v>10</v>
      </c>
      <c r="U314">
        <v>25</v>
      </c>
      <c r="V314">
        <v>25</v>
      </c>
      <c r="W314">
        <v>13</v>
      </c>
      <c r="X314">
        <v>4</v>
      </c>
      <c r="Y314">
        <v>9</v>
      </c>
      <c r="Z314">
        <v>8</v>
      </c>
      <c r="AA314">
        <v>10</v>
      </c>
      <c r="AB314">
        <v>8</v>
      </c>
      <c r="AC314">
        <v>4</v>
      </c>
      <c r="AD314">
        <v>0</v>
      </c>
      <c r="AE314">
        <v>9</v>
      </c>
      <c r="AF314">
        <v>9</v>
      </c>
      <c r="AG314">
        <v>5</v>
      </c>
      <c r="AH314">
        <v>3</v>
      </c>
      <c r="AI314">
        <v>2</v>
      </c>
      <c r="AJ314">
        <v>5</v>
      </c>
      <c r="AK314">
        <v>4</v>
      </c>
      <c r="AL314">
        <v>5</v>
      </c>
      <c r="AM314">
        <v>3</v>
      </c>
      <c r="AN314">
        <v>0</v>
      </c>
      <c r="AO314">
        <v>1</v>
      </c>
      <c r="AP314">
        <v>0</v>
      </c>
      <c r="AQ314">
        <v>0</v>
      </c>
      <c r="AR314">
        <v>0</v>
      </c>
      <c r="AS314">
        <v>0</v>
      </c>
      <c r="AT314">
        <v>0</v>
      </c>
      <c r="AU314">
        <v>0</v>
      </c>
      <c r="AV314">
        <v>0</v>
      </c>
    </row>
    <row r="315" spans="1:48" ht="15.75" customHeight="1" x14ac:dyDescent="0.25">
      <c r="A315">
        <v>2</v>
      </c>
      <c r="B315">
        <v>1</v>
      </c>
      <c r="C315">
        <v>2</v>
      </c>
      <c r="D315">
        <v>1</v>
      </c>
      <c r="E315">
        <v>1998</v>
      </c>
      <c r="F315">
        <v>3</v>
      </c>
      <c r="G315">
        <v>101</v>
      </c>
      <c r="H315">
        <v>0</v>
      </c>
      <c r="I315">
        <v>0</v>
      </c>
      <c r="J315">
        <v>0</v>
      </c>
      <c r="K315">
        <v>0</v>
      </c>
      <c r="L315">
        <v>0</v>
      </c>
      <c r="M315">
        <v>0</v>
      </c>
      <c r="N315">
        <v>0</v>
      </c>
      <c r="O315">
        <v>0</v>
      </c>
      <c r="P315">
        <v>0</v>
      </c>
      <c r="Q315">
        <v>0</v>
      </c>
      <c r="R315">
        <v>0</v>
      </c>
      <c r="S315">
        <v>0</v>
      </c>
      <c r="T315">
        <v>5</v>
      </c>
      <c r="U315">
        <v>8</v>
      </c>
      <c r="V315">
        <v>9</v>
      </c>
      <c r="W315">
        <v>10</v>
      </c>
      <c r="X315">
        <v>8</v>
      </c>
      <c r="Y315">
        <v>4</v>
      </c>
      <c r="Z315">
        <v>9</v>
      </c>
      <c r="AA315">
        <v>4</v>
      </c>
      <c r="AB315">
        <v>3</v>
      </c>
      <c r="AC315">
        <v>5</v>
      </c>
      <c r="AD315">
        <v>9</v>
      </c>
      <c r="AE315">
        <v>4</v>
      </c>
      <c r="AF315">
        <v>7</v>
      </c>
      <c r="AG315">
        <v>5</v>
      </c>
      <c r="AH315">
        <v>1</v>
      </c>
      <c r="AI315">
        <v>3</v>
      </c>
      <c r="AJ315">
        <v>0</v>
      </c>
      <c r="AK315">
        <v>4</v>
      </c>
      <c r="AL315">
        <v>0</v>
      </c>
      <c r="AM315">
        <v>1</v>
      </c>
      <c r="AN315">
        <v>0</v>
      </c>
      <c r="AO315">
        <v>0</v>
      </c>
      <c r="AP315">
        <v>0</v>
      </c>
      <c r="AQ315">
        <v>2</v>
      </c>
      <c r="AR315">
        <v>0</v>
      </c>
      <c r="AS315">
        <v>0</v>
      </c>
      <c r="AT315">
        <v>0</v>
      </c>
      <c r="AU315">
        <v>0</v>
      </c>
      <c r="AV315">
        <v>0</v>
      </c>
    </row>
    <row r="316" spans="1:48" ht="15.75" customHeight="1" x14ac:dyDescent="0.25">
      <c r="A316">
        <v>2</v>
      </c>
      <c r="B316">
        <v>1</v>
      </c>
      <c r="C316">
        <v>2</v>
      </c>
      <c r="D316">
        <v>1</v>
      </c>
      <c r="E316">
        <v>1998</v>
      </c>
      <c r="F316">
        <v>6</v>
      </c>
      <c r="G316">
        <v>10</v>
      </c>
      <c r="H316">
        <v>0</v>
      </c>
      <c r="I316">
        <v>0</v>
      </c>
      <c r="J316">
        <v>0</v>
      </c>
      <c r="K316">
        <v>0</v>
      </c>
      <c r="L316">
        <v>0</v>
      </c>
      <c r="M316">
        <v>0</v>
      </c>
      <c r="N316">
        <v>0</v>
      </c>
      <c r="O316">
        <v>0</v>
      </c>
      <c r="P316">
        <v>0</v>
      </c>
      <c r="Q316">
        <v>0</v>
      </c>
      <c r="R316">
        <v>0</v>
      </c>
      <c r="S316">
        <v>0</v>
      </c>
      <c r="T316">
        <v>0</v>
      </c>
      <c r="U316">
        <v>0</v>
      </c>
      <c r="V316">
        <v>2</v>
      </c>
      <c r="W316">
        <v>1</v>
      </c>
      <c r="X316">
        <v>1</v>
      </c>
      <c r="Y316">
        <v>0</v>
      </c>
      <c r="Z316">
        <v>1</v>
      </c>
      <c r="AA316">
        <v>1</v>
      </c>
      <c r="AB316">
        <v>1</v>
      </c>
      <c r="AC316">
        <v>0</v>
      </c>
      <c r="AD316">
        <v>1</v>
      </c>
      <c r="AE316">
        <v>0</v>
      </c>
      <c r="AF316">
        <v>0</v>
      </c>
      <c r="AG316">
        <v>0</v>
      </c>
      <c r="AH316">
        <v>0</v>
      </c>
      <c r="AI316">
        <v>0</v>
      </c>
      <c r="AJ316">
        <v>0</v>
      </c>
      <c r="AK316">
        <v>0</v>
      </c>
      <c r="AL316">
        <v>2</v>
      </c>
      <c r="AM316">
        <v>0</v>
      </c>
      <c r="AN316">
        <v>0</v>
      </c>
      <c r="AO316">
        <v>0</v>
      </c>
      <c r="AP316">
        <v>0</v>
      </c>
      <c r="AQ316">
        <v>0</v>
      </c>
      <c r="AR316">
        <v>0</v>
      </c>
      <c r="AS316">
        <v>0</v>
      </c>
      <c r="AT316">
        <v>0</v>
      </c>
      <c r="AU316">
        <v>0</v>
      </c>
      <c r="AV316">
        <v>0</v>
      </c>
    </row>
    <row r="317" spans="1:48" ht="15.75" customHeight="1" x14ac:dyDescent="0.25">
      <c r="A317">
        <v>2</v>
      </c>
      <c r="B317">
        <v>1</v>
      </c>
      <c r="C317">
        <v>2</v>
      </c>
      <c r="D317">
        <v>1</v>
      </c>
      <c r="E317">
        <v>1999</v>
      </c>
      <c r="F317">
        <v>1</v>
      </c>
      <c r="G317">
        <v>56</v>
      </c>
      <c r="H317">
        <v>0</v>
      </c>
      <c r="I317">
        <v>0</v>
      </c>
      <c r="J317">
        <v>0</v>
      </c>
      <c r="K317">
        <v>0</v>
      </c>
      <c r="L317">
        <v>0</v>
      </c>
      <c r="M317">
        <v>0</v>
      </c>
      <c r="N317">
        <v>0</v>
      </c>
      <c r="O317">
        <v>0</v>
      </c>
      <c r="P317">
        <v>0</v>
      </c>
      <c r="Q317">
        <v>0</v>
      </c>
      <c r="R317">
        <v>0</v>
      </c>
      <c r="S317">
        <v>0</v>
      </c>
      <c r="T317">
        <v>1</v>
      </c>
      <c r="U317">
        <v>6</v>
      </c>
      <c r="V317">
        <v>6</v>
      </c>
      <c r="W317">
        <v>5</v>
      </c>
      <c r="X317">
        <v>5</v>
      </c>
      <c r="Y317">
        <v>5</v>
      </c>
      <c r="Z317">
        <v>5</v>
      </c>
      <c r="AA317">
        <v>2</v>
      </c>
      <c r="AB317">
        <v>0</v>
      </c>
      <c r="AC317">
        <v>1</v>
      </c>
      <c r="AD317">
        <v>2</v>
      </c>
      <c r="AE317">
        <v>0</v>
      </c>
      <c r="AF317">
        <v>3</v>
      </c>
      <c r="AG317">
        <v>1</v>
      </c>
      <c r="AH317">
        <v>3</v>
      </c>
      <c r="AI317">
        <v>0</v>
      </c>
      <c r="AJ317">
        <v>8</v>
      </c>
      <c r="AK317">
        <v>0</v>
      </c>
      <c r="AL317">
        <v>1</v>
      </c>
      <c r="AM317">
        <v>0</v>
      </c>
      <c r="AN317">
        <v>2</v>
      </c>
      <c r="AO317">
        <v>0</v>
      </c>
      <c r="AP317">
        <v>0</v>
      </c>
      <c r="AQ317">
        <v>0</v>
      </c>
      <c r="AR317">
        <v>0</v>
      </c>
      <c r="AS317">
        <v>0</v>
      </c>
      <c r="AT317">
        <v>0</v>
      </c>
      <c r="AU317">
        <v>0</v>
      </c>
      <c r="AV317">
        <v>0</v>
      </c>
    </row>
    <row r="318" spans="1:48" ht="15.75" customHeight="1" x14ac:dyDescent="0.25">
      <c r="A318">
        <v>2</v>
      </c>
      <c r="B318">
        <v>1</v>
      </c>
      <c r="C318">
        <v>2</v>
      </c>
      <c r="D318">
        <v>1</v>
      </c>
      <c r="E318">
        <v>1999</v>
      </c>
      <c r="F318">
        <v>2</v>
      </c>
      <c r="G318">
        <v>222</v>
      </c>
      <c r="H318">
        <v>0</v>
      </c>
      <c r="I318">
        <v>0</v>
      </c>
      <c r="J318">
        <v>0</v>
      </c>
      <c r="K318">
        <v>0</v>
      </c>
      <c r="L318">
        <v>0</v>
      </c>
      <c r="M318">
        <v>0</v>
      </c>
      <c r="N318">
        <v>0</v>
      </c>
      <c r="O318">
        <v>0</v>
      </c>
      <c r="P318">
        <v>0</v>
      </c>
      <c r="Q318">
        <v>0</v>
      </c>
      <c r="R318">
        <v>0</v>
      </c>
      <c r="S318">
        <v>0</v>
      </c>
      <c r="T318">
        <v>13</v>
      </c>
      <c r="U318">
        <v>23</v>
      </c>
      <c r="V318">
        <v>20</v>
      </c>
      <c r="W318">
        <v>17</v>
      </c>
      <c r="X318">
        <v>11</v>
      </c>
      <c r="Y318">
        <v>20</v>
      </c>
      <c r="Z318">
        <v>10</v>
      </c>
      <c r="AA318">
        <v>22</v>
      </c>
      <c r="AB318">
        <v>9</v>
      </c>
      <c r="AC318">
        <v>11</v>
      </c>
      <c r="AD318">
        <v>10</v>
      </c>
      <c r="AE318">
        <v>5</v>
      </c>
      <c r="AF318">
        <v>11</v>
      </c>
      <c r="AG318">
        <v>6</v>
      </c>
      <c r="AH318">
        <v>8</v>
      </c>
      <c r="AI318">
        <v>6</v>
      </c>
      <c r="AJ318">
        <v>6</v>
      </c>
      <c r="AK318">
        <v>6</v>
      </c>
      <c r="AL318">
        <v>0</v>
      </c>
      <c r="AM318">
        <v>4</v>
      </c>
      <c r="AN318">
        <v>1</v>
      </c>
      <c r="AO318">
        <v>1</v>
      </c>
      <c r="AP318">
        <v>0</v>
      </c>
      <c r="AQ318">
        <v>2</v>
      </c>
      <c r="AR318">
        <v>0</v>
      </c>
      <c r="AS318">
        <v>0</v>
      </c>
      <c r="AT318">
        <v>0</v>
      </c>
      <c r="AU318">
        <v>0</v>
      </c>
      <c r="AV318">
        <v>0</v>
      </c>
    </row>
    <row r="319" spans="1:48" ht="15.75" customHeight="1" x14ac:dyDescent="0.25">
      <c r="A319">
        <v>2</v>
      </c>
      <c r="B319">
        <v>1</v>
      </c>
      <c r="C319">
        <v>2</v>
      </c>
      <c r="D319">
        <v>1</v>
      </c>
      <c r="E319">
        <v>1999</v>
      </c>
      <c r="F319">
        <v>3</v>
      </c>
      <c r="G319">
        <v>37</v>
      </c>
      <c r="H319">
        <v>0</v>
      </c>
      <c r="I319">
        <v>0</v>
      </c>
      <c r="J319">
        <v>0</v>
      </c>
      <c r="K319">
        <v>0</v>
      </c>
      <c r="L319">
        <v>0</v>
      </c>
      <c r="M319">
        <v>0</v>
      </c>
      <c r="N319">
        <v>0</v>
      </c>
      <c r="O319">
        <v>0</v>
      </c>
      <c r="P319">
        <v>0</v>
      </c>
      <c r="Q319">
        <v>0</v>
      </c>
      <c r="R319">
        <v>0</v>
      </c>
      <c r="S319">
        <v>0</v>
      </c>
      <c r="T319">
        <v>2</v>
      </c>
      <c r="U319">
        <v>0</v>
      </c>
      <c r="V319">
        <v>1</v>
      </c>
      <c r="W319">
        <v>0</v>
      </c>
      <c r="X319">
        <v>7</v>
      </c>
      <c r="Y319">
        <v>5</v>
      </c>
      <c r="Z319">
        <v>2</v>
      </c>
      <c r="AA319">
        <v>6</v>
      </c>
      <c r="AB319">
        <v>0</v>
      </c>
      <c r="AC319">
        <v>1</v>
      </c>
      <c r="AD319">
        <v>0</v>
      </c>
      <c r="AE319">
        <v>1</v>
      </c>
      <c r="AF319">
        <v>1</v>
      </c>
      <c r="AG319">
        <v>1</v>
      </c>
      <c r="AH319">
        <v>1</v>
      </c>
      <c r="AI319">
        <v>0</v>
      </c>
      <c r="AJ319">
        <v>4</v>
      </c>
      <c r="AK319">
        <v>5</v>
      </c>
      <c r="AL319">
        <v>0</v>
      </c>
      <c r="AM319">
        <v>0</v>
      </c>
      <c r="AN319">
        <v>0</v>
      </c>
      <c r="AO319">
        <v>0</v>
      </c>
      <c r="AP319">
        <v>0</v>
      </c>
      <c r="AQ319">
        <v>0</v>
      </c>
      <c r="AR319">
        <v>0</v>
      </c>
      <c r="AS319">
        <v>0</v>
      </c>
      <c r="AT319">
        <v>0</v>
      </c>
      <c r="AU319">
        <v>0</v>
      </c>
      <c r="AV319">
        <v>0</v>
      </c>
    </row>
    <row r="320" spans="1:48" ht="15.75" customHeight="1" x14ac:dyDescent="0.25">
      <c r="A320">
        <v>2</v>
      </c>
      <c r="B320">
        <v>1</v>
      </c>
      <c r="C320">
        <v>2</v>
      </c>
      <c r="D320">
        <v>1</v>
      </c>
      <c r="E320">
        <v>1999</v>
      </c>
      <c r="F320">
        <v>6</v>
      </c>
      <c r="G320">
        <v>1</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1</v>
      </c>
      <c r="AK320">
        <v>0</v>
      </c>
      <c r="AL320">
        <v>0</v>
      </c>
      <c r="AM320">
        <v>0</v>
      </c>
      <c r="AN320">
        <v>0</v>
      </c>
      <c r="AO320">
        <v>0</v>
      </c>
      <c r="AP320">
        <v>0</v>
      </c>
      <c r="AQ320">
        <v>0</v>
      </c>
      <c r="AR320">
        <v>0</v>
      </c>
      <c r="AS320">
        <v>0</v>
      </c>
      <c r="AT320">
        <v>0</v>
      </c>
      <c r="AU320">
        <v>0</v>
      </c>
      <c r="AV320">
        <v>0</v>
      </c>
    </row>
    <row r="321" spans="1:48" ht="15.75" customHeight="1" x14ac:dyDescent="0.25">
      <c r="A321">
        <v>2</v>
      </c>
      <c r="B321">
        <v>1</v>
      </c>
      <c r="C321">
        <v>2</v>
      </c>
      <c r="D321">
        <v>1</v>
      </c>
      <c r="E321">
        <v>2000</v>
      </c>
      <c r="F321">
        <v>1</v>
      </c>
      <c r="G321">
        <v>13</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1</v>
      </c>
      <c r="AD321">
        <v>1</v>
      </c>
      <c r="AE321">
        <v>0</v>
      </c>
      <c r="AF321">
        <v>0</v>
      </c>
      <c r="AG321">
        <v>1</v>
      </c>
      <c r="AH321">
        <v>1</v>
      </c>
      <c r="AI321">
        <v>1</v>
      </c>
      <c r="AJ321">
        <v>2</v>
      </c>
      <c r="AK321">
        <v>2</v>
      </c>
      <c r="AL321">
        <v>0</v>
      </c>
      <c r="AM321">
        <v>0</v>
      </c>
      <c r="AN321">
        <v>2</v>
      </c>
      <c r="AO321">
        <v>2</v>
      </c>
      <c r="AP321">
        <v>0</v>
      </c>
      <c r="AQ321">
        <v>0</v>
      </c>
      <c r="AR321">
        <v>0</v>
      </c>
      <c r="AS321">
        <v>0</v>
      </c>
      <c r="AT321">
        <v>0</v>
      </c>
      <c r="AU321">
        <v>0</v>
      </c>
      <c r="AV321">
        <v>0</v>
      </c>
    </row>
    <row r="322" spans="1:48" ht="15.75" customHeight="1" x14ac:dyDescent="0.25">
      <c r="A322">
        <v>2</v>
      </c>
      <c r="B322">
        <v>1</v>
      </c>
      <c r="C322">
        <v>2</v>
      </c>
      <c r="D322">
        <v>1</v>
      </c>
      <c r="E322">
        <v>2000</v>
      </c>
      <c r="F322">
        <v>2</v>
      </c>
      <c r="G322">
        <v>136</v>
      </c>
      <c r="H322">
        <v>0</v>
      </c>
      <c r="I322">
        <v>0</v>
      </c>
      <c r="J322">
        <v>0</v>
      </c>
      <c r="K322">
        <v>0</v>
      </c>
      <c r="L322">
        <v>0</v>
      </c>
      <c r="M322">
        <v>0</v>
      </c>
      <c r="N322">
        <v>0</v>
      </c>
      <c r="O322">
        <v>0</v>
      </c>
      <c r="P322">
        <v>0</v>
      </c>
      <c r="Q322">
        <v>0</v>
      </c>
      <c r="R322">
        <v>0</v>
      </c>
      <c r="S322">
        <v>0</v>
      </c>
      <c r="T322">
        <v>2</v>
      </c>
      <c r="U322">
        <v>1</v>
      </c>
      <c r="V322">
        <v>2</v>
      </c>
      <c r="W322">
        <v>1</v>
      </c>
      <c r="X322">
        <v>3</v>
      </c>
      <c r="Y322">
        <v>0</v>
      </c>
      <c r="Z322">
        <v>5</v>
      </c>
      <c r="AA322">
        <v>5</v>
      </c>
      <c r="AB322">
        <v>4</v>
      </c>
      <c r="AC322">
        <v>12</v>
      </c>
      <c r="AD322">
        <v>13</v>
      </c>
      <c r="AE322">
        <v>11</v>
      </c>
      <c r="AF322">
        <v>7</v>
      </c>
      <c r="AG322">
        <v>6</v>
      </c>
      <c r="AH322">
        <v>6</v>
      </c>
      <c r="AI322">
        <v>11</v>
      </c>
      <c r="AJ322">
        <v>11</v>
      </c>
      <c r="AK322">
        <v>14</v>
      </c>
      <c r="AL322">
        <v>6</v>
      </c>
      <c r="AM322">
        <v>5</v>
      </c>
      <c r="AN322">
        <v>3</v>
      </c>
      <c r="AO322">
        <v>5</v>
      </c>
      <c r="AP322">
        <v>0</v>
      </c>
      <c r="AQ322">
        <v>3</v>
      </c>
      <c r="AR322">
        <v>0</v>
      </c>
      <c r="AS322">
        <v>0</v>
      </c>
      <c r="AT322">
        <v>0</v>
      </c>
      <c r="AU322">
        <v>0</v>
      </c>
      <c r="AV322">
        <v>0</v>
      </c>
    </row>
    <row r="323" spans="1:48" ht="15.75" customHeight="1" x14ac:dyDescent="0.25">
      <c r="A323">
        <v>2</v>
      </c>
      <c r="B323">
        <v>1</v>
      </c>
      <c r="C323">
        <v>2</v>
      </c>
      <c r="D323">
        <v>1</v>
      </c>
      <c r="E323">
        <v>2000</v>
      </c>
      <c r="F323">
        <v>3</v>
      </c>
      <c r="G323">
        <v>22</v>
      </c>
      <c r="H323">
        <v>0</v>
      </c>
      <c r="I323">
        <v>0</v>
      </c>
      <c r="J323">
        <v>0</v>
      </c>
      <c r="K323">
        <v>0</v>
      </c>
      <c r="L323">
        <v>0</v>
      </c>
      <c r="M323">
        <v>0</v>
      </c>
      <c r="N323">
        <v>0</v>
      </c>
      <c r="O323">
        <v>0</v>
      </c>
      <c r="P323">
        <v>0</v>
      </c>
      <c r="Q323">
        <v>0</v>
      </c>
      <c r="R323">
        <v>0</v>
      </c>
      <c r="S323">
        <v>0</v>
      </c>
      <c r="T323">
        <v>0</v>
      </c>
      <c r="U323">
        <v>1</v>
      </c>
      <c r="V323">
        <v>0</v>
      </c>
      <c r="W323">
        <v>0</v>
      </c>
      <c r="X323">
        <v>0</v>
      </c>
      <c r="Y323">
        <v>0</v>
      </c>
      <c r="Z323">
        <v>0</v>
      </c>
      <c r="AA323">
        <v>2</v>
      </c>
      <c r="AB323">
        <v>0</v>
      </c>
      <c r="AC323">
        <v>0</v>
      </c>
      <c r="AD323">
        <v>0</v>
      </c>
      <c r="AE323">
        <v>1</v>
      </c>
      <c r="AF323">
        <v>1</v>
      </c>
      <c r="AG323">
        <v>0</v>
      </c>
      <c r="AH323">
        <v>0</v>
      </c>
      <c r="AI323">
        <v>0</v>
      </c>
      <c r="AJ323">
        <v>3</v>
      </c>
      <c r="AK323">
        <v>11</v>
      </c>
      <c r="AL323">
        <v>2</v>
      </c>
      <c r="AM323">
        <v>0</v>
      </c>
      <c r="AN323">
        <v>1</v>
      </c>
      <c r="AO323">
        <v>0</v>
      </c>
      <c r="AP323">
        <v>0</v>
      </c>
      <c r="AQ323">
        <v>0</v>
      </c>
      <c r="AR323">
        <v>0</v>
      </c>
      <c r="AS323">
        <v>0</v>
      </c>
      <c r="AT323">
        <v>0</v>
      </c>
      <c r="AU323">
        <v>0</v>
      </c>
      <c r="AV323">
        <v>0</v>
      </c>
    </row>
    <row r="324" spans="1:48" ht="15.75" customHeight="1" x14ac:dyDescent="0.25">
      <c r="A324">
        <v>2</v>
      </c>
      <c r="B324">
        <v>1</v>
      </c>
      <c r="C324">
        <v>2</v>
      </c>
      <c r="D324">
        <v>1</v>
      </c>
      <c r="E324">
        <v>2000</v>
      </c>
      <c r="F324">
        <v>6</v>
      </c>
      <c r="G324">
        <v>4</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c r="AD324">
        <v>0</v>
      </c>
      <c r="AE324">
        <v>0</v>
      </c>
      <c r="AF324">
        <v>0</v>
      </c>
      <c r="AG324">
        <v>0</v>
      </c>
      <c r="AH324">
        <v>0</v>
      </c>
      <c r="AI324">
        <v>0</v>
      </c>
      <c r="AJ324">
        <v>1</v>
      </c>
      <c r="AK324">
        <v>0</v>
      </c>
      <c r="AL324">
        <v>0</v>
      </c>
      <c r="AM324">
        <v>0</v>
      </c>
      <c r="AN324">
        <v>0</v>
      </c>
      <c r="AO324">
        <v>2</v>
      </c>
      <c r="AP324">
        <v>0</v>
      </c>
      <c r="AQ324">
        <v>1</v>
      </c>
      <c r="AR324">
        <v>0</v>
      </c>
      <c r="AS324">
        <v>0</v>
      </c>
      <c r="AT324">
        <v>0</v>
      </c>
      <c r="AU324">
        <v>0</v>
      </c>
      <c r="AV324">
        <v>0</v>
      </c>
    </row>
    <row r="325" spans="1:48" ht="15.75" customHeight="1" x14ac:dyDescent="0.25">
      <c r="A325">
        <v>2</v>
      </c>
      <c r="B325">
        <v>1</v>
      </c>
      <c r="C325">
        <v>2</v>
      </c>
      <c r="D325">
        <v>1</v>
      </c>
      <c r="E325">
        <v>2001</v>
      </c>
      <c r="F325">
        <v>2</v>
      </c>
      <c r="G325">
        <v>18</v>
      </c>
      <c r="H325">
        <v>0</v>
      </c>
      <c r="I325">
        <v>0</v>
      </c>
      <c r="J325">
        <v>0</v>
      </c>
      <c r="K325">
        <v>0</v>
      </c>
      <c r="L325">
        <v>0</v>
      </c>
      <c r="M325">
        <v>0</v>
      </c>
      <c r="N325">
        <v>0</v>
      </c>
      <c r="O325">
        <v>0</v>
      </c>
      <c r="P325">
        <v>0</v>
      </c>
      <c r="Q325">
        <v>0</v>
      </c>
      <c r="R325">
        <v>0</v>
      </c>
      <c r="S325">
        <v>0</v>
      </c>
      <c r="T325">
        <v>0</v>
      </c>
      <c r="U325">
        <v>2</v>
      </c>
      <c r="V325">
        <v>2</v>
      </c>
      <c r="W325">
        <v>0</v>
      </c>
      <c r="X325">
        <v>0</v>
      </c>
      <c r="Y325">
        <v>1</v>
      </c>
      <c r="Z325">
        <v>0</v>
      </c>
      <c r="AA325">
        <v>0</v>
      </c>
      <c r="AB325">
        <v>0</v>
      </c>
      <c r="AC325">
        <v>2</v>
      </c>
      <c r="AD325">
        <v>0</v>
      </c>
      <c r="AE325">
        <v>1</v>
      </c>
      <c r="AF325">
        <v>0</v>
      </c>
      <c r="AG325">
        <v>0</v>
      </c>
      <c r="AH325">
        <v>2</v>
      </c>
      <c r="AI325">
        <v>0</v>
      </c>
      <c r="AJ325">
        <v>0</v>
      </c>
      <c r="AK325">
        <v>3</v>
      </c>
      <c r="AL325">
        <v>1</v>
      </c>
      <c r="AM325">
        <v>0</v>
      </c>
      <c r="AN325">
        <v>0</v>
      </c>
      <c r="AO325">
        <v>1</v>
      </c>
      <c r="AP325">
        <v>0</v>
      </c>
      <c r="AQ325">
        <v>3</v>
      </c>
      <c r="AR325">
        <v>0</v>
      </c>
      <c r="AS325">
        <v>0</v>
      </c>
      <c r="AT325">
        <v>0</v>
      </c>
      <c r="AU325">
        <v>0</v>
      </c>
      <c r="AV325">
        <v>0</v>
      </c>
    </row>
    <row r="326" spans="1:48" ht="15.75" customHeight="1" x14ac:dyDescent="0.25">
      <c r="A326">
        <v>2</v>
      </c>
      <c r="B326">
        <v>1</v>
      </c>
      <c r="C326">
        <v>2</v>
      </c>
      <c r="D326">
        <v>1</v>
      </c>
      <c r="E326">
        <v>2001</v>
      </c>
      <c r="F326">
        <v>3</v>
      </c>
      <c r="G326">
        <v>6</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c r="AI326">
        <v>2</v>
      </c>
      <c r="AJ326">
        <v>0</v>
      </c>
      <c r="AK326">
        <v>0</v>
      </c>
      <c r="AL326">
        <v>3</v>
      </c>
      <c r="AM326">
        <v>0</v>
      </c>
      <c r="AN326">
        <v>0</v>
      </c>
      <c r="AO326">
        <v>0</v>
      </c>
      <c r="AP326">
        <v>1</v>
      </c>
      <c r="AQ326">
        <v>0</v>
      </c>
      <c r="AR326">
        <v>0</v>
      </c>
      <c r="AS326">
        <v>0</v>
      </c>
      <c r="AT326">
        <v>0</v>
      </c>
      <c r="AU326">
        <v>0</v>
      </c>
      <c r="AV326">
        <v>0</v>
      </c>
    </row>
    <row r="327" spans="1:48" ht="15.75" customHeight="1" x14ac:dyDescent="0.25">
      <c r="A327">
        <v>2</v>
      </c>
      <c r="B327">
        <v>1</v>
      </c>
      <c r="C327">
        <v>2</v>
      </c>
      <c r="D327">
        <v>1</v>
      </c>
      <c r="E327">
        <v>2003</v>
      </c>
      <c r="F327">
        <v>2</v>
      </c>
      <c r="G327">
        <v>1</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c r="AD327">
        <v>0</v>
      </c>
      <c r="AE327">
        <v>0</v>
      </c>
      <c r="AF327">
        <v>0</v>
      </c>
      <c r="AG327">
        <v>0</v>
      </c>
      <c r="AH327">
        <v>0</v>
      </c>
      <c r="AI327">
        <v>0</v>
      </c>
      <c r="AJ327">
        <v>0</v>
      </c>
      <c r="AK327">
        <v>1</v>
      </c>
      <c r="AL327">
        <v>0</v>
      </c>
      <c r="AM327">
        <v>0</v>
      </c>
      <c r="AN327">
        <v>0</v>
      </c>
      <c r="AO327">
        <v>0</v>
      </c>
      <c r="AP327">
        <v>0</v>
      </c>
      <c r="AQ327">
        <v>0</v>
      </c>
      <c r="AR327">
        <v>0</v>
      </c>
      <c r="AS327">
        <v>0</v>
      </c>
      <c r="AT327">
        <v>0</v>
      </c>
      <c r="AU327">
        <v>0</v>
      </c>
      <c r="AV327">
        <v>0</v>
      </c>
    </row>
    <row r="328" spans="1:48" ht="15.75" customHeight="1" x14ac:dyDescent="0.25">
      <c r="A328">
        <v>2</v>
      </c>
      <c r="B328">
        <v>1</v>
      </c>
      <c r="C328">
        <v>2</v>
      </c>
      <c r="D328">
        <v>1</v>
      </c>
      <c r="E328">
        <v>2004</v>
      </c>
      <c r="F328">
        <v>2</v>
      </c>
      <c r="G328">
        <v>1</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1</v>
      </c>
      <c r="AN328">
        <v>0</v>
      </c>
      <c r="AO328">
        <v>0</v>
      </c>
      <c r="AP328">
        <v>0</v>
      </c>
      <c r="AQ328">
        <v>0</v>
      </c>
      <c r="AR328">
        <v>0</v>
      </c>
      <c r="AS328">
        <v>0</v>
      </c>
      <c r="AT328">
        <v>0</v>
      </c>
      <c r="AU328">
        <v>0</v>
      </c>
      <c r="AV328">
        <v>0</v>
      </c>
    </row>
    <row r="329" spans="1:48" ht="15.75" customHeight="1" x14ac:dyDescent="0.25">
      <c r="A329">
        <v>2</v>
      </c>
      <c r="B329">
        <v>1</v>
      </c>
      <c r="C329">
        <v>2</v>
      </c>
      <c r="D329">
        <v>1</v>
      </c>
      <c r="E329">
        <v>2004</v>
      </c>
      <c r="F329">
        <v>3</v>
      </c>
      <c r="G329">
        <v>1</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1</v>
      </c>
      <c r="AI329">
        <v>0</v>
      </c>
      <c r="AJ329">
        <v>0</v>
      </c>
      <c r="AK329">
        <v>0</v>
      </c>
      <c r="AL329">
        <v>0</v>
      </c>
      <c r="AM329">
        <v>0</v>
      </c>
      <c r="AN329">
        <v>0</v>
      </c>
      <c r="AO329">
        <v>0</v>
      </c>
      <c r="AP329">
        <v>0</v>
      </c>
      <c r="AQ329">
        <v>0</v>
      </c>
      <c r="AR329">
        <v>0</v>
      </c>
      <c r="AS329">
        <v>0</v>
      </c>
      <c r="AT329">
        <v>0</v>
      </c>
      <c r="AU329">
        <v>0</v>
      </c>
      <c r="AV329">
        <v>0</v>
      </c>
    </row>
    <row r="330" spans="1:48" ht="15.75" customHeight="1" x14ac:dyDescent="0.25">
      <c r="A330">
        <v>2</v>
      </c>
      <c r="B330">
        <v>1</v>
      </c>
      <c r="C330">
        <v>2</v>
      </c>
      <c r="D330">
        <v>1</v>
      </c>
      <c r="E330">
        <v>2004</v>
      </c>
      <c r="F330">
        <v>6</v>
      </c>
      <c r="G330">
        <v>1</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c r="AD330">
        <v>0</v>
      </c>
      <c r="AE330">
        <v>0</v>
      </c>
      <c r="AF330">
        <v>0</v>
      </c>
      <c r="AG330">
        <v>0</v>
      </c>
      <c r="AH330">
        <v>1</v>
      </c>
      <c r="AI330">
        <v>0</v>
      </c>
      <c r="AJ330">
        <v>0</v>
      </c>
      <c r="AK330">
        <v>0</v>
      </c>
      <c r="AL330">
        <v>0</v>
      </c>
      <c r="AM330">
        <v>0</v>
      </c>
      <c r="AN330">
        <v>0</v>
      </c>
      <c r="AO330">
        <v>0</v>
      </c>
      <c r="AP330">
        <v>0</v>
      </c>
      <c r="AQ330">
        <v>0</v>
      </c>
      <c r="AR330">
        <v>0</v>
      </c>
      <c r="AS330">
        <v>0</v>
      </c>
      <c r="AT330">
        <v>0</v>
      </c>
      <c r="AU330">
        <v>0</v>
      </c>
      <c r="AV330">
        <v>0</v>
      </c>
    </row>
    <row r="331" spans="1:48" ht="15.75" customHeight="1" x14ac:dyDescent="0.25">
      <c r="A331">
        <v>2</v>
      </c>
      <c r="B331">
        <v>1</v>
      </c>
      <c r="C331">
        <v>2</v>
      </c>
      <c r="D331">
        <v>1</v>
      </c>
      <c r="E331">
        <v>2005</v>
      </c>
      <c r="F331">
        <v>1</v>
      </c>
      <c r="G331">
        <v>1</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c r="AI331">
        <v>0</v>
      </c>
      <c r="AJ331">
        <v>0</v>
      </c>
      <c r="AK331">
        <v>0</v>
      </c>
      <c r="AL331">
        <v>0</v>
      </c>
      <c r="AM331">
        <v>0</v>
      </c>
      <c r="AN331">
        <v>0</v>
      </c>
      <c r="AO331">
        <v>0</v>
      </c>
      <c r="AP331">
        <v>0</v>
      </c>
      <c r="AQ331">
        <v>1</v>
      </c>
      <c r="AR331">
        <v>0</v>
      </c>
      <c r="AS331">
        <v>0</v>
      </c>
      <c r="AT331">
        <v>0</v>
      </c>
      <c r="AU331">
        <v>0</v>
      </c>
      <c r="AV331">
        <v>0</v>
      </c>
    </row>
    <row r="332" spans="1:48" ht="15.75" customHeight="1" x14ac:dyDescent="0.25">
      <c r="A332">
        <v>2</v>
      </c>
      <c r="B332">
        <v>1</v>
      </c>
      <c r="C332">
        <v>2</v>
      </c>
      <c r="D332">
        <v>1</v>
      </c>
      <c r="E332">
        <v>2006</v>
      </c>
      <c r="F332">
        <v>1</v>
      </c>
      <c r="G332">
        <v>1</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c r="AN332">
        <v>0</v>
      </c>
      <c r="AO332">
        <v>0</v>
      </c>
      <c r="AP332">
        <v>0</v>
      </c>
      <c r="AQ332">
        <v>1</v>
      </c>
      <c r="AR332">
        <v>0</v>
      </c>
      <c r="AS332">
        <v>0</v>
      </c>
      <c r="AT332">
        <v>0</v>
      </c>
      <c r="AU332">
        <v>0</v>
      </c>
      <c r="AV332">
        <v>0</v>
      </c>
    </row>
    <row r="333" spans="1:48" ht="15.75" customHeight="1" x14ac:dyDescent="0.25">
      <c r="A333">
        <v>2</v>
      </c>
      <c r="B333">
        <v>1</v>
      </c>
      <c r="C333">
        <v>2</v>
      </c>
      <c r="D333">
        <v>1</v>
      </c>
      <c r="E333">
        <v>2006</v>
      </c>
      <c r="F333">
        <v>2</v>
      </c>
      <c r="G333">
        <v>1</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c r="AD333">
        <v>0</v>
      </c>
      <c r="AE333">
        <v>0</v>
      </c>
      <c r="AF333">
        <v>0</v>
      </c>
      <c r="AG333">
        <v>0</v>
      </c>
      <c r="AH333">
        <v>0</v>
      </c>
      <c r="AI333">
        <v>0</v>
      </c>
      <c r="AJ333">
        <v>0</v>
      </c>
      <c r="AK333">
        <v>0</v>
      </c>
      <c r="AL333">
        <v>0</v>
      </c>
      <c r="AM333">
        <v>1</v>
      </c>
      <c r="AN333">
        <v>0</v>
      </c>
      <c r="AO333">
        <v>0</v>
      </c>
      <c r="AP333">
        <v>0</v>
      </c>
      <c r="AQ333">
        <v>0</v>
      </c>
      <c r="AR333">
        <v>0</v>
      </c>
      <c r="AS333">
        <v>0</v>
      </c>
      <c r="AT333">
        <v>0</v>
      </c>
      <c r="AU333">
        <v>0</v>
      </c>
      <c r="AV333">
        <v>0</v>
      </c>
    </row>
    <row r="334" spans="1:48" ht="15.75" customHeight="1" x14ac:dyDescent="0.25">
      <c r="A334">
        <v>2</v>
      </c>
      <c r="B334">
        <v>1</v>
      </c>
      <c r="C334">
        <v>2</v>
      </c>
      <c r="D334">
        <v>1</v>
      </c>
      <c r="E334">
        <v>2008</v>
      </c>
      <c r="F334">
        <v>2</v>
      </c>
      <c r="G334">
        <v>1</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c r="AI334">
        <v>0</v>
      </c>
      <c r="AJ334">
        <v>0</v>
      </c>
      <c r="AK334">
        <v>0</v>
      </c>
      <c r="AL334">
        <v>0</v>
      </c>
      <c r="AM334">
        <v>1</v>
      </c>
      <c r="AN334">
        <v>0</v>
      </c>
      <c r="AO334">
        <v>0</v>
      </c>
      <c r="AP334">
        <v>0</v>
      </c>
      <c r="AQ334">
        <v>0</v>
      </c>
      <c r="AR334">
        <v>0</v>
      </c>
      <c r="AS334">
        <v>0</v>
      </c>
      <c r="AT334">
        <v>0</v>
      </c>
      <c r="AU334">
        <v>0</v>
      </c>
      <c r="AV334">
        <v>0</v>
      </c>
    </row>
    <row r="335" spans="1:48" ht="15.75" customHeight="1" x14ac:dyDescent="0.25">
      <c r="A335">
        <v>2</v>
      </c>
      <c r="B335">
        <v>1</v>
      </c>
      <c r="C335">
        <v>2</v>
      </c>
      <c r="D335">
        <v>1</v>
      </c>
      <c r="E335">
        <v>2008</v>
      </c>
      <c r="F335">
        <v>3</v>
      </c>
      <c r="G335">
        <v>1</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c r="AL335">
        <v>0</v>
      </c>
      <c r="AM335">
        <v>0</v>
      </c>
      <c r="AN335">
        <v>0</v>
      </c>
      <c r="AO335">
        <v>1</v>
      </c>
      <c r="AP335">
        <v>0</v>
      </c>
      <c r="AQ335">
        <v>0</v>
      </c>
      <c r="AR335">
        <v>0</v>
      </c>
      <c r="AS335">
        <v>0</v>
      </c>
      <c r="AT335">
        <v>0</v>
      </c>
      <c r="AU335">
        <v>0</v>
      </c>
      <c r="AV335">
        <v>0</v>
      </c>
    </row>
    <row r="336" spans="1:48" ht="15.75" customHeight="1" x14ac:dyDescent="0.25">
      <c r="A336">
        <v>2</v>
      </c>
      <c r="B336">
        <v>1</v>
      </c>
      <c r="C336">
        <v>2</v>
      </c>
      <c r="D336">
        <v>1</v>
      </c>
      <c r="E336">
        <v>2014</v>
      </c>
      <c r="F336">
        <v>6</v>
      </c>
      <c r="G336">
        <v>1</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c r="AL336">
        <v>0</v>
      </c>
      <c r="AM336">
        <v>0</v>
      </c>
      <c r="AN336">
        <v>0</v>
      </c>
      <c r="AO336">
        <v>0</v>
      </c>
      <c r="AP336">
        <v>0</v>
      </c>
      <c r="AQ336">
        <v>1</v>
      </c>
      <c r="AR336">
        <v>0</v>
      </c>
      <c r="AS336">
        <v>0</v>
      </c>
      <c r="AT336">
        <v>0</v>
      </c>
      <c r="AU336">
        <v>0</v>
      </c>
      <c r="AV336">
        <v>0</v>
      </c>
    </row>
    <row r="337" spans="1:48" ht="15.75" customHeight="1" x14ac:dyDescent="0.25">
      <c r="A337">
        <v>2</v>
      </c>
      <c r="B337">
        <v>2</v>
      </c>
      <c r="C337">
        <v>1</v>
      </c>
      <c r="D337">
        <v>1</v>
      </c>
      <c r="E337">
        <v>2006</v>
      </c>
      <c r="F337">
        <v>3</v>
      </c>
      <c r="G337">
        <v>2</v>
      </c>
      <c r="H337">
        <v>0</v>
      </c>
      <c r="I337">
        <v>0</v>
      </c>
      <c r="J337">
        <v>0</v>
      </c>
      <c r="K337">
        <v>0</v>
      </c>
      <c r="L337">
        <v>0</v>
      </c>
      <c r="M337">
        <v>0</v>
      </c>
      <c r="N337">
        <v>0</v>
      </c>
      <c r="O337">
        <v>0</v>
      </c>
      <c r="P337">
        <v>0</v>
      </c>
      <c r="Q337">
        <v>0</v>
      </c>
      <c r="R337">
        <v>0</v>
      </c>
      <c r="S337">
        <v>0</v>
      </c>
      <c r="T337">
        <v>1</v>
      </c>
      <c r="U337">
        <v>1</v>
      </c>
      <c r="V337">
        <v>0</v>
      </c>
      <c r="W337">
        <v>0</v>
      </c>
      <c r="X337">
        <v>0</v>
      </c>
      <c r="Y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row>
    <row r="338" spans="1:48" ht="15.75" customHeight="1" x14ac:dyDescent="0.25">
      <c r="A338">
        <v>2</v>
      </c>
      <c r="B338">
        <v>2</v>
      </c>
      <c r="C338">
        <v>1</v>
      </c>
      <c r="D338">
        <v>1</v>
      </c>
      <c r="E338">
        <v>2008</v>
      </c>
      <c r="F338">
        <v>1</v>
      </c>
      <c r="G338">
        <v>1</v>
      </c>
      <c r="H338">
        <v>0</v>
      </c>
      <c r="I338">
        <v>0</v>
      </c>
      <c r="J338">
        <v>0</v>
      </c>
      <c r="K338">
        <v>0</v>
      </c>
      <c r="L338">
        <v>0</v>
      </c>
      <c r="M338">
        <v>0</v>
      </c>
      <c r="N338">
        <v>0</v>
      </c>
      <c r="O338">
        <v>0</v>
      </c>
      <c r="P338">
        <v>0</v>
      </c>
      <c r="Q338">
        <v>0</v>
      </c>
      <c r="R338">
        <v>0</v>
      </c>
      <c r="S338">
        <v>0</v>
      </c>
      <c r="T338">
        <v>1</v>
      </c>
      <c r="U338">
        <v>0</v>
      </c>
      <c r="V338">
        <v>0</v>
      </c>
      <c r="W338">
        <v>0</v>
      </c>
      <c r="X338">
        <v>0</v>
      </c>
      <c r="Y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row>
    <row r="339" spans="1:48" ht="15.75" customHeight="1" x14ac:dyDescent="0.25">
      <c r="A339">
        <v>2</v>
      </c>
      <c r="B339">
        <v>2</v>
      </c>
      <c r="C339">
        <v>1</v>
      </c>
      <c r="D339">
        <v>1</v>
      </c>
      <c r="E339">
        <v>2014</v>
      </c>
      <c r="F339">
        <v>3</v>
      </c>
      <c r="G339">
        <v>1</v>
      </c>
      <c r="H339">
        <v>0</v>
      </c>
      <c r="I339">
        <v>0</v>
      </c>
      <c r="J339">
        <v>0</v>
      </c>
      <c r="K339">
        <v>0</v>
      </c>
      <c r="L339">
        <v>0</v>
      </c>
      <c r="M339">
        <v>0</v>
      </c>
      <c r="N339">
        <v>0</v>
      </c>
      <c r="O339">
        <v>0</v>
      </c>
      <c r="P339">
        <v>0</v>
      </c>
      <c r="Q339">
        <v>0</v>
      </c>
      <c r="R339">
        <v>0</v>
      </c>
      <c r="S339">
        <v>0</v>
      </c>
      <c r="T339">
        <v>0</v>
      </c>
      <c r="U339">
        <v>1</v>
      </c>
      <c r="V339">
        <v>0</v>
      </c>
      <c r="W339">
        <v>0</v>
      </c>
      <c r="X339">
        <v>0</v>
      </c>
      <c r="Y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row>
    <row r="340" spans="1:48" ht="15.75" customHeight="1" x14ac:dyDescent="0.25">
      <c r="A340">
        <v>2</v>
      </c>
      <c r="B340">
        <v>2</v>
      </c>
      <c r="C340">
        <v>1</v>
      </c>
      <c r="D340">
        <v>1</v>
      </c>
      <c r="E340">
        <v>2015</v>
      </c>
      <c r="F340">
        <v>2</v>
      </c>
      <c r="G340">
        <v>2</v>
      </c>
      <c r="H340">
        <v>0</v>
      </c>
      <c r="I340">
        <v>0</v>
      </c>
      <c r="J340">
        <v>0</v>
      </c>
      <c r="K340">
        <v>0</v>
      </c>
      <c r="L340">
        <v>0</v>
      </c>
      <c r="M340">
        <v>0</v>
      </c>
      <c r="N340">
        <v>0</v>
      </c>
      <c r="O340">
        <v>0</v>
      </c>
      <c r="P340">
        <v>0</v>
      </c>
      <c r="Q340">
        <v>0</v>
      </c>
      <c r="R340">
        <v>0</v>
      </c>
      <c r="S340">
        <v>0</v>
      </c>
      <c r="T340">
        <v>0</v>
      </c>
      <c r="U340">
        <v>1</v>
      </c>
      <c r="V340">
        <v>0</v>
      </c>
      <c r="W340">
        <v>0</v>
      </c>
      <c r="X340">
        <v>0</v>
      </c>
      <c r="Y340">
        <v>1</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row>
    <row r="341" spans="1:48" ht="15.75" customHeight="1" x14ac:dyDescent="0.25">
      <c r="A341">
        <v>2</v>
      </c>
      <c r="B341">
        <v>2</v>
      </c>
      <c r="C341">
        <v>1</v>
      </c>
      <c r="D341">
        <v>1</v>
      </c>
      <c r="E341">
        <v>2015</v>
      </c>
      <c r="F341">
        <v>3</v>
      </c>
      <c r="G341">
        <v>9</v>
      </c>
      <c r="H341">
        <v>0</v>
      </c>
      <c r="I341">
        <v>0</v>
      </c>
      <c r="J341">
        <v>0</v>
      </c>
      <c r="K341">
        <v>0</v>
      </c>
      <c r="L341">
        <v>0</v>
      </c>
      <c r="M341">
        <v>0</v>
      </c>
      <c r="N341">
        <v>0</v>
      </c>
      <c r="O341">
        <v>0</v>
      </c>
      <c r="P341">
        <v>0</v>
      </c>
      <c r="Q341">
        <v>0</v>
      </c>
      <c r="R341">
        <v>0</v>
      </c>
      <c r="S341">
        <v>0</v>
      </c>
      <c r="T341">
        <v>0</v>
      </c>
      <c r="U341">
        <v>2</v>
      </c>
      <c r="V341">
        <v>2</v>
      </c>
      <c r="W341">
        <v>3</v>
      </c>
      <c r="X341">
        <v>0</v>
      </c>
      <c r="Y341">
        <v>0</v>
      </c>
      <c r="Z341">
        <v>0</v>
      </c>
      <c r="AA341">
        <v>1</v>
      </c>
      <c r="AB341">
        <v>0</v>
      </c>
      <c r="AC341">
        <v>0</v>
      </c>
      <c r="AD341">
        <v>0</v>
      </c>
      <c r="AE341">
        <v>1</v>
      </c>
      <c r="AF341">
        <v>0</v>
      </c>
      <c r="AG341">
        <v>0</v>
      </c>
      <c r="AH341">
        <v>0</v>
      </c>
      <c r="AI341">
        <v>0</v>
      </c>
      <c r="AJ341">
        <v>0</v>
      </c>
      <c r="AK341">
        <v>0</v>
      </c>
      <c r="AL341">
        <v>0</v>
      </c>
      <c r="AM341">
        <v>0</v>
      </c>
      <c r="AN341">
        <v>0</v>
      </c>
      <c r="AO341">
        <v>0</v>
      </c>
      <c r="AP341">
        <v>0</v>
      </c>
      <c r="AQ341">
        <v>0</v>
      </c>
      <c r="AR341">
        <v>0</v>
      </c>
      <c r="AS341">
        <v>0</v>
      </c>
      <c r="AT341">
        <v>0</v>
      </c>
      <c r="AU341">
        <v>0</v>
      </c>
      <c r="AV341">
        <v>0</v>
      </c>
    </row>
    <row r="342" spans="1:48" ht="15.75" customHeight="1" x14ac:dyDescent="0.25">
      <c r="A342">
        <v>2</v>
      </c>
      <c r="B342">
        <v>2</v>
      </c>
      <c r="C342">
        <v>1</v>
      </c>
      <c r="D342">
        <v>1</v>
      </c>
      <c r="E342">
        <v>2015</v>
      </c>
      <c r="F342">
        <v>4</v>
      </c>
      <c r="G342">
        <v>4</v>
      </c>
      <c r="H342">
        <v>0</v>
      </c>
      <c r="I342">
        <v>0</v>
      </c>
      <c r="J342">
        <v>0</v>
      </c>
      <c r="K342">
        <v>0</v>
      </c>
      <c r="L342">
        <v>0</v>
      </c>
      <c r="M342">
        <v>0</v>
      </c>
      <c r="N342">
        <v>0</v>
      </c>
      <c r="O342">
        <v>0</v>
      </c>
      <c r="P342">
        <v>0</v>
      </c>
      <c r="Q342">
        <v>0</v>
      </c>
      <c r="R342">
        <v>0</v>
      </c>
      <c r="S342">
        <v>0</v>
      </c>
      <c r="T342">
        <v>0</v>
      </c>
      <c r="U342">
        <v>3</v>
      </c>
      <c r="V342">
        <v>0</v>
      </c>
      <c r="W342">
        <v>0</v>
      </c>
      <c r="X342">
        <v>1</v>
      </c>
      <c r="Y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row>
    <row r="343" spans="1:48" ht="15.75" customHeight="1" x14ac:dyDescent="0.25">
      <c r="A343">
        <v>2</v>
      </c>
      <c r="B343">
        <v>2</v>
      </c>
      <c r="C343">
        <v>1</v>
      </c>
      <c r="D343">
        <v>1</v>
      </c>
      <c r="E343">
        <v>2015</v>
      </c>
      <c r="F343">
        <v>5</v>
      </c>
      <c r="G343">
        <v>6</v>
      </c>
      <c r="H343">
        <v>0</v>
      </c>
      <c r="I343">
        <v>0</v>
      </c>
      <c r="J343">
        <v>0</v>
      </c>
      <c r="K343">
        <v>0</v>
      </c>
      <c r="L343">
        <v>0</v>
      </c>
      <c r="M343">
        <v>0</v>
      </c>
      <c r="N343">
        <v>0</v>
      </c>
      <c r="O343">
        <v>0</v>
      </c>
      <c r="P343">
        <v>0</v>
      </c>
      <c r="Q343">
        <v>0</v>
      </c>
      <c r="R343">
        <v>0</v>
      </c>
      <c r="S343">
        <v>0</v>
      </c>
      <c r="T343">
        <v>0</v>
      </c>
      <c r="U343">
        <v>1</v>
      </c>
      <c r="V343">
        <v>0</v>
      </c>
      <c r="W343">
        <v>1</v>
      </c>
      <c r="X343">
        <v>2</v>
      </c>
      <c r="Y343">
        <v>1</v>
      </c>
      <c r="Z343">
        <v>0</v>
      </c>
      <c r="AA343">
        <v>0</v>
      </c>
      <c r="AB343">
        <v>0</v>
      </c>
      <c r="AC343">
        <v>0</v>
      </c>
      <c r="AD343">
        <v>0</v>
      </c>
      <c r="AE343">
        <v>0</v>
      </c>
      <c r="AF343">
        <v>0</v>
      </c>
      <c r="AG343">
        <v>0</v>
      </c>
      <c r="AH343">
        <v>0</v>
      </c>
      <c r="AI343">
        <v>0</v>
      </c>
      <c r="AJ343">
        <v>1</v>
      </c>
      <c r="AK343">
        <v>0</v>
      </c>
      <c r="AL343">
        <v>0</v>
      </c>
      <c r="AM343">
        <v>0</v>
      </c>
      <c r="AN343">
        <v>0</v>
      </c>
      <c r="AO343">
        <v>0</v>
      </c>
      <c r="AP343">
        <v>0</v>
      </c>
      <c r="AQ343">
        <v>0</v>
      </c>
      <c r="AR343">
        <v>0</v>
      </c>
      <c r="AS343">
        <v>0</v>
      </c>
      <c r="AT343">
        <v>0</v>
      </c>
      <c r="AU343">
        <v>0</v>
      </c>
      <c r="AV343">
        <v>0</v>
      </c>
    </row>
    <row r="344" spans="1:48" ht="15.75" customHeight="1" x14ac:dyDescent="0.25">
      <c r="A344">
        <v>2</v>
      </c>
      <c r="B344">
        <v>2</v>
      </c>
      <c r="C344">
        <v>1</v>
      </c>
      <c r="D344">
        <v>1</v>
      </c>
      <c r="E344">
        <v>2015</v>
      </c>
      <c r="F344">
        <v>6</v>
      </c>
      <c r="G344">
        <v>6</v>
      </c>
      <c r="H344">
        <v>0</v>
      </c>
      <c r="I344">
        <v>0</v>
      </c>
      <c r="J344">
        <v>0</v>
      </c>
      <c r="K344">
        <v>0</v>
      </c>
      <c r="L344">
        <v>0</v>
      </c>
      <c r="M344">
        <v>0</v>
      </c>
      <c r="N344">
        <v>0</v>
      </c>
      <c r="O344">
        <v>0</v>
      </c>
      <c r="P344">
        <v>0</v>
      </c>
      <c r="Q344">
        <v>0</v>
      </c>
      <c r="R344">
        <v>0</v>
      </c>
      <c r="S344">
        <v>0</v>
      </c>
      <c r="T344">
        <v>0</v>
      </c>
      <c r="U344">
        <v>2</v>
      </c>
      <c r="V344">
        <v>2</v>
      </c>
      <c r="W344">
        <v>0</v>
      </c>
      <c r="X344">
        <v>0</v>
      </c>
      <c r="Y344">
        <v>0</v>
      </c>
      <c r="Z344">
        <v>1</v>
      </c>
      <c r="AA344">
        <v>0</v>
      </c>
      <c r="AB344">
        <v>0</v>
      </c>
      <c r="AC344">
        <v>1</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row>
    <row r="345" spans="1:48" ht="15.75" customHeight="1" x14ac:dyDescent="0.25">
      <c r="A345">
        <v>2</v>
      </c>
      <c r="B345">
        <v>2</v>
      </c>
      <c r="C345">
        <v>1</v>
      </c>
      <c r="D345">
        <v>1</v>
      </c>
      <c r="E345">
        <v>2016</v>
      </c>
      <c r="F345">
        <v>1</v>
      </c>
      <c r="G345">
        <v>7</v>
      </c>
      <c r="H345">
        <v>0</v>
      </c>
      <c r="I345">
        <v>0</v>
      </c>
      <c r="J345">
        <v>0</v>
      </c>
      <c r="K345">
        <v>0</v>
      </c>
      <c r="L345">
        <v>0</v>
      </c>
      <c r="M345">
        <v>0</v>
      </c>
      <c r="N345">
        <v>0</v>
      </c>
      <c r="O345">
        <v>0</v>
      </c>
      <c r="P345">
        <v>0</v>
      </c>
      <c r="Q345">
        <v>0</v>
      </c>
      <c r="R345">
        <v>0</v>
      </c>
      <c r="S345">
        <v>0</v>
      </c>
      <c r="T345">
        <v>0</v>
      </c>
      <c r="U345">
        <v>1</v>
      </c>
      <c r="V345">
        <v>1</v>
      </c>
      <c r="W345">
        <v>2</v>
      </c>
      <c r="X345">
        <v>0</v>
      </c>
      <c r="Y345">
        <v>0</v>
      </c>
      <c r="Z345">
        <v>0</v>
      </c>
      <c r="AA345">
        <v>2</v>
      </c>
      <c r="AB345">
        <v>0</v>
      </c>
      <c r="AC345">
        <v>0</v>
      </c>
      <c r="AD345">
        <v>0</v>
      </c>
      <c r="AE345">
        <v>0</v>
      </c>
      <c r="AF345">
        <v>0</v>
      </c>
      <c r="AG345">
        <v>0</v>
      </c>
      <c r="AH345">
        <v>0</v>
      </c>
      <c r="AI345">
        <v>0</v>
      </c>
      <c r="AJ345">
        <v>0</v>
      </c>
      <c r="AK345">
        <v>1</v>
      </c>
      <c r="AL345">
        <v>0</v>
      </c>
      <c r="AM345">
        <v>0</v>
      </c>
      <c r="AN345">
        <v>0</v>
      </c>
      <c r="AO345">
        <v>0</v>
      </c>
      <c r="AP345">
        <v>0</v>
      </c>
      <c r="AQ345">
        <v>0</v>
      </c>
      <c r="AR345">
        <v>0</v>
      </c>
      <c r="AS345">
        <v>0</v>
      </c>
      <c r="AT345">
        <v>0</v>
      </c>
      <c r="AU345">
        <v>0</v>
      </c>
      <c r="AV345">
        <v>0</v>
      </c>
    </row>
    <row r="346" spans="1:48" ht="15.75" customHeight="1" x14ac:dyDescent="0.25">
      <c r="A346">
        <v>2</v>
      </c>
      <c r="B346">
        <v>2</v>
      </c>
      <c r="C346">
        <v>1</v>
      </c>
      <c r="D346">
        <v>1</v>
      </c>
      <c r="E346">
        <v>2016</v>
      </c>
      <c r="F346">
        <v>2</v>
      </c>
      <c r="G346">
        <v>36</v>
      </c>
      <c r="H346">
        <v>0</v>
      </c>
      <c r="I346">
        <v>0</v>
      </c>
      <c r="J346">
        <v>0</v>
      </c>
      <c r="K346">
        <v>0</v>
      </c>
      <c r="L346">
        <v>0</v>
      </c>
      <c r="M346">
        <v>0</v>
      </c>
      <c r="N346">
        <v>0</v>
      </c>
      <c r="O346">
        <v>0</v>
      </c>
      <c r="P346">
        <v>0</v>
      </c>
      <c r="Q346">
        <v>0</v>
      </c>
      <c r="R346">
        <v>0</v>
      </c>
      <c r="S346">
        <v>0</v>
      </c>
      <c r="T346">
        <v>3</v>
      </c>
      <c r="U346">
        <v>3</v>
      </c>
      <c r="V346">
        <v>9</v>
      </c>
      <c r="W346">
        <v>3</v>
      </c>
      <c r="X346">
        <v>3</v>
      </c>
      <c r="Y346">
        <v>3</v>
      </c>
      <c r="Z346">
        <v>2</v>
      </c>
      <c r="AA346">
        <v>4</v>
      </c>
      <c r="AB346">
        <v>0</v>
      </c>
      <c r="AC346">
        <v>2</v>
      </c>
      <c r="AD346">
        <v>0</v>
      </c>
      <c r="AE346">
        <v>0</v>
      </c>
      <c r="AF346">
        <v>1</v>
      </c>
      <c r="AG346">
        <v>1</v>
      </c>
      <c r="AH346">
        <v>0</v>
      </c>
      <c r="AI346">
        <v>0</v>
      </c>
      <c r="AJ346">
        <v>0</v>
      </c>
      <c r="AK346">
        <v>1</v>
      </c>
      <c r="AL346">
        <v>1</v>
      </c>
      <c r="AM346">
        <v>0</v>
      </c>
      <c r="AN346">
        <v>0</v>
      </c>
      <c r="AO346">
        <v>0</v>
      </c>
      <c r="AP346">
        <v>0</v>
      </c>
      <c r="AQ346">
        <v>0</v>
      </c>
      <c r="AR346">
        <v>0</v>
      </c>
      <c r="AS346">
        <v>0</v>
      </c>
      <c r="AT346">
        <v>0</v>
      </c>
      <c r="AU346">
        <v>0</v>
      </c>
      <c r="AV346">
        <v>0</v>
      </c>
    </row>
    <row r="347" spans="1:48" ht="15.75" customHeight="1" x14ac:dyDescent="0.25">
      <c r="A347">
        <v>2</v>
      </c>
      <c r="B347">
        <v>2</v>
      </c>
      <c r="C347">
        <v>1</v>
      </c>
      <c r="D347">
        <v>1</v>
      </c>
      <c r="E347">
        <v>2016</v>
      </c>
      <c r="F347">
        <v>3</v>
      </c>
      <c r="G347">
        <v>26</v>
      </c>
      <c r="H347">
        <v>0</v>
      </c>
      <c r="I347">
        <v>0</v>
      </c>
      <c r="J347">
        <v>0</v>
      </c>
      <c r="K347">
        <v>0</v>
      </c>
      <c r="L347">
        <v>0</v>
      </c>
      <c r="M347">
        <v>0</v>
      </c>
      <c r="N347">
        <v>0</v>
      </c>
      <c r="O347">
        <v>0</v>
      </c>
      <c r="P347">
        <v>0</v>
      </c>
      <c r="Q347">
        <v>0</v>
      </c>
      <c r="R347">
        <v>0</v>
      </c>
      <c r="S347">
        <v>0</v>
      </c>
      <c r="T347">
        <v>5</v>
      </c>
      <c r="U347">
        <v>4</v>
      </c>
      <c r="V347">
        <v>2</v>
      </c>
      <c r="W347">
        <v>2</v>
      </c>
      <c r="X347">
        <v>3</v>
      </c>
      <c r="Y347">
        <v>3</v>
      </c>
      <c r="Z347">
        <v>1</v>
      </c>
      <c r="AA347">
        <v>4</v>
      </c>
      <c r="AB347">
        <v>1</v>
      </c>
      <c r="AC347">
        <v>0</v>
      </c>
      <c r="AD347">
        <v>0</v>
      </c>
      <c r="AE347">
        <v>1</v>
      </c>
      <c r="AF347">
        <v>0</v>
      </c>
      <c r="AG347">
        <v>0</v>
      </c>
      <c r="AH347">
        <v>0</v>
      </c>
      <c r="AI347">
        <v>0</v>
      </c>
      <c r="AJ347">
        <v>0</v>
      </c>
      <c r="AK347">
        <v>0</v>
      </c>
      <c r="AL347">
        <v>0</v>
      </c>
      <c r="AM347">
        <v>0</v>
      </c>
      <c r="AN347">
        <v>0</v>
      </c>
      <c r="AO347">
        <v>0</v>
      </c>
      <c r="AP347">
        <v>0</v>
      </c>
      <c r="AQ347">
        <v>0</v>
      </c>
      <c r="AR347">
        <v>0</v>
      </c>
      <c r="AS347">
        <v>0</v>
      </c>
      <c r="AT347">
        <v>0</v>
      </c>
      <c r="AU347">
        <v>0</v>
      </c>
      <c r="AV347">
        <v>0</v>
      </c>
    </row>
    <row r="348" spans="1:48" ht="15.75" customHeight="1" x14ac:dyDescent="0.25">
      <c r="A348">
        <v>2</v>
      </c>
      <c r="B348">
        <v>2</v>
      </c>
      <c r="C348">
        <v>1</v>
      </c>
      <c r="D348">
        <v>1</v>
      </c>
      <c r="E348">
        <v>2016</v>
      </c>
      <c r="F348">
        <v>4</v>
      </c>
      <c r="G348">
        <v>21</v>
      </c>
      <c r="H348">
        <v>0</v>
      </c>
      <c r="I348">
        <v>0</v>
      </c>
      <c r="J348">
        <v>0</v>
      </c>
      <c r="K348">
        <v>0</v>
      </c>
      <c r="L348">
        <v>0</v>
      </c>
      <c r="M348">
        <v>0</v>
      </c>
      <c r="N348">
        <v>0</v>
      </c>
      <c r="O348">
        <v>0</v>
      </c>
      <c r="P348">
        <v>0</v>
      </c>
      <c r="Q348">
        <v>0</v>
      </c>
      <c r="R348">
        <v>0</v>
      </c>
      <c r="S348">
        <v>0</v>
      </c>
      <c r="T348">
        <v>3</v>
      </c>
      <c r="U348">
        <v>8</v>
      </c>
      <c r="V348">
        <v>4</v>
      </c>
      <c r="W348">
        <v>3</v>
      </c>
      <c r="X348">
        <v>1</v>
      </c>
      <c r="Y348">
        <v>0</v>
      </c>
      <c r="Z348">
        <v>1</v>
      </c>
      <c r="AA348">
        <v>0</v>
      </c>
      <c r="AB348">
        <v>0</v>
      </c>
      <c r="AC348">
        <v>0</v>
      </c>
      <c r="AD348">
        <v>0</v>
      </c>
      <c r="AE348">
        <v>0</v>
      </c>
      <c r="AF348">
        <v>0</v>
      </c>
      <c r="AG348">
        <v>1</v>
      </c>
      <c r="AH348">
        <v>0</v>
      </c>
      <c r="AI348">
        <v>0</v>
      </c>
      <c r="AJ348">
        <v>0</v>
      </c>
      <c r="AK348">
        <v>0</v>
      </c>
      <c r="AL348">
        <v>0</v>
      </c>
      <c r="AM348">
        <v>0</v>
      </c>
      <c r="AN348">
        <v>0</v>
      </c>
      <c r="AO348">
        <v>0</v>
      </c>
      <c r="AP348">
        <v>0</v>
      </c>
      <c r="AQ348">
        <v>0</v>
      </c>
      <c r="AR348">
        <v>0</v>
      </c>
      <c r="AS348">
        <v>0</v>
      </c>
      <c r="AT348">
        <v>0</v>
      </c>
      <c r="AU348">
        <v>0</v>
      </c>
      <c r="AV348">
        <v>0</v>
      </c>
    </row>
    <row r="349" spans="1:48" ht="15.75" customHeight="1" x14ac:dyDescent="0.25">
      <c r="A349">
        <v>2</v>
      </c>
      <c r="B349">
        <v>2</v>
      </c>
      <c r="C349">
        <v>1</v>
      </c>
      <c r="D349">
        <v>1</v>
      </c>
      <c r="E349">
        <v>2016</v>
      </c>
      <c r="F349">
        <v>5</v>
      </c>
      <c r="G349">
        <v>11</v>
      </c>
      <c r="H349">
        <v>0</v>
      </c>
      <c r="I349">
        <v>0</v>
      </c>
      <c r="J349">
        <v>0</v>
      </c>
      <c r="K349">
        <v>0</v>
      </c>
      <c r="L349">
        <v>0</v>
      </c>
      <c r="M349">
        <v>0</v>
      </c>
      <c r="N349">
        <v>0</v>
      </c>
      <c r="O349">
        <v>0</v>
      </c>
      <c r="P349">
        <v>0</v>
      </c>
      <c r="Q349">
        <v>0</v>
      </c>
      <c r="R349">
        <v>0</v>
      </c>
      <c r="S349">
        <v>0</v>
      </c>
      <c r="T349">
        <v>2</v>
      </c>
      <c r="U349">
        <v>4</v>
      </c>
      <c r="V349">
        <v>2</v>
      </c>
      <c r="W349">
        <v>0</v>
      </c>
      <c r="X349">
        <v>1</v>
      </c>
      <c r="Y349">
        <v>0</v>
      </c>
      <c r="Z349">
        <v>0</v>
      </c>
      <c r="AA349">
        <v>0</v>
      </c>
      <c r="AB349">
        <v>1</v>
      </c>
      <c r="AC349">
        <v>1</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row>
    <row r="350" spans="1:48" ht="15.75" customHeight="1" x14ac:dyDescent="0.25">
      <c r="A350">
        <v>2</v>
      </c>
      <c r="B350">
        <v>2</v>
      </c>
      <c r="C350">
        <v>1</v>
      </c>
      <c r="D350">
        <v>1</v>
      </c>
      <c r="E350">
        <v>2016</v>
      </c>
      <c r="F350">
        <v>6</v>
      </c>
      <c r="G350">
        <v>17</v>
      </c>
      <c r="H350">
        <v>0</v>
      </c>
      <c r="I350">
        <v>0</v>
      </c>
      <c r="J350">
        <v>0</v>
      </c>
      <c r="K350">
        <v>0</v>
      </c>
      <c r="L350">
        <v>0</v>
      </c>
      <c r="M350">
        <v>0</v>
      </c>
      <c r="N350">
        <v>0</v>
      </c>
      <c r="O350">
        <v>0</v>
      </c>
      <c r="P350">
        <v>0</v>
      </c>
      <c r="Q350">
        <v>0</v>
      </c>
      <c r="R350">
        <v>0</v>
      </c>
      <c r="S350">
        <v>0</v>
      </c>
      <c r="T350">
        <v>6</v>
      </c>
      <c r="U350">
        <v>2</v>
      </c>
      <c r="V350">
        <v>3</v>
      </c>
      <c r="W350">
        <v>0</v>
      </c>
      <c r="X350">
        <v>3</v>
      </c>
      <c r="Y350">
        <v>0</v>
      </c>
      <c r="Z350">
        <v>0</v>
      </c>
      <c r="AA350">
        <v>1</v>
      </c>
      <c r="AB350">
        <v>1</v>
      </c>
      <c r="AC350">
        <v>0</v>
      </c>
      <c r="AD350">
        <v>0</v>
      </c>
      <c r="AE350">
        <v>0</v>
      </c>
      <c r="AF350">
        <v>0</v>
      </c>
      <c r="AG350">
        <v>0</v>
      </c>
      <c r="AH350">
        <v>0</v>
      </c>
      <c r="AI350">
        <v>0</v>
      </c>
      <c r="AJ350">
        <v>0</v>
      </c>
      <c r="AK350">
        <v>0</v>
      </c>
      <c r="AL350">
        <v>0</v>
      </c>
      <c r="AM350">
        <v>0</v>
      </c>
      <c r="AN350">
        <v>1</v>
      </c>
      <c r="AO350">
        <v>0</v>
      </c>
      <c r="AP350">
        <v>0</v>
      </c>
      <c r="AQ350">
        <v>0</v>
      </c>
      <c r="AR350">
        <v>0</v>
      </c>
      <c r="AS350">
        <v>0</v>
      </c>
      <c r="AT350">
        <v>0</v>
      </c>
      <c r="AU350">
        <v>0</v>
      </c>
      <c r="AV350">
        <v>0</v>
      </c>
    </row>
    <row r="351" spans="1:48" ht="15.75" customHeight="1" x14ac:dyDescent="0.25">
      <c r="A351">
        <v>2</v>
      </c>
      <c r="B351">
        <v>2</v>
      </c>
      <c r="C351">
        <v>1</v>
      </c>
      <c r="D351">
        <v>1</v>
      </c>
      <c r="E351">
        <v>2017</v>
      </c>
      <c r="F351">
        <v>1</v>
      </c>
      <c r="G351">
        <v>5</v>
      </c>
      <c r="H351">
        <v>0</v>
      </c>
      <c r="I351">
        <v>0</v>
      </c>
      <c r="J351">
        <v>0</v>
      </c>
      <c r="K351">
        <v>0</v>
      </c>
      <c r="L351">
        <v>0</v>
      </c>
      <c r="M351">
        <v>0</v>
      </c>
      <c r="N351">
        <v>0</v>
      </c>
      <c r="O351">
        <v>0</v>
      </c>
      <c r="P351">
        <v>0</v>
      </c>
      <c r="Q351">
        <v>0</v>
      </c>
      <c r="R351">
        <v>0</v>
      </c>
      <c r="S351">
        <v>0</v>
      </c>
      <c r="T351">
        <v>1</v>
      </c>
      <c r="U351">
        <v>0</v>
      </c>
      <c r="V351">
        <v>0</v>
      </c>
      <c r="W351">
        <v>0</v>
      </c>
      <c r="X351">
        <v>0</v>
      </c>
      <c r="Y351">
        <v>0</v>
      </c>
      <c r="Z351">
        <v>0</v>
      </c>
      <c r="AA351">
        <v>0</v>
      </c>
      <c r="AB351">
        <v>2</v>
      </c>
      <c r="AC351">
        <v>0</v>
      </c>
      <c r="AD351">
        <v>0</v>
      </c>
      <c r="AE351">
        <v>0</v>
      </c>
      <c r="AF351">
        <v>0</v>
      </c>
      <c r="AG351">
        <v>0</v>
      </c>
      <c r="AH351">
        <v>0</v>
      </c>
      <c r="AI351">
        <v>0</v>
      </c>
      <c r="AJ351">
        <v>0</v>
      </c>
      <c r="AK351">
        <v>1</v>
      </c>
      <c r="AL351">
        <v>1</v>
      </c>
      <c r="AM351">
        <v>0</v>
      </c>
      <c r="AN351">
        <v>0</v>
      </c>
      <c r="AO351">
        <v>0</v>
      </c>
      <c r="AP351">
        <v>0</v>
      </c>
      <c r="AQ351">
        <v>0</v>
      </c>
      <c r="AR351">
        <v>0</v>
      </c>
      <c r="AS351">
        <v>0</v>
      </c>
      <c r="AT351">
        <v>0</v>
      </c>
      <c r="AU351">
        <v>0</v>
      </c>
      <c r="AV351">
        <v>0</v>
      </c>
    </row>
    <row r="352" spans="1:48" ht="15.75" customHeight="1" x14ac:dyDescent="0.25">
      <c r="A352">
        <v>2</v>
      </c>
      <c r="B352">
        <v>2</v>
      </c>
      <c r="C352">
        <v>1</v>
      </c>
      <c r="D352">
        <v>1</v>
      </c>
      <c r="E352">
        <v>2017</v>
      </c>
      <c r="F352">
        <v>2</v>
      </c>
      <c r="G352">
        <v>28</v>
      </c>
      <c r="H352">
        <v>0</v>
      </c>
      <c r="I352">
        <v>0</v>
      </c>
      <c r="J352">
        <v>0</v>
      </c>
      <c r="K352">
        <v>0</v>
      </c>
      <c r="L352">
        <v>0</v>
      </c>
      <c r="M352">
        <v>0</v>
      </c>
      <c r="N352">
        <v>0</v>
      </c>
      <c r="O352">
        <v>0</v>
      </c>
      <c r="P352">
        <v>0</v>
      </c>
      <c r="Q352">
        <v>0</v>
      </c>
      <c r="R352">
        <v>0</v>
      </c>
      <c r="S352">
        <v>0</v>
      </c>
      <c r="T352">
        <v>2</v>
      </c>
      <c r="U352">
        <v>4</v>
      </c>
      <c r="V352">
        <v>4</v>
      </c>
      <c r="W352">
        <v>7</v>
      </c>
      <c r="X352">
        <v>2</v>
      </c>
      <c r="Y352">
        <v>1</v>
      </c>
      <c r="Z352">
        <v>1</v>
      </c>
      <c r="AA352">
        <v>3</v>
      </c>
      <c r="AB352">
        <v>0</v>
      </c>
      <c r="AC352">
        <v>1</v>
      </c>
      <c r="AD352">
        <v>1</v>
      </c>
      <c r="AE352">
        <v>0</v>
      </c>
      <c r="AF352">
        <v>0</v>
      </c>
      <c r="AG352">
        <v>0</v>
      </c>
      <c r="AH352">
        <v>0</v>
      </c>
      <c r="AI352">
        <v>0</v>
      </c>
      <c r="AJ352">
        <v>0</v>
      </c>
      <c r="AK352">
        <v>2</v>
      </c>
      <c r="AL352">
        <v>0</v>
      </c>
      <c r="AM352">
        <v>0</v>
      </c>
      <c r="AN352">
        <v>0</v>
      </c>
      <c r="AO352">
        <v>0</v>
      </c>
      <c r="AP352">
        <v>0</v>
      </c>
      <c r="AQ352">
        <v>0</v>
      </c>
      <c r="AR352">
        <v>0</v>
      </c>
      <c r="AS352">
        <v>0</v>
      </c>
      <c r="AT352">
        <v>0</v>
      </c>
      <c r="AU352">
        <v>0</v>
      </c>
      <c r="AV352">
        <v>0</v>
      </c>
    </row>
    <row r="353" spans="1:48" ht="15.75" customHeight="1" x14ac:dyDescent="0.25">
      <c r="A353">
        <v>2</v>
      </c>
      <c r="B353">
        <v>2</v>
      </c>
      <c r="C353">
        <v>1</v>
      </c>
      <c r="D353">
        <v>1</v>
      </c>
      <c r="E353">
        <v>2017</v>
      </c>
      <c r="F353">
        <v>3</v>
      </c>
      <c r="G353">
        <v>20</v>
      </c>
      <c r="H353">
        <v>0</v>
      </c>
      <c r="I353">
        <v>0</v>
      </c>
      <c r="J353">
        <v>0</v>
      </c>
      <c r="K353">
        <v>0</v>
      </c>
      <c r="L353">
        <v>0</v>
      </c>
      <c r="M353">
        <v>0</v>
      </c>
      <c r="N353">
        <v>0</v>
      </c>
      <c r="O353">
        <v>0</v>
      </c>
      <c r="P353">
        <v>0</v>
      </c>
      <c r="Q353">
        <v>0</v>
      </c>
      <c r="R353">
        <v>0</v>
      </c>
      <c r="S353">
        <v>0</v>
      </c>
      <c r="T353">
        <v>2</v>
      </c>
      <c r="U353">
        <v>3</v>
      </c>
      <c r="V353">
        <v>0</v>
      </c>
      <c r="W353">
        <v>3</v>
      </c>
      <c r="X353">
        <v>4</v>
      </c>
      <c r="Y353">
        <v>1</v>
      </c>
      <c r="Z353">
        <v>1</v>
      </c>
      <c r="AA353">
        <v>4</v>
      </c>
      <c r="AB353">
        <v>1</v>
      </c>
      <c r="AC353">
        <v>1</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row>
    <row r="354" spans="1:48" ht="15.75" customHeight="1" x14ac:dyDescent="0.25">
      <c r="A354">
        <v>2</v>
      </c>
      <c r="B354">
        <v>2</v>
      </c>
      <c r="C354">
        <v>1</v>
      </c>
      <c r="D354">
        <v>1</v>
      </c>
      <c r="E354">
        <v>2017</v>
      </c>
      <c r="F354">
        <v>4</v>
      </c>
      <c r="G354">
        <v>12</v>
      </c>
      <c r="H354">
        <v>0</v>
      </c>
      <c r="I354">
        <v>0</v>
      </c>
      <c r="J354">
        <v>0</v>
      </c>
      <c r="K354">
        <v>0</v>
      </c>
      <c r="L354">
        <v>0</v>
      </c>
      <c r="M354">
        <v>0</v>
      </c>
      <c r="N354">
        <v>0</v>
      </c>
      <c r="O354">
        <v>0</v>
      </c>
      <c r="P354">
        <v>0</v>
      </c>
      <c r="Q354">
        <v>0</v>
      </c>
      <c r="R354">
        <v>0</v>
      </c>
      <c r="S354">
        <v>0</v>
      </c>
      <c r="T354">
        <v>1</v>
      </c>
      <c r="U354">
        <v>1</v>
      </c>
      <c r="V354">
        <v>0</v>
      </c>
      <c r="W354">
        <v>0</v>
      </c>
      <c r="X354">
        <v>0</v>
      </c>
      <c r="Y354">
        <v>3</v>
      </c>
      <c r="Z354">
        <v>1</v>
      </c>
      <c r="AA354">
        <v>0</v>
      </c>
      <c r="AB354">
        <v>1</v>
      </c>
      <c r="AC354">
        <v>1</v>
      </c>
      <c r="AD354">
        <v>0</v>
      </c>
      <c r="AE354">
        <v>1</v>
      </c>
      <c r="AF354">
        <v>0</v>
      </c>
      <c r="AG354">
        <v>1</v>
      </c>
      <c r="AH354">
        <v>0</v>
      </c>
      <c r="AI354">
        <v>0</v>
      </c>
      <c r="AJ354">
        <v>0</v>
      </c>
      <c r="AK354">
        <v>0</v>
      </c>
      <c r="AL354">
        <v>1</v>
      </c>
      <c r="AM354">
        <v>1</v>
      </c>
      <c r="AN354">
        <v>0</v>
      </c>
      <c r="AO354">
        <v>0</v>
      </c>
      <c r="AP354">
        <v>0</v>
      </c>
      <c r="AQ354">
        <v>0</v>
      </c>
      <c r="AR354">
        <v>0</v>
      </c>
      <c r="AS354">
        <v>0</v>
      </c>
      <c r="AT354">
        <v>0</v>
      </c>
      <c r="AU354">
        <v>0</v>
      </c>
      <c r="AV354">
        <v>0</v>
      </c>
    </row>
    <row r="355" spans="1:48" ht="15.75" customHeight="1" x14ac:dyDescent="0.25">
      <c r="A355">
        <v>2</v>
      </c>
      <c r="B355">
        <v>2</v>
      </c>
      <c r="C355">
        <v>1</v>
      </c>
      <c r="D355">
        <v>1</v>
      </c>
      <c r="E355">
        <v>2017</v>
      </c>
      <c r="F355">
        <v>5</v>
      </c>
      <c r="G355">
        <v>19</v>
      </c>
      <c r="H355">
        <v>0</v>
      </c>
      <c r="I355">
        <v>0</v>
      </c>
      <c r="J355">
        <v>0</v>
      </c>
      <c r="K355">
        <v>0</v>
      </c>
      <c r="L355">
        <v>0</v>
      </c>
      <c r="M355">
        <v>0</v>
      </c>
      <c r="N355">
        <v>0</v>
      </c>
      <c r="O355">
        <v>0</v>
      </c>
      <c r="P355">
        <v>0</v>
      </c>
      <c r="Q355">
        <v>0</v>
      </c>
      <c r="R355">
        <v>0</v>
      </c>
      <c r="S355">
        <v>0</v>
      </c>
      <c r="T355">
        <v>1</v>
      </c>
      <c r="U355">
        <v>2</v>
      </c>
      <c r="V355">
        <v>0</v>
      </c>
      <c r="W355">
        <v>1</v>
      </c>
      <c r="X355">
        <v>0</v>
      </c>
      <c r="Y355">
        <v>0</v>
      </c>
      <c r="Z355">
        <v>3</v>
      </c>
      <c r="AA355">
        <v>0</v>
      </c>
      <c r="AB355">
        <v>1</v>
      </c>
      <c r="AC355">
        <v>1</v>
      </c>
      <c r="AD355">
        <v>2</v>
      </c>
      <c r="AE355">
        <v>1</v>
      </c>
      <c r="AF355">
        <v>0</v>
      </c>
      <c r="AG355">
        <v>1</v>
      </c>
      <c r="AH355">
        <v>1</v>
      </c>
      <c r="AI355">
        <v>0</v>
      </c>
      <c r="AJ355">
        <v>0</v>
      </c>
      <c r="AK355">
        <v>0</v>
      </c>
      <c r="AL355">
        <v>2</v>
      </c>
      <c r="AM355">
        <v>1</v>
      </c>
      <c r="AN355">
        <v>1</v>
      </c>
      <c r="AO355">
        <v>1</v>
      </c>
      <c r="AP355">
        <v>0</v>
      </c>
      <c r="AQ355">
        <v>0</v>
      </c>
      <c r="AR355">
        <v>0</v>
      </c>
      <c r="AS355">
        <v>0</v>
      </c>
      <c r="AT355">
        <v>0</v>
      </c>
      <c r="AU355">
        <v>0</v>
      </c>
      <c r="AV355">
        <v>0</v>
      </c>
    </row>
    <row r="356" spans="1:48" ht="15.75" customHeight="1" x14ac:dyDescent="0.25">
      <c r="A356">
        <v>2</v>
      </c>
      <c r="B356">
        <v>2</v>
      </c>
      <c r="C356">
        <v>1</v>
      </c>
      <c r="D356">
        <v>1</v>
      </c>
      <c r="E356">
        <v>2017</v>
      </c>
      <c r="F356">
        <v>6</v>
      </c>
      <c r="G356">
        <v>9</v>
      </c>
      <c r="H356">
        <v>0</v>
      </c>
      <c r="I356">
        <v>0</v>
      </c>
      <c r="J356">
        <v>0</v>
      </c>
      <c r="K356">
        <v>0</v>
      </c>
      <c r="L356">
        <v>0</v>
      </c>
      <c r="M356">
        <v>0</v>
      </c>
      <c r="N356">
        <v>0</v>
      </c>
      <c r="O356">
        <v>0</v>
      </c>
      <c r="P356">
        <v>0</v>
      </c>
      <c r="Q356">
        <v>0</v>
      </c>
      <c r="R356">
        <v>0</v>
      </c>
      <c r="S356">
        <v>0</v>
      </c>
      <c r="T356">
        <v>1</v>
      </c>
      <c r="U356">
        <v>3</v>
      </c>
      <c r="V356">
        <v>0</v>
      </c>
      <c r="W356">
        <v>2</v>
      </c>
      <c r="X356">
        <v>0</v>
      </c>
      <c r="Y356">
        <v>0</v>
      </c>
      <c r="Z356">
        <v>0</v>
      </c>
      <c r="AA356">
        <v>0</v>
      </c>
      <c r="AB356">
        <v>0</v>
      </c>
      <c r="AC356">
        <v>0</v>
      </c>
      <c r="AD356">
        <v>1</v>
      </c>
      <c r="AE356">
        <v>1</v>
      </c>
      <c r="AF356">
        <v>0</v>
      </c>
      <c r="AG356">
        <v>0</v>
      </c>
      <c r="AH356">
        <v>0</v>
      </c>
      <c r="AI356">
        <v>0</v>
      </c>
      <c r="AJ356">
        <v>0</v>
      </c>
      <c r="AK356">
        <v>0</v>
      </c>
      <c r="AL356">
        <v>0</v>
      </c>
      <c r="AM356">
        <v>0</v>
      </c>
      <c r="AN356">
        <v>1</v>
      </c>
      <c r="AO356">
        <v>0</v>
      </c>
      <c r="AP356">
        <v>0</v>
      </c>
      <c r="AQ356">
        <v>0</v>
      </c>
      <c r="AR356">
        <v>0</v>
      </c>
      <c r="AS356">
        <v>0</v>
      </c>
      <c r="AT356">
        <v>0</v>
      </c>
      <c r="AU356">
        <v>0</v>
      </c>
      <c r="AV356">
        <v>0</v>
      </c>
    </row>
    <row r="357" spans="1:48" ht="15.75" customHeight="1" x14ac:dyDescent="0.25">
      <c r="A357">
        <v>2</v>
      </c>
      <c r="B357">
        <v>2</v>
      </c>
      <c r="C357">
        <v>1</v>
      </c>
      <c r="D357">
        <v>1</v>
      </c>
      <c r="E357">
        <v>2018</v>
      </c>
      <c r="F357">
        <v>1</v>
      </c>
      <c r="G357">
        <v>14</v>
      </c>
      <c r="H357">
        <v>0</v>
      </c>
      <c r="I357">
        <v>0</v>
      </c>
      <c r="J357">
        <v>0</v>
      </c>
      <c r="K357">
        <v>0</v>
      </c>
      <c r="L357">
        <v>0</v>
      </c>
      <c r="M357">
        <v>0</v>
      </c>
      <c r="N357">
        <v>0</v>
      </c>
      <c r="O357">
        <v>0</v>
      </c>
      <c r="P357">
        <v>0</v>
      </c>
      <c r="Q357">
        <v>0</v>
      </c>
      <c r="R357">
        <v>0</v>
      </c>
      <c r="S357">
        <v>0</v>
      </c>
      <c r="T357">
        <v>2</v>
      </c>
      <c r="U357">
        <v>3</v>
      </c>
      <c r="V357">
        <v>2</v>
      </c>
      <c r="W357">
        <v>0</v>
      </c>
      <c r="X357">
        <v>2</v>
      </c>
      <c r="Y357">
        <v>1</v>
      </c>
      <c r="Z357">
        <v>0</v>
      </c>
      <c r="AA357">
        <v>1</v>
      </c>
      <c r="AB357">
        <v>0</v>
      </c>
      <c r="AC357">
        <v>1</v>
      </c>
      <c r="AD357">
        <v>0</v>
      </c>
      <c r="AE357">
        <v>0</v>
      </c>
      <c r="AF357">
        <v>0</v>
      </c>
      <c r="AG357">
        <v>0</v>
      </c>
      <c r="AH357">
        <v>1</v>
      </c>
      <c r="AI357">
        <v>0</v>
      </c>
      <c r="AJ357">
        <v>0</v>
      </c>
      <c r="AK357">
        <v>0</v>
      </c>
      <c r="AL357">
        <v>0</v>
      </c>
      <c r="AM357">
        <v>1</v>
      </c>
      <c r="AN357">
        <v>0</v>
      </c>
      <c r="AO357">
        <v>0</v>
      </c>
      <c r="AP357">
        <v>0</v>
      </c>
      <c r="AQ357">
        <v>0</v>
      </c>
      <c r="AR357">
        <v>0</v>
      </c>
      <c r="AS357">
        <v>0</v>
      </c>
      <c r="AT357">
        <v>0</v>
      </c>
      <c r="AU357">
        <v>0</v>
      </c>
      <c r="AV357">
        <v>0</v>
      </c>
    </row>
    <row r="358" spans="1:48" ht="15.75" customHeight="1" x14ac:dyDescent="0.25">
      <c r="A358">
        <v>2</v>
      </c>
      <c r="B358">
        <v>2</v>
      </c>
      <c r="C358">
        <v>1</v>
      </c>
      <c r="D358">
        <v>1</v>
      </c>
      <c r="E358">
        <v>2018</v>
      </c>
      <c r="F358">
        <v>2</v>
      </c>
      <c r="G358">
        <v>35</v>
      </c>
      <c r="H358">
        <v>0</v>
      </c>
      <c r="I358">
        <v>0</v>
      </c>
      <c r="J358">
        <v>0</v>
      </c>
      <c r="K358">
        <v>0</v>
      </c>
      <c r="L358">
        <v>0</v>
      </c>
      <c r="M358">
        <v>0</v>
      </c>
      <c r="N358">
        <v>0</v>
      </c>
      <c r="O358">
        <v>0</v>
      </c>
      <c r="P358">
        <v>0</v>
      </c>
      <c r="Q358">
        <v>0</v>
      </c>
      <c r="R358">
        <v>0</v>
      </c>
      <c r="S358">
        <v>0</v>
      </c>
      <c r="T358">
        <v>4</v>
      </c>
      <c r="U358">
        <v>6</v>
      </c>
      <c r="V358">
        <v>2</v>
      </c>
      <c r="W358">
        <v>2</v>
      </c>
      <c r="X358">
        <v>4</v>
      </c>
      <c r="Y358">
        <v>3</v>
      </c>
      <c r="Z358">
        <v>2</v>
      </c>
      <c r="AA358">
        <v>3</v>
      </c>
      <c r="AB358">
        <v>2</v>
      </c>
      <c r="AC358">
        <v>2</v>
      </c>
      <c r="AD358">
        <v>1</v>
      </c>
      <c r="AE358">
        <v>0</v>
      </c>
      <c r="AF358">
        <v>2</v>
      </c>
      <c r="AG358">
        <v>1</v>
      </c>
      <c r="AH358">
        <v>0</v>
      </c>
      <c r="AI358">
        <v>0</v>
      </c>
      <c r="AJ358">
        <v>1</v>
      </c>
      <c r="AK358">
        <v>0</v>
      </c>
      <c r="AL358">
        <v>0</v>
      </c>
      <c r="AM358">
        <v>0</v>
      </c>
      <c r="AN358">
        <v>0</v>
      </c>
      <c r="AO358">
        <v>0</v>
      </c>
      <c r="AP358">
        <v>0</v>
      </c>
      <c r="AQ358">
        <v>0</v>
      </c>
      <c r="AR358">
        <v>0</v>
      </c>
      <c r="AS358">
        <v>0</v>
      </c>
      <c r="AT358">
        <v>0</v>
      </c>
      <c r="AU358">
        <v>0</v>
      </c>
      <c r="AV358">
        <v>0</v>
      </c>
    </row>
    <row r="359" spans="1:48" ht="15.75" customHeight="1" x14ac:dyDescent="0.25">
      <c r="A359">
        <v>2</v>
      </c>
      <c r="B359">
        <v>2</v>
      </c>
      <c r="C359">
        <v>1</v>
      </c>
      <c r="D359">
        <v>1</v>
      </c>
      <c r="E359">
        <v>2018</v>
      </c>
      <c r="F359">
        <v>3</v>
      </c>
      <c r="G359">
        <v>2</v>
      </c>
      <c r="H359">
        <v>0</v>
      </c>
      <c r="I359">
        <v>0</v>
      </c>
      <c r="J359">
        <v>0</v>
      </c>
      <c r="K359">
        <v>0</v>
      </c>
      <c r="L359">
        <v>0</v>
      </c>
      <c r="M359">
        <v>0</v>
      </c>
      <c r="N359">
        <v>0</v>
      </c>
      <c r="O359">
        <v>0</v>
      </c>
      <c r="P359">
        <v>0</v>
      </c>
      <c r="Q359">
        <v>0</v>
      </c>
      <c r="R359">
        <v>0</v>
      </c>
      <c r="S359">
        <v>0</v>
      </c>
      <c r="T359">
        <v>0</v>
      </c>
      <c r="U359">
        <v>0</v>
      </c>
      <c r="V359">
        <v>0</v>
      </c>
      <c r="W359">
        <v>0</v>
      </c>
      <c r="X359">
        <v>0</v>
      </c>
      <c r="Y359">
        <v>0</v>
      </c>
      <c r="Z359">
        <v>1</v>
      </c>
      <c r="AA359">
        <v>0</v>
      </c>
      <c r="AB359">
        <v>0</v>
      </c>
      <c r="AC359">
        <v>0</v>
      </c>
      <c r="AD359">
        <v>0</v>
      </c>
      <c r="AE359">
        <v>0</v>
      </c>
      <c r="AF359">
        <v>0</v>
      </c>
      <c r="AG359">
        <v>0</v>
      </c>
      <c r="AH359">
        <v>0</v>
      </c>
      <c r="AI359">
        <v>0</v>
      </c>
      <c r="AJ359">
        <v>1</v>
      </c>
      <c r="AK359">
        <v>0</v>
      </c>
      <c r="AL359">
        <v>0</v>
      </c>
      <c r="AM359">
        <v>0</v>
      </c>
      <c r="AN359">
        <v>0</v>
      </c>
      <c r="AO359">
        <v>0</v>
      </c>
      <c r="AP359">
        <v>0</v>
      </c>
      <c r="AQ359">
        <v>0</v>
      </c>
      <c r="AR359">
        <v>0</v>
      </c>
      <c r="AS359">
        <v>0</v>
      </c>
      <c r="AT359">
        <v>0</v>
      </c>
      <c r="AU359">
        <v>0</v>
      </c>
      <c r="AV359">
        <v>0</v>
      </c>
    </row>
    <row r="360" spans="1:48" ht="15.75" customHeight="1" x14ac:dyDescent="0.25">
      <c r="A360">
        <v>2</v>
      </c>
      <c r="B360">
        <v>2</v>
      </c>
      <c r="C360">
        <v>1</v>
      </c>
      <c r="D360">
        <v>1</v>
      </c>
      <c r="E360">
        <v>2018</v>
      </c>
      <c r="F360">
        <v>4</v>
      </c>
      <c r="G360">
        <v>9</v>
      </c>
      <c r="H360">
        <v>0</v>
      </c>
      <c r="I360">
        <v>0</v>
      </c>
      <c r="J360">
        <v>0</v>
      </c>
      <c r="K360">
        <v>0</v>
      </c>
      <c r="L360">
        <v>0</v>
      </c>
      <c r="M360">
        <v>0</v>
      </c>
      <c r="N360">
        <v>0</v>
      </c>
      <c r="O360">
        <v>0</v>
      </c>
      <c r="P360">
        <v>0</v>
      </c>
      <c r="Q360">
        <v>0</v>
      </c>
      <c r="R360">
        <v>0</v>
      </c>
      <c r="S360">
        <v>0</v>
      </c>
      <c r="T360">
        <v>0</v>
      </c>
      <c r="U360">
        <v>1</v>
      </c>
      <c r="V360">
        <v>1</v>
      </c>
      <c r="W360">
        <v>1</v>
      </c>
      <c r="X360">
        <v>0</v>
      </c>
      <c r="Y360">
        <v>3</v>
      </c>
      <c r="Z360">
        <v>0</v>
      </c>
      <c r="AA360">
        <v>0</v>
      </c>
      <c r="AB360">
        <v>0</v>
      </c>
      <c r="AC360">
        <v>1</v>
      </c>
      <c r="AD360">
        <v>1</v>
      </c>
      <c r="AE360">
        <v>0</v>
      </c>
      <c r="AF360">
        <v>0</v>
      </c>
      <c r="AG360">
        <v>0</v>
      </c>
      <c r="AH360">
        <v>0</v>
      </c>
      <c r="AI360">
        <v>0</v>
      </c>
      <c r="AJ360">
        <v>0</v>
      </c>
      <c r="AK360">
        <v>1</v>
      </c>
      <c r="AL360">
        <v>0</v>
      </c>
      <c r="AM360">
        <v>0</v>
      </c>
      <c r="AN360">
        <v>0</v>
      </c>
      <c r="AO360">
        <v>0</v>
      </c>
      <c r="AP360">
        <v>0</v>
      </c>
      <c r="AQ360">
        <v>0</v>
      </c>
      <c r="AR360">
        <v>0</v>
      </c>
      <c r="AS360">
        <v>0</v>
      </c>
      <c r="AT360">
        <v>0</v>
      </c>
      <c r="AU360">
        <v>0</v>
      </c>
      <c r="AV360">
        <v>0</v>
      </c>
    </row>
    <row r="361" spans="1:48" ht="15.75" customHeight="1" x14ac:dyDescent="0.25">
      <c r="A361">
        <v>2</v>
      </c>
      <c r="B361">
        <v>2</v>
      </c>
      <c r="C361">
        <v>1</v>
      </c>
      <c r="D361">
        <v>1</v>
      </c>
      <c r="E361">
        <v>2018</v>
      </c>
      <c r="F361">
        <v>5</v>
      </c>
      <c r="G361">
        <v>5</v>
      </c>
      <c r="H361">
        <v>0</v>
      </c>
      <c r="I361">
        <v>0</v>
      </c>
      <c r="J361">
        <v>0</v>
      </c>
      <c r="K361">
        <v>0</v>
      </c>
      <c r="L361">
        <v>0</v>
      </c>
      <c r="M361">
        <v>0</v>
      </c>
      <c r="N361">
        <v>0</v>
      </c>
      <c r="O361">
        <v>0</v>
      </c>
      <c r="P361">
        <v>0</v>
      </c>
      <c r="Q361">
        <v>0</v>
      </c>
      <c r="R361">
        <v>0</v>
      </c>
      <c r="S361">
        <v>0</v>
      </c>
      <c r="T361">
        <v>0</v>
      </c>
      <c r="U361">
        <v>1</v>
      </c>
      <c r="V361">
        <v>0</v>
      </c>
      <c r="W361">
        <v>1</v>
      </c>
      <c r="X361">
        <v>0</v>
      </c>
      <c r="Y361">
        <v>0</v>
      </c>
      <c r="Z361">
        <v>3</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row>
    <row r="362" spans="1:48" ht="15.75" customHeight="1" x14ac:dyDescent="0.25">
      <c r="A362">
        <v>2</v>
      </c>
      <c r="B362">
        <v>2</v>
      </c>
      <c r="C362">
        <v>1</v>
      </c>
      <c r="D362">
        <v>1</v>
      </c>
      <c r="E362">
        <v>2018</v>
      </c>
      <c r="F362">
        <v>6</v>
      </c>
      <c r="G362">
        <v>12</v>
      </c>
      <c r="H362">
        <v>0</v>
      </c>
      <c r="I362">
        <v>0</v>
      </c>
      <c r="J362">
        <v>0</v>
      </c>
      <c r="K362">
        <v>0</v>
      </c>
      <c r="L362">
        <v>0</v>
      </c>
      <c r="M362">
        <v>0</v>
      </c>
      <c r="N362">
        <v>0</v>
      </c>
      <c r="O362">
        <v>0</v>
      </c>
      <c r="P362">
        <v>0</v>
      </c>
      <c r="Q362">
        <v>0</v>
      </c>
      <c r="R362">
        <v>0</v>
      </c>
      <c r="S362">
        <v>0</v>
      </c>
      <c r="T362">
        <v>3</v>
      </c>
      <c r="U362">
        <v>3</v>
      </c>
      <c r="V362">
        <v>2</v>
      </c>
      <c r="W362">
        <v>3</v>
      </c>
      <c r="X362">
        <v>0</v>
      </c>
      <c r="Y362">
        <v>0</v>
      </c>
      <c r="Z362">
        <v>0</v>
      </c>
      <c r="AA362">
        <v>1</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row>
    <row r="363" spans="1:48" ht="15.75" customHeight="1" x14ac:dyDescent="0.25">
      <c r="A363">
        <v>2</v>
      </c>
      <c r="B363">
        <v>2</v>
      </c>
      <c r="C363">
        <v>1</v>
      </c>
      <c r="D363">
        <v>2</v>
      </c>
      <c r="E363">
        <v>2015</v>
      </c>
      <c r="F363">
        <v>2</v>
      </c>
      <c r="G363">
        <v>2</v>
      </c>
      <c r="H363">
        <v>0</v>
      </c>
      <c r="I363">
        <v>0</v>
      </c>
      <c r="J363">
        <v>0</v>
      </c>
      <c r="K363">
        <v>0</v>
      </c>
      <c r="L363">
        <v>0</v>
      </c>
      <c r="M363">
        <v>0</v>
      </c>
      <c r="N363">
        <v>0</v>
      </c>
      <c r="O363">
        <v>0</v>
      </c>
      <c r="P363">
        <v>0</v>
      </c>
      <c r="Q363">
        <v>0</v>
      </c>
      <c r="R363">
        <v>0</v>
      </c>
      <c r="S363">
        <v>0</v>
      </c>
      <c r="T363">
        <v>1</v>
      </c>
      <c r="U363">
        <v>0</v>
      </c>
      <c r="V363">
        <v>0</v>
      </c>
      <c r="W363">
        <v>0</v>
      </c>
      <c r="X363">
        <v>0</v>
      </c>
      <c r="Y363">
        <v>0</v>
      </c>
      <c r="Z363">
        <v>0</v>
      </c>
      <c r="AA363">
        <v>0</v>
      </c>
      <c r="AB363">
        <v>0</v>
      </c>
      <c r="AC363">
        <v>0</v>
      </c>
      <c r="AD363">
        <v>0</v>
      </c>
      <c r="AE363">
        <v>0</v>
      </c>
      <c r="AF363">
        <v>0</v>
      </c>
      <c r="AG363">
        <v>0</v>
      </c>
      <c r="AH363">
        <v>0</v>
      </c>
      <c r="AI363">
        <v>0</v>
      </c>
      <c r="AJ363">
        <v>0</v>
      </c>
      <c r="AK363">
        <v>0</v>
      </c>
      <c r="AL363">
        <v>0</v>
      </c>
      <c r="AM363">
        <v>0</v>
      </c>
      <c r="AN363">
        <v>0</v>
      </c>
      <c r="AO363">
        <v>1</v>
      </c>
      <c r="AP363">
        <v>0</v>
      </c>
      <c r="AQ363">
        <v>0</v>
      </c>
      <c r="AR363">
        <v>0</v>
      </c>
      <c r="AS363">
        <v>0</v>
      </c>
      <c r="AT363">
        <v>0</v>
      </c>
      <c r="AU363">
        <v>0</v>
      </c>
      <c r="AV363">
        <v>0</v>
      </c>
    </row>
    <row r="364" spans="1:48" ht="15.75" customHeight="1" x14ac:dyDescent="0.25">
      <c r="A364">
        <v>2</v>
      </c>
      <c r="B364">
        <v>2</v>
      </c>
      <c r="C364">
        <v>1</v>
      </c>
      <c r="D364">
        <v>2</v>
      </c>
      <c r="E364">
        <v>2015</v>
      </c>
      <c r="F364">
        <v>5</v>
      </c>
      <c r="G364">
        <v>2</v>
      </c>
      <c r="H364">
        <v>0</v>
      </c>
      <c r="I364">
        <v>0</v>
      </c>
      <c r="J364">
        <v>0</v>
      </c>
      <c r="K364">
        <v>0</v>
      </c>
      <c r="L364">
        <v>0</v>
      </c>
      <c r="M364">
        <v>0</v>
      </c>
      <c r="N364">
        <v>0</v>
      </c>
      <c r="O364">
        <v>0</v>
      </c>
      <c r="P364">
        <v>0</v>
      </c>
      <c r="Q364">
        <v>0</v>
      </c>
      <c r="R364">
        <v>0</v>
      </c>
      <c r="S364">
        <v>0</v>
      </c>
      <c r="T364">
        <v>0</v>
      </c>
      <c r="U364">
        <v>0</v>
      </c>
      <c r="V364">
        <v>1</v>
      </c>
      <c r="W364">
        <v>0</v>
      </c>
      <c r="X364">
        <v>0</v>
      </c>
      <c r="Y364">
        <v>0</v>
      </c>
      <c r="Z364">
        <v>0</v>
      </c>
      <c r="AA364">
        <v>0</v>
      </c>
      <c r="AB364">
        <v>0</v>
      </c>
      <c r="AC364">
        <v>0</v>
      </c>
      <c r="AD364">
        <v>0</v>
      </c>
      <c r="AE364">
        <v>0</v>
      </c>
      <c r="AF364">
        <v>0</v>
      </c>
      <c r="AG364">
        <v>0</v>
      </c>
      <c r="AH364">
        <v>1</v>
      </c>
      <c r="AI364">
        <v>0</v>
      </c>
      <c r="AJ364">
        <v>0</v>
      </c>
      <c r="AK364">
        <v>0</v>
      </c>
      <c r="AL364">
        <v>0</v>
      </c>
      <c r="AM364">
        <v>0</v>
      </c>
      <c r="AN364">
        <v>0</v>
      </c>
      <c r="AO364">
        <v>0</v>
      </c>
      <c r="AP364">
        <v>0</v>
      </c>
      <c r="AQ364">
        <v>0</v>
      </c>
      <c r="AR364">
        <v>0</v>
      </c>
      <c r="AS364">
        <v>0</v>
      </c>
      <c r="AT364">
        <v>0</v>
      </c>
      <c r="AU364">
        <v>0</v>
      </c>
      <c r="AV364">
        <v>0</v>
      </c>
    </row>
    <row r="365" spans="1:48" ht="15.75" customHeight="1" x14ac:dyDescent="0.25">
      <c r="A365">
        <v>2</v>
      </c>
      <c r="B365">
        <v>2</v>
      </c>
      <c r="C365">
        <v>1</v>
      </c>
      <c r="D365">
        <v>2</v>
      </c>
      <c r="E365">
        <v>2016</v>
      </c>
      <c r="F365">
        <v>1</v>
      </c>
      <c r="G365">
        <v>2</v>
      </c>
      <c r="H365">
        <v>0</v>
      </c>
      <c r="I365">
        <v>0</v>
      </c>
      <c r="J365">
        <v>0</v>
      </c>
      <c r="K365">
        <v>0</v>
      </c>
      <c r="L365">
        <v>0</v>
      </c>
      <c r="M365">
        <v>0</v>
      </c>
      <c r="N365">
        <v>0</v>
      </c>
      <c r="O365">
        <v>0</v>
      </c>
      <c r="P365">
        <v>0</v>
      </c>
      <c r="Q365">
        <v>0</v>
      </c>
      <c r="R365">
        <v>0</v>
      </c>
      <c r="S365">
        <v>0</v>
      </c>
      <c r="T365">
        <v>0</v>
      </c>
      <c r="U365">
        <v>0</v>
      </c>
      <c r="V365">
        <v>0</v>
      </c>
      <c r="W365">
        <v>2</v>
      </c>
      <c r="X365">
        <v>0</v>
      </c>
      <c r="Y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row>
    <row r="366" spans="1:48" ht="15.75" customHeight="1" x14ac:dyDescent="0.25">
      <c r="A366">
        <v>2</v>
      </c>
      <c r="B366">
        <v>2</v>
      </c>
      <c r="C366">
        <v>1</v>
      </c>
      <c r="D366">
        <v>2</v>
      </c>
      <c r="E366">
        <v>2016</v>
      </c>
      <c r="F366">
        <v>2</v>
      </c>
      <c r="G366">
        <v>1</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c r="AD366">
        <v>0</v>
      </c>
      <c r="AE366">
        <v>0</v>
      </c>
      <c r="AF366">
        <v>0</v>
      </c>
      <c r="AG366">
        <v>0</v>
      </c>
      <c r="AH366">
        <v>0</v>
      </c>
      <c r="AI366">
        <v>0</v>
      </c>
      <c r="AJ366">
        <v>0</v>
      </c>
      <c r="AK366">
        <v>1</v>
      </c>
      <c r="AL366">
        <v>0</v>
      </c>
      <c r="AM366">
        <v>0</v>
      </c>
      <c r="AN366">
        <v>0</v>
      </c>
      <c r="AO366">
        <v>0</v>
      </c>
      <c r="AP366">
        <v>0</v>
      </c>
      <c r="AQ366">
        <v>0</v>
      </c>
      <c r="AR366">
        <v>0</v>
      </c>
      <c r="AS366">
        <v>0</v>
      </c>
      <c r="AT366">
        <v>0</v>
      </c>
      <c r="AU366">
        <v>0</v>
      </c>
      <c r="AV366">
        <v>0</v>
      </c>
    </row>
    <row r="367" spans="1:48" ht="15.75" customHeight="1" x14ac:dyDescent="0.25">
      <c r="A367">
        <v>2</v>
      </c>
      <c r="B367">
        <v>2</v>
      </c>
      <c r="C367">
        <v>1</v>
      </c>
      <c r="D367">
        <v>2</v>
      </c>
      <c r="E367">
        <v>2016</v>
      </c>
      <c r="F367">
        <v>4</v>
      </c>
      <c r="G367">
        <v>6</v>
      </c>
      <c r="H367">
        <v>0</v>
      </c>
      <c r="I367">
        <v>0</v>
      </c>
      <c r="J367">
        <v>0</v>
      </c>
      <c r="K367">
        <v>0</v>
      </c>
      <c r="L367">
        <v>0</v>
      </c>
      <c r="M367">
        <v>0</v>
      </c>
      <c r="N367">
        <v>0</v>
      </c>
      <c r="O367">
        <v>0</v>
      </c>
      <c r="P367">
        <v>0</v>
      </c>
      <c r="Q367">
        <v>0</v>
      </c>
      <c r="R367">
        <v>0</v>
      </c>
      <c r="S367">
        <v>0</v>
      </c>
      <c r="T367">
        <v>0</v>
      </c>
      <c r="U367">
        <v>0</v>
      </c>
      <c r="V367">
        <v>0</v>
      </c>
      <c r="W367">
        <v>4</v>
      </c>
      <c r="X367">
        <v>0</v>
      </c>
      <c r="Y367">
        <v>0</v>
      </c>
      <c r="Z367">
        <v>1</v>
      </c>
      <c r="AA367">
        <v>0</v>
      </c>
      <c r="AB367">
        <v>1</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row>
    <row r="368" spans="1:48" ht="15.75" customHeight="1" x14ac:dyDescent="0.25">
      <c r="A368">
        <v>2</v>
      </c>
      <c r="B368">
        <v>2</v>
      </c>
      <c r="C368">
        <v>1</v>
      </c>
      <c r="D368">
        <v>2</v>
      </c>
      <c r="E368">
        <v>2017</v>
      </c>
      <c r="F368">
        <v>1</v>
      </c>
      <c r="G368">
        <v>1</v>
      </c>
      <c r="H368">
        <v>0</v>
      </c>
      <c r="I368">
        <v>0</v>
      </c>
      <c r="J368">
        <v>0</v>
      </c>
      <c r="K368">
        <v>0</v>
      </c>
      <c r="L368">
        <v>0</v>
      </c>
      <c r="M368">
        <v>0</v>
      </c>
      <c r="N368">
        <v>0</v>
      </c>
      <c r="O368">
        <v>0</v>
      </c>
      <c r="P368">
        <v>0</v>
      </c>
      <c r="Q368">
        <v>0</v>
      </c>
      <c r="R368">
        <v>0</v>
      </c>
      <c r="S368">
        <v>0</v>
      </c>
      <c r="T368">
        <v>0</v>
      </c>
      <c r="U368">
        <v>1</v>
      </c>
      <c r="V368">
        <v>0</v>
      </c>
      <c r="W368">
        <v>0</v>
      </c>
      <c r="X368">
        <v>0</v>
      </c>
      <c r="Y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row>
    <row r="369" spans="1:48" ht="15.75" customHeight="1" x14ac:dyDescent="0.25">
      <c r="A369">
        <v>2</v>
      </c>
      <c r="B369">
        <v>2</v>
      </c>
      <c r="C369">
        <v>1</v>
      </c>
      <c r="D369">
        <v>2</v>
      </c>
      <c r="E369">
        <v>2017</v>
      </c>
      <c r="F369">
        <v>3</v>
      </c>
      <c r="G369">
        <v>1</v>
      </c>
      <c r="H369">
        <v>0</v>
      </c>
      <c r="I369">
        <v>0</v>
      </c>
      <c r="J369">
        <v>0</v>
      </c>
      <c r="K369">
        <v>0</v>
      </c>
      <c r="L369">
        <v>0</v>
      </c>
      <c r="M369">
        <v>0</v>
      </c>
      <c r="N369">
        <v>0</v>
      </c>
      <c r="O369">
        <v>0</v>
      </c>
      <c r="P369">
        <v>0</v>
      </c>
      <c r="Q369">
        <v>0</v>
      </c>
      <c r="R369">
        <v>0</v>
      </c>
      <c r="S369">
        <v>0</v>
      </c>
      <c r="T369">
        <v>0</v>
      </c>
      <c r="U369">
        <v>1</v>
      </c>
      <c r="V369">
        <v>0</v>
      </c>
      <c r="W369">
        <v>0</v>
      </c>
      <c r="X369">
        <v>0</v>
      </c>
      <c r="Y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row>
    <row r="370" spans="1:48" ht="15.75" customHeight="1" x14ac:dyDescent="0.25">
      <c r="A370">
        <v>2</v>
      </c>
      <c r="B370">
        <v>2</v>
      </c>
      <c r="C370">
        <v>1</v>
      </c>
      <c r="D370">
        <v>2</v>
      </c>
      <c r="E370">
        <v>2017</v>
      </c>
      <c r="F370">
        <v>6</v>
      </c>
      <c r="G370">
        <v>1</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1</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row>
    <row r="371" spans="1:48" ht="15.75" customHeight="1" x14ac:dyDescent="0.25">
      <c r="A371">
        <v>2</v>
      </c>
      <c r="B371">
        <v>2</v>
      </c>
      <c r="C371">
        <v>1</v>
      </c>
      <c r="D371">
        <v>2</v>
      </c>
      <c r="E371">
        <v>2018</v>
      </c>
      <c r="F371">
        <v>1</v>
      </c>
      <c r="G371">
        <v>1</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1</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row>
    <row r="372" spans="1:48" ht="15.75" customHeight="1" x14ac:dyDescent="0.25">
      <c r="A372">
        <v>2</v>
      </c>
      <c r="B372">
        <v>2</v>
      </c>
      <c r="C372">
        <v>1</v>
      </c>
      <c r="D372">
        <v>2</v>
      </c>
      <c r="E372">
        <v>2018</v>
      </c>
      <c r="F372">
        <v>3</v>
      </c>
      <c r="G372">
        <v>1</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1</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row>
    <row r="373" spans="1:48" ht="15.75" customHeight="1" x14ac:dyDescent="0.25">
      <c r="A373">
        <v>2</v>
      </c>
      <c r="B373">
        <v>2</v>
      </c>
      <c r="C373">
        <v>1</v>
      </c>
      <c r="D373">
        <v>2</v>
      </c>
      <c r="E373">
        <v>2018</v>
      </c>
      <c r="F373">
        <v>4</v>
      </c>
      <c r="G373">
        <v>1</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1</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row>
    <row r="374" spans="1:48" ht="15.75" customHeight="1" x14ac:dyDescent="0.25">
      <c r="A374">
        <v>2</v>
      </c>
      <c r="B374">
        <v>2</v>
      </c>
      <c r="C374">
        <v>2</v>
      </c>
      <c r="D374">
        <v>1</v>
      </c>
      <c r="E374">
        <v>2007</v>
      </c>
      <c r="F374">
        <v>1</v>
      </c>
      <c r="G374">
        <v>1</v>
      </c>
      <c r="H374">
        <v>0</v>
      </c>
      <c r="I374">
        <v>0</v>
      </c>
      <c r="J374">
        <v>0</v>
      </c>
      <c r="K374">
        <v>0</v>
      </c>
      <c r="L374">
        <v>0</v>
      </c>
      <c r="M374">
        <v>0</v>
      </c>
      <c r="N374">
        <v>0</v>
      </c>
      <c r="O374">
        <v>0</v>
      </c>
      <c r="P374">
        <v>0</v>
      </c>
      <c r="Q374">
        <v>0</v>
      </c>
      <c r="R374">
        <v>0</v>
      </c>
      <c r="S374">
        <v>0</v>
      </c>
      <c r="T374">
        <v>0</v>
      </c>
      <c r="U374">
        <v>1</v>
      </c>
      <c r="V374">
        <v>0</v>
      </c>
      <c r="W374">
        <v>0</v>
      </c>
      <c r="X374">
        <v>0</v>
      </c>
      <c r="Y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row>
    <row r="375" spans="1:48" ht="15.75" customHeight="1" x14ac:dyDescent="0.25">
      <c r="A375">
        <v>2</v>
      </c>
      <c r="B375">
        <v>2</v>
      </c>
      <c r="C375">
        <v>2</v>
      </c>
      <c r="D375">
        <v>1</v>
      </c>
      <c r="E375">
        <v>2008</v>
      </c>
      <c r="F375">
        <v>1</v>
      </c>
      <c r="G375">
        <v>1</v>
      </c>
      <c r="H375">
        <v>0</v>
      </c>
      <c r="I375">
        <v>0</v>
      </c>
      <c r="J375">
        <v>0</v>
      </c>
      <c r="K375">
        <v>0</v>
      </c>
      <c r="L375">
        <v>0</v>
      </c>
      <c r="M375">
        <v>0</v>
      </c>
      <c r="N375">
        <v>0</v>
      </c>
      <c r="O375">
        <v>0</v>
      </c>
      <c r="P375">
        <v>0</v>
      </c>
      <c r="Q375">
        <v>0</v>
      </c>
      <c r="R375">
        <v>0</v>
      </c>
      <c r="S375">
        <v>0</v>
      </c>
      <c r="T375">
        <v>0</v>
      </c>
      <c r="U375">
        <v>1</v>
      </c>
      <c r="V375">
        <v>0</v>
      </c>
      <c r="W375">
        <v>0</v>
      </c>
      <c r="X375">
        <v>0</v>
      </c>
      <c r="Y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row>
    <row r="376" spans="1:48" ht="15.75" customHeight="1" x14ac:dyDescent="0.25">
      <c r="A376">
        <v>2</v>
      </c>
      <c r="B376">
        <v>2</v>
      </c>
      <c r="C376">
        <v>2</v>
      </c>
      <c r="D376">
        <v>1</v>
      </c>
      <c r="E376">
        <v>2008</v>
      </c>
      <c r="F376">
        <v>2</v>
      </c>
      <c r="G376">
        <v>1</v>
      </c>
      <c r="H376">
        <v>0</v>
      </c>
      <c r="I376">
        <v>0</v>
      </c>
      <c r="J376">
        <v>0</v>
      </c>
      <c r="K376">
        <v>0</v>
      </c>
      <c r="L376">
        <v>0</v>
      </c>
      <c r="M376">
        <v>0</v>
      </c>
      <c r="N376">
        <v>0</v>
      </c>
      <c r="O376">
        <v>0</v>
      </c>
      <c r="P376">
        <v>0</v>
      </c>
      <c r="Q376">
        <v>0</v>
      </c>
      <c r="R376">
        <v>0</v>
      </c>
      <c r="S376">
        <v>0</v>
      </c>
      <c r="T376">
        <v>0</v>
      </c>
      <c r="U376">
        <v>0</v>
      </c>
      <c r="V376">
        <v>1</v>
      </c>
      <c r="W376">
        <v>0</v>
      </c>
      <c r="X376">
        <v>0</v>
      </c>
      <c r="Y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row>
    <row r="377" spans="1:48" ht="15.75" customHeight="1" x14ac:dyDescent="0.25">
      <c r="A377">
        <v>2</v>
      </c>
      <c r="B377">
        <v>2</v>
      </c>
      <c r="C377">
        <v>2</v>
      </c>
      <c r="D377">
        <v>1</v>
      </c>
      <c r="E377">
        <v>2014</v>
      </c>
      <c r="F377">
        <v>2</v>
      </c>
      <c r="G377">
        <v>1</v>
      </c>
      <c r="H377">
        <v>0</v>
      </c>
      <c r="I377">
        <v>0</v>
      </c>
      <c r="J377">
        <v>0</v>
      </c>
      <c r="K377">
        <v>0</v>
      </c>
      <c r="L377">
        <v>0</v>
      </c>
      <c r="M377">
        <v>0</v>
      </c>
      <c r="N377">
        <v>0</v>
      </c>
      <c r="O377">
        <v>0</v>
      </c>
      <c r="P377">
        <v>0</v>
      </c>
      <c r="Q377">
        <v>0</v>
      </c>
      <c r="R377">
        <v>0</v>
      </c>
      <c r="S377">
        <v>0</v>
      </c>
      <c r="T377">
        <v>0</v>
      </c>
      <c r="U377">
        <v>0</v>
      </c>
      <c r="V377">
        <v>0</v>
      </c>
      <c r="W377">
        <v>1</v>
      </c>
      <c r="X377">
        <v>0</v>
      </c>
      <c r="Y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row>
    <row r="378" spans="1:48" ht="15.75" customHeight="1" x14ac:dyDescent="0.25">
      <c r="A378">
        <v>2</v>
      </c>
      <c r="B378">
        <v>2</v>
      </c>
      <c r="C378">
        <v>2</v>
      </c>
      <c r="D378">
        <v>1</v>
      </c>
      <c r="E378">
        <v>2015</v>
      </c>
      <c r="F378">
        <v>2</v>
      </c>
      <c r="G378">
        <v>5</v>
      </c>
      <c r="H378">
        <v>0</v>
      </c>
      <c r="I378">
        <v>0</v>
      </c>
      <c r="J378">
        <v>0</v>
      </c>
      <c r="K378">
        <v>0</v>
      </c>
      <c r="L378">
        <v>0</v>
      </c>
      <c r="M378">
        <v>0</v>
      </c>
      <c r="N378">
        <v>0</v>
      </c>
      <c r="O378">
        <v>0</v>
      </c>
      <c r="P378">
        <v>0</v>
      </c>
      <c r="Q378">
        <v>0</v>
      </c>
      <c r="R378">
        <v>0</v>
      </c>
      <c r="S378">
        <v>0</v>
      </c>
      <c r="T378">
        <v>0</v>
      </c>
      <c r="U378">
        <v>1</v>
      </c>
      <c r="V378">
        <v>0</v>
      </c>
      <c r="W378">
        <v>1</v>
      </c>
      <c r="X378">
        <v>1</v>
      </c>
      <c r="Y378">
        <v>0</v>
      </c>
      <c r="Z378">
        <v>0</v>
      </c>
      <c r="AA378">
        <v>0</v>
      </c>
      <c r="AB378">
        <v>0</v>
      </c>
      <c r="AC378">
        <v>0</v>
      </c>
      <c r="AD378">
        <v>1</v>
      </c>
      <c r="AE378">
        <v>0</v>
      </c>
      <c r="AF378">
        <v>0</v>
      </c>
      <c r="AG378">
        <v>0</v>
      </c>
      <c r="AH378">
        <v>0</v>
      </c>
      <c r="AI378">
        <v>0</v>
      </c>
      <c r="AJ378">
        <v>0</v>
      </c>
      <c r="AK378">
        <v>1</v>
      </c>
      <c r="AL378">
        <v>0</v>
      </c>
      <c r="AM378">
        <v>0</v>
      </c>
      <c r="AN378">
        <v>0</v>
      </c>
      <c r="AO378">
        <v>0</v>
      </c>
      <c r="AP378">
        <v>0</v>
      </c>
      <c r="AQ378">
        <v>0</v>
      </c>
      <c r="AR378">
        <v>0</v>
      </c>
      <c r="AS378">
        <v>0</v>
      </c>
      <c r="AT378">
        <v>0</v>
      </c>
      <c r="AU378">
        <v>0</v>
      </c>
      <c r="AV378">
        <v>0</v>
      </c>
    </row>
    <row r="379" spans="1:48" ht="15.75" customHeight="1" x14ac:dyDescent="0.25">
      <c r="A379">
        <v>2</v>
      </c>
      <c r="B379">
        <v>2</v>
      </c>
      <c r="C379">
        <v>2</v>
      </c>
      <c r="D379">
        <v>1</v>
      </c>
      <c r="E379">
        <v>2015</v>
      </c>
      <c r="F379">
        <v>3</v>
      </c>
      <c r="G379">
        <v>6</v>
      </c>
      <c r="H379">
        <v>0</v>
      </c>
      <c r="I379">
        <v>0</v>
      </c>
      <c r="J379">
        <v>0</v>
      </c>
      <c r="K379">
        <v>0</v>
      </c>
      <c r="L379">
        <v>0</v>
      </c>
      <c r="M379">
        <v>0</v>
      </c>
      <c r="N379">
        <v>0</v>
      </c>
      <c r="O379">
        <v>0</v>
      </c>
      <c r="P379">
        <v>0</v>
      </c>
      <c r="Q379">
        <v>0</v>
      </c>
      <c r="R379">
        <v>0</v>
      </c>
      <c r="S379">
        <v>0</v>
      </c>
      <c r="T379">
        <v>1</v>
      </c>
      <c r="U379">
        <v>0</v>
      </c>
      <c r="V379">
        <v>1</v>
      </c>
      <c r="W379">
        <v>0</v>
      </c>
      <c r="X379">
        <v>1</v>
      </c>
      <c r="Y379">
        <v>1</v>
      </c>
      <c r="Z379">
        <v>1</v>
      </c>
      <c r="AA379">
        <v>0</v>
      </c>
      <c r="AB379">
        <v>1</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row>
    <row r="380" spans="1:48" ht="15.75" customHeight="1" x14ac:dyDescent="0.25">
      <c r="A380">
        <v>2</v>
      </c>
      <c r="B380">
        <v>2</v>
      </c>
      <c r="C380">
        <v>2</v>
      </c>
      <c r="D380">
        <v>1</v>
      </c>
      <c r="E380">
        <v>2015</v>
      </c>
      <c r="F380">
        <v>4</v>
      </c>
      <c r="G380">
        <v>3</v>
      </c>
      <c r="H380">
        <v>0</v>
      </c>
      <c r="I380">
        <v>0</v>
      </c>
      <c r="J380">
        <v>0</v>
      </c>
      <c r="K380">
        <v>0</v>
      </c>
      <c r="L380">
        <v>0</v>
      </c>
      <c r="M380">
        <v>0</v>
      </c>
      <c r="N380">
        <v>0</v>
      </c>
      <c r="O380">
        <v>0</v>
      </c>
      <c r="P380">
        <v>0</v>
      </c>
      <c r="Q380">
        <v>0</v>
      </c>
      <c r="R380">
        <v>0</v>
      </c>
      <c r="S380">
        <v>0</v>
      </c>
      <c r="T380">
        <v>1</v>
      </c>
      <c r="U380">
        <v>0</v>
      </c>
      <c r="V380">
        <v>1</v>
      </c>
      <c r="W380">
        <v>0</v>
      </c>
      <c r="X380">
        <v>0</v>
      </c>
      <c r="Y380">
        <v>0</v>
      </c>
      <c r="Z380">
        <v>0</v>
      </c>
      <c r="AA380">
        <v>0</v>
      </c>
      <c r="AB380">
        <v>0</v>
      </c>
      <c r="AC380">
        <v>0</v>
      </c>
      <c r="AD380">
        <v>0</v>
      </c>
      <c r="AE380">
        <v>0</v>
      </c>
      <c r="AF380">
        <v>0</v>
      </c>
      <c r="AG380">
        <v>0</v>
      </c>
      <c r="AH380">
        <v>0</v>
      </c>
      <c r="AI380">
        <v>0</v>
      </c>
      <c r="AJ380">
        <v>0</v>
      </c>
      <c r="AK380">
        <v>0</v>
      </c>
      <c r="AL380">
        <v>0</v>
      </c>
      <c r="AM380">
        <v>0</v>
      </c>
      <c r="AN380">
        <v>0</v>
      </c>
      <c r="AO380">
        <v>1</v>
      </c>
      <c r="AP380">
        <v>0</v>
      </c>
      <c r="AQ380">
        <v>0</v>
      </c>
      <c r="AR380">
        <v>0</v>
      </c>
      <c r="AS380">
        <v>0</v>
      </c>
      <c r="AT380">
        <v>0</v>
      </c>
      <c r="AU380">
        <v>0</v>
      </c>
      <c r="AV380">
        <v>0</v>
      </c>
    </row>
    <row r="381" spans="1:48" ht="15.75" customHeight="1" x14ac:dyDescent="0.25">
      <c r="A381">
        <v>2</v>
      </c>
      <c r="B381">
        <v>2</v>
      </c>
      <c r="C381">
        <v>2</v>
      </c>
      <c r="D381">
        <v>1</v>
      </c>
      <c r="E381">
        <v>2015</v>
      </c>
      <c r="F381">
        <v>5</v>
      </c>
      <c r="G381">
        <v>1</v>
      </c>
      <c r="H381">
        <v>0</v>
      </c>
      <c r="I381">
        <v>0</v>
      </c>
      <c r="J381">
        <v>0</v>
      </c>
      <c r="K381">
        <v>0</v>
      </c>
      <c r="L381">
        <v>0</v>
      </c>
      <c r="M381">
        <v>0</v>
      </c>
      <c r="N381">
        <v>0</v>
      </c>
      <c r="O381">
        <v>0</v>
      </c>
      <c r="P381">
        <v>0</v>
      </c>
      <c r="Q381">
        <v>0</v>
      </c>
      <c r="R381">
        <v>0</v>
      </c>
      <c r="S381">
        <v>0</v>
      </c>
      <c r="T381">
        <v>0</v>
      </c>
      <c r="U381">
        <v>0</v>
      </c>
      <c r="V381">
        <v>0</v>
      </c>
      <c r="W381">
        <v>0</v>
      </c>
      <c r="X381">
        <v>1</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row>
    <row r="382" spans="1:48" ht="15.75" customHeight="1" x14ac:dyDescent="0.25">
      <c r="A382">
        <v>2</v>
      </c>
      <c r="B382">
        <v>2</v>
      </c>
      <c r="C382">
        <v>2</v>
      </c>
      <c r="D382">
        <v>1</v>
      </c>
      <c r="E382">
        <v>2016</v>
      </c>
      <c r="F382">
        <v>1</v>
      </c>
      <c r="G382">
        <v>13</v>
      </c>
      <c r="H382">
        <v>0</v>
      </c>
      <c r="I382">
        <v>0</v>
      </c>
      <c r="J382">
        <v>0</v>
      </c>
      <c r="K382">
        <v>0</v>
      </c>
      <c r="L382">
        <v>0</v>
      </c>
      <c r="M382">
        <v>0</v>
      </c>
      <c r="N382">
        <v>0</v>
      </c>
      <c r="O382">
        <v>0</v>
      </c>
      <c r="P382">
        <v>0</v>
      </c>
      <c r="Q382">
        <v>0</v>
      </c>
      <c r="R382">
        <v>0</v>
      </c>
      <c r="S382">
        <v>0</v>
      </c>
      <c r="T382">
        <v>0</v>
      </c>
      <c r="U382">
        <v>1</v>
      </c>
      <c r="V382">
        <v>1</v>
      </c>
      <c r="W382">
        <v>2</v>
      </c>
      <c r="X382">
        <v>1</v>
      </c>
      <c r="Y382">
        <v>1</v>
      </c>
      <c r="Z382">
        <v>1</v>
      </c>
      <c r="AA382">
        <v>2</v>
      </c>
      <c r="AB382">
        <v>2</v>
      </c>
      <c r="AC382">
        <v>1</v>
      </c>
      <c r="AD382">
        <v>0</v>
      </c>
      <c r="AE382">
        <v>0</v>
      </c>
      <c r="AF382">
        <v>0</v>
      </c>
      <c r="AG382">
        <v>0</v>
      </c>
      <c r="AH382">
        <v>0</v>
      </c>
      <c r="AI382">
        <v>1</v>
      </c>
      <c r="AJ382">
        <v>0</v>
      </c>
      <c r="AK382">
        <v>0</v>
      </c>
      <c r="AL382">
        <v>0</v>
      </c>
      <c r="AM382">
        <v>0</v>
      </c>
      <c r="AN382">
        <v>0</v>
      </c>
      <c r="AO382">
        <v>0</v>
      </c>
      <c r="AP382">
        <v>0</v>
      </c>
      <c r="AQ382">
        <v>0</v>
      </c>
      <c r="AR382">
        <v>0</v>
      </c>
      <c r="AS382">
        <v>0</v>
      </c>
      <c r="AT382">
        <v>0</v>
      </c>
      <c r="AU382">
        <v>0</v>
      </c>
      <c r="AV382">
        <v>0</v>
      </c>
    </row>
    <row r="383" spans="1:48" ht="15.75" customHeight="1" x14ac:dyDescent="0.25">
      <c r="A383">
        <v>2</v>
      </c>
      <c r="B383">
        <v>2</v>
      </c>
      <c r="C383">
        <v>2</v>
      </c>
      <c r="D383">
        <v>1</v>
      </c>
      <c r="E383">
        <v>2016</v>
      </c>
      <c r="F383">
        <v>2</v>
      </c>
      <c r="G383">
        <v>16</v>
      </c>
      <c r="H383">
        <v>0</v>
      </c>
      <c r="I383">
        <v>0</v>
      </c>
      <c r="J383">
        <v>0</v>
      </c>
      <c r="K383">
        <v>0</v>
      </c>
      <c r="L383">
        <v>0</v>
      </c>
      <c r="M383">
        <v>0</v>
      </c>
      <c r="N383">
        <v>0</v>
      </c>
      <c r="O383">
        <v>0</v>
      </c>
      <c r="P383">
        <v>0</v>
      </c>
      <c r="Q383">
        <v>0</v>
      </c>
      <c r="R383">
        <v>0</v>
      </c>
      <c r="S383">
        <v>0</v>
      </c>
      <c r="T383">
        <v>0</v>
      </c>
      <c r="U383">
        <v>3</v>
      </c>
      <c r="V383">
        <v>1</v>
      </c>
      <c r="W383">
        <v>1</v>
      </c>
      <c r="X383">
        <v>1</v>
      </c>
      <c r="Y383">
        <v>2</v>
      </c>
      <c r="Z383">
        <v>2</v>
      </c>
      <c r="AA383">
        <v>2</v>
      </c>
      <c r="AB383">
        <v>1</v>
      </c>
      <c r="AC383">
        <v>0</v>
      </c>
      <c r="AD383">
        <v>0</v>
      </c>
      <c r="AE383">
        <v>0</v>
      </c>
      <c r="AF383">
        <v>1</v>
      </c>
      <c r="AG383">
        <v>0</v>
      </c>
      <c r="AH383">
        <v>0</v>
      </c>
      <c r="AI383">
        <v>0</v>
      </c>
      <c r="AJ383">
        <v>0</v>
      </c>
      <c r="AK383">
        <v>2</v>
      </c>
      <c r="AL383">
        <v>0</v>
      </c>
      <c r="AM383">
        <v>0</v>
      </c>
      <c r="AN383">
        <v>0</v>
      </c>
      <c r="AO383">
        <v>0</v>
      </c>
      <c r="AP383">
        <v>0</v>
      </c>
      <c r="AQ383">
        <v>0</v>
      </c>
      <c r="AR383">
        <v>0</v>
      </c>
      <c r="AS383">
        <v>0</v>
      </c>
      <c r="AT383">
        <v>0</v>
      </c>
      <c r="AU383">
        <v>0</v>
      </c>
      <c r="AV383">
        <v>0</v>
      </c>
    </row>
    <row r="384" spans="1:48" ht="15.75" customHeight="1" x14ac:dyDescent="0.25">
      <c r="A384">
        <v>2</v>
      </c>
      <c r="B384">
        <v>2</v>
      </c>
      <c r="C384">
        <v>2</v>
      </c>
      <c r="D384">
        <v>1</v>
      </c>
      <c r="E384">
        <v>2016</v>
      </c>
      <c r="F384">
        <v>3</v>
      </c>
      <c r="G384">
        <v>23</v>
      </c>
      <c r="H384">
        <v>0</v>
      </c>
      <c r="I384">
        <v>0</v>
      </c>
      <c r="J384">
        <v>0</v>
      </c>
      <c r="K384">
        <v>0</v>
      </c>
      <c r="L384">
        <v>0</v>
      </c>
      <c r="M384">
        <v>0</v>
      </c>
      <c r="N384">
        <v>0</v>
      </c>
      <c r="O384">
        <v>0</v>
      </c>
      <c r="P384">
        <v>0</v>
      </c>
      <c r="Q384">
        <v>0</v>
      </c>
      <c r="R384">
        <v>0</v>
      </c>
      <c r="S384">
        <v>0</v>
      </c>
      <c r="T384">
        <v>1</v>
      </c>
      <c r="U384">
        <v>3</v>
      </c>
      <c r="V384">
        <v>3</v>
      </c>
      <c r="W384">
        <v>2</v>
      </c>
      <c r="X384">
        <v>3</v>
      </c>
      <c r="Y384">
        <v>6</v>
      </c>
      <c r="Z384">
        <v>1</v>
      </c>
      <c r="AA384">
        <v>1</v>
      </c>
      <c r="AB384">
        <v>1</v>
      </c>
      <c r="AC384">
        <v>0</v>
      </c>
      <c r="AD384">
        <v>0</v>
      </c>
      <c r="AE384">
        <v>0</v>
      </c>
      <c r="AF384">
        <v>1</v>
      </c>
      <c r="AG384">
        <v>0</v>
      </c>
      <c r="AH384">
        <v>0</v>
      </c>
      <c r="AI384">
        <v>1</v>
      </c>
      <c r="AJ384">
        <v>0</v>
      </c>
      <c r="AK384">
        <v>0</v>
      </c>
      <c r="AL384">
        <v>0</v>
      </c>
      <c r="AM384">
        <v>0</v>
      </c>
      <c r="AN384">
        <v>0</v>
      </c>
      <c r="AO384">
        <v>0</v>
      </c>
      <c r="AP384">
        <v>0</v>
      </c>
      <c r="AQ384">
        <v>0</v>
      </c>
      <c r="AR384">
        <v>0</v>
      </c>
      <c r="AS384">
        <v>0</v>
      </c>
      <c r="AT384">
        <v>0</v>
      </c>
      <c r="AU384">
        <v>0</v>
      </c>
      <c r="AV384">
        <v>0</v>
      </c>
    </row>
    <row r="385" spans="1:48" ht="15.75" customHeight="1" x14ac:dyDescent="0.25">
      <c r="A385">
        <v>2</v>
      </c>
      <c r="B385">
        <v>2</v>
      </c>
      <c r="C385">
        <v>2</v>
      </c>
      <c r="D385">
        <v>1</v>
      </c>
      <c r="E385">
        <v>2016</v>
      </c>
      <c r="F385">
        <v>4</v>
      </c>
      <c r="G385">
        <v>23</v>
      </c>
      <c r="H385">
        <v>0</v>
      </c>
      <c r="I385">
        <v>0</v>
      </c>
      <c r="J385">
        <v>0</v>
      </c>
      <c r="K385">
        <v>0</v>
      </c>
      <c r="L385">
        <v>0</v>
      </c>
      <c r="M385">
        <v>0</v>
      </c>
      <c r="N385">
        <v>0</v>
      </c>
      <c r="O385">
        <v>0</v>
      </c>
      <c r="P385">
        <v>0</v>
      </c>
      <c r="Q385">
        <v>0</v>
      </c>
      <c r="R385">
        <v>0</v>
      </c>
      <c r="S385">
        <v>0</v>
      </c>
      <c r="T385">
        <v>2</v>
      </c>
      <c r="U385">
        <v>2</v>
      </c>
      <c r="V385">
        <v>4</v>
      </c>
      <c r="W385">
        <v>7</v>
      </c>
      <c r="X385">
        <v>0</v>
      </c>
      <c r="Y385">
        <v>1</v>
      </c>
      <c r="Z385">
        <v>2</v>
      </c>
      <c r="AA385">
        <v>2</v>
      </c>
      <c r="AB385">
        <v>0</v>
      </c>
      <c r="AC385">
        <v>0</v>
      </c>
      <c r="AD385">
        <v>1</v>
      </c>
      <c r="AE385">
        <v>0</v>
      </c>
      <c r="AF385">
        <v>0</v>
      </c>
      <c r="AG385">
        <v>1</v>
      </c>
      <c r="AH385">
        <v>1</v>
      </c>
      <c r="AI385">
        <v>0</v>
      </c>
      <c r="AJ385">
        <v>0</v>
      </c>
      <c r="AK385">
        <v>0</v>
      </c>
      <c r="AL385">
        <v>0</v>
      </c>
      <c r="AM385">
        <v>0</v>
      </c>
      <c r="AN385">
        <v>0</v>
      </c>
      <c r="AO385">
        <v>0</v>
      </c>
      <c r="AP385">
        <v>0</v>
      </c>
      <c r="AQ385">
        <v>0</v>
      </c>
      <c r="AR385">
        <v>0</v>
      </c>
      <c r="AS385">
        <v>0</v>
      </c>
      <c r="AT385">
        <v>0</v>
      </c>
      <c r="AU385">
        <v>0</v>
      </c>
      <c r="AV385">
        <v>0</v>
      </c>
    </row>
    <row r="386" spans="1:48" ht="15.75" customHeight="1" x14ac:dyDescent="0.25">
      <c r="A386">
        <v>2</v>
      </c>
      <c r="B386">
        <v>2</v>
      </c>
      <c r="C386">
        <v>2</v>
      </c>
      <c r="D386">
        <v>1</v>
      </c>
      <c r="E386">
        <v>2016</v>
      </c>
      <c r="F386">
        <v>5</v>
      </c>
      <c r="G386">
        <v>37</v>
      </c>
      <c r="H386">
        <v>0</v>
      </c>
      <c r="I386">
        <v>0</v>
      </c>
      <c r="J386">
        <v>0</v>
      </c>
      <c r="K386">
        <v>0</v>
      </c>
      <c r="L386">
        <v>0</v>
      </c>
      <c r="M386">
        <v>0</v>
      </c>
      <c r="N386">
        <v>0</v>
      </c>
      <c r="O386">
        <v>0</v>
      </c>
      <c r="P386">
        <v>0</v>
      </c>
      <c r="Q386">
        <v>0</v>
      </c>
      <c r="R386">
        <v>0</v>
      </c>
      <c r="S386">
        <v>0</v>
      </c>
      <c r="T386">
        <v>0</v>
      </c>
      <c r="U386">
        <v>1</v>
      </c>
      <c r="V386">
        <v>2</v>
      </c>
      <c r="W386">
        <v>2</v>
      </c>
      <c r="X386">
        <v>2</v>
      </c>
      <c r="Y386">
        <v>4</v>
      </c>
      <c r="Z386">
        <v>2</v>
      </c>
      <c r="AA386">
        <v>4</v>
      </c>
      <c r="AB386">
        <v>4</v>
      </c>
      <c r="AC386">
        <v>6</v>
      </c>
      <c r="AD386">
        <v>3</v>
      </c>
      <c r="AE386">
        <v>5</v>
      </c>
      <c r="AF386">
        <v>1</v>
      </c>
      <c r="AG386">
        <v>1</v>
      </c>
      <c r="AH386">
        <v>0</v>
      </c>
      <c r="AI386">
        <v>0</v>
      </c>
      <c r="AJ386">
        <v>0</v>
      </c>
      <c r="AK386">
        <v>0</v>
      </c>
      <c r="AL386">
        <v>0</v>
      </c>
      <c r="AM386">
        <v>0</v>
      </c>
      <c r="AN386">
        <v>0</v>
      </c>
      <c r="AO386">
        <v>0</v>
      </c>
      <c r="AP386">
        <v>0</v>
      </c>
      <c r="AQ386">
        <v>0</v>
      </c>
      <c r="AR386">
        <v>0</v>
      </c>
      <c r="AS386">
        <v>0</v>
      </c>
      <c r="AT386">
        <v>0</v>
      </c>
      <c r="AU386">
        <v>0</v>
      </c>
      <c r="AV386">
        <v>0</v>
      </c>
    </row>
    <row r="387" spans="1:48" ht="15.75" customHeight="1" x14ac:dyDescent="0.25">
      <c r="A387">
        <v>2</v>
      </c>
      <c r="B387">
        <v>2</v>
      </c>
      <c r="C387">
        <v>2</v>
      </c>
      <c r="D387">
        <v>1</v>
      </c>
      <c r="E387">
        <v>2016</v>
      </c>
      <c r="F387">
        <v>6</v>
      </c>
      <c r="G387">
        <v>1</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1</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row>
    <row r="388" spans="1:48" ht="15.75" customHeight="1" x14ac:dyDescent="0.25">
      <c r="A388">
        <v>2</v>
      </c>
      <c r="B388">
        <v>2</v>
      </c>
      <c r="C388">
        <v>2</v>
      </c>
      <c r="D388">
        <v>1</v>
      </c>
      <c r="E388">
        <v>2017</v>
      </c>
      <c r="F388">
        <v>1</v>
      </c>
      <c r="G388">
        <v>27</v>
      </c>
      <c r="H388">
        <v>0</v>
      </c>
      <c r="I388">
        <v>0</v>
      </c>
      <c r="J388">
        <v>0</v>
      </c>
      <c r="K388">
        <v>0</v>
      </c>
      <c r="L388">
        <v>0</v>
      </c>
      <c r="M388">
        <v>0</v>
      </c>
      <c r="N388">
        <v>0</v>
      </c>
      <c r="O388">
        <v>0</v>
      </c>
      <c r="P388">
        <v>0</v>
      </c>
      <c r="Q388">
        <v>0</v>
      </c>
      <c r="R388">
        <v>0</v>
      </c>
      <c r="S388">
        <v>0</v>
      </c>
      <c r="T388">
        <v>5</v>
      </c>
      <c r="U388">
        <v>4</v>
      </c>
      <c r="V388">
        <v>1</v>
      </c>
      <c r="W388">
        <v>2</v>
      </c>
      <c r="X388">
        <v>3</v>
      </c>
      <c r="Y388">
        <v>2</v>
      </c>
      <c r="Z388">
        <v>4</v>
      </c>
      <c r="AA388">
        <v>1</v>
      </c>
      <c r="AB388">
        <v>0</v>
      </c>
      <c r="AC388">
        <v>0</v>
      </c>
      <c r="AD388">
        <v>0</v>
      </c>
      <c r="AE388">
        <v>1</v>
      </c>
      <c r="AF388">
        <v>2</v>
      </c>
      <c r="AG388">
        <v>0</v>
      </c>
      <c r="AH388">
        <v>0</v>
      </c>
      <c r="AI388">
        <v>0</v>
      </c>
      <c r="AJ388">
        <v>0</v>
      </c>
      <c r="AK388">
        <v>1</v>
      </c>
      <c r="AL388">
        <v>1</v>
      </c>
      <c r="AM388">
        <v>0</v>
      </c>
      <c r="AN388">
        <v>0</v>
      </c>
      <c r="AO388">
        <v>0</v>
      </c>
      <c r="AP388">
        <v>0</v>
      </c>
      <c r="AQ388">
        <v>0</v>
      </c>
      <c r="AR388">
        <v>0</v>
      </c>
      <c r="AS388">
        <v>0</v>
      </c>
      <c r="AT388">
        <v>0</v>
      </c>
      <c r="AU388">
        <v>0</v>
      </c>
      <c r="AV388">
        <v>0</v>
      </c>
    </row>
    <row r="389" spans="1:48" ht="15.75" customHeight="1" x14ac:dyDescent="0.25">
      <c r="A389">
        <v>2</v>
      </c>
      <c r="B389">
        <v>2</v>
      </c>
      <c r="C389">
        <v>2</v>
      </c>
      <c r="D389">
        <v>1</v>
      </c>
      <c r="E389">
        <v>2017</v>
      </c>
      <c r="F389">
        <v>2</v>
      </c>
      <c r="G389">
        <v>78</v>
      </c>
      <c r="H389">
        <v>0</v>
      </c>
      <c r="I389">
        <v>0</v>
      </c>
      <c r="J389">
        <v>0</v>
      </c>
      <c r="K389">
        <v>0</v>
      </c>
      <c r="L389">
        <v>0</v>
      </c>
      <c r="M389">
        <v>0</v>
      </c>
      <c r="N389">
        <v>0</v>
      </c>
      <c r="O389">
        <v>0</v>
      </c>
      <c r="P389">
        <v>0</v>
      </c>
      <c r="Q389">
        <v>0</v>
      </c>
      <c r="R389">
        <v>0</v>
      </c>
      <c r="S389">
        <v>0</v>
      </c>
      <c r="T389">
        <v>4</v>
      </c>
      <c r="U389">
        <v>2</v>
      </c>
      <c r="V389">
        <v>7</v>
      </c>
      <c r="W389">
        <v>3</v>
      </c>
      <c r="X389">
        <v>8</v>
      </c>
      <c r="Y389">
        <v>10</v>
      </c>
      <c r="Z389">
        <v>13</v>
      </c>
      <c r="AA389">
        <v>7</v>
      </c>
      <c r="AB389">
        <v>7</v>
      </c>
      <c r="AC389">
        <v>2</v>
      </c>
      <c r="AD389">
        <v>2</v>
      </c>
      <c r="AE389">
        <v>8</v>
      </c>
      <c r="AF389">
        <v>3</v>
      </c>
      <c r="AG389">
        <v>0</v>
      </c>
      <c r="AH389">
        <v>1</v>
      </c>
      <c r="AI389">
        <v>1</v>
      </c>
      <c r="AJ389">
        <v>0</v>
      </c>
      <c r="AK389">
        <v>0</v>
      </c>
      <c r="AL389">
        <v>0</v>
      </c>
      <c r="AM389">
        <v>0</v>
      </c>
      <c r="AN389">
        <v>0</v>
      </c>
      <c r="AO389">
        <v>0</v>
      </c>
      <c r="AP389">
        <v>0</v>
      </c>
      <c r="AQ389">
        <v>0</v>
      </c>
      <c r="AR389">
        <v>0</v>
      </c>
      <c r="AS389">
        <v>0</v>
      </c>
      <c r="AT389">
        <v>0</v>
      </c>
      <c r="AU389">
        <v>0</v>
      </c>
      <c r="AV389">
        <v>0</v>
      </c>
    </row>
    <row r="390" spans="1:48" ht="15.75" customHeight="1" x14ac:dyDescent="0.25">
      <c r="A390">
        <v>2</v>
      </c>
      <c r="B390">
        <v>2</v>
      </c>
      <c r="C390">
        <v>2</v>
      </c>
      <c r="D390">
        <v>1</v>
      </c>
      <c r="E390">
        <v>2017</v>
      </c>
      <c r="F390">
        <v>3</v>
      </c>
      <c r="G390">
        <v>61</v>
      </c>
      <c r="H390">
        <v>0</v>
      </c>
      <c r="I390">
        <v>0</v>
      </c>
      <c r="J390">
        <v>0</v>
      </c>
      <c r="K390">
        <v>0</v>
      </c>
      <c r="L390">
        <v>0</v>
      </c>
      <c r="M390">
        <v>0</v>
      </c>
      <c r="N390">
        <v>0</v>
      </c>
      <c r="O390">
        <v>0</v>
      </c>
      <c r="P390">
        <v>0</v>
      </c>
      <c r="Q390">
        <v>0</v>
      </c>
      <c r="R390">
        <v>0</v>
      </c>
      <c r="S390">
        <v>0</v>
      </c>
      <c r="T390">
        <v>0</v>
      </c>
      <c r="U390">
        <v>1</v>
      </c>
      <c r="V390">
        <v>2</v>
      </c>
      <c r="W390">
        <v>10</v>
      </c>
      <c r="X390">
        <v>8</v>
      </c>
      <c r="Y390">
        <v>8</v>
      </c>
      <c r="Z390">
        <v>5</v>
      </c>
      <c r="AA390">
        <v>6</v>
      </c>
      <c r="AB390">
        <v>4</v>
      </c>
      <c r="AC390">
        <v>4</v>
      </c>
      <c r="AD390">
        <v>2</v>
      </c>
      <c r="AE390">
        <v>3</v>
      </c>
      <c r="AF390">
        <v>4</v>
      </c>
      <c r="AG390">
        <v>1</v>
      </c>
      <c r="AH390">
        <v>0</v>
      </c>
      <c r="AI390">
        <v>1</v>
      </c>
      <c r="AJ390">
        <v>0</v>
      </c>
      <c r="AK390">
        <v>2</v>
      </c>
      <c r="AL390">
        <v>0</v>
      </c>
      <c r="AM390">
        <v>0</v>
      </c>
      <c r="AN390">
        <v>0</v>
      </c>
      <c r="AO390">
        <v>0</v>
      </c>
      <c r="AP390">
        <v>0</v>
      </c>
      <c r="AQ390">
        <v>0</v>
      </c>
      <c r="AR390">
        <v>0</v>
      </c>
      <c r="AS390">
        <v>0</v>
      </c>
      <c r="AT390">
        <v>0</v>
      </c>
      <c r="AU390">
        <v>0</v>
      </c>
      <c r="AV390">
        <v>0</v>
      </c>
    </row>
    <row r="391" spans="1:48" ht="15.75" customHeight="1" x14ac:dyDescent="0.25">
      <c r="A391">
        <v>2</v>
      </c>
      <c r="B391">
        <v>2</v>
      </c>
      <c r="C391">
        <v>2</v>
      </c>
      <c r="D391">
        <v>1</v>
      </c>
      <c r="E391">
        <v>2017</v>
      </c>
      <c r="F391">
        <v>4</v>
      </c>
      <c r="G391">
        <v>73</v>
      </c>
      <c r="H391">
        <v>0</v>
      </c>
      <c r="I391">
        <v>0</v>
      </c>
      <c r="J391">
        <v>0</v>
      </c>
      <c r="K391">
        <v>0</v>
      </c>
      <c r="L391">
        <v>0</v>
      </c>
      <c r="M391">
        <v>0</v>
      </c>
      <c r="N391">
        <v>0</v>
      </c>
      <c r="O391">
        <v>0</v>
      </c>
      <c r="P391">
        <v>0</v>
      </c>
      <c r="Q391">
        <v>0</v>
      </c>
      <c r="R391">
        <v>0</v>
      </c>
      <c r="S391">
        <v>0</v>
      </c>
      <c r="T391">
        <v>0</v>
      </c>
      <c r="U391">
        <v>0</v>
      </c>
      <c r="V391">
        <v>5</v>
      </c>
      <c r="W391">
        <v>1</v>
      </c>
      <c r="X391">
        <v>8</v>
      </c>
      <c r="Y391">
        <v>9</v>
      </c>
      <c r="Z391">
        <v>8</v>
      </c>
      <c r="AA391">
        <v>9</v>
      </c>
      <c r="AB391">
        <v>9</v>
      </c>
      <c r="AC391">
        <v>9</v>
      </c>
      <c r="AD391">
        <v>3</v>
      </c>
      <c r="AE391">
        <v>3</v>
      </c>
      <c r="AF391">
        <v>5</v>
      </c>
      <c r="AG391">
        <v>2</v>
      </c>
      <c r="AH391">
        <v>0</v>
      </c>
      <c r="AI391">
        <v>1</v>
      </c>
      <c r="AJ391">
        <v>0</v>
      </c>
      <c r="AK391">
        <v>1</v>
      </c>
      <c r="AL391">
        <v>0</v>
      </c>
      <c r="AM391">
        <v>0</v>
      </c>
      <c r="AN391">
        <v>0</v>
      </c>
      <c r="AO391">
        <v>0</v>
      </c>
      <c r="AP391">
        <v>0</v>
      </c>
      <c r="AQ391">
        <v>0</v>
      </c>
      <c r="AR391">
        <v>0</v>
      </c>
      <c r="AS391">
        <v>0</v>
      </c>
      <c r="AT391">
        <v>0</v>
      </c>
      <c r="AU391">
        <v>0</v>
      </c>
      <c r="AV391">
        <v>0</v>
      </c>
    </row>
    <row r="392" spans="1:48" ht="15.75" customHeight="1" x14ac:dyDescent="0.25">
      <c r="A392">
        <v>2</v>
      </c>
      <c r="B392">
        <v>2</v>
      </c>
      <c r="C392">
        <v>2</v>
      </c>
      <c r="D392">
        <v>1</v>
      </c>
      <c r="E392">
        <v>2017</v>
      </c>
      <c r="F392">
        <v>5</v>
      </c>
      <c r="G392">
        <v>4</v>
      </c>
      <c r="H392">
        <v>0</v>
      </c>
      <c r="I392">
        <v>0</v>
      </c>
      <c r="J392">
        <v>0</v>
      </c>
      <c r="K392">
        <v>0</v>
      </c>
      <c r="L392">
        <v>0</v>
      </c>
      <c r="M392">
        <v>0</v>
      </c>
      <c r="N392">
        <v>0</v>
      </c>
      <c r="O392">
        <v>0</v>
      </c>
      <c r="P392">
        <v>0</v>
      </c>
      <c r="Q392">
        <v>0</v>
      </c>
      <c r="R392">
        <v>0</v>
      </c>
      <c r="S392">
        <v>0</v>
      </c>
      <c r="T392">
        <v>0</v>
      </c>
      <c r="U392">
        <v>1</v>
      </c>
      <c r="V392">
        <v>1</v>
      </c>
      <c r="W392">
        <v>1</v>
      </c>
      <c r="X392">
        <v>0</v>
      </c>
      <c r="Y392">
        <v>0</v>
      </c>
      <c r="Z392">
        <v>0</v>
      </c>
      <c r="AA392">
        <v>0</v>
      </c>
      <c r="AB392">
        <v>0</v>
      </c>
      <c r="AC392">
        <v>0</v>
      </c>
      <c r="AD392">
        <v>0</v>
      </c>
      <c r="AE392">
        <v>1</v>
      </c>
      <c r="AF392">
        <v>0</v>
      </c>
      <c r="AG392">
        <v>0</v>
      </c>
      <c r="AH392">
        <v>0</v>
      </c>
      <c r="AI392">
        <v>0</v>
      </c>
      <c r="AJ392">
        <v>0</v>
      </c>
      <c r="AK392">
        <v>0</v>
      </c>
      <c r="AL392">
        <v>0</v>
      </c>
      <c r="AM392">
        <v>0</v>
      </c>
      <c r="AN392">
        <v>0</v>
      </c>
      <c r="AO392">
        <v>0</v>
      </c>
      <c r="AP392">
        <v>0</v>
      </c>
      <c r="AQ392">
        <v>0</v>
      </c>
      <c r="AR392">
        <v>0</v>
      </c>
      <c r="AS392">
        <v>0</v>
      </c>
      <c r="AT392">
        <v>0</v>
      </c>
      <c r="AU392">
        <v>0</v>
      </c>
      <c r="AV392">
        <v>0</v>
      </c>
    </row>
    <row r="393" spans="1:48" ht="15.75" customHeight="1" x14ac:dyDescent="0.25">
      <c r="A393">
        <v>2</v>
      </c>
      <c r="B393">
        <v>2</v>
      </c>
      <c r="C393">
        <v>2</v>
      </c>
      <c r="D393">
        <v>1</v>
      </c>
      <c r="E393">
        <v>2017</v>
      </c>
      <c r="F393">
        <v>6</v>
      </c>
      <c r="G393">
        <v>1</v>
      </c>
      <c r="H393">
        <v>0</v>
      </c>
      <c r="I393">
        <v>0</v>
      </c>
      <c r="J393">
        <v>0</v>
      </c>
      <c r="K393">
        <v>0</v>
      </c>
      <c r="L393">
        <v>0</v>
      </c>
      <c r="M393">
        <v>0</v>
      </c>
      <c r="N393">
        <v>0</v>
      </c>
      <c r="O393">
        <v>0</v>
      </c>
      <c r="P393">
        <v>0</v>
      </c>
      <c r="Q393">
        <v>0</v>
      </c>
      <c r="R393">
        <v>0</v>
      </c>
      <c r="S393">
        <v>0</v>
      </c>
      <c r="T393">
        <v>0</v>
      </c>
      <c r="U393">
        <v>0</v>
      </c>
      <c r="V393">
        <v>0</v>
      </c>
      <c r="W393">
        <v>0</v>
      </c>
      <c r="X393">
        <v>0</v>
      </c>
      <c r="Y393">
        <v>0</v>
      </c>
      <c r="Z393">
        <v>1</v>
      </c>
      <c r="AA393">
        <v>0</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row>
    <row r="394" spans="1:48" ht="15.75" customHeight="1" x14ac:dyDescent="0.25">
      <c r="A394">
        <v>2</v>
      </c>
      <c r="B394">
        <v>2</v>
      </c>
      <c r="C394">
        <v>2</v>
      </c>
      <c r="D394">
        <v>1</v>
      </c>
      <c r="E394">
        <v>2018</v>
      </c>
      <c r="F394">
        <v>1</v>
      </c>
      <c r="G394">
        <v>26</v>
      </c>
      <c r="H394">
        <v>0</v>
      </c>
      <c r="I394">
        <v>0</v>
      </c>
      <c r="J394">
        <v>0</v>
      </c>
      <c r="K394">
        <v>0</v>
      </c>
      <c r="L394">
        <v>0</v>
      </c>
      <c r="M394">
        <v>0</v>
      </c>
      <c r="N394">
        <v>0</v>
      </c>
      <c r="O394">
        <v>0</v>
      </c>
      <c r="P394">
        <v>0</v>
      </c>
      <c r="Q394">
        <v>0</v>
      </c>
      <c r="R394">
        <v>0</v>
      </c>
      <c r="S394">
        <v>0</v>
      </c>
      <c r="T394">
        <v>4</v>
      </c>
      <c r="U394">
        <v>5</v>
      </c>
      <c r="V394">
        <v>3</v>
      </c>
      <c r="W394">
        <v>1</v>
      </c>
      <c r="X394">
        <v>3</v>
      </c>
      <c r="Y394">
        <v>3</v>
      </c>
      <c r="Z394">
        <v>2</v>
      </c>
      <c r="AA394">
        <v>1</v>
      </c>
      <c r="AB394">
        <v>1</v>
      </c>
      <c r="AC394">
        <v>0</v>
      </c>
      <c r="AD394">
        <v>1</v>
      </c>
      <c r="AE394">
        <v>2</v>
      </c>
      <c r="AF394">
        <v>0</v>
      </c>
      <c r="AG394">
        <v>0</v>
      </c>
      <c r="AH394">
        <v>0</v>
      </c>
      <c r="AI394">
        <v>0</v>
      </c>
      <c r="AJ394">
        <v>0</v>
      </c>
      <c r="AK394">
        <v>0</v>
      </c>
      <c r="AL394">
        <v>0</v>
      </c>
      <c r="AM394">
        <v>0</v>
      </c>
      <c r="AN394">
        <v>0</v>
      </c>
      <c r="AO394">
        <v>0</v>
      </c>
      <c r="AP394">
        <v>0</v>
      </c>
      <c r="AQ394">
        <v>0</v>
      </c>
      <c r="AR394">
        <v>0</v>
      </c>
      <c r="AS394">
        <v>0</v>
      </c>
      <c r="AT394">
        <v>0</v>
      </c>
      <c r="AU394">
        <v>0</v>
      </c>
      <c r="AV394">
        <v>0</v>
      </c>
    </row>
    <row r="395" spans="1:48" ht="15.75" customHeight="1" x14ac:dyDescent="0.25">
      <c r="A395">
        <v>2</v>
      </c>
      <c r="B395">
        <v>2</v>
      </c>
      <c r="C395">
        <v>2</v>
      </c>
      <c r="D395">
        <v>1</v>
      </c>
      <c r="E395">
        <v>2018</v>
      </c>
      <c r="F395">
        <v>2</v>
      </c>
      <c r="G395">
        <v>61</v>
      </c>
      <c r="H395">
        <v>0</v>
      </c>
      <c r="I395">
        <v>0</v>
      </c>
      <c r="J395">
        <v>0</v>
      </c>
      <c r="K395">
        <v>0</v>
      </c>
      <c r="L395">
        <v>0</v>
      </c>
      <c r="M395">
        <v>0</v>
      </c>
      <c r="N395">
        <v>0</v>
      </c>
      <c r="O395">
        <v>0</v>
      </c>
      <c r="P395">
        <v>0</v>
      </c>
      <c r="Q395">
        <v>0</v>
      </c>
      <c r="R395">
        <v>0</v>
      </c>
      <c r="S395">
        <v>0</v>
      </c>
      <c r="T395">
        <v>2</v>
      </c>
      <c r="U395">
        <v>1</v>
      </c>
      <c r="V395">
        <v>5</v>
      </c>
      <c r="W395">
        <v>4</v>
      </c>
      <c r="X395">
        <v>6</v>
      </c>
      <c r="Y395">
        <v>6</v>
      </c>
      <c r="Z395">
        <v>3</v>
      </c>
      <c r="AA395">
        <v>6</v>
      </c>
      <c r="AB395">
        <v>10</v>
      </c>
      <c r="AC395">
        <v>7</v>
      </c>
      <c r="AD395">
        <v>2</v>
      </c>
      <c r="AE395">
        <v>1</v>
      </c>
      <c r="AF395">
        <v>2</v>
      </c>
      <c r="AG395">
        <v>3</v>
      </c>
      <c r="AH395">
        <v>2</v>
      </c>
      <c r="AI395">
        <v>1</v>
      </c>
      <c r="AJ395">
        <v>0</v>
      </c>
      <c r="AK395">
        <v>0</v>
      </c>
      <c r="AL395">
        <v>0</v>
      </c>
      <c r="AM395">
        <v>0</v>
      </c>
      <c r="AN395">
        <v>0</v>
      </c>
      <c r="AO395">
        <v>0</v>
      </c>
      <c r="AP395">
        <v>0</v>
      </c>
      <c r="AQ395">
        <v>0</v>
      </c>
      <c r="AR395">
        <v>0</v>
      </c>
      <c r="AS395">
        <v>0</v>
      </c>
      <c r="AT395">
        <v>0</v>
      </c>
      <c r="AU395">
        <v>0</v>
      </c>
      <c r="AV395">
        <v>0</v>
      </c>
    </row>
    <row r="396" spans="1:48" ht="15.75" customHeight="1" x14ac:dyDescent="0.25">
      <c r="A396">
        <v>2</v>
      </c>
      <c r="B396">
        <v>2</v>
      </c>
      <c r="C396">
        <v>2</v>
      </c>
      <c r="D396">
        <v>1</v>
      </c>
      <c r="E396">
        <v>2018</v>
      </c>
      <c r="F396">
        <v>3</v>
      </c>
      <c r="G396">
        <v>51</v>
      </c>
      <c r="H396">
        <v>0</v>
      </c>
      <c r="I396">
        <v>0</v>
      </c>
      <c r="J396">
        <v>0</v>
      </c>
      <c r="K396">
        <v>0</v>
      </c>
      <c r="L396">
        <v>0</v>
      </c>
      <c r="M396">
        <v>0</v>
      </c>
      <c r="N396">
        <v>0</v>
      </c>
      <c r="O396">
        <v>0</v>
      </c>
      <c r="P396">
        <v>0</v>
      </c>
      <c r="Q396">
        <v>0</v>
      </c>
      <c r="R396">
        <v>0</v>
      </c>
      <c r="S396">
        <v>0</v>
      </c>
      <c r="T396">
        <v>1</v>
      </c>
      <c r="U396">
        <v>1</v>
      </c>
      <c r="V396">
        <v>6</v>
      </c>
      <c r="W396">
        <v>4</v>
      </c>
      <c r="X396">
        <v>9</v>
      </c>
      <c r="Y396">
        <v>7</v>
      </c>
      <c r="Z396">
        <v>1</v>
      </c>
      <c r="AA396">
        <v>4</v>
      </c>
      <c r="AB396">
        <v>4</v>
      </c>
      <c r="AC396">
        <v>6</v>
      </c>
      <c r="AD396">
        <v>2</v>
      </c>
      <c r="AE396">
        <v>2</v>
      </c>
      <c r="AF396">
        <v>0</v>
      </c>
      <c r="AG396">
        <v>1</v>
      </c>
      <c r="AH396">
        <v>1</v>
      </c>
      <c r="AI396">
        <v>1</v>
      </c>
      <c r="AJ396">
        <v>1</v>
      </c>
      <c r="AK396">
        <v>0</v>
      </c>
      <c r="AL396">
        <v>0</v>
      </c>
      <c r="AM396">
        <v>0</v>
      </c>
      <c r="AN396">
        <v>0</v>
      </c>
      <c r="AO396">
        <v>0</v>
      </c>
      <c r="AP396">
        <v>0</v>
      </c>
      <c r="AQ396">
        <v>0</v>
      </c>
      <c r="AR396">
        <v>0</v>
      </c>
      <c r="AS396">
        <v>0</v>
      </c>
      <c r="AT396">
        <v>0</v>
      </c>
      <c r="AU396">
        <v>0</v>
      </c>
      <c r="AV396">
        <v>0</v>
      </c>
    </row>
    <row r="397" spans="1:48" ht="15.75" customHeight="1" x14ac:dyDescent="0.25">
      <c r="A397">
        <v>2</v>
      </c>
      <c r="B397">
        <v>2</v>
      </c>
      <c r="C397">
        <v>2</v>
      </c>
      <c r="D397">
        <v>1</v>
      </c>
      <c r="E397">
        <v>2018</v>
      </c>
      <c r="F397">
        <v>4</v>
      </c>
      <c r="G397">
        <v>7</v>
      </c>
      <c r="H397">
        <v>0</v>
      </c>
      <c r="I397">
        <v>0</v>
      </c>
      <c r="J397">
        <v>0</v>
      </c>
      <c r="K397">
        <v>0</v>
      </c>
      <c r="L397">
        <v>0</v>
      </c>
      <c r="M397">
        <v>0</v>
      </c>
      <c r="N397">
        <v>0</v>
      </c>
      <c r="O397">
        <v>0</v>
      </c>
      <c r="P397">
        <v>0</v>
      </c>
      <c r="Q397">
        <v>0</v>
      </c>
      <c r="R397">
        <v>0</v>
      </c>
      <c r="S397">
        <v>0</v>
      </c>
      <c r="T397">
        <v>0</v>
      </c>
      <c r="U397">
        <v>0</v>
      </c>
      <c r="V397">
        <v>0</v>
      </c>
      <c r="W397">
        <v>1</v>
      </c>
      <c r="X397">
        <v>1</v>
      </c>
      <c r="Y397">
        <v>1</v>
      </c>
      <c r="Z397">
        <v>1</v>
      </c>
      <c r="AA397">
        <v>0</v>
      </c>
      <c r="AB397">
        <v>1</v>
      </c>
      <c r="AC397">
        <v>2</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row>
    <row r="398" spans="1:48" ht="15.75" customHeight="1" x14ac:dyDescent="0.25">
      <c r="A398">
        <v>2</v>
      </c>
      <c r="B398">
        <v>2</v>
      </c>
      <c r="C398">
        <v>2</v>
      </c>
      <c r="D398">
        <v>1</v>
      </c>
      <c r="E398">
        <v>2018</v>
      </c>
      <c r="F398">
        <v>5</v>
      </c>
      <c r="G398">
        <v>3</v>
      </c>
      <c r="H398">
        <v>0</v>
      </c>
      <c r="I398">
        <v>0</v>
      </c>
      <c r="J398">
        <v>0</v>
      </c>
      <c r="K398">
        <v>0</v>
      </c>
      <c r="L398">
        <v>0</v>
      </c>
      <c r="M398">
        <v>0</v>
      </c>
      <c r="N398">
        <v>0</v>
      </c>
      <c r="O398">
        <v>0</v>
      </c>
      <c r="P398">
        <v>0</v>
      </c>
      <c r="Q398">
        <v>0</v>
      </c>
      <c r="R398">
        <v>0</v>
      </c>
      <c r="S398">
        <v>0</v>
      </c>
      <c r="T398">
        <v>0</v>
      </c>
      <c r="U398">
        <v>0</v>
      </c>
      <c r="V398">
        <v>1</v>
      </c>
      <c r="W398">
        <v>0</v>
      </c>
      <c r="X398">
        <v>0</v>
      </c>
      <c r="Y398">
        <v>0</v>
      </c>
      <c r="Z398">
        <v>0</v>
      </c>
      <c r="AA398">
        <v>0</v>
      </c>
      <c r="AB398">
        <v>1</v>
      </c>
      <c r="AC398">
        <v>0</v>
      </c>
      <c r="AD398">
        <v>0</v>
      </c>
      <c r="AE398">
        <v>1</v>
      </c>
      <c r="AF398">
        <v>0</v>
      </c>
      <c r="AG398">
        <v>0</v>
      </c>
      <c r="AH398">
        <v>0</v>
      </c>
      <c r="AI398">
        <v>0</v>
      </c>
      <c r="AJ398">
        <v>0</v>
      </c>
      <c r="AK398">
        <v>0</v>
      </c>
      <c r="AL398">
        <v>0</v>
      </c>
      <c r="AM398">
        <v>0</v>
      </c>
      <c r="AN398">
        <v>0</v>
      </c>
      <c r="AO398">
        <v>0</v>
      </c>
      <c r="AP398">
        <v>0</v>
      </c>
      <c r="AQ398">
        <v>0</v>
      </c>
      <c r="AR398">
        <v>0</v>
      </c>
      <c r="AS398">
        <v>0</v>
      </c>
      <c r="AT398">
        <v>0</v>
      </c>
      <c r="AU398">
        <v>0</v>
      </c>
      <c r="AV398">
        <v>0</v>
      </c>
    </row>
    <row r="399" spans="1:48" ht="15.75" customHeight="1" x14ac:dyDescent="0.25">
      <c r="A399">
        <v>2</v>
      </c>
      <c r="B399">
        <v>2</v>
      </c>
      <c r="C399">
        <v>2</v>
      </c>
      <c r="D399">
        <v>1</v>
      </c>
      <c r="E399">
        <v>2018</v>
      </c>
      <c r="F399">
        <v>6</v>
      </c>
      <c r="G399">
        <v>2</v>
      </c>
      <c r="H399">
        <v>0</v>
      </c>
      <c r="I399">
        <v>0</v>
      </c>
      <c r="J399">
        <v>0</v>
      </c>
      <c r="K399">
        <v>0</v>
      </c>
      <c r="L399">
        <v>0</v>
      </c>
      <c r="M399">
        <v>0</v>
      </c>
      <c r="N399">
        <v>0</v>
      </c>
      <c r="O399">
        <v>0</v>
      </c>
      <c r="P399">
        <v>0</v>
      </c>
      <c r="Q399">
        <v>0</v>
      </c>
      <c r="R399">
        <v>0</v>
      </c>
      <c r="S399">
        <v>0</v>
      </c>
      <c r="T399">
        <v>0</v>
      </c>
      <c r="U399">
        <v>0</v>
      </c>
      <c r="V399">
        <v>0</v>
      </c>
      <c r="W399">
        <v>0</v>
      </c>
      <c r="X399">
        <v>0</v>
      </c>
      <c r="Y399">
        <v>0</v>
      </c>
      <c r="Z399">
        <v>1</v>
      </c>
      <c r="AA399">
        <v>0</v>
      </c>
      <c r="AB399">
        <v>0</v>
      </c>
      <c r="AC399">
        <v>0</v>
      </c>
      <c r="AD399">
        <v>0</v>
      </c>
      <c r="AE399">
        <v>0</v>
      </c>
      <c r="AF399">
        <v>0</v>
      </c>
      <c r="AG399">
        <v>0</v>
      </c>
      <c r="AH399">
        <v>0</v>
      </c>
      <c r="AI399">
        <v>0</v>
      </c>
      <c r="AJ399">
        <v>1</v>
      </c>
      <c r="AK399">
        <v>0</v>
      </c>
      <c r="AL399">
        <v>0</v>
      </c>
      <c r="AM399">
        <v>0</v>
      </c>
      <c r="AN399">
        <v>0</v>
      </c>
      <c r="AO399">
        <v>0</v>
      </c>
      <c r="AP399">
        <v>0</v>
      </c>
      <c r="AQ399">
        <v>0</v>
      </c>
      <c r="AR399">
        <v>0</v>
      </c>
      <c r="AS399">
        <v>0</v>
      </c>
      <c r="AT399">
        <v>0</v>
      </c>
      <c r="AU399">
        <v>0</v>
      </c>
      <c r="AV399">
        <v>0</v>
      </c>
    </row>
    <row r="400" spans="1:48" ht="15.75" customHeight="1" x14ac:dyDescent="0.25">
      <c r="A400">
        <v>2</v>
      </c>
      <c r="B400">
        <v>2</v>
      </c>
      <c r="C400">
        <v>2</v>
      </c>
      <c r="D400">
        <v>2</v>
      </c>
      <c r="E400">
        <v>2016</v>
      </c>
      <c r="F400">
        <v>1</v>
      </c>
      <c r="G400">
        <v>1</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1</v>
      </c>
      <c r="AK400">
        <v>0</v>
      </c>
      <c r="AL400">
        <v>0</v>
      </c>
      <c r="AM400">
        <v>0</v>
      </c>
      <c r="AN400">
        <v>0</v>
      </c>
      <c r="AO400">
        <v>0</v>
      </c>
      <c r="AP400">
        <v>0</v>
      </c>
      <c r="AQ400">
        <v>0</v>
      </c>
      <c r="AR400">
        <v>0</v>
      </c>
      <c r="AS400">
        <v>0</v>
      </c>
      <c r="AT400">
        <v>0</v>
      </c>
      <c r="AU400">
        <v>0</v>
      </c>
      <c r="AV400">
        <v>0</v>
      </c>
    </row>
    <row r="401" spans="1:48" ht="15.75" customHeight="1" x14ac:dyDescent="0.25">
      <c r="A401">
        <v>2</v>
      </c>
      <c r="B401">
        <v>2</v>
      </c>
      <c r="C401">
        <v>2</v>
      </c>
      <c r="D401">
        <v>2</v>
      </c>
      <c r="E401">
        <v>2016</v>
      </c>
      <c r="F401">
        <v>4</v>
      </c>
      <c r="G401">
        <v>1</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1</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row>
    <row r="402" spans="1:48" ht="15.75" customHeight="1" x14ac:dyDescent="0.25">
      <c r="A402">
        <v>2</v>
      </c>
      <c r="B402">
        <v>2</v>
      </c>
      <c r="C402">
        <v>2</v>
      </c>
      <c r="D402">
        <v>2</v>
      </c>
      <c r="E402">
        <v>2017</v>
      </c>
      <c r="F402">
        <v>1</v>
      </c>
      <c r="G402">
        <v>2</v>
      </c>
      <c r="H402">
        <v>0</v>
      </c>
      <c r="I402">
        <v>0</v>
      </c>
      <c r="J402">
        <v>0</v>
      </c>
      <c r="K402">
        <v>0</v>
      </c>
      <c r="L402">
        <v>0</v>
      </c>
      <c r="M402">
        <v>0</v>
      </c>
      <c r="N402">
        <v>0</v>
      </c>
      <c r="O402">
        <v>0</v>
      </c>
      <c r="P402">
        <v>0</v>
      </c>
      <c r="Q402">
        <v>0</v>
      </c>
      <c r="R402">
        <v>0</v>
      </c>
      <c r="S402">
        <v>0</v>
      </c>
      <c r="T402">
        <v>0</v>
      </c>
      <c r="U402">
        <v>0</v>
      </c>
      <c r="V402">
        <v>1</v>
      </c>
      <c r="W402">
        <v>0</v>
      </c>
      <c r="X402">
        <v>1</v>
      </c>
      <c r="Y402">
        <v>0</v>
      </c>
      <c r="Z402">
        <v>0</v>
      </c>
      <c r="AA402">
        <v>0</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row>
    <row r="403" spans="1:48" ht="15.75" customHeight="1" x14ac:dyDescent="0.25">
      <c r="A403">
        <v>2</v>
      </c>
      <c r="B403">
        <v>2</v>
      </c>
      <c r="C403">
        <v>2</v>
      </c>
      <c r="D403">
        <v>2</v>
      </c>
      <c r="E403">
        <v>2017</v>
      </c>
      <c r="F403">
        <v>4</v>
      </c>
      <c r="G403">
        <v>1</v>
      </c>
      <c r="H403">
        <v>0</v>
      </c>
      <c r="I403">
        <v>0</v>
      </c>
      <c r="J403">
        <v>0</v>
      </c>
      <c r="K403">
        <v>0</v>
      </c>
      <c r="L403">
        <v>0</v>
      </c>
      <c r="M403">
        <v>0</v>
      </c>
      <c r="N403">
        <v>0</v>
      </c>
      <c r="O403">
        <v>0</v>
      </c>
      <c r="P403">
        <v>0</v>
      </c>
      <c r="Q403">
        <v>0</v>
      </c>
      <c r="R403">
        <v>0</v>
      </c>
      <c r="S403">
        <v>0</v>
      </c>
      <c r="T403">
        <v>0</v>
      </c>
      <c r="U403">
        <v>0</v>
      </c>
      <c r="V403">
        <v>0</v>
      </c>
      <c r="W403">
        <v>0</v>
      </c>
      <c r="X403">
        <v>1</v>
      </c>
      <c r="Y403">
        <v>0</v>
      </c>
      <c r="Z403">
        <v>0</v>
      </c>
      <c r="AA403">
        <v>0</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row>
    <row r="404" spans="1:48" ht="15.75" customHeight="1" x14ac:dyDescent="0.25">
      <c r="A404">
        <v>2</v>
      </c>
      <c r="B404">
        <v>2</v>
      </c>
      <c r="C404">
        <v>2</v>
      </c>
      <c r="D404">
        <v>2</v>
      </c>
      <c r="E404">
        <v>2017</v>
      </c>
      <c r="F404">
        <v>6</v>
      </c>
      <c r="G404">
        <v>2</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c r="AD404">
        <v>0</v>
      </c>
      <c r="AE404">
        <v>0</v>
      </c>
      <c r="AF404">
        <v>0</v>
      </c>
      <c r="AG404">
        <v>0</v>
      </c>
      <c r="AH404">
        <v>0</v>
      </c>
      <c r="AI404">
        <v>0</v>
      </c>
      <c r="AJ404">
        <v>0</v>
      </c>
      <c r="AK404">
        <v>1</v>
      </c>
      <c r="AL404">
        <v>0</v>
      </c>
      <c r="AM404">
        <v>0</v>
      </c>
      <c r="AN404">
        <v>0</v>
      </c>
      <c r="AO404">
        <v>0</v>
      </c>
      <c r="AP404">
        <v>1</v>
      </c>
      <c r="AQ404">
        <v>0</v>
      </c>
      <c r="AR404">
        <v>0</v>
      </c>
      <c r="AS404">
        <v>0</v>
      </c>
      <c r="AT404">
        <v>0</v>
      </c>
      <c r="AU404">
        <v>0</v>
      </c>
      <c r="AV404">
        <v>0</v>
      </c>
    </row>
    <row r="405" spans="1:48" ht="15.75" customHeight="1" x14ac:dyDescent="0.25">
      <c r="A405">
        <v>2</v>
      </c>
      <c r="B405">
        <v>2</v>
      </c>
      <c r="C405">
        <v>2</v>
      </c>
      <c r="D405">
        <v>2</v>
      </c>
      <c r="E405">
        <v>2018</v>
      </c>
      <c r="F405">
        <v>1</v>
      </c>
      <c r="G405">
        <v>2</v>
      </c>
      <c r="H405">
        <v>0</v>
      </c>
      <c r="I405">
        <v>0</v>
      </c>
      <c r="J405">
        <v>0</v>
      </c>
      <c r="K405">
        <v>0</v>
      </c>
      <c r="L405">
        <v>0</v>
      </c>
      <c r="M405">
        <v>0</v>
      </c>
      <c r="N405">
        <v>0</v>
      </c>
      <c r="O405">
        <v>0</v>
      </c>
      <c r="P405">
        <v>0</v>
      </c>
      <c r="Q405">
        <v>0</v>
      </c>
      <c r="R405">
        <v>0</v>
      </c>
      <c r="S405">
        <v>0</v>
      </c>
      <c r="T405">
        <v>0</v>
      </c>
      <c r="U405">
        <v>0</v>
      </c>
      <c r="V405">
        <v>0</v>
      </c>
      <c r="W405">
        <v>0</v>
      </c>
      <c r="X405">
        <v>1</v>
      </c>
      <c r="Y405">
        <v>0</v>
      </c>
      <c r="Z405">
        <v>0</v>
      </c>
      <c r="AA405">
        <v>0</v>
      </c>
      <c r="AB405">
        <v>0</v>
      </c>
      <c r="AC405">
        <v>0</v>
      </c>
      <c r="AD405">
        <v>0</v>
      </c>
      <c r="AE405">
        <v>0</v>
      </c>
      <c r="AF405">
        <v>0</v>
      </c>
      <c r="AG405">
        <v>0</v>
      </c>
      <c r="AH405">
        <v>0</v>
      </c>
      <c r="AI405">
        <v>0</v>
      </c>
      <c r="AJ405">
        <v>1</v>
      </c>
      <c r="AK405">
        <v>0</v>
      </c>
      <c r="AL405">
        <v>0</v>
      </c>
      <c r="AM405">
        <v>0</v>
      </c>
      <c r="AN405">
        <v>0</v>
      </c>
      <c r="AO405">
        <v>0</v>
      </c>
      <c r="AP405">
        <v>0</v>
      </c>
      <c r="AQ405">
        <v>0</v>
      </c>
      <c r="AR405">
        <v>0</v>
      </c>
      <c r="AS405">
        <v>0</v>
      </c>
      <c r="AT405">
        <v>0</v>
      </c>
      <c r="AU405">
        <v>0</v>
      </c>
      <c r="AV405">
        <v>0</v>
      </c>
    </row>
    <row r="406" spans="1:48" ht="15.75" customHeight="1" x14ac:dyDescent="0.25">
      <c r="A406">
        <v>2</v>
      </c>
      <c r="B406">
        <v>2</v>
      </c>
      <c r="C406">
        <v>2</v>
      </c>
      <c r="D406">
        <v>2</v>
      </c>
      <c r="E406">
        <v>2018</v>
      </c>
      <c r="F406">
        <v>3</v>
      </c>
      <c r="G406">
        <v>2</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1</v>
      </c>
      <c r="AD406">
        <v>0</v>
      </c>
      <c r="AE406">
        <v>0</v>
      </c>
      <c r="AF406">
        <v>1</v>
      </c>
      <c r="AG406">
        <v>0</v>
      </c>
      <c r="AH406">
        <v>0</v>
      </c>
      <c r="AI406">
        <v>0</v>
      </c>
      <c r="AJ406">
        <v>0</v>
      </c>
      <c r="AK406">
        <v>0</v>
      </c>
      <c r="AL406">
        <v>0</v>
      </c>
      <c r="AM406">
        <v>0</v>
      </c>
      <c r="AN406">
        <v>0</v>
      </c>
      <c r="AO406">
        <v>0</v>
      </c>
      <c r="AP406">
        <v>0</v>
      </c>
      <c r="AQ406">
        <v>0</v>
      </c>
      <c r="AR406">
        <v>0</v>
      </c>
      <c r="AS406">
        <v>0</v>
      </c>
      <c r="AT406">
        <v>0</v>
      </c>
      <c r="AU406">
        <v>0</v>
      </c>
      <c r="AV406">
        <v>0</v>
      </c>
    </row>
    <row r="407" spans="1:48" ht="15.75" customHeight="1" x14ac:dyDescent="0.25"/>
    <row r="408" spans="1:48" ht="15.75" customHeight="1" x14ac:dyDescent="0.25">
      <c r="A408" t="s">
        <v>404</v>
      </c>
    </row>
    <row r="409" spans="1:48" ht="15.75" customHeight="1" x14ac:dyDescent="0.25">
      <c r="A409" t="s">
        <v>204</v>
      </c>
      <c r="B409" t="s">
        <v>42</v>
      </c>
      <c r="C409" t="s">
        <v>131</v>
      </c>
      <c r="D409" t="s">
        <v>405</v>
      </c>
      <c r="E409" t="s">
        <v>406</v>
      </c>
    </row>
    <row r="410" spans="1:48" ht="15.75" customHeight="1" x14ac:dyDescent="0.25">
      <c r="A410">
        <v>1991</v>
      </c>
      <c r="B410">
        <v>1</v>
      </c>
      <c r="C410">
        <v>1</v>
      </c>
      <c r="D410">
        <v>1</v>
      </c>
      <c r="E410">
        <v>0</v>
      </c>
    </row>
    <row r="411" spans="1:48" ht="15.75" customHeight="1" x14ac:dyDescent="0.25">
      <c r="A411">
        <v>1991</v>
      </c>
      <c r="B411">
        <v>1</v>
      </c>
      <c r="C411">
        <v>2</v>
      </c>
      <c r="D411">
        <v>1</v>
      </c>
      <c r="E411">
        <v>0</v>
      </c>
    </row>
    <row r="412" spans="1:48" ht="15.75" customHeight="1" x14ac:dyDescent="0.25">
      <c r="A412">
        <v>1991</v>
      </c>
      <c r="B412">
        <v>2</v>
      </c>
      <c r="C412">
        <v>1</v>
      </c>
      <c r="D412">
        <v>1</v>
      </c>
      <c r="E412">
        <v>0</v>
      </c>
    </row>
    <row r="413" spans="1:48" ht="15.75" customHeight="1" x14ac:dyDescent="0.25">
      <c r="A413">
        <v>1991</v>
      </c>
      <c r="B413">
        <v>2</v>
      </c>
      <c r="C413">
        <v>2</v>
      </c>
      <c r="D413">
        <v>1</v>
      </c>
      <c r="E413">
        <v>0</v>
      </c>
    </row>
    <row r="414" spans="1:48" ht="15.75" customHeight="1" x14ac:dyDescent="0.25">
      <c r="A414">
        <v>1991</v>
      </c>
      <c r="B414">
        <v>3</v>
      </c>
      <c r="C414">
        <v>1</v>
      </c>
      <c r="D414">
        <v>1</v>
      </c>
      <c r="E414">
        <v>0</v>
      </c>
    </row>
    <row r="415" spans="1:48" ht="15.75" customHeight="1" x14ac:dyDescent="0.25">
      <c r="A415">
        <v>1991</v>
      </c>
      <c r="B415">
        <v>3</v>
      </c>
      <c r="C415">
        <v>2</v>
      </c>
      <c r="D415">
        <v>1</v>
      </c>
      <c r="E415">
        <v>0</v>
      </c>
    </row>
    <row r="416" spans="1:48" ht="15.75" customHeight="1" x14ac:dyDescent="0.25">
      <c r="A416">
        <v>1991</v>
      </c>
      <c r="B416">
        <v>4</v>
      </c>
      <c r="C416">
        <v>1</v>
      </c>
      <c r="D416">
        <v>1</v>
      </c>
      <c r="E416">
        <v>0</v>
      </c>
    </row>
    <row r="417" spans="1:5" ht="15.75" customHeight="1" x14ac:dyDescent="0.25">
      <c r="A417">
        <v>1991</v>
      </c>
      <c r="B417">
        <v>4</v>
      </c>
      <c r="C417">
        <v>2</v>
      </c>
      <c r="D417">
        <v>1</v>
      </c>
      <c r="E417">
        <v>0</v>
      </c>
    </row>
    <row r="418" spans="1:5" ht="15.75" customHeight="1" x14ac:dyDescent="0.25">
      <c r="A418">
        <v>1991</v>
      </c>
      <c r="B418">
        <v>5</v>
      </c>
      <c r="C418">
        <v>1</v>
      </c>
      <c r="D418">
        <v>1</v>
      </c>
      <c r="E418">
        <v>0</v>
      </c>
    </row>
    <row r="419" spans="1:5" ht="15.75" customHeight="1" x14ac:dyDescent="0.25">
      <c r="A419">
        <v>1991</v>
      </c>
      <c r="B419">
        <v>5</v>
      </c>
      <c r="C419">
        <v>2</v>
      </c>
      <c r="D419">
        <v>1</v>
      </c>
      <c r="E419">
        <v>0</v>
      </c>
    </row>
    <row r="420" spans="1:5" ht="15.75" customHeight="1" x14ac:dyDescent="0.25">
      <c r="A420">
        <v>1991</v>
      </c>
      <c r="B420">
        <v>6</v>
      </c>
      <c r="C420">
        <v>1</v>
      </c>
      <c r="D420">
        <v>1</v>
      </c>
      <c r="E420">
        <v>0</v>
      </c>
    </row>
    <row r="421" spans="1:5" ht="15.75" customHeight="1" x14ac:dyDescent="0.25">
      <c r="A421">
        <v>1991</v>
      </c>
      <c r="B421">
        <v>6</v>
      </c>
      <c r="C421">
        <v>2</v>
      </c>
      <c r="D421">
        <v>1</v>
      </c>
      <c r="E421">
        <v>0</v>
      </c>
    </row>
    <row r="422" spans="1:5" ht="15.75" customHeight="1" x14ac:dyDescent="0.25">
      <c r="A422">
        <v>1992</v>
      </c>
      <c r="B422">
        <v>1</v>
      </c>
      <c r="C422">
        <v>1</v>
      </c>
      <c r="D422">
        <v>1</v>
      </c>
      <c r="E422">
        <v>0</v>
      </c>
    </row>
    <row r="423" spans="1:5" ht="15.75" customHeight="1" x14ac:dyDescent="0.25">
      <c r="A423">
        <v>1992</v>
      </c>
      <c r="B423">
        <v>1</v>
      </c>
      <c r="C423">
        <v>2</v>
      </c>
      <c r="D423">
        <v>1</v>
      </c>
      <c r="E423">
        <v>0</v>
      </c>
    </row>
    <row r="424" spans="1:5" ht="15.75" customHeight="1" x14ac:dyDescent="0.25">
      <c r="A424">
        <v>1992</v>
      </c>
      <c r="B424">
        <v>2</v>
      </c>
      <c r="C424">
        <v>1</v>
      </c>
      <c r="D424">
        <v>1</v>
      </c>
      <c r="E424">
        <v>0</v>
      </c>
    </row>
    <row r="425" spans="1:5" ht="15.75" customHeight="1" x14ac:dyDescent="0.25">
      <c r="A425">
        <v>1992</v>
      </c>
      <c r="B425">
        <v>2</v>
      </c>
      <c r="C425">
        <v>2</v>
      </c>
      <c r="D425">
        <v>1</v>
      </c>
      <c r="E425">
        <v>0</v>
      </c>
    </row>
    <row r="426" spans="1:5" ht="15.75" customHeight="1" x14ac:dyDescent="0.25">
      <c r="A426">
        <v>1992</v>
      </c>
      <c r="B426">
        <v>3</v>
      </c>
      <c r="C426">
        <v>1</v>
      </c>
      <c r="D426">
        <v>1</v>
      </c>
      <c r="E426">
        <v>0</v>
      </c>
    </row>
    <row r="427" spans="1:5" ht="15.75" customHeight="1" x14ac:dyDescent="0.25">
      <c r="A427">
        <v>1992</v>
      </c>
      <c r="B427">
        <v>3</v>
      </c>
      <c r="C427">
        <v>2</v>
      </c>
      <c r="D427">
        <v>1</v>
      </c>
      <c r="E427">
        <v>0</v>
      </c>
    </row>
    <row r="428" spans="1:5" ht="15.75" customHeight="1" x14ac:dyDescent="0.25">
      <c r="A428">
        <v>1992</v>
      </c>
      <c r="B428">
        <v>4</v>
      </c>
      <c r="C428">
        <v>1</v>
      </c>
      <c r="D428">
        <v>1</v>
      </c>
      <c r="E428">
        <v>0</v>
      </c>
    </row>
    <row r="429" spans="1:5" ht="15.75" customHeight="1" x14ac:dyDescent="0.25">
      <c r="A429">
        <v>1992</v>
      </c>
      <c r="B429">
        <v>4</v>
      </c>
      <c r="C429">
        <v>2</v>
      </c>
      <c r="D429">
        <v>1</v>
      </c>
      <c r="E429">
        <v>0</v>
      </c>
    </row>
    <row r="430" spans="1:5" ht="15.75" customHeight="1" x14ac:dyDescent="0.25">
      <c r="A430">
        <v>1992</v>
      </c>
      <c r="B430">
        <v>5</v>
      </c>
      <c r="C430">
        <v>1</v>
      </c>
      <c r="D430">
        <v>1</v>
      </c>
      <c r="E430">
        <v>0</v>
      </c>
    </row>
    <row r="431" spans="1:5" ht="15.75" customHeight="1" x14ac:dyDescent="0.25">
      <c r="A431">
        <v>1992</v>
      </c>
      <c r="B431">
        <v>5</v>
      </c>
      <c r="C431">
        <v>2</v>
      </c>
      <c r="D431">
        <v>1</v>
      </c>
      <c r="E431">
        <v>0</v>
      </c>
    </row>
    <row r="432" spans="1:5" ht="15.75" customHeight="1" x14ac:dyDescent="0.25">
      <c r="A432">
        <v>1992</v>
      </c>
      <c r="B432">
        <v>6</v>
      </c>
      <c r="C432">
        <v>1</v>
      </c>
      <c r="D432">
        <v>1</v>
      </c>
      <c r="E432">
        <v>0</v>
      </c>
    </row>
    <row r="433" spans="1:5" ht="15.75" customHeight="1" x14ac:dyDescent="0.25">
      <c r="A433">
        <v>1992</v>
      </c>
      <c r="B433">
        <v>6</v>
      </c>
      <c r="C433">
        <v>2</v>
      </c>
      <c r="D433">
        <v>1</v>
      </c>
      <c r="E433">
        <v>0</v>
      </c>
    </row>
    <row r="434" spans="1:5" ht="15.75" customHeight="1" x14ac:dyDescent="0.25">
      <c r="A434">
        <v>1993</v>
      </c>
      <c r="B434">
        <v>1</v>
      </c>
      <c r="C434">
        <v>1</v>
      </c>
      <c r="D434">
        <v>1</v>
      </c>
      <c r="E434">
        <v>0</v>
      </c>
    </row>
    <row r="435" spans="1:5" ht="15.75" customHeight="1" x14ac:dyDescent="0.25">
      <c r="A435">
        <v>1993</v>
      </c>
      <c r="B435">
        <v>1</v>
      </c>
      <c r="C435">
        <v>2</v>
      </c>
      <c r="D435">
        <v>1</v>
      </c>
      <c r="E435">
        <v>0</v>
      </c>
    </row>
    <row r="436" spans="1:5" ht="15.75" customHeight="1" x14ac:dyDescent="0.25">
      <c r="A436">
        <v>1993</v>
      </c>
      <c r="B436">
        <v>2</v>
      </c>
      <c r="C436">
        <v>1</v>
      </c>
      <c r="D436">
        <v>1</v>
      </c>
      <c r="E436">
        <v>0</v>
      </c>
    </row>
    <row r="437" spans="1:5" ht="15.75" customHeight="1" x14ac:dyDescent="0.25">
      <c r="A437">
        <v>1993</v>
      </c>
      <c r="B437">
        <v>2</v>
      </c>
      <c r="C437">
        <v>2</v>
      </c>
      <c r="D437">
        <v>1</v>
      </c>
      <c r="E437">
        <v>0</v>
      </c>
    </row>
    <row r="438" spans="1:5" ht="15.75" customHeight="1" x14ac:dyDescent="0.25">
      <c r="A438">
        <v>1993</v>
      </c>
      <c r="B438">
        <v>3</v>
      </c>
      <c r="C438">
        <v>1</v>
      </c>
      <c r="D438">
        <v>1</v>
      </c>
      <c r="E438">
        <v>0</v>
      </c>
    </row>
    <row r="439" spans="1:5" ht="15.75" customHeight="1" x14ac:dyDescent="0.25">
      <c r="A439">
        <v>1993</v>
      </c>
      <c r="B439">
        <v>3</v>
      </c>
      <c r="C439">
        <v>2</v>
      </c>
      <c r="D439">
        <v>1</v>
      </c>
      <c r="E439">
        <v>0</v>
      </c>
    </row>
    <row r="440" spans="1:5" ht="15.75" customHeight="1" x14ac:dyDescent="0.25">
      <c r="A440">
        <v>1993</v>
      </c>
      <c r="B440">
        <v>4</v>
      </c>
      <c r="C440">
        <v>1</v>
      </c>
      <c r="D440">
        <v>1</v>
      </c>
      <c r="E440">
        <v>0</v>
      </c>
    </row>
    <row r="441" spans="1:5" ht="15.75" customHeight="1" x14ac:dyDescent="0.25">
      <c r="A441">
        <v>1993</v>
      </c>
      <c r="B441">
        <v>4</v>
      </c>
      <c r="C441">
        <v>2</v>
      </c>
      <c r="D441">
        <v>1</v>
      </c>
      <c r="E441">
        <v>0</v>
      </c>
    </row>
    <row r="442" spans="1:5" ht="15.75" customHeight="1" x14ac:dyDescent="0.25">
      <c r="A442">
        <v>1993</v>
      </c>
      <c r="B442">
        <v>5</v>
      </c>
      <c r="C442">
        <v>1</v>
      </c>
      <c r="D442">
        <v>1</v>
      </c>
      <c r="E442">
        <v>0</v>
      </c>
    </row>
    <row r="443" spans="1:5" ht="15.75" customHeight="1" x14ac:dyDescent="0.25">
      <c r="A443">
        <v>1993</v>
      </c>
      <c r="B443">
        <v>5</v>
      </c>
      <c r="C443">
        <v>2</v>
      </c>
      <c r="D443">
        <v>1</v>
      </c>
      <c r="E443">
        <v>0</v>
      </c>
    </row>
    <row r="444" spans="1:5" ht="15.75" customHeight="1" x14ac:dyDescent="0.25">
      <c r="A444">
        <v>1993</v>
      </c>
      <c r="B444">
        <v>6</v>
      </c>
      <c r="C444">
        <v>1</v>
      </c>
      <c r="D444">
        <v>1</v>
      </c>
      <c r="E444">
        <v>0</v>
      </c>
    </row>
    <row r="445" spans="1:5" ht="15.75" customHeight="1" x14ac:dyDescent="0.25">
      <c r="A445">
        <v>1993</v>
      </c>
      <c r="B445">
        <v>6</v>
      </c>
      <c r="C445">
        <v>2</v>
      </c>
      <c r="D445">
        <v>1</v>
      </c>
      <c r="E445">
        <v>0</v>
      </c>
    </row>
    <row r="446" spans="1:5" ht="15.75" customHeight="1" x14ac:dyDescent="0.25">
      <c r="A446">
        <v>1994</v>
      </c>
      <c r="B446">
        <v>1</v>
      </c>
      <c r="C446">
        <v>1</v>
      </c>
      <c r="D446">
        <v>1</v>
      </c>
      <c r="E446">
        <v>0</v>
      </c>
    </row>
    <row r="447" spans="1:5" ht="15.75" customHeight="1" x14ac:dyDescent="0.25">
      <c r="A447">
        <v>1994</v>
      </c>
      <c r="B447">
        <v>1</v>
      </c>
      <c r="C447">
        <v>2</v>
      </c>
      <c r="D447">
        <v>1</v>
      </c>
      <c r="E447">
        <v>0</v>
      </c>
    </row>
    <row r="448" spans="1:5" ht="15.75" customHeight="1" x14ac:dyDescent="0.25">
      <c r="A448">
        <v>1994</v>
      </c>
      <c r="B448">
        <v>2</v>
      </c>
      <c r="C448">
        <v>1</v>
      </c>
      <c r="D448">
        <v>1</v>
      </c>
      <c r="E448">
        <v>0</v>
      </c>
    </row>
    <row r="449" spans="1:5" ht="15.75" customHeight="1" x14ac:dyDescent="0.25">
      <c r="A449">
        <v>1994</v>
      </c>
      <c r="B449">
        <v>2</v>
      </c>
      <c r="C449">
        <v>2</v>
      </c>
      <c r="D449">
        <v>1</v>
      </c>
      <c r="E449">
        <v>0</v>
      </c>
    </row>
    <row r="450" spans="1:5" ht="15.75" customHeight="1" x14ac:dyDescent="0.25">
      <c r="A450">
        <v>1994</v>
      </c>
      <c r="B450">
        <v>3</v>
      </c>
      <c r="C450">
        <v>1</v>
      </c>
      <c r="D450">
        <v>1</v>
      </c>
      <c r="E450">
        <v>0</v>
      </c>
    </row>
    <row r="451" spans="1:5" ht="15.75" customHeight="1" x14ac:dyDescent="0.25">
      <c r="A451">
        <v>1994</v>
      </c>
      <c r="B451">
        <v>3</v>
      </c>
      <c r="C451">
        <v>2</v>
      </c>
      <c r="D451">
        <v>1</v>
      </c>
      <c r="E451">
        <v>0</v>
      </c>
    </row>
    <row r="452" spans="1:5" ht="15.75" customHeight="1" x14ac:dyDescent="0.25">
      <c r="A452">
        <v>1994</v>
      </c>
      <c r="B452">
        <v>4</v>
      </c>
      <c r="C452">
        <v>1</v>
      </c>
      <c r="D452">
        <v>1</v>
      </c>
      <c r="E452">
        <v>0</v>
      </c>
    </row>
    <row r="453" spans="1:5" ht="15.75" customHeight="1" x14ac:dyDescent="0.25">
      <c r="A453">
        <v>1994</v>
      </c>
      <c r="B453">
        <v>4</v>
      </c>
      <c r="C453">
        <v>2</v>
      </c>
      <c r="D453">
        <v>1</v>
      </c>
      <c r="E453">
        <v>0</v>
      </c>
    </row>
    <row r="454" spans="1:5" ht="15.75" customHeight="1" x14ac:dyDescent="0.25">
      <c r="A454">
        <v>1994</v>
      </c>
      <c r="B454">
        <v>5</v>
      </c>
      <c r="C454">
        <v>1</v>
      </c>
      <c r="D454">
        <v>1</v>
      </c>
      <c r="E454">
        <v>0</v>
      </c>
    </row>
    <row r="455" spans="1:5" ht="15.75" customHeight="1" x14ac:dyDescent="0.25">
      <c r="A455">
        <v>1994</v>
      </c>
      <c r="B455">
        <v>5</v>
      </c>
      <c r="C455">
        <v>2</v>
      </c>
      <c r="D455">
        <v>1</v>
      </c>
      <c r="E455">
        <v>0</v>
      </c>
    </row>
    <row r="456" spans="1:5" ht="15.75" customHeight="1" x14ac:dyDescent="0.25">
      <c r="A456">
        <v>1994</v>
      </c>
      <c r="B456">
        <v>6</v>
      </c>
      <c r="C456">
        <v>1</v>
      </c>
      <c r="D456">
        <v>1</v>
      </c>
      <c r="E456">
        <v>0</v>
      </c>
    </row>
    <row r="457" spans="1:5" ht="15.75" customHeight="1" x14ac:dyDescent="0.25">
      <c r="A457">
        <v>1994</v>
      </c>
      <c r="B457">
        <v>6</v>
      </c>
      <c r="C457">
        <v>2</v>
      </c>
      <c r="D457">
        <v>1</v>
      </c>
      <c r="E457">
        <v>0</v>
      </c>
    </row>
    <row r="458" spans="1:5" ht="15.75" customHeight="1" x14ac:dyDescent="0.25">
      <c r="A458">
        <v>1995</v>
      </c>
      <c r="B458">
        <v>1</v>
      </c>
      <c r="C458">
        <v>1</v>
      </c>
      <c r="D458">
        <v>1</v>
      </c>
      <c r="E458">
        <v>0</v>
      </c>
    </row>
    <row r="459" spans="1:5" ht="15.75" customHeight="1" x14ac:dyDescent="0.25">
      <c r="A459">
        <v>1995</v>
      </c>
      <c r="B459">
        <v>1</v>
      </c>
      <c r="C459">
        <v>2</v>
      </c>
      <c r="D459">
        <v>1</v>
      </c>
      <c r="E459">
        <v>0</v>
      </c>
    </row>
    <row r="460" spans="1:5" ht="15.75" customHeight="1" x14ac:dyDescent="0.25">
      <c r="A460">
        <v>1995</v>
      </c>
      <c r="B460">
        <v>2</v>
      </c>
      <c r="C460">
        <v>1</v>
      </c>
      <c r="D460">
        <v>1</v>
      </c>
      <c r="E460">
        <v>0</v>
      </c>
    </row>
    <row r="461" spans="1:5" ht="15.75" customHeight="1" x14ac:dyDescent="0.25">
      <c r="A461">
        <v>1995</v>
      </c>
      <c r="B461">
        <v>2</v>
      </c>
      <c r="C461">
        <v>2</v>
      </c>
      <c r="D461">
        <v>1</v>
      </c>
      <c r="E461">
        <v>0</v>
      </c>
    </row>
    <row r="462" spans="1:5" ht="15.75" customHeight="1" x14ac:dyDescent="0.25">
      <c r="A462">
        <v>1995</v>
      </c>
      <c r="B462">
        <v>3</v>
      </c>
      <c r="C462">
        <v>1</v>
      </c>
      <c r="D462">
        <v>1</v>
      </c>
      <c r="E462">
        <v>0</v>
      </c>
    </row>
    <row r="463" spans="1:5" ht="15.75" customHeight="1" x14ac:dyDescent="0.25">
      <c r="A463">
        <v>1995</v>
      </c>
      <c r="B463">
        <v>3</v>
      </c>
      <c r="C463">
        <v>2</v>
      </c>
      <c r="D463">
        <v>1</v>
      </c>
      <c r="E463">
        <v>0</v>
      </c>
    </row>
    <row r="464" spans="1:5" ht="15.75" customHeight="1" x14ac:dyDescent="0.25">
      <c r="A464">
        <v>1995</v>
      </c>
      <c r="B464">
        <v>4</v>
      </c>
      <c r="C464">
        <v>1</v>
      </c>
      <c r="D464">
        <v>1</v>
      </c>
      <c r="E464">
        <v>0</v>
      </c>
    </row>
    <row r="465" spans="1:5" ht="15.75" customHeight="1" x14ac:dyDescent="0.25">
      <c r="A465">
        <v>1995</v>
      </c>
      <c r="B465">
        <v>4</v>
      </c>
      <c r="C465">
        <v>2</v>
      </c>
      <c r="D465">
        <v>1</v>
      </c>
      <c r="E465">
        <v>0</v>
      </c>
    </row>
    <row r="466" spans="1:5" ht="15.75" customHeight="1" x14ac:dyDescent="0.25">
      <c r="A466">
        <v>1995</v>
      </c>
      <c r="B466">
        <v>5</v>
      </c>
      <c r="C466">
        <v>1</v>
      </c>
      <c r="D466">
        <v>1</v>
      </c>
      <c r="E466">
        <v>0</v>
      </c>
    </row>
    <row r="467" spans="1:5" ht="15.75" customHeight="1" x14ac:dyDescent="0.25">
      <c r="A467">
        <v>1995</v>
      </c>
      <c r="B467">
        <v>5</v>
      </c>
      <c r="C467">
        <v>2</v>
      </c>
      <c r="D467">
        <v>1</v>
      </c>
      <c r="E467">
        <v>0</v>
      </c>
    </row>
    <row r="468" spans="1:5" ht="15.75" customHeight="1" x14ac:dyDescent="0.25">
      <c r="A468">
        <v>1995</v>
      </c>
      <c r="B468">
        <v>6</v>
      </c>
      <c r="C468">
        <v>1</v>
      </c>
      <c r="D468">
        <v>1</v>
      </c>
      <c r="E468">
        <v>0</v>
      </c>
    </row>
    <row r="469" spans="1:5" ht="15.75" customHeight="1" x14ac:dyDescent="0.25">
      <c r="A469">
        <v>1995</v>
      </c>
      <c r="B469">
        <v>6</v>
      </c>
      <c r="C469">
        <v>2</v>
      </c>
      <c r="D469">
        <v>1</v>
      </c>
      <c r="E469">
        <v>0</v>
      </c>
    </row>
    <row r="470" spans="1:5" ht="15.75" customHeight="1" x14ac:dyDescent="0.25">
      <c r="A470">
        <v>1996</v>
      </c>
      <c r="B470">
        <v>1</v>
      </c>
      <c r="C470">
        <v>1</v>
      </c>
      <c r="D470">
        <v>1</v>
      </c>
      <c r="E470">
        <v>0</v>
      </c>
    </row>
    <row r="471" spans="1:5" ht="15.75" customHeight="1" x14ac:dyDescent="0.25">
      <c r="A471">
        <v>1996</v>
      </c>
      <c r="B471">
        <v>1</v>
      </c>
      <c r="C471">
        <v>2</v>
      </c>
      <c r="D471">
        <v>1</v>
      </c>
      <c r="E471">
        <v>0</v>
      </c>
    </row>
    <row r="472" spans="1:5" ht="15.75" customHeight="1" x14ac:dyDescent="0.25">
      <c r="A472">
        <v>1996</v>
      </c>
      <c r="B472">
        <v>2</v>
      </c>
      <c r="C472">
        <v>1</v>
      </c>
      <c r="D472">
        <v>1</v>
      </c>
      <c r="E472">
        <v>0</v>
      </c>
    </row>
    <row r="473" spans="1:5" ht="15.75" customHeight="1" x14ac:dyDescent="0.25">
      <c r="A473">
        <v>1996</v>
      </c>
      <c r="B473">
        <v>2</v>
      </c>
      <c r="C473">
        <v>2</v>
      </c>
      <c r="D473">
        <v>1</v>
      </c>
      <c r="E473">
        <v>0</v>
      </c>
    </row>
    <row r="474" spans="1:5" ht="15.75" customHeight="1" x14ac:dyDescent="0.25">
      <c r="A474">
        <v>1996</v>
      </c>
      <c r="B474">
        <v>3</v>
      </c>
      <c r="C474">
        <v>1</v>
      </c>
      <c r="D474">
        <v>1</v>
      </c>
      <c r="E474">
        <v>0</v>
      </c>
    </row>
    <row r="475" spans="1:5" ht="15.75" customHeight="1" x14ac:dyDescent="0.25">
      <c r="A475">
        <v>1996</v>
      </c>
      <c r="B475">
        <v>3</v>
      </c>
      <c r="C475">
        <v>2</v>
      </c>
      <c r="D475">
        <v>1</v>
      </c>
      <c r="E475">
        <v>0</v>
      </c>
    </row>
    <row r="476" spans="1:5" ht="15.75" customHeight="1" x14ac:dyDescent="0.25">
      <c r="A476">
        <v>1996</v>
      </c>
      <c r="B476">
        <v>4</v>
      </c>
      <c r="C476">
        <v>1</v>
      </c>
      <c r="D476">
        <v>1</v>
      </c>
      <c r="E476">
        <v>0</v>
      </c>
    </row>
    <row r="477" spans="1:5" ht="15.75" customHeight="1" x14ac:dyDescent="0.25">
      <c r="A477">
        <v>1996</v>
      </c>
      <c r="B477">
        <v>4</v>
      </c>
      <c r="C477">
        <v>2</v>
      </c>
      <c r="D477">
        <v>1</v>
      </c>
      <c r="E477">
        <v>0</v>
      </c>
    </row>
    <row r="478" spans="1:5" ht="15.75" customHeight="1" x14ac:dyDescent="0.25">
      <c r="A478">
        <v>1996</v>
      </c>
      <c r="B478">
        <v>5</v>
      </c>
      <c r="C478">
        <v>1</v>
      </c>
      <c r="D478">
        <v>1</v>
      </c>
      <c r="E478">
        <v>0</v>
      </c>
    </row>
    <row r="479" spans="1:5" ht="15.75" customHeight="1" x14ac:dyDescent="0.25">
      <c r="A479">
        <v>1996</v>
      </c>
      <c r="B479">
        <v>5</v>
      </c>
      <c r="C479">
        <v>2</v>
      </c>
      <c r="D479">
        <v>1</v>
      </c>
      <c r="E479">
        <v>0</v>
      </c>
    </row>
    <row r="480" spans="1:5" ht="15.75" customHeight="1" x14ac:dyDescent="0.25">
      <c r="A480">
        <v>1996</v>
      </c>
      <c r="B480">
        <v>6</v>
      </c>
      <c r="C480">
        <v>1</v>
      </c>
      <c r="D480">
        <v>1</v>
      </c>
      <c r="E480">
        <v>0</v>
      </c>
    </row>
    <row r="481" spans="1:5" ht="15.75" customHeight="1" x14ac:dyDescent="0.25">
      <c r="A481">
        <v>1996</v>
      </c>
      <c r="B481">
        <v>6</v>
      </c>
      <c r="C481">
        <v>2</v>
      </c>
      <c r="D481">
        <v>1</v>
      </c>
      <c r="E481">
        <v>0</v>
      </c>
    </row>
    <row r="482" spans="1:5" ht="15.75" customHeight="1" x14ac:dyDescent="0.25">
      <c r="A482">
        <v>1997</v>
      </c>
      <c r="B482">
        <v>1</v>
      </c>
      <c r="C482">
        <v>1</v>
      </c>
      <c r="D482">
        <v>1</v>
      </c>
      <c r="E482">
        <v>0</v>
      </c>
    </row>
    <row r="483" spans="1:5" ht="15.75" customHeight="1" x14ac:dyDescent="0.25">
      <c r="A483">
        <v>1997</v>
      </c>
      <c r="B483">
        <v>1</v>
      </c>
      <c r="C483">
        <v>2</v>
      </c>
      <c r="D483">
        <v>1</v>
      </c>
      <c r="E483">
        <v>0</v>
      </c>
    </row>
    <row r="484" spans="1:5" ht="15.75" customHeight="1" x14ac:dyDescent="0.25">
      <c r="A484">
        <v>1997</v>
      </c>
      <c r="B484">
        <v>2</v>
      </c>
      <c r="C484">
        <v>1</v>
      </c>
      <c r="D484">
        <v>1</v>
      </c>
      <c r="E484">
        <v>0</v>
      </c>
    </row>
    <row r="485" spans="1:5" ht="15.75" customHeight="1" x14ac:dyDescent="0.25">
      <c r="A485">
        <v>1997</v>
      </c>
      <c r="B485">
        <v>2</v>
      </c>
      <c r="C485">
        <v>2</v>
      </c>
      <c r="D485">
        <v>1</v>
      </c>
      <c r="E485">
        <v>0</v>
      </c>
    </row>
    <row r="486" spans="1:5" ht="15.75" customHeight="1" x14ac:dyDescent="0.25">
      <c r="A486">
        <v>1997</v>
      </c>
      <c r="B486">
        <v>3</v>
      </c>
      <c r="C486">
        <v>1</v>
      </c>
      <c r="D486">
        <v>1</v>
      </c>
      <c r="E486">
        <v>0</v>
      </c>
    </row>
    <row r="487" spans="1:5" ht="15.75" customHeight="1" x14ac:dyDescent="0.25">
      <c r="A487">
        <v>1997</v>
      </c>
      <c r="B487">
        <v>3</v>
      </c>
      <c r="C487">
        <v>2</v>
      </c>
      <c r="D487">
        <v>1</v>
      </c>
      <c r="E487">
        <v>0</v>
      </c>
    </row>
    <row r="488" spans="1:5" ht="15.75" customHeight="1" x14ac:dyDescent="0.25">
      <c r="A488">
        <v>1997</v>
      </c>
      <c r="B488">
        <v>4</v>
      </c>
      <c r="C488">
        <v>1</v>
      </c>
      <c r="D488">
        <v>1</v>
      </c>
      <c r="E488">
        <v>0</v>
      </c>
    </row>
    <row r="489" spans="1:5" ht="15.75" customHeight="1" x14ac:dyDescent="0.25">
      <c r="A489">
        <v>1997</v>
      </c>
      <c r="B489">
        <v>4</v>
      </c>
      <c r="C489">
        <v>2</v>
      </c>
      <c r="D489">
        <v>1</v>
      </c>
      <c r="E489">
        <v>0</v>
      </c>
    </row>
    <row r="490" spans="1:5" ht="15.75" customHeight="1" x14ac:dyDescent="0.25">
      <c r="A490">
        <v>1997</v>
      </c>
      <c r="B490">
        <v>5</v>
      </c>
      <c r="C490">
        <v>1</v>
      </c>
      <c r="D490">
        <v>1</v>
      </c>
      <c r="E490">
        <v>0</v>
      </c>
    </row>
    <row r="491" spans="1:5" ht="15.75" customHeight="1" x14ac:dyDescent="0.25">
      <c r="A491">
        <v>1997</v>
      </c>
      <c r="B491">
        <v>5</v>
      </c>
      <c r="C491">
        <v>2</v>
      </c>
      <c r="D491">
        <v>1</v>
      </c>
      <c r="E491">
        <v>0</v>
      </c>
    </row>
    <row r="492" spans="1:5" ht="15.75" customHeight="1" x14ac:dyDescent="0.25">
      <c r="A492">
        <v>1997</v>
      </c>
      <c r="B492">
        <v>6</v>
      </c>
      <c r="C492">
        <v>1</v>
      </c>
      <c r="D492">
        <v>1</v>
      </c>
      <c r="E492">
        <v>0</v>
      </c>
    </row>
    <row r="493" spans="1:5" ht="15.75" customHeight="1" x14ac:dyDescent="0.25">
      <c r="A493">
        <v>1997</v>
      </c>
      <c r="B493">
        <v>6</v>
      </c>
      <c r="C493">
        <v>2</v>
      </c>
      <c r="D493">
        <v>1</v>
      </c>
      <c r="E493">
        <v>0</v>
      </c>
    </row>
    <row r="494" spans="1:5" ht="15.75" customHeight="1" x14ac:dyDescent="0.25">
      <c r="A494">
        <v>1998</v>
      </c>
      <c r="B494">
        <v>1</v>
      </c>
      <c r="C494">
        <v>1</v>
      </c>
      <c r="D494">
        <v>1</v>
      </c>
      <c r="E494">
        <v>0</v>
      </c>
    </row>
    <row r="495" spans="1:5" ht="15.75" customHeight="1" x14ac:dyDescent="0.25">
      <c r="A495">
        <v>1998</v>
      </c>
      <c r="B495">
        <v>1</v>
      </c>
      <c r="C495">
        <v>2</v>
      </c>
      <c r="D495">
        <v>1</v>
      </c>
      <c r="E495">
        <v>0</v>
      </c>
    </row>
    <row r="496" spans="1:5" ht="15.75" customHeight="1" x14ac:dyDescent="0.25">
      <c r="A496">
        <v>1998</v>
      </c>
      <c r="B496">
        <v>2</v>
      </c>
      <c r="C496">
        <v>1</v>
      </c>
      <c r="D496">
        <v>1</v>
      </c>
      <c r="E496">
        <v>0</v>
      </c>
    </row>
    <row r="497" spans="1:5" ht="15.75" customHeight="1" x14ac:dyDescent="0.25">
      <c r="A497">
        <v>1998</v>
      </c>
      <c r="B497">
        <v>2</v>
      </c>
      <c r="C497">
        <v>2</v>
      </c>
      <c r="D497">
        <v>1</v>
      </c>
      <c r="E497">
        <v>0</v>
      </c>
    </row>
    <row r="498" spans="1:5" ht="15.75" customHeight="1" x14ac:dyDescent="0.25">
      <c r="A498">
        <v>1998</v>
      </c>
      <c r="B498">
        <v>3</v>
      </c>
      <c r="C498">
        <v>1</v>
      </c>
      <c r="D498">
        <v>1</v>
      </c>
      <c r="E498">
        <v>0</v>
      </c>
    </row>
    <row r="499" spans="1:5" ht="15.75" customHeight="1" x14ac:dyDescent="0.25">
      <c r="A499">
        <v>1998</v>
      </c>
      <c r="B499">
        <v>3</v>
      </c>
      <c r="C499">
        <v>2</v>
      </c>
      <c r="D499">
        <v>1</v>
      </c>
      <c r="E499">
        <v>0</v>
      </c>
    </row>
    <row r="500" spans="1:5" ht="15.75" customHeight="1" x14ac:dyDescent="0.25">
      <c r="A500">
        <v>1998</v>
      </c>
      <c r="B500">
        <v>4</v>
      </c>
      <c r="C500">
        <v>1</v>
      </c>
      <c r="D500">
        <v>1</v>
      </c>
      <c r="E500">
        <v>0</v>
      </c>
    </row>
    <row r="501" spans="1:5" ht="15.75" customHeight="1" x14ac:dyDescent="0.25">
      <c r="A501">
        <v>1998</v>
      </c>
      <c r="B501">
        <v>4</v>
      </c>
      <c r="C501">
        <v>2</v>
      </c>
      <c r="D501">
        <v>1</v>
      </c>
      <c r="E501">
        <v>0</v>
      </c>
    </row>
    <row r="502" spans="1:5" ht="15.75" customHeight="1" x14ac:dyDescent="0.25">
      <c r="A502">
        <v>1998</v>
      </c>
      <c r="B502">
        <v>5</v>
      </c>
      <c r="C502">
        <v>1</v>
      </c>
      <c r="D502">
        <v>1</v>
      </c>
      <c r="E502">
        <v>0</v>
      </c>
    </row>
    <row r="503" spans="1:5" ht="15.75" customHeight="1" x14ac:dyDescent="0.25">
      <c r="A503">
        <v>1998</v>
      </c>
      <c r="B503">
        <v>5</v>
      </c>
      <c r="C503">
        <v>2</v>
      </c>
      <c r="D503">
        <v>1</v>
      </c>
      <c r="E503">
        <v>0</v>
      </c>
    </row>
    <row r="504" spans="1:5" ht="15.75" customHeight="1" x14ac:dyDescent="0.25">
      <c r="A504">
        <v>1998</v>
      </c>
      <c r="B504">
        <v>6</v>
      </c>
      <c r="C504">
        <v>1</v>
      </c>
      <c r="D504">
        <v>1</v>
      </c>
      <c r="E504">
        <v>0</v>
      </c>
    </row>
    <row r="505" spans="1:5" ht="15.75" customHeight="1" x14ac:dyDescent="0.25">
      <c r="A505">
        <v>1998</v>
      </c>
      <c r="B505">
        <v>6</v>
      </c>
      <c r="C505">
        <v>2</v>
      </c>
      <c r="D505">
        <v>1</v>
      </c>
      <c r="E505">
        <v>0</v>
      </c>
    </row>
    <row r="506" spans="1:5" ht="15.75" customHeight="1" x14ac:dyDescent="0.25">
      <c r="A506">
        <v>1999</v>
      </c>
      <c r="B506">
        <v>1</v>
      </c>
      <c r="C506">
        <v>1</v>
      </c>
      <c r="D506">
        <v>1</v>
      </c>
      <c r="E506">
        <v>0</v>
      </c>
    </row>
    <row r="507" spans="1:5" ht="15.75" customHeight="1" x14ac:dyDescent="0.25">
      <c r="A507">
        <v>1999</v>
      </c>
      <c r="B507">
        <v>1</v>
      </c>
      <c r="C507">
        <v>2</v>
      </c>
      <c r="D507">
        <v>1</v>
      </c>
      <c r="E507">
        <v>0</v>
      </c>
    </row>
    <row r="508" spans="1:5" ht="15.75" customHeight="1" x14ac:dyDescent="0.25">
      <c r="A508">
        <v>1999</v>
      </c>
      <c r="B508">
        <v>2</v>
      </c>
      <c r="C508">
        <v>1</v>
      </c>
      <c r="D508">
        <v>1</v>
      </c>
      <c r="E508">
        <v>0</v>
      </c>
    </row>
    <row r="509" spans="1:5" ht="15.75" customHeight="1" x14ac:dyDescent="0.25">
      <c r="A509">
        <v>1999</v>
      </c>
      <c r="B509">
        <v>2</v>
      </c>
      <c r="C509">
        <v>2</v>
      </c>
      <c r="D509">
        <v>1</v>
      </c>
      <c r="E509">
        <v>0</v>
      </c>
    </row>
    <row r="510" spans="1:5" ht="15.75" customHeight="1" x14ac:dyDescent="0.25">
      <c r="A510">
        <v>1999</v>
      </c>
      <c r="B510">
        <v>3</v>
      </c>
      <c r="C510">
        <v>1</v>
      </c>
      <c r="D510">
        <v>1</v>
      </c>
      <c r="E510">
        <v>0</v>
      </c>
    </row>
    <row r="511" spans="1:5" ht="15.75" customHeight="1" x14ac:dyDescent="0.25">
      <c r="A511">
        <v>1999</v>
      </c>
      <c r="B511">
        <v>3</v>
      </c>
      <c r="C511">
        <v>2</v>
      </c>
      <c r="D511">
        <v>1</v>
      </c>
      <c r="E511">
        <v>0</v>
      </c>
    </row>
    <row r="512" spans="1:5" ht="15.75" customHeight="1" x14ac:dyDescent="0.25">
      <c r="A512">
        <v>1999</v>
      </c>
      <c r="B512">
        <v>4</v>
      </c>
      <c r="C512">
        <v>1</v>
      </c>
      <c r="D512">
        <v>1</v>
      </c>
      <c r="E512">
        <v>0</v>
      </c>
    </row>
    <row r="513" spans="1:5" ht="15.75" customHeight="1" x14ac:dyDescent="0.25">
      <c r="A513">
        <v>1999</v>
      </c>
      <c r="B513">
        <v>4</v>
      </c>
      <c r="C513">
        <v>2</v>
      </c>
      <c r="D513">
        <v>1</v>
      </c>
      <c r="E513">
        <v>0</v>
      </c>
    </row>
    <row r="514" spans="1:5" ht="15.75" customHeight="1" x14ac:dyDescent="0.25">
      <c r="A514">
        <v>1999</v>
      </c>
      <c r="B514">
        <v>5</v>
      </c>
      <c r="C514">
        <v>1</v>
      </c>
      <c r="D514">
        <v>1</v>
      </c>
      <c r="E514">
        <v>0</v>
      </c>
    </row>
    <row r="515" spans="1:5" ht="15.75" customHeight="1" x14ac:dyDescent="0.25">
      <c r="A515">
        <v>1999</v>
      </c>
      <c r="B515">
        <v>5</v>
      </c>
      <c r="C515">
        <v>2</v>
      </c>
      <c r="D515">
        <v>1</v>
      </c>
      <c r="E515">
        <v>0</v>
      </c>
    </row>
    <row r="516" spans="1:5" ht="15.75" customHeight="1" x14ac:dyDescent="0.25">
      <c r="A516">
        <v>1999</v>
      </c>
      <c r="B516">
        <v>6</v>
      </c>
      <c r="C516">
        <v>1</v>
      </c>
      <c r="D516">
        <v>1</v>
      </c>
      <c r="E516">
        <v>0</v>
      </c>
    </row>
    <row r="517" spans="1:5" ht="15.75" customHeight="1" x14ac:dyDescent="0.25">
      <c r="A517">
        <v>1999</v>
      </c>
      <c r="B517">
        <v>6</v>
      </c>
      <c r="C517">
        <v>2</v>
      </c>
      <c r="D517">
        <v>1</v>
      </c>
      <c r="E517">
        <v>0</v>
      </c>
    </row>
    <row r="518" spans="1:5" ht="15.75" customHeight="1" x14ac:dyDescent="0.25">
      <c r="A518">
        <v>2000</v>
      </c>
      <c r="B518">
        <v>1</v>
      </c>
      <c r="C518">
        <v>1</v>
      </c>
      <c r="D518">
        <v>1</v>
      </c>
      <c r="E518">
        <v>0</v>
      </c>
    </row>
    <row r="519" spans="1:5" ht="15.75" customHeight="1" x14ac:dyDescent="0.25">
      <c r="A519">
        <v>2000</v>
      </c>
      <c r="B519">
        <v>1</v>
      </c>
      <c r="C519">
        <v>2</v>
      </c>
      <c r="D519">
        <v>1</v>
      </c>
      <c r="E519">
        <v>0</v>
      </c>
    </row>
    <row r="520" spans="1:5" ht="15.75" customHeight="1" x14ac:dyDescent="0.25">
      <c r="A520">
        <v>2000</v>
      </c>
      <c r="B520">
        <v>2</v>
      </c>
      <c r="C520">
        <v>1</v>
      </c>
      <c r="D520">
        <v>1</v>
      </c>
      <c r="E520">
        <v>0</v>
      </c>
    </row>
    <row r="521" spans="1:5" ht="15.75" customHeight="1" x14ac:dyDescent="0.25">
      <c r="A521">
        <v>2000</v>
      </c>
      <c r="B521">
        <v>2</v>
      </c>
      <c r="C521">
        <v>2</v>
      </c>
      <c r="D521">
        <v>1</v>
      </c>
      <c r="E521">
        <v>0</v>
      </c>
    </row>
    <row r="522" spans="1:5" ht="15.75" customHeight="1" x14ac:dyDescent="0.25">
      <c r="A522">
        <v>2000</v>
      </c>
      <c r="B522">
        <v>3</v>
      </c>
      <c r="C522">
        <v>1</v>
      </c>
      <c r="D522">
        <v>1</v>
      </c>
      <c r="E522">
        <v>0</v>
      </c>
    </row>
    <row r="523" spans="1:5" ht="15.75" customHeight="1" x14ac:dyDescent="0.25">
      <c r="A523">
        <v>2000</v>
      </c>
      <c r="B523">
        <v>3</v>
      </c>
      <c r="C523">
        <v>2</v>
      </c>
      <c r="D523">
        <v>1</v>
      </c>
      <c r="E523">
        <v>0</v>
      </c>
    </row>
    <row r="524" spans="1:5" ht="15.75" customHeight="1" x14ac:dyDescent="0.25">
      <c r="A524">
        <v>2000</v>
      </c>
      <c r="B524">
        <v>4</v>
      </c>
      <c r="C524">
        <v>1</v>
      </c>
      <c r="D524">
        <v>1</v>
      </c>
      <c r="E524">
        <v>0</v>
      </c>
    </row>
    <row r="525" spans="1:5" ht="15.75" customHeight="1" x14ac:dyDescent="0.25">
      <c r="A525">
        <v>2000</v>
      </c>
      <c r="B525">
        <v>4</v>
      </c>
      <c r="C525">
        <v>2</v>
      </c>
      <c r="D525">
        <v>1</v>
      </c>
      <c r="E525">
        <v>0</v>
      </c>
    </row>
    <row r="526" spans="1:5" ht="15.75" customHeight="1" x14ac:dyDescent="0.25">
      <c r="A526">
        <v>2000</v>
      </c>
      <c r="B526">
        <v>5</v>
      </c>
      <c r="C526">
        <v>1</v>
      </c>
      <c r="D526">
        <v>1</v>
      </c>
      <c r="E526">
        <v>0</v>
      </c>
    </row>
    <row r="527" spans="1:5" ht="15.75" customHeight="1" x14ac:dyDescent="0.25">
      <c r="A527">
        <v>2000</v>
      </c>
      <c r="B527">
        <v>5</v>
      </c>
      <c r="C527">
        <v>2</v>
      </c>
      <c r="D527">
        <v>1</v>
      </c>
      <c r="E527">
        <v>0</v>
      </c>
    </row>
    <row r="528" spans="1:5" ht="15.75" customHeight="1" x14ac:dyDescent="0.25">
      <c r="A528">
        <v>2000</v>
      </c>
      <c r="B528">
        <v>6</v>
      </c>
      <c r="C528">
        <v>1</v>
      </c>
      <c r="D528">
        <v>1</v>
      </c>
      <c r="E528">
        <v>0</v>
      </c>
    </row>
    <row r="529" spans="1:5" ht="15.75" customHeight="1" x14ac:dyDescent="0.25">
      <c r="A529">
        <v>2000</v>
      </c>
      <c r="B529">
        <v>6</v>
      </c>
      <c r="C529">
        <v>2</v>
      </c>
      <c r="D529">
        <v>1</v>
      </c>
      <c r="E529">
        <v>0</v>
      </c>
    </row>
    <row r="530" spans="1:5" ht="15.75" customHeight="1" x14ac:dyDescent="0.25">
      <c r="A530">
        <v>2001</v>
      </c>
      <c r="B530">
        <v>1</v>
      </c>
      <c r="C530">
        <v>1</v>
      </c>
      <c r="D530">
        <v>1</v>
      </c>
      <c r="E530">
        <v>0</v>
      </c>
    </row>
    <row r="531" spans="1:5" ht="15.75" customHeight="1" x14ac:dyDescent="0.25">
      <c r="A531">
        <v>2001</v>
      </c>
      <c r="B531">
        <v>1</v>
      </c>
      <c r="C531">
        <v>2</v>
      </c>
      <c r="D531">
        <v>1</v>
      </c>
      <c r="E531">
        <v>0</v>
      </c>
    </row>
    <row r="532" spans="1:5" ht="15.75" customHeight="1" x14ac:dyDescent="0.25">
      <c r="A532">
        <v>2001</v>
      </c>
      <c r="B532">
        <v>2</v>
      </c>
      <c r="C532">
        <v>1</v>
      </c>
      <c r="D532">
        <v>1</v>
      </c>
      <c r="E532">
        <v>0</v>
      </c>
    </row>
    <row r="533" spans="1:5" ht="15.75" customHeight="1" x14ac:dyDescent="0.25">
      <c r="A533">
        <v>2001</v>
      </c>
      <c r="B533">
        <v>2</v>
      </c>
      <c r="C533">
        <v>2</v>
      </c>
      <c r="D533">
        <v>1</v>
      </c>
      <c r="E533">
        <v>0</v>
      </c>
    </row>
    <row r="534" spans="1:5" ht="15.75" customHeight="1" x14ac:dyDescent="0.25">
      <c r="A534">
        <v>2001</v>
      </c>
      <c r="B534">
        <v>3</v>
      </c>
      <c r="C534">
        <v>1</v>
      </c>
      <c r="D534">
        <v>1</v>
      </c>
      <c r="E534">
        <v>0</v>
      </c>
    </row>
    <row r="535" spans="1:5" ht="15.75" customHeight="1" x14ac:dyDescent="0.25">
      <c r="A535">
        <v>2001</v>
      </c>
      <c r="B535">
        <v>3</v>
      </c>
      <c r="C535">
        <v>2</v>
      </c>
      <c r="D535">
        <v>1</v>
      </c>
      <c r="E535">
        <v>0</v>
      </c>
    </row>
    <row r="536" spans="1:5" ht="15.75" customHeight="1" x14ac:dyDescent="0.25">
      <c r="A536">
        <v>2001</v>
      </c>
      <c r="B536">
        <v>4</v>
      </c>
      <c r="C536">
        <v>1</v>
      </c>
      <c r="D536">
        <v>1</v>
      </c>
      <c r="E536">
        <v>0</v>
      </c>
    </row>
    <row r="537" spans="1:5" ht="15.75" customHeight="1" x14ac:dyDescent="0.25">
      <c r="A537">
        <v>2001</v>
      </c>
      <c r="B537">
        <v>4</v>
      </c>
      <c r="C537">
        <v>2</v>
      </c>
      <c r="D537">
        <v>1</v>
      </c>
      <c r="E537">
        <v>0</v>
      </c>
    </row>
    <row r="538" spans="1:5" ht="15.75" customHeight="1" x14ac:dyDescent="0.25">
      <c r="A538">
        <v>2001</v>
      </c>
      <c r="B538">
        <v>5</v>
      </c>
      <c r="C538">
        <v>1</v>
      </c>
      <c r="D538">
        <v>1</v>
      </c>
      <c r="E538">
        <v>0</v>
      </c>
    </row>
    <row r="539" spans="1:5" ht="15.75" customHeight="1" x14ac:dyDescent="0.25">
      <c r="A539">
        <v>2001</v>
      </c>
      <c r="B539">
        <v>5</v>
      </c>
      <c r="C539">
        <v>2</v>
      </c>
      <c r="D539">
        <v>1</v>
      </c>
      <c r="E539">
        <v>0</v>
      </c>
    </row>
    <row r="540" spans="1:5" ht="15.75" customHeight="1" x14ac:dyDescent="0.25">
      <c r="A540">
        <v>2001</v>
      </c>
      <c r="B540">
        <v>6</v>
      </c>
      <c r="C540">
        <v>1</v>
      </c>
      <c r="D540">
        <v>1</v>
      </c>
      <c r="E540">
        <v>0</v>
      </c>
    </row>
    <row r="541" spans="1:5" ht="15.75" customHeight="1" x14ac:dyDescent="0.25">
      <c r="A541">
        <v>2001</v>
      </c>
      <c r="B541">
        <v>6</v>
      </c>
      <c r="C541">
        <v>2</v>
      </c>
      <c r="D541">
        <v>1</v>
      </c>
      <c r="E541">
        <v>0</v>
      </c>
    </row>
    <row r="542" spans="1:5" ht="15.75" customHeight="1" x14ac:dyDescent="0.25">
      <c r="A542">
        <v>2002</v>
      </c>
      <c r="B542">
        <v>1</v>
      </c>
      <c r="C542">
        <v>1</v>
      </c>
      <c r="D542">
        <v>1</v>
      </c>
      <c r="E542">
        <v>0</v>
      </c>
    </row>
    <row r="543" spans="1:5" ht="15.75" customHeight="1" x14ac:dyDescent="0.25">
      <c r="A543">
        <v>2002</v>
      </c>
      <c r="B543">
        <v>1</v>
      </c>
      <c r="C543">
        <v>2</v>
      </c>
      <c r="D543">
        <v>1</v>
      </c>
      <c r="E543">
        <v>0</v>
      </c>
    </row>
    <row r="544" spans="1:5" ht="15.75" customHeight="1" x14ac:dyDescent="0.25">
      <c r="A544">
        <v>2002</v>
      </c>
      <c r="B544">
        <v>2</v>
      </c>
      <c r="C544">
        <v>1</v>
      </c>
      <c r="D544">
        <v>1</v>
      </c>
      <c r="E544">
        <v>0</v>
      </c>
    </row>
    <row r="545" spans="1:5" ht="15.75" customHeight="1" x14ac:dyDescent="0.25">
      <c r="A545">
        <v>2002</v>
      </c>
      <c r="B545">
        <v>2</v>
      </c>
      <c r="C545">
        <v>2</v>
      </c>
      <c r="D545">
        <v>1</v>
      </c>
      <c r="E545">
        <v>0</v>
      </c>
    </row>
    <row r="546" spans="1:5" ht="15.75" customHeight="1" x14ac:dyDescent="0.25">
      <c r="A546">
        <v>2002</v>
      </c>
      <c r="B546">
        <v>3</v>
      </c>
      <c r="C546">
        <v>1</v>
      </c>
      <c r="D546">
        <v>1</v>
      </c>
      <c r="E546">
        <v>0</v>
      </c>
    </row>
    <row r="547" spans="1:5" ht="15.75" customHeight="1" x14ac:dyDescent="0.25">
      <c r="A547">
        <v>2002</v>
      </c>
      <c r="B547">
        <v>3</v>
      </c>
      <c r="C547">
        <v>2</v>
      </c>
      <c r="D547">
        <v>1</v>
      </c>
      <c r="E547">
        <v>0</v>
      </c>
    </row>
    <row r="548" spans="1:5" ht="15.75" customHeight="1" x14ac:dyDescent="0.25">
      <c r="A548">
        <v>2002</v>
      </c>
      <c r="B548">
        <v>4</v>
      </c>
      <c r="C548">
        <v>1</v>
      </c>
      <c r="D548">
        <v>1</v>
      </c>
      <c r="E548">
        <v>0</v>
      </c>
    </row>
    <row r="549" spans="1:5" ht="15.75" customHeight="1" x14ac:dyDescent="0.25">
      <c r="A549">
        <v>2002</v>
      </c>
      <c r="B549">
        <v>4</v>
      </c>
      <c r="C549">
        <v>2</v>
      </c>
      <c r="D549">
        <v>1</v>
      </c>
      <c r="E549">
        <v>0</v>
      </c>
    </row>
    <row r="550" spans="1:5" ht="15.75" customHeight="1" x14ac:dyDescent="0.25">
      <c r="A550">
        <v>2002</v>
      </c>
      <c r="B550">
        <v>5</v>
      </c>
      <c r="C550">
        <v>1</v>
      </c>
      <c r="D550">
        <v>1</v>
      </c>
      <c r="E550">
        <v>0</v>
      </c>
    </row>
    <row r="551" spans="1:5" ht="15.75" customHeight="1" x14ac:dyDescent="0.25">
      <c r="A551">
        <v>2002</v>
      </c>
      <c r="B551">
        <v>5</v>
      </c>
      <c r="C551">
        <v>2</v>
      </c>
      <c r="D551">
        <v>1</v>
      </c>
      <c r="E551">
        <v>0</v>
      </c>
    </row>
    <row r="552" spans="1:5" ht="15.75" customHeight="1" x14ac:dyDescent="0.25">
      <c r="A552">
        <v>2002</v>
      </c>
      <c r="B552">
        <v>6</v>
      </c>
      <c r="C552">
        <v>1</v>
      </c>
      <c r="D552">
        <v>1</v>
      </c>
      <c r="E552">
        <v>0</v>
      </c>
    </row>
    <row r="553" spans="1:5" ht="15.75" customHeight="1" x14ac:dyDescent="0.25">
      <c r="A553">
        <v>2002</v>
      </c>
      <c r="B553">
        <v>6</v>
      </c>
      <c r="C553">
        <v>2</v>
      </c>
      <c r="D553">
        <v>1</v>
      </c>
      <c r="E553">
        <v>0</v>
      </c>
    </row>
    <row r="554" spans="1:5" ht="15.75" customHeight="1" x14ac:dyDescent="0.25">
      <c r="A554">
        <v>2003</v>
      </c>
      <c r="B554">
        <v>1</v>
      </c>
      <c r="C554">
        <v>1</v>
      </c>
      <c r="D554">
        <v>1</v>
      </c>
      <c r="E554">
        <v>0</v>
      </c>
    </row>
    <row r="555" spans="1:5" ht="15.75" customHeight="1" x14ac:dyDescent="0.25">
      <c r="A555">
        <v>2003</v>
      </c>
      <c r="B555">
        <v>1</v>
      </c>
      <c r="C555">
        <v>2</v>
      </c>
      <c r="D555">
        <v>1</v>
      </c>
      <c r="E555">
        <v>0</v>
      </c>
    </row>
    <row r="556" spans="1:5" ht="15.75" customHeight="1" x14ac:dyDescent="0.25">
      <c r="A556">
        <v>2003</v>
      </c>
      <c r="B556">
        <v>2</v>
      </c>
      <c r="C556">
        <v>1</v>
      </c>
      <c r="D556">
        <v>1</v>
      </c>
      <c r="E556">
        <v>0</v>
      </c>
    </row>
    <row r="557" spans="1:5" ht="15.75" customHeight="1" x14ac:dyDescent="0.25">
      <c r="A557">
        <v>2003</v>
      </c>
      <c r="B557">
        <v>2</v>
      </c>
      <c r="C557">
        <v>2</v>
      </c>
      <c r="D557">
        <v>1</v>
      </c>
      <c r="E557">
        <v>0</v>
      </c>
    </row>
    <row r="558" spans="1:5" ht="15.75" customHeight="1" x14ac:dyDescent="0.25">
      <c r="A558">
        <v>2003</v>
      </c>
      <c r="B558">
        <v>3</v>
      </c>
      <c r="C558">
        <v>1</v>
      </c>
      <c r="D558">
        <v>1</v>
      </c>
      <c r="E558">
        <v>0</v>
      </c>
    </row>
    <row r="559" spans="1:5" ht="15.75" customHeight="1" x14ac:dyDescent="0.25">
      <c r="A559">
        <v>2003</v>
      </c>
      <c r="B559">
        <v>3</v>
      </c>
      <c r="C559">
        <v>2</v>
      </c>
      <c r="D559">
        <v>1</v>
      </c>
      <c r="E559">
        <v>0</v>
      </c>
    </row>
    <row r="560" spans="1:5" ht="15.75" customHeight="1" x14ac:dyDescent="0.25">
      <c r="A560">
        <v>2003</v>
      </c>
      <c r="B560">
        <v>4</v>
      </c>
      <c r="C560">
        <v>1</v>
      </c>
      <c r="D560">
        <v>1</v>
      </c>
      <c r="E560">
        <v>0</v>
      </c>
    </row>
    <row r="561" spans="1:5" ht="15.75" customHeight="1" x14ac:dyDescent="0.25">
      <c r="A561">
        <v>2003</v>
      </c>
      <c r="B561">
        <v>4</v>
      </c>
      <c r="C561">
        <v>2</v>
      </c>
      <c r="D561">
        <v>1</v>
      </c>
      <c r="E561">
        <v>0</v>
      </c>
    </row>
    <row r="562" spans="1:5" ht="15.75" customHeight="1" x14ac:dyDescent="0.25">
      <c r="A562">
        <v>2003</v>
      </c>
      <c r="B562">
        <v>5</v>
      </c>
      <c r="C562">
        <v>1</v>
      </c>
      <c r="D562">
        <v>1</v>
      </c>
      <c r="E562">
        <v>0</v>
      </c>
    </row>
    <row r="563" spans="1:5" ht="15.75" customHeight="1" x14ac:dyDescent="0.25">
      <c r="A563">
        <v>2003</v>
      </c>
      <c r="B563">
        <v>5</v>
      </c>
      <c r="C563">
        <v>2</v>
      </c>
      <c r="D563">
        <v>1</v>
      </c>
      <c r="E563">
        <v>0</v>
      </c>
    </row>
    <row r="564" spans="1:5" ht="15.75" customHeight="1" x14ac:dyDescent="0.25">
      <c r="A564">
        <v>2003</v>
      </c>
      <c r="B564">
        <v>6</v>
      </c>
      <c r="C564">
        <v>1</v>
      </c>
      <c r="D564">
        <v>1</v>
      </c>
      <c r="E564">
        <v>0</v>
      </c>
    </row>
    <row r="565" spans="1:5" ht="15.75" customHeight="1" x14ac:dyDescent="0.25">
      <c r="A565">
        <v>2003</v>
      </c>
      <c r="B565">
        <v>6</v>
      </c>
      <c r="C565">
        <v>2</v>
      </c>
      <c r="D565">
        <v>1</v>
      </c>
      <c r="E565">
        <v>0</v>
      </c>
    </row>
    <row r="566" spans="1:5" ht="15.75" customHeight="1" x14ac:dyDescent="0.25">
      <c r="A566">
        <v>2004</v>
      </c>
      <c r="B566">
        <v>1</v>
      </c>
      <c r="C566">
        <v>1</v>
      </c>
      <c r="D566">
        <v>1</v>
      </c>
      <c r="E566">
        <v>0</v>
      </c>
    </row>
    <row r="567" spans="1:5" ht="15.75" customHeight="1" x14ac:dyDescent="0.25">
      <c r="A567">
        <v>2004</v>
      </c>
      <c r="B567">
        <v>1</v>
      </c>
      <c r="C567">
        <v>2</v>
      </c>
      <c r="D567">
        <v>1</v>
      </c>
      <c r="E567">
        <v>0</v>
      </c>
    </row>
    <row r="568" spans="1:5" ht="15.75" customHeight="1" x14ac:dyDescent="0.25">
      <c r="A568">
        <v>2004</v>
      </c>
      <c r="B568">
        <v>2</v>
      </c>
      <c r="C568">
        <v>1</v>
      </c>
      <c r="D568">
        <v>1</v>
      </c>
      <c r="E568">
        <v>0</v>
      </c>
    </row>
    <row r="569" spans="1:5" ht="15.75" customHeight="1" x14ac:dyDescent="0.25">
      <c r="A569">
        <v>2004</v>
      </c>
      <c r="B569">
        <v>2</v>
      </c>
      <c r="C569">
        <v>2</v>
      </c>
      <c r="D569">
        <v>1</v>
      </c>
      <c r="E569">
        <v>0</v>
      </c>
    </row>
    <row r="570" spans="1:5" ht="15.75" customHeight="1" x14ac:dyDescent="0.25">
      <c r="A570">
        <v>2004</v>
      </c>
      <c r="B570">
        <v>3</v>
      </c>
      <c r="C570">
        <v>1</v>
      </c>
      <c r="D570">
        <v>1</v>
      </c>
      <c r="E570">
        <v>0</v>
      </c>
    </row>
    <row r="571" spans="1:5" ht="15.75" customHeight="1" x14ac:dyDescent="0.25">
      <c r="A571">
        <v>2004</v>
      </c>
      <c r="B571">
        <v>3</v>
      </c>
      <c r="C571">
        <v>2</v>
      </c>
      <c r="D571">
        <v>1</v>
      </c>
      <c r="E571">
        <v>0</v>
      </c>
    </row>
    <row r="572" spans="1:5" ht="15.75" customHeight="1" x14ac:dyDescent="0.25">
      <c r="A572">
        <v>2004</v>
      </c>
      <c r="B572">
        <v>4</v>
      </c>
      <c r="C572">
        <v>1</v>
      </c>
      <c r="D572">
        <v>1</v>
      </c>
      <c r="E572">
        <v>0</v>
      </c>
    </row>
    <row r="573" spans="1:5" ht="15.75" customHeight="1" x14ac:dyDescent="0.25">
      <c r="A573">
        <v>2004</v>
      </c>
      <c r="B573">
        <v>4</v>
      </c>
      <c r="C573">
        <v>2</v>
      </c>
      <c r="D573">
        <v>1</v>
      </c>
      <c r="E573">
        <v>0</v>
      </c>
    </row>
    <row r="574" spans="1:5" ht="15.75" customHeight="1" x14ac:dyDescent="0.25">
      <c r="A574">
        <v>2004</v>
      </c>
      <c r="B574">
        <v>5</v>
      </c>
      <c r="C574">
        <v>1</v>
      </c>
      <c r="D574">
        <v>1</v>
      </c>
      <c r="E574">
        <v>0</v>
      </c>
    </row>
    <row r="575" spans="1:5" ht="15.75" customHeight="1" x14ac:dyDescent="0.25">
      <c r="A575">
        <v>2004</v>
      </c>
      <c r="B575">
        <v>5</v>
      </c>
      <c r="C575">
        <v>2</v>
      </c>
      <c r="D575">
        <v>1</v>
      </c>
      <c r="E575">
        <v>0</v>
      </c>
    </row>
    <row r="576" spans="1:5" ht="15.75" customHeight="1" x14ac:dyDescent="0.25">
      <c r="A576">
        <v>2004</v>
      </c>
      <c r="B576">
        <v>6</v>
      </c>
      <c r="C576">
        <v>1</v>
      </c>
      <c r="D576">
        <v>1</v>
      </c>
      <c r="E576">
        <v>0</v>
      </c>
    </row>
    <row r="577" spans="1:5" ht="15.75" customHeight="1" x14ac:dyDescent="0.25">
      <c r="A577">
        <v>2004</v>
      </c>
      <c r="B577">
        <v>6</v>
      </c>
      <c r="C577">
        <v>2</v>
      </c>
      <c r="D577">
        <v>1</v>
      </c>
      <c r="E577">
        <v>0</v>
      </c>
    </row>
    <row r="578" spans="1:5" ht="15.75" customHeight="1" x14ac:dyDescent="0.25">
      <c r="A578">
        <v>2005</v>
      </c>
      <c r="B578">
        <v>1</v>
      </c>
      <c r="C578">
        <v>1</v>
      </c>
      <c r="D578">
        <v>1</v>
      </c>
      <c r="E578">
        <v>0</v>
      </c>
    </row>
    <row r="579" spans="1:5" ht="15.75" customHeight="1" x14ac:dyDescent="0.25">
      <c r="A579">
        <v>2005</v>
      </c>
      <c r="B579">
        <v>1</v>
      </c>
      <c r="C579">
        <v>2</v>
      </c>
      <c r="D579">
        <v>1</v>
      </c>
      <c r="E579">
        <v>0</v>
      </c>
    </row>
    <row r="580" spans="1:5" ht="15.75" customHeight="1" x14ac:dyDescent="0.25">
      <c r="A580">
        <v>2005</v>
      </c>
      <c r="B580">
        <v>2</v>
      </c>
      <c r="C580">
        <v>1</v>
      </c>
      <c r="D580">
        <v>1</v>
      </c>
      <c r="E580">
        <v>0</v>
      </c>
    </row>
    <row r="581" spans="1:5" ht="15.75" customHeight="1" x14ac:dyDescent="0.25">
      <c r="A581">
        <v>2005</v>
      </c>
      <c r="B581">
        <v>2</v>
      </c>
      <c r="C581">
        <v>2</v>
      </c>
      <c r="D581">
        <v>1</v>
      </c>
      <c r="E581">
        <v>0</v>
      </c>
    </row>
    <row r="582" spans="1:5" ht="15.75" customHeight="1" x14ac:dyDescent="0.25">
      <c r="A582">
        <v>2005</v>
      </c>
      <c r="B582">
        <v>3</v>
      </c>
      <c r="C582">
        <v>1</v>
      </c>
      <c r="D582">
        <v>1</v>
      </c>
      <c r="E582">
        <v>0</v>
      </c>
    </row>
    <row r="583" spans="1:5" ht="15.75" customHeight="1" x14ac:dyDescent="0.25">
      <c r="A583">
        <v>2005</v>
      </c>
      <c r="B583">
        <v>3</v>
      </c>
      <c r="C583">
        <v>2</v>
      </c>
      <c r="D583">
        <v>1</v>
      </c>
      <c r="E583">
        <v>0</v>
      </c>
    </row>
    <row r="584" spans="1:5" ht="15.75" customHeight="1" x14ac:dyDescent="0.25">
      <c r="A584">
        <v>2005</v>
      </c>
      <c r="B584">
        <v>4</v>
      </c>
      <c r="C584">
        <v>1</v>
      </c>
      <c r="D584">
        <v>1</v>
      </c>
      <c r="E584">
        <v>0</v>
      </c>
    </row>
    <row r="585" spans="1:5" ht="15.75" customHeight="1" x14ac:dyDescent="0.25">
      <c r="A585">
        <v>2005</v>
      </c>
      <c r="B585">
        <v>4</v>
      </c>
      <c r="C585">
        <v>2</v>
      </c>
      <c r="D585">
        <v>1</v>
      </c>
      <c r="E585">
        <v>0</v>
      </c>
    </row>
    <row r="586" spans="1:5" ht="15.75" customHeight="1" x14ac:dyDescent="0.25">
      <c r="A586">
        <v>2005</v>
      </c>
      <c r="B586">
        <v>5</v>
      </c>
      <c r="C586">
        <v>1</v>
      </c>
      <c r="D586">
        <v>1</v>
      </c>
      <c r="E586">
        <v>0</v>
      </c>
    </row>
    <row r="587" spans="1:5" ht="15.75" customHeight="1" x14ac:dyDescent="0.25">
      <c r="A587">
        <v>2005</v>
      </c>
      <c r="B587">
        <v>5</v>
      </c>
      <c r="C587">
        <v>2</v>
      </c>
      <c r="D587">
        <v>1</v>
      </c>
      <c r="E587">
        <v>0</v>
      </c>
    </row>
    <row r="588" spans="1:5" ht="15.75" customHeight="1" x14ac:dyDescent="0.25">
      <c r="A588">
        <v>2005</v>
      </c>
      <c r="B588">
        <v>6</v>
      </c>
      <c r="C588">
        <v>1</v>
      </c>
      <c r="D588">
        <v>1</v>
      </c>
      <c r="E588">
        <v>0</v>
      </c>
    </row>
    <row r="589" spans="1:5" ht="15.75" customHeight="1" x14ac:dyDescent="0.25">
      <c r="A589">
        <v>2005</v>
      </c>
      <c r="B589">
        <v>6</v>
      </c>
      <c r="C589">
        <v>2</v>
      </c>
      <c r="D589">
        <v>1</v>
      </c>
      <c r="E589">
        <v>0</v>
      </c>
    </row>
    <row r="590" spans="1:5" ht="15.75" customHeight="1" x14ac:dyDescent="0.25">
      <c r="A590">
        <v>2006</v>
      </c>
      <c r="B590">
        <v>1</v>
      </c>
      <c r="C590">
        <v>1</v>
      </c>
      <c r="D590">
        <v>1</v>
      </c>
      <c r="E590">
        <v>0</v>
      </c>
    </row>
    <row r="591" spans="1:5" ht="15.75" customHeight="1" x14ac:dyDescent="0.25">
      <c r="A591">
        <v>2006</v>
      </c>
      <c r="B591">
        <v>1</v>
      </c>
      <c r="C591">
        <v>2</v>
      </c>
      <c r="D591">
        <v>1</v>
      </c>
      <c r="E591">
        <v>0</v>
      </c>
    </row>
    <row r="592" spans="1:5" ht="15.75" customHeight="1" x14ac:dyDescent="0.25">
      <c r="A592">
        <v>2006</v>
      </c>
      <c r="B592">
        <v>2</v>
      </c>
      <c r="C592">
        <v>1</v>
      </c>
      <c r="D592">
        <v>1</v>
      </c>
      <c r="E592">
        <v>0</v>
      </c>
    </row>
    <row r="593" spans="1:5" ht="15.75" customHeight="1" x14ac:dyDescent="0.25">
      <c r="A593">
        <v>2006</v>
      </c>
      <c r="B593">
        <v>2</v>
      </c>
      <c r="C593">
        <v>2</v>
      </c>
      <c r="D593">
        <v>1</v>
      </c>
      <c r="E593">
        <v>0</v>
      </c>
    </row>
    <row r="594" spans="1:5" ht="15.75" customHeight="1" x14ac:dyDescent="0.25">
      <c r="A594">
        <v>2006</v>
      </c>
      <c r="B594">
        <v>3</v>
      </c>
      <c r="C594">
        <v>1</v>
      </c>
      <c r="D594">
        <v>1</v>
      </c>
      <c r="E594">
        <v>0</v>
      </c>
    </row>
    <row r="595" spans="1:5" ht="15.75" customHeight="1" x14ac:dyDescent="0.25">
      <c r="A595">
        <v>2006</v>
      </c>
      <c r="B595">
        <v>3</v>
      </c>
      <c r="C595">
        <v>2</v>
      </c>
      <c r="D595">
        <v>1</v>
      </c>
      <c r="E595">
        <v>0</v>
      </c>
    </row>
    <row r="596" spans="1:5" ht="15.75" customHeight="1" x14ac:dyDescent="0.25">
      <c r="A596">
        <v>2006</v>
      </c>
      <c r="B596">
        <v>4</v>
      </c>
      <c r="C596">
        <v>1</v>
      </c>
      <c r="D596">
        <v>1</v>
      </c>
      <c r="E596">
        <v>0</v>
      </c>
    </row>
    <row r="597" spans="1:5" ht="15.75" customHeight="1" x14ac:dyDescent="0.25">
      <c r="A597">
        <v>2006</v>
      </c>
      <c r="B597">
        <v>4</v>
      </c>
      <c r="C597">
        <v>2</v>
      </c>
      <c r="D597">
        <v>1</v>
      </c>
      <c r="E597">
        <v>0</v>
      </c>
    </row>
    <row r="598" spans="1:5" ht="15.75" customHeight="1" x14ac:dyDescent="0.25">
      <c r="A598">
        <v>2006</v>
      </c>
      <c r="B598">
        <v>5</v>
      </c>
      <c r="C598">
        <v>1</v>
      </c>
      <c r="D598">
        <v>1</v>
      </c>
      <c r="E598">
        <v>0</v>
      </c>
    </row>
    <row r="599" spans="1:5" ht="15.75" customHeight="1" x14ac:dyDescent="0.25">
      <c r="A599">
        <v>2006</v>
      </c>
      <c r="B599">
        <v>5</v>
      </c>
      <c r="C599">
        <v>2</v>
      </c>
      <c r="D599">
        <v>1</v>
      </c>
      <c r="E599">
        <v>0</v>
      </c>
    </row>
    <row r="600" spans="1:5" ht="15.75" customHeight="1" x14ac:dyDescent="0.25">
      <c r="A600">
        <v>2006</v>
      </c>
      <c r="B600">
        <v>6</v>
      </c>
      <c r="C600">
        <v>1</v>
      </c>
      <c r="D600">
        <v>1</v>
      </c>
      <c r="E600">
        <v>0</v>
      </c>
    </row>
    <row r="601" spans="1:5" ht="15.75" customHeight="1" x14ac:dyDescent="0.25">
      <c r="A601">
        <v>2006</v>
      </c>
      <c r="B601">
        <v>6</v>
      </c>
      <c r="C601">
        <v>2</v>
      </c>
      <c r="D601">
        <v>1</v>
      </c>
      <c r="E601">
        <v>0</v>
      </c>
    </row>
    <row r="602" spans="1:5" ht="15.75" customHeight="1" x14ac:dyDescent="0.25">
      <c r="A602">
        <v>2007</v>
      </c>
      <c r="B602">
        <v>1</v>
      </c>
      <c r="C602">
        <v>1</v>
      </c>
      <c r="D602">
        <v>1</v>
      </c>
      <c r="E602">
        <v>0</v>
      </c>
    </row>
    <row r="603" spans="1:5" ht="15.75" customHeight="1" x14ac:dyDescent="0.25">
      <c r="A603">
        <v>2007</v>
      </c>
      <c r="B603">
        <v>1</v>
      </c>
      <c r="C603">
        <v>2</v>
      </c>
      <c r="D603">
        <v>1</v>
      </c>
      <c r="E603">
        <v>0</v>
      </c>
    </row>
    <row r="604" spans="1:5" ht="15.75" customHeight="1" x14ac:dyDescent="0.25">
      <c r="A604">
        <v>2007</v>
      </c>
      <c r="B604">
        <v>2</v>
      </c>
      <c r="C604">
        <v>1</v>
      </c>
      <c r="D604">
        <v>1</v>
      </c>
      <c r="E604">
        <v>0</v>
      </c>
    </row>
    <row r="605" spans="1:5" ht="15.75" customHeight="1" x14ac:dyDescent="0.25">
      <c r="A605">
        <v>2007</v>
      </c>
      <c r="B605">
        <v>2</v>
      </c>
      <c r="C605">
        <v>2</v>
      </c>
      <c r="D605">
        <v>1</v>
      </c>
      <c r="E605">
        <v>0</v>
      </c>
    </row>
    <row r="606" spans="1:5" ht="15.75" customHeight="1" x14ac:dyDescent="0.25">
      <c r="A606">
        <v>2007</v>
      </c>
      <c r="B606">
        <v>3</v>
      </c>
      <c r="C606">
        <v>1</v>
      </c>
      <c r="D606">
        <v>1</v>
      </c>
      <c r="E606">
        <v>0</v>
      </c>
    </row>
    <row r="607" spans="1:5" ht="15.75" customHeight="1" x14ac:dyDescent="0.25">
      <c r="A607">
        <v>2007</v>
      </c>
      <c r="B607">
        <v>3</v>
      </c>
      <c r="C607">
        <v>2</v>
      </c>
      <c r="D607">
        <v>1</v>
      </c>
      <c r="E607">
        <v>0</v>
      </c>
    </row>
    <row r="608" spans="1:5" ht="15.75" customHeight="1" x14ac:dyDescent="0.25">
      <c r="A608">
        <v>2007</v>
      </c>
      <c r="B608">
        <v>4</v>
      </c>
      <c r="C608">
        <v>1</v>
      </c>
      <c r="D608">
        <v>1</v>
      </c>
      <c r="E608">
        <v>0</v>
      </c>
    </row>
    <row r="609" spans="1:5" ht="15.75" customHeight="1" x14ac:dyDescent="0.25">
      <c r="A609">
        <v>2007</v>
      </c>
      <c r="B609">
        <v>4</v>
      </c>
      <c r="C609">
        <v>2</v>
      </c>
      <c r="D609">
        <v>1</v>
      </c>
      <c r="E609">
        <v>0</v>
      </c>
    </row>
    <row r="610" spans="1:5" ht="15.75" customHeight="1" x14ac:dyDescent="0.25">
      <c r="A610">
        <v>2007</v>
      </c>
      <c r="B610">
        <v>5</v>
      </c>
      <c r="C610">
        <v>1</v>
      </c>
      <c r="D610">
        <v>1</v>
      </c>
      <c r="E610">
        <v>0</v>
      </c>
    </row>
    <row r="611" spans="1:5" ht="15.75" customHeight="1" x14ac:dyDescent="0.25">
      <c r="A611">
        <v>2007</v>
      </c>
      <c r="B611">
        <v>5</v>
      </c>
      <c r="C611">
        <v>2</v>
      </c>
      <c r="D611">
        <v>1</v>
      </c>
      <c r="E611">
        <v>0</v>
      </c>
    </row>
    <row r="612" spans="1:5" ht="15.75" customHeight="1" x14ac:dyDescent="0.25">
      <c r="A612">
        <v>2007</v>
      </c>
      <c r="B612">
        <v>6</v>
      </c>
      <c r="C612">
        <v>1</v>
      </c>
      <c r="D612">
        <v>1</v>
      </c>
      <c r="E612">
        <v>0</v>
      </c>
    </row>
    <row r="613" spans="1:5" ht="15.75" customHeight="1" x14ac:dyDescent="0.25">
      <c r="A613">
        <v>2007</v>
      </c>
      <c r="B613">
        <v>6</v>
      </c>
      <c r="C613">
        <v>2</v>
      </c>
      <c r="D613">
        <v>1</v>
      </c>
      <c r="E613">
        <v>0</v>
      </c>
    </row>
    <row r="614" spans="1:5" ht="15.75" customHeight="1" x14ac:dyDescent="0.25">
      <c r="A614">
        <v>2008</v>
      </c>
      <c r="B614">
        <v>1</v>
      </c>
      <c r="C614">
        <v>1</v>
      </c>
      <c r="D614">
        <v>1</v>
      </c>
      <c r="E614">
        <v>0</v>
      </c>
    </row>
    <row r="615" spans="1:5" ht="15.75" customHeight="1" x14ac:dyDescent="0.25">
      <c r="A615">
        <v>2008</v>
      </c>
      <c r="B615">
        <v>1</v>
      </c>
      <c r="C615">
        <v>2</v>
      </c>
      <c r="D615">
        <v>1</v>
      </c>
      <c r="E615">
        <v>0</v>
      </c>
    </row>
    <row r="616" spans="1:5" ht="15.75" customHeight="1" x14ac:dyDescent="0.25">
      <c r="A616">
        <v>2008</v>
      </c>
      <c r="B616">
        <v>2</v>
      </c>
      <c r="C616">
        <v>1</v>
      </c>
      <c r="D616">
        <v>1</v>
      </c>
      <c r="E616">
        <v>0</v>
      </c>
    </row>
    <row r="617" spans="1:5" ht="15.75" customHeight="1" x14ac:dyDescent="0.25">
      <c r="A617">
        <v>2008</v>
      </c>
      <c r="B617">
        <v>2</v>
      </c>
      <c r="C617">
        <v>2</v>
      </c>
      <c r="D617">
        <v>1</v>
      </c>
      <c r="E617">
        <v>0</v>
      </c>
    </row>
    <row r="618" spans="1:5" ht="15.75" customHeight="1" x14ac:dyDescent="0.25">
      <c r="A618">
        <v>2008</v>
      </c>
      <c r="B618">
        <v>3</v>
      </c>
      <c r="C618">
        <v>1</v>
      </c>
      <c r="D618">
        <v>1</v>
      </c>
      <c r="E618">
        <v>0</v>
      </c>
    </row>
    <row r="619" spans="1:5" ht="15.75" customHeight="1" x14ac:dyDescent="0.25">
      <c r="A619">
        <v>2008</v>
      </c>
      <c r="B619">
        <v>3</v>
      </c>
      <c r="C619">
        <v>2</v>
      </c>
      <c r="D619">
        <v>1</v>
      </c>
      <c r="E619">
        <v>0</v>
      </c>
    </row>
    <row r="620" spans="1:5" ht="15.75" customHeight="1" x14ac:dyDescent="0.25">
      <c r="A620">
        <v>2008</v>
      </c>
      <c r="B620">
        <v>4</v>
      </c>
      <c r="C620">
        <v>1</v>
      </c>
      <c r="D620">
        <v>1</v>
      </c>
      <c r="E620">
        <v>0</v>
      </c>
    </row>
    <row r="621" spans="1:5" ht="15.75" customHeight="1" x14ac:dyDescent="0.25">
      <c r="A621">
        <v>2008</v>
      </c>
      <c r="B621">
        <v>4</v>
      </c>
      <c r="C621">
        <v>2</v>
      </c>
      <c r="D621">
        <v>1</v>
      </c>
      <c r="E621">
        <v>0</v>
      </c>
    </row>
    <row r="622" spans="1:5" ht="15.75" customHeight="1" x14ac:dyDescent="0.25">
      <c r="A622">
        <v>2008</v>
      </c>
      <c r="B622">
        <v>5</v>
      </c>
      <c r="C622">
        <v>1</v>
      </c>
      <c r="D622">
        <v>1</v>
      </c>
      <c r="E622">
        <v>0</v>
      </c>
    </row>
    <row r="623" spans="1:5" ht="15.75" customHeight="1" x14ac:dyDescent="0.25">
      <c r="A623">
        <v>2008</v>
      </c>
      <c r="B623">
        <v>5</v>
      </c>
      <c r="C623">
        <v>2</v>
      </c>
      <c r="D623">
        <v>1</v>
      </c>
      <c r="E623">
        <v>0</v>
      </c>
    </row>
    <row r="624" spans="1:5" ht="15.75" customHeight="1" x14ac:dyDescent="0.25">
      <c r="A624">
        <v>2008</v>
      </c>
      <c r="B624">
        <v>6</v>
      </c>
      <c r="C624">
        <v>1</v>
      </c>
      <c r="D624">
        <v>1</v>
      </c>
      <c r="E624">
        <v>0</v>
      </c>
    </row>
    <row r="625" spans="1:5" ht="15.75" customHeight="1" x14ac:dyDescent="0.25">
      <c r="A625">
        <v>2008</v>
      </c>
      <c r="B625">
        <v>6</v>
      </c>
      <c r="C625">
        <v>2</v>
      </c>
      <c r="D625">
        <v>1</v>
      </c>
      <c r="E625">
        <v>0</v>
      </c>
    </row>
    <row r="626" spans="1:5" ht="15.75" customHeight="1" x14ac:dyDescent="0.25">
      <c r="A626">
        <v>2009</v>
      </c>
      <c r="B626">
        <v>1</v>
      </c>
      <c r="C626">
        <v>1</v>
      </c>
      <c r="D626">
        <v>1</v>
      </c>
      <c r="E626">
        <v>0</v>
      </c>
    </row>
    <row r="627" spans="1:5" ht="15.75" customHeight="1" x14ac:dyDescent="0.25">
      <c r="A627">
        <v>2009</v>
      </c>
      <c r="B627">
        <v>1</v>
      </c>
      <c r="C627">
        <v>2</v>
      </c>
      <c r="D627">
        <v>1</v>
      </c>
      <c r="E627">
        <v>0</v>
      </c>
    </row>
    <row r="628" spans="1:5" ht="15.75" customHeight="1" x14ac:dyDescent="0.25">
      <c r="A628">
        <v>2009</v>
      </c>
      <c r="B628">
        <v>2</v>
      </c>
      <c r="C628">
        <v>1</v>
      </c>
      <c r="D628">
        <v>1</v>
      </c>
      <c r="E628">
        <v>0</v>
      </c>
    </row>
    <row r="629" spans="1:5" ht="15.75" customHeight="1" x14ac:dyDescent="0.25">
      <c r="A629">
        <v>2009</v>
      </c>
      <c r="B629">
        <v>2</v>
      </c>
      <c r="C629">
        <v>2</v>
      </c>
      <c r="D629">
        <v>1</v>
      </c>
      <c r="E629">
        <v>0</v>
      </c>
    </row>
    <row r="630" spans="1:5" ht="15.75" customHeight="1" x14ac:dyDescent="0.25">
      <c r="A630">
        <v>2009</v>
      </c>
      <c r="B630">
        <v>3</v>
      </c>
      <c r="C630">
        <v>1</v>
      </c>
      <c r="D630">
        <v>1</v>
      </c>
      <c r="E630">
        <v>0</v>
      </c>
    </row>
    <row r="631" spans="1:5" ht="15.75" customHeight="1" x14ac:dyDescent="0.25">
      <c r="A631">
        <v>2009</v>
      </c>
      <c r="B631">
        <v>3</v>
      </c>
      <c r="C631">
        <v>2</v>
      </c>
      <c r="D631">
        <v>1</v>
      </c>
      <c r="E631">
        <v>0</v>
      </c>
    </row>
    <row r="632" spans="1:5" ht="15.75" customHeight="1" x14ac:dyDescent="0.25">
      <c r="A632">
        <v>2009</v>
      </c>
      <c r="B632">
        <v>4</v>
      </c>
      <c r="C632">
        <v>1</v>
      </c>
      <c r="D632">
        <v>1</v>
      </c>
      <c r="E632">
        <v>0</v>
      </c>
    </row>
    <row r="633" spans="1:5" ht="15.75" customHeight="1" x14ac:dyDescent="0.25">
      <c r="A633">
        <v>2009</v>
      </c>
      <c r="B633">
        <v>4</v>
      </c>
      <c r="C633">
        <v>2</v>
      </c>
      <c r="D633">
        <v>1</v>
      </c>
      <c r="E633">
        <v>0</v>
      </c>
    </row>
    <row r="634" spans="1:5" ht="15.75" customHeight="1" x14ac:dyDescent="0.25">
      <c r="A634">
        <v>2009</v>
      </c>
      <c r="B634">
        <v>5</v>
      </c>
      <c r="C634">
        <v>1</v>
      </c>
      <c r="D634">
        <v>1</v>
      </c>
      <c r="E634">
        <v>0</v>
      </c>
    </row>
    <row r="635" spans="1:5" ht="15.75" customHeight="1" x14ac:dyDescent="0.25">
      <c r="A635">
        <v>2009</v>
      </c>
      <c r="B635">
        <v>5</v>
      </c>
      <c r="C635">
        <v>2</v>
      </c>
      <c r="D635">
        <v>1</v>
      </c>
      <c r="E635">
        <v>0</v>
      </c>
    </row>
    <row r="636" spans="1:5" ht="15.75" customHeight="1" x14ac:dyDescent="0.25">
      <c r="A636">
        <v>2009</v>
      </c>
      <c r="B636">
        <v>6</v>
      </c>
      <c r="C636">
        <v>1</v>
      </c>
      <c r="D636">
        <v>1</v>
      </c>
      <c r="E636">
        <v>0</v>
      </c>
    </row>
    <row r="637" spans="1:5" ht="15.75" customHeight="1" x14ac:dyDescent="0.25">
      <c r="A637">
        <v>2009</v>
      </c>
      <c r="B637">
        <v>6</v>
      </c>
      <c r="C637">
        <v>2</v>
      </c>
      <c r="D637">
        <v>1</v>
      </c>
      <c r="E637">
        <v>0</v>
      </c>
    </row>
    <row r="638" spans="1:5" ht="15.75" customHeight="1" x14ac:dyDescent="0.25">
      <c r="A638">
        <v>2010</v>
      </c>
      <c r="B638">
        <v>1</v>
      </c>
      <c r="C638">
        <v>1</v>
      </c>
      <c r="D638">
        <v>1</v>
      </c>
      <c r="E638">
        <v>0</v>
      </c>
    </row>
    <row r="639" spans="1:5" ht="15.75" customHeight="1" x14ac:dyDescent="0.25">
      <c r="A639">
        <v>2010</v>
      </c>
      <c r="B639">
        <v>1</v>
      </c>
      <c r="C639">
        <v>2</v>
      </c>
      <c r="D639">
        <v>1</v>
      </c>
      <c r="E639">
        <v>0</v>
      </c>
    </row>
    <row r="640" spans="1:5" ht="15.75" customHeight="1" x14ac:dyDescent="0.25">
      <c r="A640">
        <v>2010</v>
      </c>
      <c r="B640">
        <v>2</v>
      </c>
      <c r="C640">
        <v>1</v>
      </c>
      <c r="D640">
        <v>1</v>
      </c>
      <c r="E640">
        <v>0</v>
      </c>
    </row>
    <row r="641" spans="1:5" ht="15.75" customHeight="1" x14ac:dyDescent="0.25">
      <c r="A641">
        <v>2010</v>
      </c>
      <c r="B641">
        <v>2</v>
      </c>
      <c r="C641">
        <v>2</v>
      </c>
      <c r="D641">
        <v>1</v>
      </c>
      <c r="E641">
        <v>0</v>
      </c>
    </row>
    <row r="642" spans="1:5" ht="15.75" customHeight="1" x14ac:dyDescent="0.25">
      <c r="A642">
        <v>2010</v>
      </c>
      <c r="B642">
        <v>3</v>
      </c>
      <c r="C642">
        <v>1</v>
      </c>
      <c r="D642">
        <v>1</v>
      </c>
      <c r="E642">
        <v>0</v>
      </c>
    </row>
    <row r="643" spans="1:5" ht="15.75" customHeight="1" x14ac:dyDescent="0.25">
      <c r="A643">
        <v>2010</v>
      </c>
      <c r="B643">
        <v>3</v>
      </c>
      <c r="C643">
        <v>2</v>
      </c>
      <c r="D643">
        <v>1</v>
      </c>
      <c r="E643">
        <v>0</v>
      </c>
    </row>
    <row r="644" spans="1:5" ht="15.75" customHeight="1" x14ac:dyDescent="0.25">
      <c r="A644">
        <v>2010</v>
      </c>
      <c r="B644">
        <v>4</v>
      </c>
      <c r="C644">
        <v>1</v>
      </c>
      <c r="D644">
        <v>1</v>
      </c>
      <c r="E644">
        <v>0</v>
      </c>
    </row>
    <row r="645" spans="1:5" ht="15.75" customHeight="1" x14ac:dyDescent="0.25">
      <c r="A645">
        <v>2010</v>
      </c>
      <c r="B645">
        <v>4</v>
      </c>
      <c r="C645">
        <v>2</v>
      </c>
      <c r="D645">
        <v>1</v>
      </c>
      <c r="E645">
        <v>0</v>
      </c>
    </row>
    <row r="646" spans="1:5" ht="15.75" customHeight="1" x14ac:dyDescent="0.25">
      <c r="A646">
        <v>2010</v>
      </c>
      <c r="B646">
        <v>5</v>
      </c>
      <c r="C646">
        <v>1</v>
      </c>
      <c r="D646">
        <v>1</v>
      </c>
      <c r="E646">
        <v>0</v>
      </c>
    </row>
    <row r="647" spans="1:5" ht="15.75" customHeight="1" x14ac:dyDescent="0.25">
      <c r="A647">
        <v>2010</v>
      </c>
      <c r="B647">
        <v>5</v>
      </c>
      <c r="C647">
        <v>2</v>
      </c>
      <c r="D647">
        <v>1</v>
      </c>
      <c r="E647">
        <v>0</v>
      </c>
    </row>
    <row r="648" spans="1:5" ht="15.75" customHeight="1" x14ac:dyDescent="0.25">
      <c r="A648">
        <v>2010</v>
      </c>
      <c r="B648">
        <v>6</v>
      </c>
      <c r="C648">
        <v>1</v>
      </c>
      <c r="D648">
        <v>1</v>
      </c>
      <c r="E648">
        <v>0</v>
      </c>
    </row>
    <row r="649" spans="1:5" ht="15.75" customHeight="1" x14ac:dyDescent="0.25">
      <c r="A649">
        <v>2010</v>
      </c>
      <c r="B649">
        <v>6</v>
      </c>
      <c r="C649">
        <v>2</v>
      </c>
      <c r="D649">
        <v>1</v>
      </c>
      <c r="E649">
        <v>0</v>
      </c>
    </row>
    <row r="650" spans="1:5" ht="15.75" customHeight="1" x14ac:dyDescent="0.25">
      <c r="A650">
        <v>2011</v>
      </c>
      <c r="B650">
        <v>1</v>
      </c>
      <c r="C650">
        <v>1</v>
      </c>
      <c r="D650">
        <v>1</v>
      </c>
      <c r="E650">
        <v>0</v>
      </c>
    </row>
    <row r="651" spans="1:5" ht="15.75" customHeight="1" x14ac:dyDescent="0.25">
      <c r="A651">
        <v>2011</v>
      </c>
      <c r="B651">
        <v>1</v>
      </c>
      <c r="C651">
        <v>2</v>
      </c>
      <c r="D651">
        <v>1</v>
      </c>
      <c r="E651">
        <v>0</v>
      </c>
    </row>
    <row r="652" spans="1:5" ht="15.75" customHeight="1" x14ac:dyDescent="0.25">
      <c r="A652">
        <v>2011</v>
      </c>
      <c r="B652">
        <v>2</v>
      </c>
      <c r="C652">
        <v>1</v>
      </c>
      <c r="D652">
        <v>1</v>
      </c>
      <c r="E652">
        <v>0</v>
      </c>
    </row>
    <row r="653" spans="1:5" ht="15.75" customHeight="1" x14ac:dyDescent="0.25">
      <c r="A653">
        <v>2011</v>
      </c>
      <c r="B653">
        <v>2</v>
      </c>
      <c r="C653">
        <v>2</v>
      </c>
      <c r="D653">
        <v>1</v>
      </c>
      <c r="E653">
        <v>0</v>
      </c>
    </row>
    <row r="654" spans="1:5" ht="15.75" customHeight="1" x14ac:dyDescent="0.25">
      <c r="A654">
        <v>2011</v>
      </c>
      <c r="B654">
        <v>3</v>
      </c>
      <c r="C654">
        <v>1</v>
      </c>
      <c r="D654">
        <v>1</v>
      </c>
      <c r="E654">
        <v>0</v>
      </c>
    </row>
    <row r="655" spans="1:5" ht="15.75" customHeight="1" x14ac:dyDescent="0.25">
      <c r="A655">
        <v>2011</v>
      </c>
      <c r="B655">
        <v>3</v>
      </c>
      <c r="C655">
        <v>2</v>
      </c>
      <c r="D655">
        <v>1</v>
      </c>
      <c r="E655">
        <v>0</v>
      </c>
    </row>
    <row r="656" spans="1:5" ht="15.75" customHeight="1" x14ac:dyDescent="0.25">
      <c r="A656">
        <v>2011</v>
      </c>
      <c r="B656">
        <v>4</v>
      </c>
      <c r="C656">
        <v>1</v>
      </c>
      <c r="D656">
        <v>1</v>
      </c>
      <c r="E656">
        <v>0</v>
      </c>
    </row>
    <row r="657" spans="1:5" ht="15.75" customHeight="1" x14ac:dyDescent="0.25">
      <c r="A657">
        <v>2011</v>
      </c>
      <c r="B657">
        <v>4</v>
      </c>
      <c r="C657">
        <v>2</v>
      </c>
      <c r="D657">
        <v>1</v>
      </c>
      <c r="E657">
        <v>0</v>
      </c>
    </row>
    <row r="658" spans="1:5" ht="15.75" customHeight="1" x14ac:dyDescent="0.25">
      <c r="A658">
        <v>2011</v>
      </c>
      <c r="B658">
        <v>5</v>
      </c>
      <c r="C658">
        <v>1</v>
      </c>
      <c r="D658">
        <v>1</v>
      </c>
      <c r="E658">
        <v>0</v>
      </c>
    </row>
    <row r="659" spans="1:5" ht="15.75" customHeight="1" x14ac:dyDescent="0.25">
      <c r="A659">
        <v>2011</v>
      </c>
      <c r="B659">
        <v>5</v>
      </c>
      <c r="C659">
        <v>2</v>
      </c>
      <c r="D659">
        <v>1</v>
      </c>
      <c r="E659">
        <v>0</v>
      </c>
    </row>
    <row r="660" spans="1:5" ht="15.75" customHeight="1" x14ac:dyDescent="0.25">
      <c r="A660">
        <v>2011</v>
      </c>
      <c r="B660">
        <v>6</v>
      </c>
      <c r="C660">
        <v>1</v>
      </c>
      <c r="D660">
        <v>1</v>
      </c>
      <c r="E660">
        <v>0</v>
      </c>
    </row>
    <row r="661" spans="1:5" ht="15.75" customHeight="1" x14ac:dyDescent="0.25">
      <c r="A661">
        <v>2011</v>
      </c>
      <c r="B661">
        <v>6</v>
      </c>
      <c r="C661">
        <v>2</v>
      </c>
      <c r="D661">
        <v>1</v>
      </c>
      <c r="E661">
        <v>0</v>
      </c>
    </row>
    <row r="662" spans="1:5" ht="15.75" customHeight="1" x14ac:dyDescent="0.25">
      <c r="A662">
        <v>2012</v>
      </c>
      <c r="B662">
        <v>1</v>
      </c>
      <c r="C662">
        <v>1</v>
      </c>
      <c r="D662">
        <v>0.99446999999999997</v>
      </c>
      <c r="E662">
        <v>5.5300000000000002E-3</v>
      </c>
    </row>
    <row r="663" spans="1:5" ht="15.75" customHeight="1" x14ac:dyDescent="0.25">
      <c r="A663">
        <v>2012</v>
      </c>
      <c r="B663">
        <v>1</v>
      </c>
      <c r="C663">
        <v>2</v>
      </c>
      <c r="D663">
        <v>0.99460999999999999</v>
      </c>
      <c r="E663">
        <v>5.3899999999999998E-3</v>
      </c>
    </row>
    <row r="664" spans="1:5" ht="15.75" customHeight="1" x14ac:dyDescent="0.25">
      <c r="A664">
        <v>2012</v>
      </c>
      <c r="B664">
        <v>2</v>
      </c>
      <c r="C664">
        <v>1</v>
      </c>
      <c r="D664">
        <v>0.99614999999999998</v>
      </c>
      <c r="E664">
        <v>3.8500000000000001E-3</v>
      </c>
    </row>
    <row r="665" spans="1:5" ht="15.75" customHeight="1" x14ac:dyDescent="0.25">
      <c r="A665">
        <v>2012</v>
      </c>
      <c r="B665">
        <v>2</v>
      </c>
      <c r="C665">
        <v>2</v>
      </c>
      <c r="D665">
        <v>0.99095</v>
      </c>
      <c r="E665">
        <v>9.0500000000000008E-3</v>
      </c>
    </row>
    <row r="666" spans="1:5" ht="15.75" customHeight="1" x14ac:dyDescent="0.25">
      <c r="A666">
        <v>2012</v>
      </c>
      <c r="B666">
        <v>3</v>
      </c>
      <c r="C666">
        <v>1</v>
      </c>
      <c r="D666">
        <v>0.99512999999999996</v>
      </c>
      <c r="E666">
        <v>4.8700000000000002E-3</v>
      </c>
    </row>
    <row r="667" spans="1:5" ht="15.75" customHeight="1" x14ac:dyDescent="0.25">
      <c r="A667">
        <v>2012</v>
      </c>
      <c r="B667">
        <v>3</v>
      </c>
      <c r="C667">
        <v>2</v>
      </c>
      <c r="D667">
        <v>0.99267000000000005</v>
      </c>
      <c r="E667">
        <v>7.3299999999999997E-3</v>
      </c>
    </row>
    <row r="668" spans="1:5" ht="15.75" customHeight="1" x14ac:dyDescent="0.25">
      <c r="A668">
        <v>2012</v>
      </c>
      <c r="B668">
        <v>4</v>
      </c>
      <c r="C668">
        <v>1</v>
      </c>
      <c r="D668">
        <v>0.99441999999999997</v>
      </c>
      <c r="E668">
        <v>5.5799999999999999E-3</v>
      </c>
    </row>
    <row r="669" spans="1:5" ht="15.75" customHeight="1" x14ac:dyDescent="0.25">
      <c r="A669">
        <v>2012</v>
      </c>
      <c r="B669">
        <v>4</v>
      </c>
      <c r="C669">
        <v>2</v>
      </c>
      <c r="D669">
        <v>0.99521000000000004</v>
      </c>
      <c r="E669">
        <v>4.79E-3</v>
      </c>
    </row>
    <row r="670" spans="1:5" ht="15.75" customHeight="1" x14ac:dyDescent="0.25">
      <c r="A670">
        <v>2012</v>
      </c>
      <c r="B670">
        <v>5</v>
      </c>
      <c r="C670">
        <v>1</v>
      </c>
      <c r="D670">
        <v>0.99297000000000002</v>
      </c>
      <c r="E670">
        <v>7.0299999999999998E-3</v>
      </c>
    </row>
    <row r="671" spans="1:5" ht="15.75" customHeight="1" x14ac:dyDescent="0.25">
      <c r="A671">
        <v>2012</v>
      </c>
      <c r="B671">
        <v>5</v>
      </c>
      <c r="C671">
        <v>2</v>
      </c>
      <c r="D671">
        <v>0.99895999999999996</v>
      </c>
      <c r="E671">
        <v>1.0399999999999999E-3</v>
      </c>
    </row>
    <row r="672" spans="1:5" ht="15.75" customHeight="1" x14ac:dyDescent="0.25">
      <c r="A672">
        <v>2012</v>
      </c>
      <c r="B672">
        <v>6</v>
      </c>
      <c r="C672">
        <v>1</v>
      </c>
      <c r="D672">
        <v>0.99563000000000001</v>
      </c>
      <c r="E672">
        <v>4.3699999999999998E-3</v>
      </c>
    </row>
    <row r="673" spans="1:5" ht="15.75" customHeight="1" x14ac:dyDescent="0.25">
      <c r="A673">
        <v>2012</v>
      </c>
      <c r="B673">
        <v>6</v>
      </c>
      <c r="C673">
        <v>2</v>
      </c>
      <c r="D673">
        <v>0.99465999999999999</v>
      </c>
      <c r="E673">
        <v>5.3400000000000001E-3</v>
      </c>
    </row>
    <row r="674" spans="1:5" ht="15.75" customHeight="1" x14ac:dyDescent="0.25">
      <c r="A674">
        <v>2013</v>
      </c>
      <c r="B674">
        <v>1</v>
      </c>
      <c r="C674">
        <v>1</v>
      </c>
      <c r="D674">
        <v>0.99751000000000001</v>
      </c>
      <c r="E674">
        <v>2.49E-3</v>
      </c>
    </row>
    <row r="675" spans="1:5" ht="15.75" customHeight="1" x14ac:dyDescent="0.25">
      <c r="A675">
        <v>2013</v>
      </c>
      <c r="B675">
        <v>1</v>
      </c>
      <c r="C675">
        <v>2</v>
      </c>
      <c r="D675">
        <v>0.99658999999999998</v>
      </c>
      <c r="E675">
        <v>3.4099999999999998E-3</v>
      </c>
    </row>
    <row r="676" spans="1:5" ht="15.75" customHeight="1" x14ac:dyDescent="0.25">
      <c r="A676">
        <v>2013</v>
      </c>
      <c r="B676">
        <v>2</v>
      </c>
      <c r="C676">
        <v>1</v>
      </c>
      <c r="D676">
        <v>0.99404000000000003</v>
      </c>
      <c r="E676">
        <v>5.96E-3</v>
      </c>
    </row>
    <row r="677" spans="1:5" ht="15.75" customHeight="1" x14ac:dyDescent="0.25">
      <c r="A677">
        <v>2013</v>
      </c>
      <c r="B677">
        <v>2</v>
      </c>
      <c r="C677">
        <v>2</v>
      </c>
      <c r="D677">
        <v>0.99578</v>
      </c>
      <c r="E677">
        <v>4.2199999999999998E-3</v>
      </c>
    </row>
    <row r="678" spans="1:5" ht="15.75" customHeight="1" x14ac:dyDescent="0.25">
      <c r="A678">
        <v>2013</v>
      </c>
      <c r="B678">
        <v>3</v>
      </c>
      <c r="C678">
        <v>1</v>
      </c>
      <c r="D678">
        <v>0.99368000000000001</v>
      </c>
      <c r="E678">
        <v>6.3200000000000001E-3</v>
      </c>
    </row>
    <row r="679" spans="1:5" ht="15.75" customHeight="1" x14ac:dyDescent="0.25">
      <c r="A679">
        <v>2013</v>
      </c>
      <c r="B679">
        <v>3</v>
      </c>
      <c r="C679">
        <v>2</v>
      </c>
      <c r="D679">
        <v>0.99519999999999997</v>
      </c>
      <c r="E679">
        <v>4.7999999999999996E-3</v>
      </c>
    </row>
    <row r="680" spans="1:5" ht="15.75" customHeight="1" x14ac:dyDescent="0.25">
      <c r="A680">
        <v>2013</v>
      </c>
      <c r="B680">
        <v>4</v>
      </c>
      <c r="C680">
        <v>1</v>
      </c>
      <c r="D680">
        <v>0.99387000000000003</v>
      </c>
      <c r="E680">
        <v>6.13E-3</v>
      </c>
    </row>
    <row r="681" spans="1:5" ht="15.75" customHeight="1" x14ac:dyDescent="0.25">
      <c r="A681">
        <v>2013</v>
      </c>
      <c r="B681">
        <v>4</v>
      </c>
      <c r="C681">
        <v>2</v>
      </c>
      <c r="D681">
        <v>0.99622999999999995</v>
      </c>
      <c r="E681">
        <v>3.7699999999999999E-3</v>
      </c>
    </row>
    <row r="682" spans="1:5" ht="15.75" customHeight="1" x14ac:dyDescent="0.25">
      <c r="A682">
        <v>2013</v>
      </c>
      <c r="B682">
        <v>5</v>
      </c>
      <c r="C682">
        <v>1</v>
      </c>
      <c r="D682">
        <v>0.99534</v>
      </c>
      <c r="E682">
        <v>4.6600000000000001E-3</v>
      </c>
    </row>
    <row r="683" spans="1:5" ht="15.75" customHeight="1" x14ac:dyDescent="0.25">
      <c r="A683">
        <v>2013</v>
      </c>
      <c r="B683">
        <v>5</v>
      </c>
      <c r="C683">
        <v>2</v>
      </c>
      <c r="D683">
        <v>0.99456999999999995</v>
      </c>
      <c r="E683">
        <v>5.4299999999999999E-3</v>
      </c>
    </row>
    <row r="684" spans="1:5" ht="15.75" customHeight="1" x14ac:dyDescent="0.25">
      <c r="A684">
        <v>2013</v>
      </c>
      <c r="B684">
        <v>6</v>
      </c>
      <c r="C684">
        <v>1</v>
      </c>
      <c r="D684">
        <v>0.99283999999999994</v>
      </c>
      <c r="E684">
        <v>7.1599999999999997E-3</v>
      </c>
    </row>
    <row r="685" spans="1:5" ht="15.75" customHeight="1" x14ac:dyDescent="0.25">
      <c r="A685">
        <v>2013</v>
      </c>
      <c r="B685">
        <v>6</v>
      </c>
      <c r="C685">
        <v>2</v>
      </c>
      <c r="D685">
        <v>0.99434999999999996</v>
      </c>
      <c r="E685">
        <v>5.6499999999999996E-3</v>
      </c>
    </row>
    <row r="686" spans="1:5" ht="15.75" customHeight="1" x14ac:dyDescent="0.25">
      <c r="A686">
        <v>2014</v>
      </c>
      <c r="B686">
        <v>1</v>
      </c>
      <c r="C686">
        <v>1</v>
      </c>
      <c r="D686">
        <v>0.99409999999999998</v>
      </c>
      <c r="E686">
        <v>5.8999999999999999E-3</v>
      </c>
    </row>
    <row r="687" spans="1:5" ht="15.75" customHeight="1" x14ac:dyDescent="0.25">
      <c r="A687">
        <v>2014</v>
      </c>
      <c r="B687">
        <v>1</v>
      </c>
      <c r="C687">
        <v>2</v>
      </c>
      <c r="D687">
        <v>0.99724000000000002</v>
      </c>
      <c r="E687">
        <v>2.7599999999999999E-3</v>
      </c>
    </row>
    <row r="688" spans="1:5" ht="15.75" customHeight="1" x14ac:dyDescent="0.25">
      <c r="A688">
        <v>2014</v>
      </c>
      <c r="B688">
        <v>2</v>
      </c>
      <c r="C688">
        <v>1</v>
      </c>
      <c r="D688">
        <v>0.99519999999999997</v>
      </c>
      <c r="E688">
        <v>4.7999999999999996E-3</v>
      </c>
    </row>
    <row r="689" spans="1:5" ht="15.75" customHeight="1" x14ac:dyDescent="0.25">
      <c r="A689">
        <v>2014</v>
      </c>
      <c r="B689">
        <v>2</v>
      </c>
      <c r="C689">
        <v>2</v>
      </c>
      <c r="D689">
        <v>0.99539999999999995</v>
      </c>
      <c r="E689">
        <v>4.5999999999999999E-3</v>
      </c>
    </row>
    <row r="690" spans="1:5" ht="15.75" customHeight="1" x14ac:dyDescent="0.25">
      <c r="A690">
        <v>2014</v>
      </c>
      <c r="B690">
        <v>3</v>
      </c>
      <c r="C690">
        <v>1</v>
      </c>
      <c r="D690">
        <v>0.99136999999999997</v>
      </c>
      <c r="E690">
        <v>8.6300000000000005E-3</v>
      </c>
    </row>
    <row r="691" spans="1:5" ht="15.75" customHeight="1" x14ac:dyDescent="0.25">
      <c r="A691">
        <v>2014</v>
      </c>
      <c r="B691">
        <v>3</v>
      </c>
      <c r="C691">
        <v>2</v>
      </c>
      <c r="D691">
        <v>0.99239999999999995</v>
      </c>
      <c r="E691">
        <v>7.6E-3</v>
      </c>
    </row>
    <row r="692" spans="1:5" ht="15.75" customHeight="1" x14ac:dyDescent="0.25">
      <c r="A692">
        <v>2014</v>
      </c>
      <c r="B692">
        <v>4</v>
      </c>
      <c r="C692">
        <v>1</v>
      </c>
      <c r="D692">
        <v>0.99673</v>
      </c>
      <c r="E692">
        <v>3.2699999999999999E-3</v>
      </c>
    </row>
    <row r="693" spans="1:5" ht="15.75" customHeight="1" x14ac:dyDescent="0.25">
      <c r="A693">
        <v>2014</v>
      </c>
      <c r="B693">
        <v>4</v>
      </c>
      <c r="C693">
        <v>2</v>
      </c>
      <c r="D693">
        <v>0.99614000000000003</v>
      </c>
      <c r="E693">
        <v>3.8600000000000001E-3</v>
      </c>
    </row>
    <row r="694" spans="1:5" ht="15.75" customHeight="1" x14ac:dyDescent="0.25">
      <c r="A694">
        <v>2014</v>
      </c>
      <c r="B694">
        <v>5</v>
      </c>
      <c r="C694">
        <v>1</v>
      </c>
      <c r="D694">
        <v>0.99419000000000002</v>
      </c>
      <c r="E694">
        <v>5.8100000000000001E-3</v>
      </c>
    </row>
    <row r="695" spans="1:5" ht="15.75" customHeight="1" x14ac:dyDescent="0.25">
      <c r="A695">
        <v>2014</v>
      </c>
      <c r="B695">
        <v>5</v>
      </c>
      <c r="C695">
        <v>2</v>
      </c>
      <c r="D695">
        <v>0.99121000000000004</v>
      </c>
      <c r="E695">
        <v>8.7899999999999992E-3</v>
      </c>
    </row>
    <row r="696" spans="1:5" ht="15.75" customHeight="1" x14ac:dyDescent="0.25">
      <c r="A696">
        <v>2014</v>
      </c>
      <c r="B696">
        <v>6</v>
      </c>
      <c r="C696">
        <v>1</v>
      </c>
      <c r="D696">
        <v>0.98792000000000002</v>
      </c>
      <c r="E696">
        <v>1.208E-2</v>
      </c>
    </row>
    <row r="697" spans="1:5" ht="15.75" customHeight="1" x14ac:dyDescent="0.25">
      <c r="A697">
        <v>2014</v>
      </c>
      <c r="B697">
        <v>6</v>
      </c>
      <c r="C697">
        <v>2</v>
      </c>
      <c r="D697">
        <v>0.99153000000000002</v>
      </c>
      <c r="E697">
        <v>8.4700000000000001E-3</v>
      </c>
    </row>
    <row r="698" spans="1:5" ht="15.75" customHeight="1" x14ac:dyDescent="0.25">
      <c r="A698">
        <v>2015</v>
      </c>
      <c r="B698">
        <v>1</v>
      </c>
      <c r="C698">
        <v>1</v>
      </c>
      <c r="D698">
        <v>0.99195</v>
      </c>
      <c r="E698">
        <v>8.0499999999999999E-3</v>
      </c>
    </row>
    <row r="699" spans="1:5" ht="15.75" customHeight="1" x14ac:dyDescent="0.25">
      <c r="A699">
        <v>2015</v>
      </c>
      <c r="B699">
        <v>1</v>
      </c>
      <c r="C699">
        <v>2</v>
      </c>
      <c r="D699">
        <v>0.99617</v>
      </c>
      <c r="E699">
        <v>3.8300000000000001E-3</v>
      </c>
    </row>
    <row r="700" spans="1:5" ht="15.75" customHeight="1" x14ac:dyDescent="0.25">
      <c r="A700">
        <v>2015</v>
      </c>
      <c r="B700">
        <v>2</v>
      </c>
      <c r="C700">
        <v>1</v>
      </c>
      <c r="D700">
        <v>0.99500999999999995</v>
      </c>
      <c r="E700">
        <v>4.9899999999999996E-3</v>
      </c>
    </row>
    <row r="701" spans="1:5" ht="15.75" customHeight="1" x14ac:dyDescent="0.25">
      <c r="A701">
        <v>2015</v>
      </c>
      <c r="B701">
        <v>2</v>
      </c>
      <c r="C701">
        <v>2</v>
      </c>
      <c r="D701">
        <v>0.99339</v>
      </c>
      <c r="E701">
        <v>6.6100000000000004E-3</v>
      </c>
    </row>
    <row r="702" spans="1:5" ht="15.75" customHeight="1" x14ac:dyDescent="0.25">
      <c r="A702">
        <v>2015</v>
      </c>
      <c r="B702">
        <v>3</v>
      </c>
      <c r="C702">
        <v>1</v>
      </c>
      <c r="D702">
        <v>0.99324000000000001</v>
      </c>
      <c r="E702">
        <v>6.7600000000000004E-3</v>
      </c>
    </row>
    <row r="703" spans="1:5" ht="15.75" customHeight="1" x14ac:dyDescent="0.25">
      <c r="A703">
        <v>2015</v>
      </c>
      <c r="B703">
        <v>3</v>
      </c>
      <c r="C703">
        <v>2</v>
      </c>
      <c r="D703">
        <v>0.99643000000000004</v>
      </c>
      <c r="E703">
        <v>3.5699999999999998E-3</v>
      </c>
    </row>
    <row r="704" spans="1:5" ht="15.75" customHeight="1" x14ac:dyDescent="0.25">
      <c r="A704">
        <v>2015</v>
      </c>
      <c r="B704">
        <v>4</v>
      </c>
      <c r="C704">
        <v>1</v>
      </c>
      <c r="D704">
        <v>0.99400999999999995</v>
      </c>
      <c r="E704">
        <v>5.9899999999999997E-3</v>
      </c>
    </row>
    <row r="705" spans="1:5" ht="15.75" customHeight="1" x14ac:dyDescent="0.25">
      <c r="A705">
        <v>2015</v>
      </c>
      <c r="B705">
        <v>4</v>
      </c>
      <c r="C705">
        <v>2</v>
      </c>
      <c r="D705">
        <v>0.99409999999999998</v>
      </c>
      <c r="E705">
        <v>5.8999999999999999E-3</v>
      </c>
    </row>
    <row r="706" spans="1:5" ht="15.75" customHeight="1" x14ac:dyDescent="0.25">
      <c r="A706">
        <v>2015</v>
      </c>
      <c r="B706">
        <v>5</v>
      </c>
      <c r="C706">
        <v>1</v>
      </c>
      <c r="D706">
        <v>0.99824000000000002</v>
      </c>
      <c r="E706">
        <v>1.7600000000000001E-3</v>
      </c>
    </row>
    <row r="707" spans="1:5" ht="15.75" customHeight="1" x14ac:dyDescent="0.25">
      <c r="A707">
        <v>2015</v>
      </c>
      <c r="B707">
        <v>5</v>
      </c>
      <c r="C707">
        <v>2</v>
      </c>
      <c r="D707">
        <v>0.99333000000000005</v>
      </c>
      <c r="E707">
        <v>6.6699999999999997E-3</v>
      </c>
    </row>
    <row r="708" spans="1:5" ht="15.75" customHeight="1" x14ac:dyDescent="0.25">
      <c r="A708">
        <v>2015</v>
      </c>
      <c r="B708">
        <v>6</v>
      </c>
      <c r="C708">
        <v>1</v>
      </c>
      <c r="D708">
        <v>0.99504000000000004</v>
      </c>
      <c r="E708">
        <v>4.96E-3</v>
      </c>
    </row>
    <row r="709" spans="1:5" ht="15.75" customHeight="1" x14ac:dyDescent="0.25">
      <c r="A709">
        <v>2015</v>
      </c>
      <c r="B709">
        <v>6</v>
      </c>
      <c r="C709">
        <v>2</v>
      </c>
      <c r="D709">
        <v>0.98946000000000001</v>
      </c>
      <c r="E709">
        <v>1.0540000000000001E-2</v>
      </c>
    </row>
    <row r="710" spans="1:5" ht="15.75" customHeight="1" x14ac:dyDescent="0.25">
      <c r="A710">
        <v>2016</v>
      </c>
      <c r="B710">
        <v>1</v>
      </c>
      <c r="C710">
        <v>1</v>
      </c>
      <c r="D710">
        <v>0.99221000000000004</v>
      </c>
      <c r="E710">
        <v>7.79E-3</v>
      </c>
    </row>
    <row r="711" spans="1:5" ht="15.75" customHeight="1" x14ac:dyDescent="0.25">
      <c r="A711">
        <v>2016</v>
      </c>
      <c r="B711">
        <v>1</v>
      </c>
      <c r="C711">
        <v>2</v>
      </c>
      <c r="D711">
        <v>0.99631000000000003</v>
      </c>
      <c r="E711">
        <v>3.6900000000000001E-3</v>
      </c>
    </row>
    <row r="712" spans="1:5" ht="15.75" customHeight="1" x14ac:dyDescent="0.25">
      <c r="A712">
        <v>2016</v>
      </c>
      <c r="B712">
        <v>2</v>
      </c>
      <c r="C712">
        <v>1</v>
      </c>
      <c r="D712">
        <v>0.99407999999999996</v>
      </c>
      <c r="E712">
        <v>5.9199999999999999E-3</v>
      </c>
    </row>
    <row r="713" spans="1:5" ht="15.75" customHeight="1" x14ac:dyDescent="0.25">
      <c r="A713">
        <v>2016</v>
      </c>
      <c r="B713">
        <v>2</v>
      </c>
      <c r="C713">
        <v>2</v>
      </c>
      <c r="D713">
        <v>0.99670000000000003</v>
      </c>
      <c r="E713">
        <v>3.3E-3</v>
      </c>
    </row>
    <row r="714" spans="1:5" ht="15.75" customHeight="1" x14ac:dyDescent="0.25">
      <c r="A714">
        <v>2016</v>
      </c>
      <c r="B714">
        <v>3</v>
      </c>
      <c r="C714">
        <v>1</v>
      </c>
      <c r="D714">
        <v>0.99345000000000006</v>
      </c>
      <c r="E714">
        <v>6.5500000000000003E-3</v>
      </c>
    </row>
    <row r="715" spans="1:5" ht="15.75" customHeight="1" x14ac:dyDescent="0.25">
      <c r="A715">
        <v>2016</v>
      </c>
      <c r="B715">
        <v>3</v>
      </c>
      <c r="C715">
        <v>2</v>
      </c>
      <c r="D715">
        <v>0.99434</v>
      </c>
      <c r="E715">
        <v>5.6600000000000001E-3</v>
      </c>
    </row>
    <row r="716" spans="1:5" ht="15.75" customHeight="1" x14ac:dyDescent="0.25">
      <c r="A716">
        <v>2016</v>
      </c>
      <c r="B716">
        <v>4</v>
      </c>
      <c r="C716">
        <v>1</v>
      </c>
      <c r="D716">
        <v>0.99390000000000001</v>
      </c>
      <c r="E716">
        <v>6.1000000000000004E-3</v>
      </c>
    </row>
    <row r="717" spans="1:5" ht="15.75" customHeight="1" x14ac:dyDescent="0.25">
      <c r="A717">
        <v>2016</v>
      </c>
      <c r="B717">
        <v>4</v>
      </c>
      <c r="C717">
        <v>2</v>
      </c>
      <c r="D717">
        <v>0.99443000000000004</v>
      </c>
      <c r="E717">
        <v>5.5700000000000003E-3</v>
      </c>
    </row>
    <row r="718" spans="1:5" ht="15.75" customHeight="1" x14ac:dyDescent="0.25">
      <c r="A718">
        <v>2016</v>
      </c>
      <c r="B718">
        <v>5</v>
      </c>
      <c r="C718">
        <v>1</v>
      </c>
      <c r="D718">
        <v>0.99941999999999998</v>
      </c>
      <c r="E718">
        <v>5.8E-4</v>
      </c>
    </row>
    <row r="719" spans="1:5" ht="15.75" customHeight="1" x14ac:dyDescent="0.25">
      <c r="A719">
        <v>2016</v>
      </c>
      <c r="B719">
        <v>5</v>
      </c>
      <c r="C719">
        <v>2</v>
      </c>
      <c r="D719">
        <v>0.99851999999999996</v>
      </c>
      <c r="E719">
        <v>1.48E-3</v>
      </c>
    </row>
    <row r="720" spans="1:5" ht="15.75" customHeight="1" x14ac:dyDescent="0.25">
      <c r="A720">
        <v>2016</v>
      </c>
      <c r="B720">
        <v>6</v>
      </c>
      <c r="C720">
        <v>1</v>
      </c>
      <c r="D720">
        <v>0.99470000000000003</v>
      </c>
      <c r="E720">
        <v>5.3E-3</v>
      </c>
    </row>
    <row r="721" spans="1:5" ht="15.75" customHeight="1" x14ac:dyDescent="0.25">
      <c r="A721">
        <v>2016</v>
      </c>
      <c r="B721">
        <v>6</v>
      </c>
      <c r="C721">
        <v>2</v>
      </c>
      <c r="D721">
        <v>0.98841000000000001</v>
      </c>
      <c r="E721">
        <v>1.159E-2</v>
      </c>
    </row>
    <row r="722" spans="1:5" ht="15.75" customHeight="1" x14ac:dyDescent="0.25">
      <c r="A722">
        <v>2017</v>
      </c>
      <c r="B722">
        <v>1</v>
      </c>
      <c r="C722">
        <v>1</v>
      </c>
      <c r="D722">
        <v>0.98775000000000002</v>
      </c>
      <c r="E722">
        <v>1.225E-2</v>
      </c>
    </row>
    <row r="723" spans="1:5" ht="15.75" customHeight="1" x14ac:dyDescent="0.25">
      <c r="A723">
        <v>2017</v>
      </c>
      <c r="B723">
        <v>1</v>
      </c>
      <c r="C723">
        <v>2</v>
      </c>
      <c r="D723">
        <v>0.99602999999999997</v>
      </c>
      <c r="E723">
        <v>3.9699999999999996E-3</v>
      </c>
    </row>
    <row r="724" spans="1:5" ht="15.75" customHeight="1" x14ac:dyDescent="0.25">
      <c r="A724">
        <v>2017</v>
      </c>
      <c r="B724">
        <v>2</v>
      </c>
      <c r="C724">
        <v>1</v>
      </c>
      <c r="D724">
        <v>0.99658999999999998</v>
      </c>
      <c r="E724">
        <v>3.4099999999999998E-3</v>
      </c>
    </row>
    <row r="725" spans="1:5" ht="15.75" customHeight="1" x14ac:dyDescent="0.25">
      <c r="A725">
        <v>2017</v>
      </c>
      <c r="B725">
        <v>2</v>
      </c>
      <c r="C725">
        <v>2</v>
      </c>
      <c r="D725">
        <v>0.99497000000000002</v>
      </c>
      <c r="E725">
        <v>5.0299999999999997E-3</v>
      </c>
    </row>
    <row r="726" spans="1:5" ht="15.75" customHeight="1" x14ac:dyDescent="0.25">
      <c r="A726">
        <v>2017</v>
      </c>
      <c r="B726">
        <v>3</v>
      </c>
      <c r="C726">
        <v>1</v>
      </c>
      <c r="D726">
        <v>0.99319000000000002</v>
      </c>
      <c r="E726">
        <v>6.8100000000000001E-3</v>
      </c>
    </row>
    <row r="727" spans="1:5" ht="15.75" customHeight="1" x14ac:dyDescent="0.25">
      <c r="A727">
        <v>2017</v>
      </c>
      <c r="B727">
        <v>3</v>
      </c>
      <c r="C727">
        <v>2</v>
      </c>
      <c r="D727">
        <v>0.99565999999999999</v>
      </c>
      <c r="E727">
        <v>4.3400000000000001E-3</v>
      </c>
    </row>
    <row r="728" spans="1:5" ht="15.75" customHeight="1" x14ac:dyDescent="0.25">
      <c r="A728">
        <v>2017</v>
      </c>
      <c r="B728">
        <v>4</v>
      </c>
      <c r="C728">
        <v>1</v>
      </c>
      <c r="D728">
        <v>0.98967000000000005</v>
      </c>
      <c r="E728">
        <v>1.0330000000000001E-2</v>
      </c>
    </row>
    <row r="729" spans="1:5" ht="15.75" customHeight="1" x14ac:dyDescent="0.25">
      <c r="A729">
        <v>2017</v>
      </c>
      <c r="B729">
        <v>4</v>
      </c>
      <c r="C729">
        <v>2</v>
      </c>
      <c r="D729">
        <v>0.99395999999999995</v>
      </c>
      <c r="E729">
        <v>6.0400000000000002E-3</v>
      </c>
    </row>
    <row r="730" spans="1:5" ht="15.75" customHeight="1" x14ac:dyDescent="0.25">
      <c r="A730">
        <v>2017</v>
      </c>
      <c r="B730">
        <v>5</v>
      </c>
      <c r="C730">
        <v>1</v>
      </c>
      <c r="D730">
        <v>0.99672000000000005</v>
      </c>
      <c r="E730">
        <v>3.2799999999999999E-3</v>
      </c>
    </row>
    <row r="731" spans="1:5" ht="15.75" customHeight="1" x14ac:dyDescent="0.25">
      <c r="A731">
        <v>2017</v>
      </c>
      <c r="B731">
        <v>5</v>
      </c>
      <c r="C731">
        <v>2</v>
      </c>
      <c r="D731">
        <v>0.99748999999999999</v>
      </c>
      <c r="E731">
        <v>2.5100000000000001E-3</v>
      </c>
    </row>
    <row r="732" spans="1:5" ht="15.75" customHeight="1" x14ac:dyDescent="0.25">
      <c r="A732">
        <v>2017</v>
      </c>
      <c r="B732">
        <v>6</v>
      </c>
      <c r="C732">
        <v>1</v>
      </c>
      <c r="D732">
        <v>0.99406000000000005</v>
      </c>
      <c r="E732">
        <v>5.94E-3</v>
      </c>
    </row>
    <row r="733" spans="1:5" ht="15.75" customHeight="1" x14ac:dyDescent="0.25">
      <c r="A733">
        <v>2017</v>
      </c>
      <c r="B733">
        <v>6</v>
      </c>
      <c r="C733">
        <v>2</v>
      </c>
      <c r="D733">
        <v>0.99424999999999997</v>
      </c>
      <c r="E733">
        <v>5.7499999999999999E-3</v>
      </c>
    </row>
    <row r="734" spans="1:5" ht="15.75" customHeight="1" x14ac:dyDescent="0.25">
      <c r="A734">
        <v>2018</v>
      </c>
      <c r="B734">
        <v>1</v>
      </c>
      <c r="C734">
        <v>1</v>
      </c>
      <c r="D734">
        <v>0.99414000000000002</v>
      </c>
      <c r="E734">
        <v>5.8599999999999998E-3</v>
      </c>
    </row>
    <row r="735" spans="1:5" ht="15.75" customHeight="1" x14ac:dyDescent="0.25">
      <c r="A735">
        <v>2018</v>
      </c>
      <c r="B735">
        <v>1</v>
      </c>
      <c r="C735">
        <v>2</v>
      </c>
      <c r="D735">
        <v>0.99609999999999999</v>
      </c>
      <c r="E735">
        <v>3.8999999999999998E-3</v>
      </c>
    </row>
    <row r="736" spans="1:5" ht="15.75" customHeight="1" x14ac:dyDescent="0.25">
      <c r="A736">
        <v>2018</v>
      </c>
      <c r="B736">
        <v>2</v>
      </c>
      <c r="C736">
        <v>1</v>
      </c>
      <c r="D736">
        <v>0.99424999999999997</v>
      </c>
      <c r="E736">
        <v>5.7499999999999999E-3</v>
      </c>
    </row>
    <row r="737" spans="1:5" ht="15.75" customHeight="1" x14ac:dyDescent="0.25">
      <c r="A737">
        <v>2018</v>
      </c>
      <c r="B737">
        <v>2</v>
      </c>
      <c r="C737">
        <v>2</v>
      </c>
      <c r="D737">
        <v>0.99702999999999997</v>
      </c>
      <c r="E737">
        <v>2.97E-3</v>
      </c>
    </row>
    <row r="738" spans="1:5" ht="15.75" customHeight="1" x14ac:dyDescent="0.25">
      <c r="A738">
        <v>2018</v>
      </c>
      <c r="B738">
        <v>3</v>
      </c>
      <c r="C738">
        <v>1</v>
      </c>
      <c r="D738">
        <v>0.99134999999999995</v>
      </c>
      <c r="E738">
        <v>8.6499999999999997E-3</v>
      </c>
    </row>
    <row r="739" spans="1:5" ht="15.75" customHeight="1" x14ac:dyDescent="0.25">
      <c r="A739">
        <v>2018</v>
      </c>
      <c r="B739">
        <v>3</v>
      </c>
      <c r="C739">
        <v>2</v>
      </c>
      <c r="D739">
        <v>0.99434</v>
      </c>
      <c r="E739">
        <v>5.6600000000000001E-3</v>
      </c>
    </row>
    <row r="740" spans="1:5" ht="15.75" customHeight="1" x14ac:dyDescent="0.25">
      <c r="A740">
        <v>2018</v>
      </c>
      <c r="B740">
        <v>4</v>
      </c>
      <c r="C740">
        <v>1</v>
      </c>
      <c r="D740">
        <v>0.99509000000000003</v>
      </c>
      <c r="E740">
        <v>4.9100000000000003E-3</v>
      </c>
    </row>
    <row r="741" spans="1:5" ht="15.75" customHeight="1" x14ac:dyDescent="0.25">
      <c r="A741">
        <v>2018</v>
      </c>
      <c r="B741">
        <v>4</v>
      </c>
      <c r="C741">
        <v>2</v>
      </c>
      <c r="D741">
        <v>0.99436999999999998</v>
      </c>
      <c r="E741">
        <v>5.6299999999999996E-3</v>
      </c>
    </row>
    <row r="742" spans="1:5" ht="15.75" customHeight="1" x14ac:dyDescent="0.25">
      <c r="A742">
        <v>2018</v>
      </c>
      <c r="B742">
        <v>5</v>
      </c>
      <c r="C742">
        <v>1</v>
      </c>
      <c r="D742">
        <v>0.99865999999999999</v>
      </c>
      <c r="E742">
        <v>1.34E-3</v>
      </c>
    </row>
    <row r="743" spans="1:5" ht="15.75" customHeight="1" x14ac:dyDescent="0.25">
      <c r="A743">
        <v>2018</v>
      </c>
      <c r="B743">
        <v>5</v>
      </c>
      <c r="C743">
        <v>2</v>
      </c>
      <c r="D743">
        <v>1</v>
      </c>
      <c r="E743">
        <v>0</v>
      </c>
    </row>
    <row r="744" spans="1:5" ht="15.75" customHeight="1" x14ac:dyDescent="0.25">
      <c r="A744">
        <v>2018</v>
      </c>
      <c r="B744">
        <v>6</v>
      </c>
      <c r="C744">
        <v>1</v>
      </c>
      <c r="D744">
        <v>0.99056</v>
      </c>
      <c r="E744">
        <v>9.4400000000000005E-3</v>
      </c>
    </row>
    <row r="745" spans="1:5" ht="15.75" customHeight="1" x14ac:dyDescent="0.25">
      <c r="A745">
        <v>2018</v>
      </c>
      <c r="B745">
        <v>6</v>
      </c>
      <c r="C745">
        <v>2</v>
      </c>
      <c r="D745">
        <v>0.98612</v>
      </c>
      <c r="E745">
        <v>1.388E-2</v>
      </c>
    </row>
    <row r="746" spans="1:5" ht="15.75" customHeight="1" x14ac:dyDescent="0.25"/>
    <row r="747" spans="1:5" ht="15.75" customHeight="1" x14ac:dyDescent="0.25"/>
    <row r="748" spans="1:5" ht="15.75" customHeight="1" x14ac:dyDescent="0.25"/>
    <row r="749" spans="1:5" ht="15.75" customHeight="1" x14ac:dyDescent="0.25"/>
    <row r="750" spans="1:5" ht="15.75" customHeight="1" x14ac:dyDescent="0.25"/>
    <row r="751" spans="1:5" ht="15.75" customHeight="1" x14ac:dyDescent="0.25"/>
    <row r="752" spans="1:5" ht="15.75" customHeight="1" x14ac:dyDescent="0.25"/>
    <row r="753" customFormat="1" ht="15.75" customHeight="1" x14ac:dyDescent="0.25"/>
    <row r="754" customFormat="1" ht="15.75" customHeight="1" x14ac:dyDescent="0.25"/>
    <row r="755" customFormat="1" ht="15.75" customHeight="1" x14ac:dyDescent="0.25"/>
    <row r="756" customFormat="1" ht="15.75" customHeight="1" x14ac:dyDescent="0.25"/>
    <row r="757" customFormat="1" ht="15.75" customHeight="1" x14ac:dyDescent="0.25"/>
    <row r="758" customFormat="1" ht="15.75" customHeight="1" x14ac:dyDescent="0.25"/>
    <row r="759" customFormat="1" ht="15.75" customHeight="1" x14ac:dyDescent="0.25"/>
    <row r="760" customFormat="1" ht="15.75" customHeight="1" x14ac:dyDescent="0.25"/>
    <row r="761" customFormat="1" ht="15.75" customHeight="1" x14ac:dyDescent="0.25"/>
    <row r="762" customFormat="1" ht="15.75" customHeight="1" x14ac:dyDescent="0.25"/>
    <row r="763" customFormat="1" ht="15.75" customHeight="1" x14ac:dyDescent="0.25"/>
    <row r="764" customFormat="1" ht="15.75" customHeight="1" x14ac:dyDescent="0.25"/>
    <row r="765" customFormat="1" ht="15.75" customHeight="1" x14ac:dyDescent="0.25"/>
    <row r="766" customFormat="1" ht="15.75" customHeight="1" x14ac:dyDescent="0.25"/>
    <row r="767" customFormat="1" ht="15.75" customHeight="1" x14ac:dyDescent="0.25"/>
    <row r="768" customFormat="1" ht="15.75" customHeight="1" x14ac:dyDescent="0.25"/>
    <row r="769" customFormat="1" ht="15.75" customHeight="1" x14ac:dyDescent="0.25"/>
    <row r="770" customFormat="1" ht="15.75" customHeight="1" x14ac:dyDescent="0.25"/>
    <row r="771" customFormat="1" ht="15.75" customHeight="1" x14ac:dyDescent="0.25"/>
    <row r="772" customFormat="1" ht="15.75" customHeight="1" x14ac:dyDescent="0.25"/>
    <row r="773" customFormat="1" ht="15.75" customHeight="1" x14ac:dyDescent="0.25"/>
    <row r="774" customFormat="1" ht="15.75" customHeight="1" x14ac:dyDescent="0.25"/>
    <row r="775" customFormat="1" ht="15.75" customHeight="1" x14ac:dyDescent="0.25"/>
    <row r="776" customFormat="1" ht="15.75" customHeight="1" x14ac:dyDescent="0.25"/>
    <row r="777" customFormat="1" ht="15.75" customHeight="1" x14ac:dyDescent="0.25"/>
    <row r="778" customFormat="1" ht="15.75" customHeight="1" x14ac:dyDescent="0.25"/>
    <row r="779" customFormat="1" ht="15.75" customHeight="1" x14ac:dyDescent="0.25"/>
    <row r="780" customFormat="1" ht="15.75" customHeight="1" x14ac:dyDescent="0.25"/>
    <row r="781" customFormat="1" ht="15.75" customHeight="1" x14ac:dyDescent="0.25"/>
    <row r="782" customFormat="1" ht="15.75" customHeight="1" x14ac:dyDescent="0.25"/>
    <row r="783" customFormat="1" ht="15.75" customHeight="1" x14ac:dyDescent="0.25"/>
    <row r="784" customFormat="1" ht="15.75" customHeight="1" x14ac:dyDescent="0.25"/>
    <row r="785" customFormat="1" ht="15.75" customHeight="1" x14ac:dyDescent="0.25"/>
    <row r="786" customFormat="1" ht="15.75" customHeight="1" x14ac:dyDescent="0.25"/>
    <row r="787" customFormat="1" ht="15.75" customHeight="1" x14ac:dyDescent="0.25"/>
    <row r="788" customFormat="1" ht="15.75" customHeight="1" x14ac:dyDescent="0.25"/>
    <row r="789" customFormat="1" ht="15.75" customHeight="1" x14ac:dyDescent="0.25"/>
    <row r="790" customFormat="1" ht="15.75" customHeight="1" x14ac:dyDescent="0.25"/>
    <row r="791" customFormat="1" ht="15.75" customHeight="1" x14ac:dyDescent="0.25"/>
    <row r="792" customFormat="1" ht="15.75" customHeight="1" x14ac:dyDescent="0.25"/>
    <row r="793" customFormat="1" ht="15.75" customHeight="1" x14ac:dyDescent="0.25"/>
    <row r="794" customFormat="1" ht="15.75" customHeight="1" x14ac:dyDescent="0.25"/>
    <row r="795" customFormat="1" ht="15.75" customHeight="1" x14ac:dyDescent="0.25"/>
    <row r="796" customFormat="1" ht="15.75" customHeight="1" x14ac:dyDescent="0.25"/>
    <row r="797" customFormat="1" ht="15.75" customHeight="1" x14ac:dyDescent="0.25"/>
    <row r="798" customFormat="1" ht="15.75" customHeight="1" x14ac:dyDescent="0.25"/>
    <row r="799" customFormat="1" ht="15.75" customHeight="1" x14ac:dyDescent="0.25"/>
    <row r="800" customFormat="1" ht="15.75" customHeight="1" x14ac:dyDescent="0.25"/>
    <row r="801" customFormat="1" ht="15.75" customHeight="1" x14ac:dyDescent="0.25"/>
    <row r="802" customFormat="1" ht="15.75" customHeight="1" x14ac:dyDescent="0.25"/>
    <row r="803" customFormat="1" ht="15.75" customHeight="1" x14ac:dyDescent="0.25"/>
    <row r="804" customFormat="1" ht="15.75" customHeight="1" x14ac:dyDescent="0.25"/>
    <row r="805" customFormat="1" ht="15.75" customHeight="1" x14ac:dyDescent="0.25"/>
    <row r="806" customFormat="1" ht="15.75" customHeight="1" x14ac:dyDescent="0.25"/>
    <row r="807" customFormat="1" ht="15.75" customHeight="1" x14ac:dyDescent="0.25"/>
    <row r="808" customFormat="1" ht="15.75" customHeight="1" x14ac:dyDescent="0.25"/>
    <row r="809" customFormat="1" ht="15.75" customHeight="1" x14ac:dyDescent="0.25"/>
    <row r="810" customFormat="1" ht="15.75" customHeight="1" x14ac:dyDescent="0.25"/>
    <row r="811" customFormat="1" ht="15.75" customHeight="1" x14ac:dyDescent="0.25"/>
    <row r="812" customFormat="1" ht="15.75" customHeight="1" x14ac:dyDescent="0.25"/>
    <row r="813" customFormat="1" ht="15.75" customHeight="1" x14ac:dyDescent="0.25"/>
    <row r="814" customFormat="1" ht="15.75" customHeight="1" x14ac:dyDescent="0.25"/>
    <row r="815" customFormat="1" ht="15.75" customHeight="1" x14ac:dyDescent="0.25"/>
    <row r="816" customFormat="1" ht="15.75" customHeight="1" x14ac:dyDescent="0.25"/>
    <row r="817" customFormat="1" ht="15.75" customHeight="1" x14ac:dyDescent="0.25"/>
    <row r="818" customFormat="1" ht="15.75" customHeight="1" x14ac:dyDescent="0.25"/>
    <row r="819" customFormat="1" ht="15.75" customHeight="1" x14ac:dyDescent="0.25"/>
    <row r="820" customFormat="1" ht="15.75" customHeight="1" x14ac:dyDescent="0.25"/>
    <row r="821" customFormat="1" ht="15.75" customHeight="1" x14ac:dyDescent="0.25"/>
    <row r="822" customFormat="1" ht="15.75" customHeight="1" x14ac:dyDescent="0.25"/>
    <row r="823" customFormat="1" ht="15.75" customHeight="1" x14ac:dyDescent="0.25"/>
    <row r="824" customFormat="1" ht="15.75" customHeight="1" x14ac:dyDescent="0.25"/>
    <row r="825" customFormat="1" ht="15.75" customHeight="1" x14ac:dyDescent="0.25"/>
    <row r="826" customFormat="1" ht="15.75" customHeight="1" x14ac:dyDescent="0.25"/>
    <row r="827" customFormat="1" ht="15.75" customHeight="1" x14ac:dyDescent="0.25"/>
    <row r="828" customFormat="1" ht="15.75" customHeight="1" x14ac:dyDescent="0.25"/>
    <row r="829" customFormat="1" ht="15.75" customHeight="1" x14ac:dyDescent="0.25"/>
    <row r="830" customFormat="1" ht="15.75" customHeight="1" x14ac:dyDescent="0.25"/>
    <row r="831" customFormat="1" ht="15.75" customHeight="1" x14ac:dyDescent="0.25"/>
    <row r="832" customFormat="1" ht="15.75" customHeight="1" x14ac:dyDescent="0.25"/>
    <row r="833" customFormat="1" ht="15.75" customHeight="1" x14ac:dyDescent="0.25"/>
    <row r="834" customFormat="1" ht="15.75" customHeight="1" x14ac:dyDescent="0.25"/>
    <row r="835" customFormat="1" ht="15.75" customHeight="1" x14ac:dyDescent="0.25"/>
    <row r="836" customFormat="1" ht="15.75" customHeight="1" x14ac:dyDescent="0.25"/>
    <row r="837" customFormat="1" ht="15.75" customHeight="1" x14ac:dyDescent="0.25"/>
    <row r="838" customFormat="1" ht="15.75" customHeight="1" x14ac:dyDescent="0.25"/>
    <row r="839" customFormat="1" ht="15.75" customHeight="1" x14ac:dyDescent="0.25"/>
    <row r="840" customFormat="1" ht="15.75" customHeight="1" x14ac:dyDescent="0.25"/>
    <row r="841" customFormat="1" ht="15.75" customHeight="1" x14ac:dyDescent="0.25"/>
    <row r="842" customFormat="1" ht="15.75" customHeight="1" x14ac:dyDescent="0.25"/>
    <row r="843" customFormat="1" ht="15.75" customHeight="1" x14ac:dyDescent="0.25"/>
    <row r="844" customFormat="1" ht="15.75" customHeight="1" x14ac:dyDescent="0.25"/>
    <row r="845" customFormat="1" ht="15.75" customHeight="1" x14ac:dyDescent="0.25"/>
    <row r="846" customFormat="1" ht="15.75" customHeight="1" x14ac:dyDescent="0.25"/>
    <row r="847" customFormat="1" ht="15.75" customHeight="1" x14ac:dyDescent="0.25"/>
    <row r="848" customFormat="1" ht="15.75" customHeight="1" x14ac:dyDescent="0.25"/>
    <row r="849" customFormat="1" ht="15.75" customHeight="1" x14ac:dyDescent="0.25"/>
    <row r="850" customFormat="1" ht="15.75" customHeight="1" x14ac:dyDescent="0.25"/>
    <row r="851" customFormat="1" ht="15.75" customHeight="1" x14ac:dyDescent="0.25"/>
    <row r="852" customFormat="1" ht="15.75" customHeight="1" x14ac:dyDescent="0.25"/>
    <row r="853" customFormat="1" ht="15.75" customHeight="1" x14ac:dyDescent="0.25"/>
    <row r="854" customFormat="1" ht="15.75" customHeight="1" x14ac:dyDescent="0.25"/>
    <row r="855" customFormat="1" ht="15.75" customHeight="1" x14ac:dyDescent="0.25"/>
    <row r="856" customFormat="1" ht="15.75" customHeight="1" x14ac:dyDescent="0.25"/>
    <row r="857" customFormat="1" ht="15.75" customHeight="1" x14ac:dyDescent="0.25"/>
    <row r="858" customFormat="1" ht="15.75" customHeight="1" x14ac:dyDescent="0.25"/>
    <row r="859" customFormat="1" ht="15.75" customHeight="1" x14ac:dyDescent="0.25"/>
    <row r="860" customFormat="1" ht="15.75" customHeight="1" x14ac:dyDescent="0.25"/>
    <row r="861" customFormat="1" ht="15.75" customHeight="1" x14ac:dyDescent="0.25"/>
    <row r="862" customFormat="1" ht="15.75" customHeight="1" x14ac:dyDescent="0.25"/>
    <row r="863" customFormat="1" ht="15.75" customHeight="1" x14ac:dyDescent="0.25"/>
    <row r="864" customFormat="1" ht="15.75" customHeight="1" x14ac:dyDescent="0.25"/>
    <row r="865" customFormat="1" ht="15.75" customHeight="1" x14ac:dyDescent="0.25"/>
    <row r="866" customFormat="1" ht="15.75" customHeight="1" x14ac:dyDescent="0.25"/>
    <row r="867" customFormat="1" ht="15" customHeight="1" x14ac:dyDescent="0.25"/>
    <row r="868" customFormat="1" ht="15" customHeight="1" x14ac:dyDescent="0.25"/>
    <row r="869" customFormat="1" ht="15" customHeight="1" x14ac:dyDescent="0.25"/>
    <row r="870" customFormat="1" ht="15" customHeight="1" x14ac:dyDescent="0.25"/>
    <row r="871" customFormat="1" ht="15" customHeight="1" x14ac:dyDescent="0.25"/>
    <row r="872" customFormat="1" ht="15" customHeight="1" x14ac:dyDescent="0.25"/>
    <row r="873" customFormat="1" ht="15" customHeight="1" x14ac:dyDescent="0.25"/>
    <row r="874" customFormat="1" ht="15" customHeight="1" x14ac:dyDescent="0.25"/>
    <row r="875" customFormat="1" ht="15" customHeight="1" x14ac:dyDescent="0.25"/>
    <row r="876" customFormat="1" ht="15" customHeight="1" x14ac:dyDescent="0.25"/>
    <row r="877" customFormat="1" ht="15" customHeight="1" x14ac:dyDescent="0.25"/>
    <row r="878" customFormat="1" ht="15" customHeight="1" x14ac:dyDescent="0.25"/>
    <row r="879" customFormat="1" ht="15" customHeight="1" x14ac:dyDescent="0.25"/>
    <row r="880" customFormat="1" ht="15" customHeight="1" x14ac:dyDescent="0.25"/>
    <row r="881" customFormat="1" ht="15" customHeight="1" x14ac:dyDescent="0.25"/>
    <row r="882" customFormat="1" ht="15" customHeight="1" x14ac:dyDescent="0.25"/>
    <row r="883" customFormat="1" ht="15" customHeight="1" x14ac:dyDescent="0.25"/>
    <row r="884" customFormat="1" ht="15" customHeight="1" x14ac:dyDescent="0.25"/>
    <row r="885" customFormat="1" ht="15" customHeight="1" x14ac:dyDescent="0.25"/>
    <row r="886" customFormat="1" ht="15" customHeight="1" x14ac:dyDescent="0.25"/>
    <row r="887" customFormat="1" ht="15" customHeight="1" x14ac:dyDescent="0.25"/>
    <row r="888" customFormat="1" ht="15" customHeight="1" x14ac:dyDescent="0.25"/>
    <row r="889" customFormat="1" ht="15" customHeight="1" x14ac:dyDescent="0.25"/>
    <row r="890" customFormat="1" ht="15" customHeight="1" x14ac:dyDescent="0.25"/>
    <row r="891" customFormat="1" ht="15" customHeight="1" x14ac:dyDescent="0.25"/>
    <row r="892" customFormat="1" ht="15" customHeight="1" x14ac:dyDescent="0.25"/>
    <row r="893" customFormat="1" ht="15" customHeight="1" x14ac:dyDescent="0.25"/>
    <row r="894" customFormat="1" ht="15" customHeight="1" x14ac:dyDescent="0.25"/>
    <row r="895" customFormat="1" ht="15" customHeight="1" x14ac:dyDescent="0.25"/>
    <row r="896" customFormat="1" ht="15" customHeight="1" x14ac:dyDescent="0.25"/>
    <row r="897" customFormat="1" ht="15" customHeight="1" x14ac:dyDescent="0.25"/>
    <row r="898" customFormat="1" ht="15" customHeight="1" x14ac:dyDescent="0.25"/>
    <row r="899" customFormat="1" ht="15" customHeight="1" x14ac:dyDescent="0.25"/>
    <row r="900" customFormat="1" ht="15" customHeight="1" x14ac:dyDescent="0.25"/>
    <row r="901" customFormat="1" ht="15" customHeight="1" x14ac:dyDescent="0.25"/>
    <row r="902" customFormat="1" ht="15" customHeight="1" x14ac:dyDescent="0.25"/>
    <row r="903" customFormat="1" ht="15" customHeight="1" x14ac:dyDescent="0.25"/>
    <row r="904" customFormat="1" ht="15" customHeight="1" x14ac:dyDescent="0.25"/>
    <row r="905" customFormat="1" ht="15" customHeight="1" x14ac:dyDescent="0.25"/>
    <row r="906" customFormat="1" ht="15" customHeight="1" x14ac:dyDescent="0.25"/>
    <row r="907" customFormat="1" ht="15" customHeight="1" x14ac:dyDescent="0.25"/>
    <row r="908" customFormat="1" ht="15" customHeight="1" x14ac:dyDescent="0.25"/>
    <row r="909" customFormat="1" ht="15" customHeight="1" x14ac:dyDescent="0.25"/>
    <row r="910" customFormat="1" ht="15" customHeight="1" x14ac:dyDescent="0.25"/>
    <row r="911" customFormat="1" ht="15" customHeight="1" x14ac:dyDescent="0.25"/>
    <row r="912" customFormat="1" ht="15" customHeight="1" x14ac:dyDescent="0.25"/>
    <row r="913" customFormat="1" ht="15" customHeight="1" x14ac:dyDescent="0.25"/>
    <row r="914" customFormat="1" ht="15" customHeight="1" x14ac:dyDescent="0.25"/>
    <row r="915" customFormat="1" ht="15" customHeight="1" x14ac:dyDescent="0.25"/>
    <row r="916" customFormat="1" ht="15" customHeight="1" x14ac:dyDescent="0.25"/>
    <row r="917" customFormat="1" ht="15" customHeight="1" x14ac:dyDescent="0.25"/>
    <row r="918" customFormat="1" ht="15" customHeight="1" x14ac:dyDescent="0.25"/>
    <row r="919" customFormat="1" ht="15" customHeight="1" x14ac:dyDescent="0.25"/>
    <row r="920" customFormat="1" ht="15" customHeight="1" x14ac:dyDescent="0.25"/>
    <row r="921" customFormat="1" ht="15" customHeight="1" x14ac:dyDescent="0.25"/>
    <row r="922" customFormat="1" ht="15" customHeight="1" x14ac:dyDescent="0.25"/>
    <row r="923" customFormat="1" ht="15" customHeight="1" x14ac:dyDescent="0.25"/>
    <row r="924" customFormat="1" ht="15" customHeight="1" x14ac:dyDescent="0.25"/>
    <row r="925" customFormat="1" ht="15" customHeight="1" x14ac:dyDescent="0.25"/>
    <row r="926" customFormat="1" ht="15" customHeight="1" x14ac:dyDescent="0.25"/>
    <row r="927" customFormat="1" ht="15" customHeight="1" x14ac:dyDescent="0.25"/>
    <row r="928" customFormat="1" ht="15" customHeight="1" x14ac:dyDescent="0.25"/>
    <row r="929" customFormat="1" ht="15" customHeight="1" x14ac:dyDescent="0.25"/>
    <row r="930" customFormat="1" ht="15" customHeight="1" x14ac:dyDescent="0.25"/>
    <row r="931" customFormat="1" ht="15" customHeight="1" x14ac:dyDescent="0.25"/>
    <row r="932" customFormat="1" ht="15" customHeight="1" x14ac:dyDescent="0.25"/>
    <row r="933" customFormat="1" ht="15" customHeight="1" x14ac:dyDescent="0.25"/>
    <row r="934" customFormat="1" ht="15" customHeight="1" x14ac:dyDescent="0.25"/>
    <row r="935" customFormat="1" ht="15" customHeight="1" x14ac:dyDescent="0.25"/>
    <row r="936" customFormat="1" ht="15" customHeight="1" x14ac:dyDescent="0.25"/>
    <row r="937" customFormat="1" ht="15" customHeight="1" x14ac:dyDescent="0.25"/>
    <row r="938" customFormat="1" ht="15" customHeight="1" x14ac:dyDescent="0.25"/>
    <row r="939" customFormat="1" ht="15" customHeight="1" x14ac:dyDescent="0.25"/>
    <row r="940" customFormat="1" ht="15" customHeight="1" x14ac:dyDescent="0.25"/>
    <row r="941" customFormat="1" ht="15" customHeight="1" x14ac:dyDescent="0.25"/>
    <row r="942" customFormat="1" ht="15" customHeight="1" x14ac:dyDescent="0.25"/>
    <row r="943" customFormat="1" ht="15" customHeight="1" x14ac:dyDescent="0.25"/>
    <row r="944" customFormat="1" ht="15" customHeight="1" x14ac:dyDescent="0.25"/>
    <row r="945" customFormat="1" ht="15" customHeight="1" x14ac:dyDescent="0.25"/>
    <row r="946" customFormat="1" ht="15" customHeight="1" x14ac:dyDescent="0.25"/>
    <row r="947" customFormat="1" ht="15" customHeight="1" x14ac:dyDescent="0.25"/>
    <row r="948" customFormat="1" ht="15" customHeight="1" x14ac:dyDescent="0.25"/>
    <row r="949" customFormat="1" ht="15" customHeight="1" x14ac:dyDescent="0.25"/>
    <row r="950" customFormat="1" ht="15" customHeight="1" x14ac:dyDescent="0.25"/>
    <row r="951" customFormat="1" ht="15" customHeight="1" x14ac:dyDescent="0.25"/>
    <row r="952" customFormat="1" ht="15" customHeight="1" x14ac:dyDescent="0.25"/>
    <row r="953" customFormat="1" ht="15" customHeight="1" x14ac:dyDescent="0.25"/>
    <row r="954" customFormat="1" ht="15" customHeight="1" x14ac:dyDescent="0.25"/>
    <row r="955" customFormat="1" ht="15" customHeight="1" x14ac:dyDescent="0.25"/>
    <row r="956" customFormat="1" ht="15" customHeight="1" x14ac:dyDescent="0.25"/>
    <row r="957" customFormat="1" ht="15" customHeight="1" x14ac:dyDescent="0.25"/>
    <row r="958" customFormat="1" ht="15" customHeight="1" x14ac:dyDescent="0.25"/>
    <row r="959" customFormat="1" ht="15" customHeight="1" x14ac:dyDescent="0.25"/>
    <row r="960" customFormat="1" ht="15" customHeight="1" x14ac:dyDescent="0.25"/>
    <row r="961" customFormat="1" ht="15" customHeight="1" x14ac:dyDescent="0.25"/>
    <row r="962" customFormat="1" ht="15" customHeight="1" x14ac:dyDescent="0.25"/>
    <row r="963" customFormat="1" ht="15" customHeight="1" x14ac:dyDescent="0.25"/>
    <row r="964" customFormat="1" ht="15" customHeight="1" x14ac:dyDescent="0.25"/>
    <row r="965" customFormat="1" ht="15" customHeight="1" x14ac:dyDescent="0.25"/>
    <row r="966" customFormat="1" ht="15" customHeight="1" x14ac:dyDescent="0.25"/>
    <row r="967" customFormat="1" ht="15" customHeight="1" x14ac:dyDescent="0.25"/>
    <row r="968" customFormat="1" ht="15" customHeight="1" x14ac:dyDescent="0.25"/>
    <row r="969" customFormat="1" ht="15" customHeight="1" x14ac:dyDescent="0.25"/>
    <row r="970" customFormat="1" ht="15" customHeight="1" x14ac:dyDescent="0.25"/>
    <row r="971" customFormat="1" ht="15" customHeight="1" x14ac:dyDescent="0.25"/>
    <row r="972" customFormat="1" ht="15" customHeight="1" x14ac:dyDescent="0.25"/>
    <row r="973" customFormat="1" ht="15" customHeight="1" x14ac:dyDescent="0.25"/>
    <row r="974" customFormat="1" ht="15" customHeight="1" x14ac:dyDescent="0.25"/>
    <row r="975" customFormat="1" ht="15" customHeight="1" x14ac:dyDescent="0.25"/>
    <row r="976" customFormat="1" ht="15" customHeight="1" x14ac:dyDescent="0.25"/>
    <row r="977" customFormat="1" ht="15" customHeight="1" x14ac:dyDescent="0.25"/>
    <row r="978" customFormat="1" ht="15" customHeight="1" x14ac:dyDescent="0.25"/>
    <row r="979" customFormat="1" ht="15" customHeight="1" x14ac:dyDescent="0.25"/>
    <row r="980" customFormat="1" ht="15" customHeight="1" x14ac:dyDescent="0.25"/>
    <row r="981" customFormat="1" ht="15" customHeight="1" x14ac:dyDescent="0.25"/>
    <row r="982" customFormat="1" ht="15" customHeight="1" x14ac:dyDescent="0.25"/>
    <row r="983" customFormat="1" ht="15" customHeight="1" x14ac:dyDescent="0.25"/>
    <row r="984" customFormat="1" ht="15" customHeight="1" x14ac:dyDescent="0.25"/>
    <row r="985" customFormat="1" ht="15" customHeight="1" x14ac:dyDescent="0.25"/>
    <row r="986" customFormat="1" ht="15" customHeight="1" x14ac:dyDescent="0.25"/>
    <row r="987" customFormat="1" ht="15" customHeight="1" x14ac:dyDescent="0.25"/>
    <row r="988" customFormat="1" ht="15" customHeight="1" x14ac:dyDescent="0.25"/>
    <row r="989" customFormat="1" ht="15" customHeight="1" x14ac:dyDescent="0.25"/>
    <row r="990" customFormat="1" ht="15" customHeight="1" x14ac:dyDescent="0.25"/>
    <row r="991" customFormat="1" ht="15" customHeight="1" x14ac:dyDescent="0.25"/>
    <row r="992" customFormat="1" ht="15" customHeight="1" x14ac:dyDescent="0.25"/>
    <row r="993" customFormat="1" ht="15" customHeight="1" x14ac:dyDescent="0.25"/>
    <row r="994" customFormat="1" ht="15" customHeight="1" x14ac:dyDescent="0.25"/>
    <row r="995" customFormat="1" ht="15" customHeight="1" x14ac:dyDescent="0.25"/>
    <row r="996" customFormat="1" ht="15" customHeight="1" x14ac:dyDescent="0.25"/>
    <row r="997" customFormat="1" ht="15" customHeight="1" x14ac:dyDescent="0.25"/>
    <row r="998" customFormat="1" ht="15" customHeight="1" x14ac:dyDescent="0.25"/>
    <row r="999" customFormat="1" ht="15" customHeight="1" x14ac:dyDescent="0.25"/>
    <row r="1000" customFormat="1" ht="1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188</v>
      </c>
      <c r="B1" s="11"/>
      <c r="C1" s="11"/>
      <c r="D1" s="11"/>
      <c r="E1" s="11"/>
      <c r="F1" s="11"/>
      <c r="G1" s="11"/>
      <c r="H1" s="11"/>
      <c r="I1" s="11"/>
      <c r="J1" s="11"/>
      <c r="K1" s="11"/>
      <c r="L1" s="11"/>
      <c r="M1" s="11"/>
      <c r="N1" s="11"/>
      <c r="O1" s="11"/>
      <c r="P1" s="11"/>
      <c r="Q1" s="11"/>
      <c r="R1" s="11"/>
      <c r="S1" s="11"/>
      <c r="T1" s="11"/>
      <c r="U1" s="12"/>
    </row>
    <row r="2" spans="1:21" x14ac:dyDescent="0.25">
      <c r="A2" s="1" t="s">
        <v>189</v>
      </c>
      <c r="B2" s="1" t="s">
        <v>185</v>
      </c>
      <c r="C2" s="1" t="s">
        <v>190</v>
      </c>
      <c r="D2" s="1" t="s">
        <v>191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tabSelected="1" workbookViewId="0">
      <selection activeCell="C19" sqref="C19"/>
    </sheetView>
  </sheetViews>
  <sheetFormatPr defaultColWidth="14.42578125" defaultRowHeight="15" customHeight="1" x14ac:dyDescent="0.25"/>
  <cols>
    <col min="1" max="26" width="11.42578125" customWidth="1"/>
  </cols>
  <sheetData>
    <row r="1" spans="1:21" ht="30.75" customHeight="1" x14ac:dyDescent="0.25">
      <c r="A1" s="15" t="s">
        <v>413</v>
      </c>
      <c r="B1" s="14"/>
      <c r="C1" s="14"/>
      <c r="D1" s="14"/>
      <c r="E1" s="14"/>
      <c r="F1" s="14"/>
      <c r="G1" s="14"/>
      <c r="H1" s="14"/>
      <c r="I1" s="14"/>
      <c r="J1" s="14"/>
      <c r="K1" s="14"/>
      <c r="L1" s="14"/>
      <c r="M1" s="14"/>
      <c r="N1" s="14"/>
      <c r="O1" s="14"/>
      <c r="P1" s="14"/>
      <c r="Q1" s="14"/>
      <c r="R1" s="14"/>
      <c r="S1" s="14"/>
      <c r="T1" s="14"/>
      <c r="U1" s="14"/>
    </row>
    <row r="2" spans="1:21" ht="15" customHeight="1" x14ac:dyDescent="0.25">
      <c r="A2" t="s">
        <v>414</v>
      </c>
      <c r="B2" t="s">
        <v>189</v>
      </c>
      <c r="C2" t="s">
        <v>415</v>
      </c>
      <c r="D2" t="s">
        <v>416</v>
      </c>
      <c r="E2" t="s">
        <v>417</v>
      </c>
      <c r="F2" t="s">
        <v>131</v>
      </c>
      <c r="G2" t="s">
        <v>418</v>
      </c>
      <c r="H2" t="s">
        <v>419</v>
      </c>
      <c r="I2" t="s">
        <v>420</v>
      </c>
    </row>
    <row r="3" spans="1:21" ht="15" customHeight="1" x14ac:dyDescent="0.25">
      <c r="A3">
        <v>1</v>
      </c>
      <c r="B3" t="s">
        <v>111</v>
      </c>
      <c r="C3">
        <v>1</v>
      </c>
      <c r="D3">
        <v>1970</v>
      </c>
      <c r="E3">
        <v>1980</v>
      </c>
      <c r="F3">
        <v>1</v>
      </c>
      <c r="G3">
        <v>74.12</v>
      </c>
      <c r="H3">
        <v>-4</v>
      </c>
    </row>
    <row r="4" spans="1:21" ht="15" customHeight="1" x14ac:dyDescent="0.25">
      <c r="A4">
        <v>1</v>
      </c>
      <c r="B4" t="s">
        <v>111</v>
      </c>
      <c r="C4">
        <v>1</v>
      </c>
      <c r="D4">
        <v>1981</v>
      </c>
      <c r="E4">
        <v>2050</v>
      </c>
      <c r="F4">
        <v>1</v>
      </c>
      <c r="G4">
        <v>70.12</v>
      </c>
      <c r="H4">
        <v>-4.5</v>
      </c>
    </row>
    <row r="5" spans="1:21" ht="15" customHeight="1" x14ac:dyDescent="0.25">
      <c r="A5">
        <v>2</v>
      </c>
      <c r="B5" t="s">
        <v>111</v>
      </c>
      <c r="C5">
        <v>1</v>
      </c>
      <c r="D5">
        <v>1970</v>
      </c>
      <c r="E5">
        <v>2050</v>
      </c>
      <c r="F5">
        <v>1</v>
      </c>
      <c r="G5">
        <v>1.92</v>
      </c>
      <c r="H5">
        <v>2.69</v>
      </c>
    </row>
    <row r="6" spans="1:21" ht="15.75" customHeight="1" x14ac:dyDescent="0.25">
      <c r="A6">
        <v>3</v>
      </c>
      <c r="B6" t="s">
        <v>111</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10" t="s">
        <v>194</v>
      </c>
      <c r="B1" s="11"/>
      <c r="C1" s="11"/>
      <c r="D1" s="11"/>
      <c r="E1" s="11"/>
      <c r="F1" s="11"/>
      <c r="G1" s="11"/>
      <c r="H1" s="11"/>
      <c r="I1" s="11"/>
      <c r="J1" s="11"/>
      <c r="K1" s="11"/>
      <c r="L1" s="11"/>
      <c r="M1" s="11"/>
      <c r="N1" s="11"/>
      <c r="O1" s="11"/>
      <c r="P1" s="11"/>
      <c r="Q1" s="11"/>
      <c r="R1" s="11"/>
      <c r="S1" s="11"/>
      <c r="T1" s="11"/>
      <c r="U1" s="12"/>
    </row>
    <row r="2" spans="1:21" x14ac:dyDescent="0.25">
      <c r="A2" s="1" t="s">
        <v>47</v>
      </c>
      <c r="B2" s="1" t="s">
        <v>192</v>
      </c>
      <c r="C2" s="1" t="s">
        <v>193</v>
      </c>
    </row>
    <row r="3" spans="1:21" x14ac:dyDescent="0.25">
      <c r="A3" s="1" t="s">
        <v>195</v>
      </c>
      <c r="B3" s="5">
        <v>1.61E-6</v>
      </c>
      <c r="C3" s="1">
        <v>2.8681999999999999</v>
      </c>
    </row>
    <row r="4" spans="1:21" x14ac:dyDescent="0.25">
      <c r="A4" s="1" t="s">
        <v>196</v>
      </c>
      <c r="B4" s="5">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0" t="s">
        <v>197</v>
      </c>
      <c r="B1" s="11"/>
      <c r="C1" s="11"/>
      <c r="D1" s="11"/>
      <c r="E1" s="11"/>
      <c r="F1" s="11"/>
      <c r="G1" s="11"/>
      <c r="H1" s="11"/>
      <c r="I1" s="11"/>
      <c r="J1" s="11"/>
      <c r="K1" s="11"/>
      <c r="L1" s="11"/>
      <c r="M1" s="11"/>
      <c r="N1" s="11"/>
      <c r="O1" s="11"/>
      <c r="P1" s="11"/>
      <c r="Q1" s="11"/>
      <c r="R1" s="11"/>
      <c r="S1" s="11"/>
      <c r="T1" s="11"/>
      <c r="U1" s="12"/>
    </row>
    <row r="2" spans="1:21" x14ac:dyDescent="0.25">
      <c r="A2" s="1" t="s">
        <v>198</v>
      </c>
      <c r="B2" s="1" t="s">
        <v>199</v>
      </c>
      <c r="C2" s="1" t="s">
        <v>46</v>
      </c>
      <c r="D2" s="1" t="s">
        <v>200</v>
      </c>
    </row>
    <row r="3" spans="1:21" x14ac:dyDescent="0.25">
      <c r="A3" s="1">
        <v>1960</v>
      </c>
      <c r="B3" s="1">
        <v>1</v>
      </c>
      <c r="C3" s="1">
        <v>1</v>
      </c>
      <c r="D3" s="1">
        <v>7000000</v>
      </c>
    </row>
    <row r="4" spans="1:21" x14ac:dyDescent="0.25">
      <c r="A4" s="1">
        <v>1961</v>
      </c>
      <c r="B4" s="1">
        <v>1</v>
      </c>
      <c r="C4" s="1">
        <v>1</v>
      </c>
      <c r="D4" s="1">
        <f t="shared" ref="D4:D6" ca="1" si="0">D3+RANDBETWEEN(-1000, 200000)</f>
        <v>7004376</v>
      </c>
    </row>
    <row r="5" spans="1:21" x14ac:dyDescent="0.25">
      <c r="A5" s="1">
        <v>1962</v>
      </c>
      <c r="B5" s="1">
        <v>1</v>
      </c>
      <c r="C5" s="1">
        <v>1</v>
      </c>
      <c r="D5" s="1">
        <f t="shared" ca="1" si="0"/>
        <v>7133715</v>
      </c>
    </row>
    <row r="6" spans="1:21" x14ac:dyDescent="0.25">
      <c r="A6" s="1">
        <v>1963</v>
      </c>
      <c r="B6" s="1">
        <v>1</v>
      </c>
      <c r="C6" s="1">
        <v>1</v>
      </c>
      <c r="D6" s="1">
        <f t="shared" ca="1" si="0"/>
        <v>7297070</v>
      </c>
    </row>
    <row r="7" spans="1:21" x14ac:dyDescent="0.25">
      <c r="A7" s="1">
        <v>1964</v>
      </c>
      <c r="B7" s="1">
        <v>1</v>
      </c>
      <c r="C7" s="1">
        <v>1</v>
      </c>
      <c r="D7" s="1">
        <f ca="1">D6+RANDBETWEEN(-1000, 200000)+50000</f>
        <v>7523765</v>
      </c>
    </row>
    <row r="8" spans="1:21" x14ac:dyDescent="0.25">
      <c r="A8" s="1">
        <v>1965</v>
      </c>
      <c r="B8" s="1">
        <v>1</v>
      </c>
      <c r="C8" s="1">
        <v>1</v>
      </c>
      <c r="D8" s="1">
        <f ca="1">D7+RANDBETWEEN(-1000, 200000)+500000</f>
        <v>8189024</v>
      </c>
    </row>
    <row r="9" spans="1:21" x14ac:dyDescent="0.25">
      <c r="A9" s="1">
        <v>1966</v>
      </c>
      <c r="B9" s="1">
        <v>1</v>
      </c>
      <c r="C9" s="1">
        <v>1</v>
      </c>
      <c r="D9" s="1">
        <f t="shared" ref="D9:D15" ca="1" si="1">D8+RANDBETWEEN(-1000, 200000)</f>
        <v>8370804</v>
      </c>
    </row>
    <row r="10" spans="1:21" x14ac:dyDescent="0.25">
      <c r="A10" s="1">
        <v>1967</v>
      </c>
      <c r="B10" s="1">
        <v>1</v>
      </c>
      <c r="C10" s="1">
        <v>1</v>
      </c>
      <c r="D10" s="1">
        <f t="shared" ca="1" si="1"/>
        <v>8543653</v>
      </c>
    </row>
    <row r="11" spans="1:21" x14ac:dyDescent="0.25">
      <c r="A11" s="1">
        <v>1968</v>
      </c>
      <c r="B11" s="1">
        <v>1</v>
      </c>
      <c r="C11" s="1">
        <v>1</v>
      </c>
      <c r="D11" s="1">
        <f t="shared" ca="1" si="1"/>
        <v>8627099</v>
      </c>
    </row>
    <row r="12" spans="1:21" x14ac:dyDescent="0.25">
      <c r="A12" s="1">
        <v>1969</v>
      </c>
      <c r="B12" s="1">
        <v>1</v>
      </c>
      <c r="C12" s="1">
        <v>1</v>
      </c>
      <c r="D12" s="1">
        <f t="shared" ca="1" si="1"/>
        <v>8778170</v>
      </c>
    </row>
    <row r="13" spans="1:21" x14ac:dyDescent="0.25">
      <c r="A13" s="1">
        <v>1970</v>
      </c>
      <c r="B13" s="1">
        <v>1</v>
      </c>
      <c r="C13" s="1">
        <v>1</v>
      </c>
      <c r="D13" s="1">
        <f t="shared" ca="1" si="1"/>
        <v>8781265</v>
      </c>
    </row>
    <row r="14" spans="1:21" x14ac:dyDescent="0.25">
      <c r="A14" s="1">
        <v>1971</v>
      </c>
      <c r="B14" s="1">
        <v>1</v>
      </c>
      <c r="C14" s="1">
        <v>1</v>
      </c>
      <c r="D14" s="1">
        <f t="shared" ca="1" si="1"/>
        <v>8976379</v>
      </c>
    </row>
    <row r="15" spans="1:21" x14ac:dyDescent="0.25">
      <c r="A15" s="1">
        <v>1972</v>
      </c>
      <c r="B15" s="1">
        <v>1</v>
      </c>
      <c r="C15" s="1">
        <v>1</v>
      </c>
      <c r="D15" s="1">
        <f t="shared" ca="1" si="1"/>
        <v>9068623</v>
      </c>
    </row>
    <row r="16" spans="1:21" x14ac:dyDescent="0.25">
      <c r="A16" s="1">
        <v>1973</v>
      </c>
      <c r="B16" s="1">
        <v>1</v>
      </c>
      <c r="C16" s="1">
        <v>1</v>
      </c>
      <c r="D16" s="1">
        <f ca="1">D15+RANDBETWEEN(-1000, 200000)+1000000</f>
        <v>10135581</v>
      </c>
    </row>
    <row r="17" spans="1:4" x14ac:dyDescent="0.25">
      <c r="A17" s="1">
        <v>1974</v>
      </c>
      <c r="B17" s="1">
        <v>1</v>
      </c>
      <c r="C17" s="1">
        <v>1</v>
      </c>
      <c r="D17" s="1">
        <f ca="1">D16+RANDBETWEEN(-1000, 200000)+250000</f>
        <v>10581555</v>
      </c>
    </row>
    <row r="18" spans="1:4" x14ac:dyDescent="0.25">
      <c r="A18" s="1">
        <v>1975</v>
      </c>
      <c r="B18" s="1">
        <v>1</v>
      </c>
      <c r="C18" s="1">
        <v>1</v>
      </c>
      <c r="D18" s="1">
        <f ca="1">D17+RANDBETWEEN(-1000, 200000)</f>
        <v>10626039</v>
      </c>
    </row>
    <row r="19" spans="1:4" x14ac:dyDescent="0.25">
      <c r="A19" s="1">
        <v>1976</v>
      </c>
      <c r="B19" s="1">
        <v>1</v>
      </c>
      <c r="C19" s="1">
        <v>1</v>
      </c>
      <c r="D19" s="1">
        <f t="shared" ref="D19:D21" ca="1" si="2">D18+RANDBETWEEN(-100000, 200000)</f>
        <v>10658262</v>
      </c>
    </row>
    <row r="20" spans="1:4" x14ac:dyDescent="0.25">
      <c r="A20" s="1">
        <v>1977</v>
      </c>
      <c r="B20" s="1">
        <v>1</v>
      </c>
      <c r="C20" s="1">
        <v>1</v>
      </c>
      <c r="D20" s="1">
        <f t="shared" ca="1" si="2"/>
        <v>10824593</v>
      </c>
    </row>
    <row r="21" spans="1:4" ht="15.75" customHeight="1" x14ac:dyDescent="0.25">
      <c r="A21" s="1">
        <v>1978</v>
      </c>
      <c r="B21" s="1">
        <v>1</v>
      </c>
      <c r="C21" s="1">
        <v>1</v>
      </c>
      <c r="D21" s="1">
        <f t="shared" ca="1" si="2"/>
        <v>10923158</v>
      </c>
    </row>
    <row r="22" spans="1:4" ht="15.75" customHeight="1" x14ac:dyDescent="0.25">
      <c r="A22" s="1">
        <v>1979</v>
      </c>
      <c r="B22" s="1">
        <v>1</v>
      </c>
      <c r="C22" s="1">
        <v>1</v>
      </c>
      <c r="D22" s="1">
        <f ca="1">D21+RANDBETWEEN(-100000, 200000)-1000000</f>
        <v>10024782</v>
      </c>
    </row>
    <row r="23" spans="1:4" ht="15.75" customHeight="1" x14ac:dyDescent="0.25">
      <c r="A23" s="1">
        <v>1980</v>
      </c>
      <c r="B23" s="1">
        <v>1</v>
      </c>
      <c r="C23" s="1">
        <v>1</v>
      </c>
      <c r="D23" s="1">
        <f t="shared" ref="D23:D28" ca="1" si="3">D22+RANDBETWEEN(-100000, 200000)</f>
        <v>9948379</v>
      </c>
    </row>
    <row r="24" spans="1:4" ht="15.75" customHeight="1" x14ac:dyDescent="0.25">
      <c r="A24" s="1">
        <v>1981</v>
      </c>
      <c r="B24" s="1">
        <v>1</v>
      </c>
      <c r="C24" s="1">
        <v>1</v>
      </c>
      <c r="D24" s="1">
        <f t="shared" ca="1" si="3"/>
        <v>10054990</v>
      </c>
    </row>
    <row r="25" spans="1:4" ht="15.75" customHeight="1" x14ac:dyDescent="0.25">
      <c r="A25" s="1">
        <v>1982</v>
      </c>
      <c r="B25" s="1">
        <v>1</v>
      </c>
      <c r="C25" s="1">
        <v>1</v>
      </c>
      <c r="D25" s="1">
        <f t="shared" ca="1" si="3"/>
        <v>10137414</v>
      </c>
    </row>
    <row r="26" spans="1:4" ht="15.75" customHeight="1" x14ac:dyDescent="0.25">
      <c r="A26" s="1">
        <v>1983</v>
      </c>
      <c r="B26" s="1">
        <v>1</v>
      </c>
      <c r="C26" s="1">
        <v>1</v>
      </c>
      <c r="D26" s="1">
        <f t="shared" ca="1" si="3"/>
        <v>10055662</v>
      </c>
    </row>
    <row r="27" spans="1:4" ht="15.75" customHeight="1" x14ac:dyDescent="0.25">
      <c r="A27" s="1">
        <v>1984</v>
      </c>
      <c r="B27" s="1">
        <v>1</v>
      </c>
      <c r="C27" s="1">
        <v>1</v>
      </c>
      <c r="D27" s="1">
        <f t="shared" ca="1" si="3"/>
        <v>10030226</v>
      </c>
    </row>
    <row r="28" spans="1:4" ht="15.75" customHeight="1" x14ac:dyDescent="0.25">
      <c r="A28" s="1">
        <v>1985</v>
      </c>
      <c r="B28" s="1">
        <v>1</v>
      </c>
      <c r="C28" s="1">
        <v>1</v>
      </c>
      <c r="D28" s="1">
        <f t="shared" ca="1" si="3"/>
        <v>10076583</v>
      </c>
    </row>
    <row r="29" spans="1:4" ht="15.75" customHeight="1" x14ac:dyDescent="0.25">
      <c r="A29" s="1">
        <v>1986</v>
      </c>
      <c r="B29" s="1">
        <v>1</v>
      </c>
      <c r="C29" s="1">
        <v>1</v>
      </c>
      <c r="D29" s="1">
        <f ca="1">D28+RANDBETWEEN(-100000, 200000)+3000000</f>
        <v>13042220</v>
      </c>
    </row>
    <row r="30" spans="1:4" ht="15.75" customHeight="1" x14ac:dyDescent="0.25">
      <c r="A30" s="1">
        <v>1987</v>
      </c>
      <c r="B30" s="1">
        <v>1</v>
      </c>
      <c r="C30" s="1">
        <v>1</v>
      </c>
      <c r="D30" s="1">
        <f t="shared" ref="D30:D41" ca="1" si="4">D29+RANDBETWEEN(-100000, 200000)</f>
        <v>13216947</v>
      </c>
    </row>
    <row r="31" spans="1:4" ht="15.75" customHeight="1" x14ac:dyDescent="0.25">
      <c r="A31" s="1">
        <v>1988</v>
      </c>
      <c r="B31" s="1">
        <v>1</v>
      </c>
      <c r="C31" s="1">
        <v>1</v>
      </c>
      <c r="D31" s="1">
        <f t="shared" ca="1" si="4"/>
        <v>13209178</v>
      </c>
    </row>
    <row r="32" spans="1:4" ht="15.75" customHeight="1" x14ac:dyDescent="0.25">
      <c r="A32" s="1">
        <v>1989</v>
      </c>
      <c r="B32" s="1">
        <v>1</v>
      </c>
      <c r="C32" s="1">
        <v>1</v>
      </c>
      <c r="D32" s="1">
        <f t="shared" ca="1" si="4"/>
        <v>13155471</v>
      </c>
    </row>
    <row r="33" spans="1:4" ht="15.75" customHeight="1" x14ac:dyDescent="0.25">
      <c r="A33" s="1">
        <v>1990</v>
      </c>
      <c r="B33" s="1">
        <v>1</v>
      </c>
      <c r="C33" s="1">
        <v>1</v>
      </c>
      <c r="D33" s="1">
        <f t="shared" ca="1" si="4"/>
        <v>13330751</v>
      </c>
    </row>
    <row r="34" spans="1:4" ht="15.75" customHeight="1" x14ac:dyDescent="0.25">
      <c r="A34" s="1">
        <v>1991</v>
      </c>
      <c r="B34" s="1">
        <v>1</v>
      </c>
      <c r="C34" s="1">
        <v>1</v>
      </c>
      <c r="D34" s="1">
        <f t="shared" ca="1" si="4"/>
        <v>13418233</v>
      </c>
    </row>
    <row r="35" spans="1:4" ht="15.75" customHeight="1" x14ac:dyDescent="0.25">
      <c r="A35" s="1">
        <v>1992</v>
      </c>
      <c r="B35" s="1">
        <v>1</v>
      </c>
      <c r="C35" s="1">
        <v>1</v>
      </c>
      <c r="D35" s="1">
        <f t="shared" ca="1" si="4"/>
        <v>13374829</v>
      </c>
    </row>
    <row r="36" spans="1:4" ht="15.75" customHeight="1" x14ac:dyDescent="0.25">
      <c r="A36" s="1">
        <v>1993</v>
      </c>
      <c r="B36" s="1">
        <v>1</v>
      </c>
      <c r="C36" s="1">
        <v>1</v>
      </c>
      <c r="D36" s="1">
        <f t="shared" ca="1" si="4"/>
        <v>13335288</v>
      </c>
    </row>
    <row r="37" spans="1:4" ht="15.75" customHeight="1" x14ac:dyDescent="0.25">
      <c r="A37" s="1">
        <v>1994</v>
      </c>
      <c r="B37" s="1">
        <v>1</v>
      </c>
      <c r="C37" s="1">
        <v>1</v>
      </c>
      <c r="D37" s="1">
        <f t="shared" ca="1" si="4"/>
        <v>13425483</v>
      </c>
    </row>
    <row r="38" spans="1:4" ht="15.75" customHeight="1" x14ac:dyDescent="0.25">
      <c r="A38" s="1">
        <v>1995</v>
      </c>
      <c r="B38" s="1">
        <v>1</v>
      </c>
      <c r="C38" s="1">
        <v>1</v>
      </c>
      <c r="D38" s="1">
        <f t="shared" ca="1" si="4"/>
        <v>13560951</v>
      </c>
    </row>
    <row r="39" spans="1:4" ht="15.75" customHeight="1" x14ac:dyDescent="0.25">
      <c r="A39" s="1">
        <v>1996</v>
      </c>
      <c r="B39" s="1">
        <v>1</v>
      </c>
      <c r="C39" s="1">
        <v>1</v>
      </c>
      <c r="D39" s="1">
        <f t="shared" ca="1" si="4"/>
        <v>13462745</v>
      </c>
    </row>
    <row r="40" spans="1:4" ht="15.75" customHeight="1" x14ac:dyDescent="0.25">
      <c r="A40" s="1">
        <v>1997</v>
      </c>
      <c r="B40" s="1">
        <v>1</v>
      </c>
      <c r="C40" s="1">
        <v>1</v>
      </c>
      <c r="D40" s="1">
        <f t="shared" ca="1" si="4"/>
        <v>13633215</v>
      </c>
    </row>
    <row r="41" spans="1:4" ht="15.75" customHeight="1" x14ac:dyDescent="0.25">
      <c r="A41" s="1">
        <v>1998</v>
      </c>
      <c r="B41" s="1">
        <v>1</v>
      </c>
      <c r="C41" s="1">
        <v>1</v>
      </c>
      <c r="D41" s="1">
        <f t="shared" ca="1" si="4"/>
        <v>13698905</v>
      </c>
    </row>
    <row r="42" spans="1:4" ht="15.75" customHeight="1" x14ac:dyDescent="0.25">
      <c r="A42" s="1">
        <v>1999</v>
      </c>
      <c r="B42" s="1">
        <v>1</v>
      </c>
      <c r="C42" s="1">
        <v>1</v>
      </c>
      <c r="D42" s="6">
        <f ca="1">D41+RANDBETWEEN(-100000, 5000)</f>
        <v>13663441</v>
      </c>
    </row>
    <row r="43" spans="1:4" ht="15.75" customHeight="1" x14ac:dyDescent="0.25">
      <c r="A43" s="1">
        <v>2000</v>
      </c>
      <c r="B43" s="1">
        <v>1</v>
      </c>
      <c r="C43" s="1">
        <v>1</v>
      </c>
      <c r="D43" s="6">
        <f ca="1">D42+RANDBETWEEN(-200000, 10000)</f>
        <v>13613658</v>
      </c>
    </row>
    <row r="44" spans="1:4" ht="15.75" customHeight="1" x14ac:dyDescent="0.25">
      <c r="A44" s="1">
        <v>2001</v>
      </c>
      <c r="B44" s="1">
        <v>1</v>
      </c>
      <c r="C44" s="1">
        <v>1</v>
      </c>
      <c r="D44" s="6">
        <f t="shared" ref="D44:D47" ca="1" si="5">D43+RANDBETWEEN(-500000, 1000)</f>
        <v>13343818</v>
      </c>
    </row>
    <row r="45" spans="1:4" ht="15.75" customHeight="1" x14ac:dyDescent="0.25">
      <c r="A45" s="1">
        <v>2002</v>
      </c>
      <c r="B45" s="1">
        <v>1</v>
      </c>
      <c r="C45" s="1">
        <v>1</v>
      </c>
      <c r="D45" s="6">
        <f t="shared" ca="1" si="5"/>
        <v>13146324</v>
      </c>
    </row>
    <row r="46" spans="1:4" ht="15.75" customHeight="1" x14ac:dyDescent="0.25">
      <c r="A46" s="1">
        <v>2003</v>
      </c>
      <c r="B46" s="1">
        <v>1</v>
      </c>
      <c r="C46" s="1">
        <v>1</v>
      </c>
      <c r="D46" s="6">
        <f t="shared" ca="1" si="5"/>
        <v>12879687</v>
      </c>
    </row>
    <row r="47" spans="1:4" ht="15.75" customHeight="1" x14ac:dyDescent="0.25">
      <c r="A47" s="1">
        <v>2004</v>
      </c>
      <c r="B47" s="1">
        <v>1</v>
      </c>
      <c r="C47" s="1">
        <v>1</v>
      </c>
      <c r="D47" s="6">
        <f t="shared" ca="1" si="5"/>
        <v>12456077</v>
      </c>
    </row>
    <row r="48" spans="1:4" ht="15.75" customHeight="1" x14ac:dyDescent="0.25">
      <c r="A48" s="1">
        <v>2005</v>
      </c>
      <c r="B48" s="1">
        <v>1</v>
      </c>
      <c r="C48" s="1">
        <v>1</v>
      </c>
      <c r="D48" s="1">
        <f ca="1">D47+RANDBETWEEN(-100000, 200000)-1500000</f>
        <v>11093194</v>
      </c>
    </row>
    <row r="49" spans="1:4" ht="15.75" customHeight="1" x14ac:dyDescent="0.25">
      <c r="A49" s="1">
        <v>2006</v>
      </c>
      <c r="B49" s="1">
        <v>1</v>
      </c>
      <c r="C49" s="1">
        <v>1</v>
      </c>
      <c r="D49" s="1">
        <f ca="1">D48+RANDBETWEEN(-100000, 200000)-3000000</f>
        <v>8268605</v>
      </c>
    </row>
    <row r="50" spans="1:4" ht="15.75" customHeight="1" x14ac:dyDescent="0.25">
      <c r="A50" s="1">
        <v>2007</v>
      </c>
      <c r="B50" s="1">
        <v>1</v>
      </c>
      <c r="C50" s="1">
        <v>1</v>
      </c>
      <c r="D50" s="1">
        <f ca="1">D49+RANDBETWEEN(-100000, 200000)-1000000</f>
        <v>7232430</v>
      </c>
    </row>
    <row r="51" spans="1:4" ht="15.75" customHeight="1" x14ac:dyDescent="0.25">
      <c r="A51" s="1">
        <v>2008</v>
      </c>
      <c r="B51" s="1">
        <v>1</v>
      </c>
      <c r="C51" s="1">
        <v>1</v>
      </c>
      <c r="D51" s="1">
        <f t="shared" ref="D51:D67" ca="1" si="6">D50+RANDBETWEEN(-100000, 10000)</f>
        <v>7195479</v>
      </c>
    </row>
    <row r="52" spans="1:4" ht="15.75" customHeight="1" x14ac:dyDescent="0.25">
      <c r="A52" s="1">
        <v>2009</v>
      </c>
      <c r="B52" s="1">
        <v>1</v>
      </c>
      <c r="C52" s="1">
        <v>1</v>
      </c>
      <c r="D52" s="1">
        <f t="shared" ca="1" si="6"/>
        <v>7098277</v>
      </c>
    </row>
    <row r="53" spans="1:4" ht="15.75" customHeight="1" x14ac:dyDescent="0.25">
      <c r="A53" s="1">
        <v>2010</v>
      </c>
      <c r="B53" s="1">
        <v>1</v>
      </c>
      <c r="C53" s="1">
        <v>1</v>
      </c>
      <c r="D53" s="1">
        <f t="shared" ca="1" si="6"/>
        <v>7035073</v>
      </c>
    </row>
    <row r="54" spans="1:4" ht="15.75" customHeight="1" x14ac:dyDescent="0.25">
      <c r="A54" s="1">
        <v>2011</v>
      </c>
      <c r="B54" s="1">
        <v>1</v>
      </c>
      <c r="C54" s="1">
        <v>1</v>
      </c>
      <c r="D54" s="1">
        <f t="shared" ca="1" si="6"/>
        <v>6970515</v>
      </c>
    </row>
    <row r="55" spans="1:4" ht="15.75" customHeight="1" x14ac:dyDescent="0.25">
      <c r="A55" s="1">
        <v>2012</v>
      </c>
      <c r="B55" s="1">
        <v>1</v>
      </c>
      <c r="C55" s="1">
        <v>1</v>
      </c>
      <c r="D55" s="1">
        <f t="shared" ca="1" si="6"/>
        <v>6973793</v>
      </c>
    </row>
    <row r="56" spans="1:4" ht="15.75" customHeight="1" x14ac:dyDescent="0.25">
      <c r="A56" s="1">
        <v>2013</v>
      </c>
      <c r="B56" s="1">
        <v>1</v>
      </c>
      <c r="C56" s="1">
        <v>1</v>
      </c>
      <c r="D56" s="1">
        <f t="shared" ca="1" si="6"/>
        <v>6978265</v>
      </c>
    </row>
    <row r="57" spans="1:4" ht="15.75" customHeight="1" x14ac:dyDescent="0.25">
      <c r="A57" s="1">
        <v>2014</v>
      </c>
      <c r="B57" s="1">
        <v>1</v>
      </c>
      <c r="C57" s="1">
        <v>1</v>
      </c>
      <c r="D57" s="1">
        <f t="shared" ca="1" si="6"/>
        <v>6960683</v>
      </c>
    </row>
    <row r="58" spans="1:4" ht="15.75" customHeight="1" x14ac:dyDescent="0.25">
      <c r="A58" s="1">
        <v>2015</v>
      </c>
      <c r="B58" s="1">
        <v>1</v>
      </c>
      <c r="C58" s="1">
        <v>1</v>
      </c>
      <c r="D58" s="1">
        <f t="shared" ca="1" si="6"/>
        <v>6947055</v>
      </c>
    </row>
    <row r="59" spans="1:4" ht="15.75" customHeight="1" x14ac:dyDescent="0.25">
      <c r="A59" s="1">
        <v>2016</v>
      </c>
      <c r="B59" s="1">
        <v>1</v>
      </c>
      <c r="C59" s="1">
        <v>1</v>
      </c>
      <c r="D59" s="1">
        <f t="shared" ca="1" si="6"/>
        <v>6924376</v>
      </c>
    </row>
    <row r="60" spans="1:4" ht="15.75" customHeight="1" x14ac:dyDescent="0.25">
      <c r="A60" s="1">
        <v>2017</v>
      </c>
      <c r="B60" s="1">
        <v>1</v>
      </c>
      <c r="C60" s="1">
        <v>1</v>
      </c>
      <c r="D60" s="1">
        <f t="shared" ca="1" si="6"/>
        <v>6850125</v>
      </c>
    </row>
    <row r="61" spans="1:4" ht="15.75" customHeight="1" x14ac:dyDescent="0.25">
      <c r="A61" s="1">
        <v>2018</v>
      </c>
      <c r="B61" s="1">
        <v>1</v>
      </c>
      <c r="C61" s="1">
        <v>1</v>
      </c>
      <c r="D61" s="1">
        <f t="shared" ca="1" si="6"/>
        <v>6794005</v>
      </c>
    </row>
    <row r="62" spans="1:4" ht="15.75" customHeight="1" x14ac:dyDescent="0.25">
      <c r="A62" s="1">
        <v>2019</v>
      </c>
      <c r="B62" s="1">
        <v>1</v>
      </c>
      <c r="C62" s="1">
        <v>1</v>
      </c>
      <c r="D62" s="1">
        <f t="shared" ca="1" si="6"/>
        <v>6785229</v>
      </c>
    </row>
    <row r="63" spans="1:4" ht="15.75" customHeight="1" x14ac:dyDescent="0.25">
      <c r="A63" s="1">
        <v>2020</v>
      </c>
      <c r="B63" s="1">
        <v>1</v>
      </c>
      <c r="C63" s="1">
        <v>1</v>
      </c>
      <c r="D63" s="1">
        <f t="shared" ca="1" si="6"/>
        <v>6744798</v>
      </c>
    </row>
    <row r="64" spans="1:4" ht="15.75" customHeight="1" x14ac:dyDescent="0.25">
      <c r="A64" s="1">
        <v>2021</v>
      </c>
      <c r="B64" s="1">
        <v>1</v>
      </c>
      <c r="C64" s="1">
        <v>1</v>
      </c>
      <c r="D64" s="1">
        <f t="shared" ca="1" si="6"/>
        <v>6689331</v>
      </c>
    </row>
    <row r="65" spans="1:4" ht="15.75" customHeight="1" x14ac:dyDescent="0.25">
      <c r="A65" s="1">
        <v>2022</v>
      </c>
      <c r="B65" s="1">
        <v>1</v>
      </c>
      <c r="C65" s="1">
        <v>1</v>
      </c>
      <c r="D65" s="1">
        <f t="shared" ca="1" si="6"/>
        <v>6594258</v>
      </c>
    </row>
    <row r="66" spans="1:4" ht="15.75" customHeight="1" x14ac:dyDescent="0.25">
      <c r="A66" s="1">
        <v>2023</v>
      </c>
      <c r="B66" s="1">
        <v>1</v>
      </c>
      <c r="C66" s="1">
        <v>1</v>
      </c>
      <c r="D66" s="1">
        <f t="shared" ca="1" si="6"/>
        <v>6601210</v>
      </c>
    </row>
    <row r="67" spans="1:4" ht="15.75" customHeight="1" x14ac:dyDescent="0.25">
      <c r="A67" s="1">
        <v>2024</v>
      </c>
      <c r="B67" s="1">
        <v>1</v>
      </c>
      <c r="C67" s="1">
        <v>1</v>
      </c>
      <c r="D67" s="1">
        <f t="shared" ca="1" si="6"/>
        <v>6588786</v>
      </c>
    </row>
    <row r="68" spans="1:4" ht="15.75" customHeight="1" x14ac:dyDescent="0.25">
      <c r="A68" s="1">
        <v>1980</v>
      </c>
      <c r="B68" s="1">
        <v>1</v>
      </c>
      <c r="C68" s="1">
        <v>3</v>
      </c>
      <c r="D68" s="1">
        <f ca="1">200000+RANDBETWEEN(-1000, 30000)</f>
        <v>204472</v>
      </c>
    </row>
    <row r="69" spans="1:4" ht="15.75" customHeight="1" x14ac:dyDescent="0.25">
      <c r="A69" s="1">
        <v>1981</v>
      </c>
      <c r="B69" s="1">
        <v>1</v>
      </c>
      <c r="C69" s="1">
        <v>3</v>
      </c>
      <c r="D69" s="6">
        <f t="shared" ref="D69:D80" ca="1" si="7">D68+RANDBETWEEN(-1000, 30000)</f>
        <v>233811</v>
      </c>
    </row>
    <row r="70" spans="1:4" ht="15.75" customHeight="1" x14ac:dyDescent="0.25">
      <c r="A70" s="1">
        <v>1982</v>
      </c>
      <c r="B70" s="1">
        <v>1</v>
      </c>
      <c r="C70" s="1">
        <v>3</v>
      </c>
      <c r="D70" s="6">
        <f t="shared" ca="1" si="7"/>
        <v>246564</v>
      </c>
    </row>
    <row r="71" spans="1:4" ht="15.75" customHeight="1" x14ac:dyDescent="0.25">
      <c r="A71" s="1">
        <v>1983</v>
      </c>
      <c r="B71" s="1">
        <v>1</v>
      </c>
      <c r="C71" s="1">
        <v>3</v>
      </c>
      <c r="D71" s="6">
        <f t="shared" ca="1" si="7"/>
        <v>260471</v>
      </c>
    </row>
    <row r="72" spans="1:4" ht="15.75" customHeight="1" x14ac:dyDescent="0.25">
      <c r="A72" s="1">
        <v>1984</v>
      </c>
      <c r="B72" s="1">
        <v>1</v>
      </c>
      <c r="C72" s="1">
        <v>3</v>
      </c>
      <c r="D72" s="6">
        <f t="shared" ca="1" si="7"/>
        <v>289427</v>
      </c>
    </row>
    <row r="73" spans="1:4" ht="15.75" customHeight="1" x14ac:dyDescent="0.25">
      <c r="A73" s="1">
        <v>1985</v>
      </c>
      <c r="B73" s="1">
        <v>1</v>
      </c>
      <c r="C73" s="1">
        <v>3</v>
      </c>
      <c r="D73" s="6">
        <f t="shared" ca="1" si="7"/>
        <v>305779</v>
      </c>
    </row>
    <row r="74" spans="1:4" ht="15.75" customHeight="1" x14ac:dyDescent="0.25">
      <c r="A74" s="1">
        <v>1986</v>
      </c>
      <c r="B74" s="1">
        <v>1</v>
      </c>
      <c r="C74" s="1">
        <v>3</v>
      </c>
      <c r="D74" s="6">
        <f t="shared" ca="1" si="7"/>
        <v>328629</v>
      </c>
    </row>
    <row r="75" spans="1:4" ht="15.75" customHeight="1" x14ac:dyDescent="0.25">
      <c r="A75" s="1">
        <v>1987</v>
      </c>
      <c r="B75" s="1">
        <v>1</v>
      </c>
      <c r="C75" s="1">
        <v>3</v>
      </c>
      <c r="D75" s="6">
        <f t="shared" ca="1" si="7"/>
        <v>338929</v>
      </c>
    </row>
    <row r="76" spans="1:4" ht="15.75" customHeight="1" x14ac:dyDescent="0.25">
      <c r="A76" s="1">
        <v>1988</v>
      </c>
      <c r="B76" s="1">
        <v>1</v>
      </c>
      <c r="C76" s="1">
        <v>3</v>
      </c>
      <c r="D76" s="6">
        <f t="shared" ca="1" si="7"/>
        <v>360484</v>
      </c>
    </row>
    <row r="77" spans="1:4" ht="15.75" customHeight="1" x14ac:dyDescent="0.25">
      <c r="A77" s="1">
        <v>1989</v>
      </c>
      <c r="B77" s="1">
        <v>1</v>
      </c>
      <c r="C77" s="1">
        <v>3</v>
      </c>
      <c r="D77" s="6">
        <f t="shared" ca="1" si="7"/>
        <v>366967</v>
      </c>
    </row>
    <row r="78" spans="1:4" ht="15.75" customHeight="1" x14ac:dyDescent="0.25">
      <c r="A78" s="1">
        <v>1990</v>
      </c>
      <c r="B78" s="1">
        <v>1</v>
      </c>
      <c r="C78" s="1">
        <v>3</v>
      </c>
      <c r="D78" s="6">
        <f t="shared" ca="1" si="7"/>
        <v>374896</v>
      </c>
    </row>
    <row r="79" spans="1:4" ht="15.75" customHeight="1" x14ac:dyDescent="0.25">
      <c r="A79" s="1">
        <v>1991</v>
      </c>
      <c r="B79" s="1">
        <v>1</v>
      </c>
      <c r="C79" s="1">
        <v>3</v>
      </c>
      <c r="D79" s="6">
        <f t="shared" ca="1" si="7"/>
        <v>393895</v>
      </c>
    </row>
    <row r="80" spans="1:4" ht="15.75" customHeight="1" x14ac:dyDescent="0.25">
      <c r="A80" s="1">
        <v>1992</v>
      </c>
      <c r="B80" s="1">
        <v>1</v>
      </c>
      <c r="C80" s="1">
        <v>3</v>
      </c>
      <c r="D80" s="6">
        <f t="shared" ca="1" si="7"/>
        <v>404948</v>
      </c>
    </row>
    <row r="81" spans="1:4" ht="15.75" customHeight="1" x14ac:dyDescent="0.25">
      <c r="A81" s="1">
        <v>1993</v>
      </c>
      <c r="B81" s="1">
        <v>1</v>
      </c>
      <c r="C81" s="1">
        <v>3</v>
      </c>
      <c r="D81" s="3">
        <f t="shared" ref="D81:D90" ca="1" si="8">D80+RANDBETWEEN(-1000, 10000)</f>
        <v>410669</v>
      </c>
    </row>
    <row r="82" spans="1:4" ht="15.75" customHeight="1" x14ac:dyDescent="0.25">
      <c r="A82" s="1">
        <v>1994</v>
      </c>
      <c r="B82" s="1">
        <v>1</v>
      </c>
      <c r="C82" s="1">
        <v>3</v>
      </c>
      <c r="D82" s="3">
        <f t="shared" ca="1" si="8"/>
        <v>419996</v>
      </c>
    </row>
    <row r="83" spans="1:4" ht="15.75" customHeight="1" x14ac:dyDescent="0.25">
      <c r="A83" s="1">
        <v>1995</v>
      </c>
      <c r="B83" s="1">
        <v>1</v>
      </c>
      <c r="C83" s="1">
        <v>3</v>
      </c>
      <c r="D83" s="3">
        <f t="shared" ca="1" si="8"/>
        <v>424704</v>
      </c>
    </row>
    <row r="84" spans="1:4" ht="15.75" customHeight="1" x14ac:dyDescent="0.25">
      <c r="A84" s="1">
        <v>1996</v>
      </c>
      <c r="B84" s="1">
        <v>1</v>
      </c>
      <c r="C84" s="1">
        <v>3</v>
      </c>
      <c r="D84" s="3">
        <f t="shared" ca="1" si="8"/>
        <v>426649</v>
      </c>
    </row>
    <row r="85" spans="1:4" ht="15.75" customHeight="1" x14ac:dyDescent="0.25">
      <c r="A85" s="1">
        <v>1997</v>
      </c>
      <c r="B85" s="1">
        <v>1</v>
      </c>
      <c r="C85" s="1">
        <v>3</v>
      </c>
      <c r="D85" s="3">
        <f t="shared" ca="1" si="8"/>
        <v>427688</v>
      </c>
    </row>
    <row r="86" spans="1:4" ht="15.75" customHeight="1" x14ac:dyDescent="0.25">
      <c r="A86" s="1">
        <v>1998</v>
      </c>
      <c r="B86" s="1">
        <v>1</v>
      </c>
      <c r="C86" s="1">
        <v>3</v>
      </c>
      <c r="D86" s="3">
        <f t="shared" ca="1" si="8"/>
        <v>432495</v>
      </c>
    </row>
    <row r="87" spans="1:4" ht="15.75" customHeight="1" x14ac:dyDescent="0.25">
      <c r="A87" s="1">
        <v>1999</v>
      </c>
      <c r="B87" s="1">
        <v>1</v>
      </c>
      <c r="C87" s="1">
        <v>3</v>
      </c>
      <c r="D87" s="3">
        <f t="shared" ca="1" si="8"/>
        <v>437675</v>
      </c>
    </row>
    <row r="88" spans="1:4" ht="15.75" customHeight="1" x14ac:dyDescent="0.25">
      <c r="A88" s="1">
        <v>2000</v>
      </c>
      <c r="B88" s="1">
        <v>1</v>
      </c>
      <c r="C88" s="1">
        <v>3</v>
      </c>
      <c r="D88" s="3">
        <f t="shared" ca="1" si="8"/>
        <v>441958</v>
      </c>
    </row>
    <row r="89" spans="1:4" ht="15.75" customHeight="1" x14ac:dyDescent="0.25">
      <c r="A89" s="1">
        <v>2001</v>
      </c>
      <c r="B89" s="1">
        <v>1</v>
      </c>
      <c r="C89" s="1">
        <v>3</v>
      </c>
      <c r="D89" s="3">
        <f t="shared" ca="1" si="8"/>
        <v>448099</v>
      </c>
    </row>
    <row r="90" spans="1:4" ht="15.75" customHeight="1" x14ac:dyDescent="0.25">
      <c r="A90" s="1">
        <v>2002</v>
      </c>
      <c r="B90" s="1">
        <v>1</v>
      </c>
      <c r="C90" s="1">
        <v>3</v>
      </c>
      <c r="D90" s="3">
        <f t="shared" ca="1" si="8"/>
        <v>455318</v>
      </c>
    </row>
    <row r="91" spans="1:4" ht="15.75" customHeight="1" x14ac:dyDescent="0.25">
      <c r="A91" s="1">
        <v>2003</v>
      </c>
      <c r="B91" s="1">
        <v>1</v>
      </c>
      <c r="C91" s="1">
        <v>3</v>
      </c>
      <c r="D91" s="6">
        <f t="shared" ref="D91:D112" ca="1" si="9">D90+RANDBETWEEN(-5000, 1000)</f>
        <v>455728</v>
      </c>
    </row>
    <row r="92" spans="1:4" ht="15.75" customHeight="1" x14ac:dyDescent="0.25">
      <c r="A92" s="1">
        <v>2004</v>
      </c>
      <c r="B92" s="1">
        <v>1</v>
      </c>
      <c r="C92" s="1">
        <v>3</v>
      </c>
      <c r="D92" s="6">
        <f t="shared" ca="1" si="9"/>
        <v>452370</v>
      </c>
    </row>
    <row r="93" spans="1:4" ht="15.75" customHeight="1" x14ac:dyDescent="0.25">
      <c r="A93" s="1">
        <v>2005</v>
      </c>
      <c r="B93" s="1">
        <v>1</v>
      </c>
      <c r="C93" s="1">
        <v>3</v>
      </c>
      <c r="D93" s="6">
        <f t="shared" ca="1" si="9"/>
        <v>450426</v>
      </c>
    </row>
    <row r="94" spans="1:4" ht="15.75" customHeight="1" x14ac:dyDescent="0.25">
      <c r="A94" s="1">
        <v>2006</v>
      </c>
      <c r="B94" s="1">
        <v>1</v>
      </c>
      <c r="C94" s="1">
        <v>3</v>
      </c>
      <c r="D94" s="6">
        <f t="shared" ca="1" si="9"/>
        <v>450549</v>
      </c>
    </row>
    <row r="95" spans="1:4" ht="15.75" customHeight="1" x14ac:dyDescent="0.25">
      <c r="A95" s="1">
        <v>2007</v>
      </c>
      <c r="B95" s="1">
        <v>1</v>
      </c>
      <c r="C95" s="1">
        <v>3</v>
      </c>
      <c r="D95" s="6">
        <f t="shared" ca="1" si="9"/>
        <v>446075</v>
      </c>
    </row>
    <row r="96" spans="1:4" ht="15.75" customHeight="1" x14ac:dyDescent="0.25">
      <c r="A96" s="1">
        <v>2008</v>
      </c>
      <c r="B96" s="1">
        <v>1</v>
      </c>
      <c r="C96" s="1">
        <v>3</v>
      </c>
      <c r="D96" s="6">
        <f t="shared" ca="1" si="9"/>
        <v>444978</v>
      </c>
    </row>
    <row r="97" spans="1:4" ht="15.75" customHeight="1" x14ac:dyDescent="0.25">
      <c r="A97" s="1">
        <v>2009</v>
      </c>
      <c r="B97" s="1">
        <v>1</v>
      </c>
      <c r="C97" s="1">
        <v>3</v>
      </c>
      <c r="D97" s="6">
        <f t="shared" ca="1" si="9"/>
        <v>441614</v>
      </c>
    </row>
    <row r="98" spans="1:4" ht="15.75" customHeight="1" x14ac:dyDescent="0.25">
      <c r="A98" s="1">
        <v>2010</v>
      </c>
      <c r="B98" s="1">
        <v>1</v>
      </c>
      <c r="C98" s="1">
        <v>3</v>
      </c>
      <c r="D98" s="6">
        <f t="shared" ca="1" si="9"/>
        <v>439243</v>
      </c>
    </row>
    <row r="99" spans="1:4" ht="15.75" customHeight="1" x14ac:dyDescent="0.25">
      <c r="A99" s="1">
        <v>2011</v>
      </c>
      <c r="B99" s="1">
        <v>1</v>
      </c>
      <c r="C99" s="1">
        <v>3</v>
      </c>
      <c r="D99" s="6">
        <f t="shared" ca="1" si="9"/>
        <v>436906</v>
      </c>
    </row>
    <row r="100" spans="1:4" ht="15.75" customHeight="1" x14ac:dyDescent="0.25">
      <c r="A100" s="1">
        <v>2012</v>
      </c>
      <c r="B100" s="1">
        <v>1</v>
      </c>
      <c r="C100" s="1">
        <v>3</v>
      </c>
      <c r="D100" s="6">
        <f t="shared" ca="1" si="9"/>
        <v>432119</v>
      </c>
    </row>
    <row r="101" spans="1:4" ht="15.75" customHeight="1" x14ac:dyDescent="0.25">
      <c r="A101" s="1">
        <v>2013</v>
      </c>
      <c r="B101" s="1">
        <v>1</v>
      </c>
      <c r="C101" s="1">
        <v>3</v>
      </c>
      <c r="D101" s="6">
        <f t="shared" ca="1" si="9"/>
        <v>429453</v>
      </c>
    </row>
    <row r="102" spans="1:4" ht="15.75" customHeight="1" x14ac:dyDescent="0.25">
      <c r="A102" s="1">
        <v>2014</v>
      </c>
      <c r="B102" s="1">
        <v>1</v>
      </c>
      <c r="C102" s="1">
        <v>3</v>
      </c>
      <c r="D102" s="6">
        <f t="shared" ca="1" si="9"/>
        <v>428147</v>
      </c>
    </row>
    <row r="103" spans="1:4" ht="15.75" customHeight="1" x14ac:dyDescent="0.25">
      <c r="A103" s="1">
        <v>2015</v>
      </c>
      <c r="B103" s="1">
        <v>1</v>
      </c>
      <c r="C103" s="1">
        <v>3</v>
      </c>
      <c r="D103" s="6">
        <f t="shared" ca="1" si="9"/>
        <v>429092</v>
      </c>
    </row>
    <row r="104" spans="1:4" ht="15.75" customHeight="1" x14ac:dyDescent="0.25">
      <c r="A104" s="1">
        <v>2016</v>
      </c>
      <c r="B104" s="1">
        <v>1</v>
      </c>
      <c r="C104" s="1">
        <v>3</v>
      </c>
      <c r="D104" s="6">
        <f t="shared" ca="1" si="9"/>
        <v>429632</v>
      </c>
    </row>
    <row r="105" spans="1:4" ht="15.75" customHeight="1" x14ac:dyDescent="0.25">
      <c r="A105" s="1">
        <v>2017</v>
      </c>
      <c r="B105" s="1">
        <v>1</v>
      </c>
      <c r="C105" s="1">
        <v>3</v>
      </c>
      <c r="D105" s="6">
        <f t="shared" ca="1" si="9"/>
        <v>427590</v>
      </c>
    </row>
    <row r="106" spans="1:4" ht="15.75" customHeight="1" x14ac:dyDescent="0.25">
      <c r="A106" s="1">
        <v>2018</v>
      </c>
      <c r="B106" s="1">
        <v>1</v>
      </c>
      <c r="C106" s="1">
        <v>3</v>
      </c>
      <c r="D106" s="6">
        <f t="shared" ca="1" si="9"/>
        <v>425474</v>
      </c>
    </row>
    <row r="107" spans="1:4" ht="15.75" customHeight="1" x14ac:dyDescent="0.25">
      <c r="A107" s="1">
        <v>2019</v>
      </c>
      <c r="B107" s="1">
        <v>1</v>
      </c>
      <c r="C107" s="1">
        <v>3</v>
      </c>
      <c r="D107" s="6">
        <f t="shared" ca="1" si="9"/>
        <v>421467</v>
      </c>
    </row>
    <row r="108" spans="1:4" ht="15.75" customHeight="1" x14ac:dyDescent="0.25">
      <c r="A108" s="1">
        <v>2020</v>
      </c>
      <c r="B108" s="1">
        <v>1</v>
      </c>
      <c r="C108" s="1">
        <v>3</v>
      </c>
      <c r="D108" s="6">
        <f t="shared" ca="1" si="9"/>
        <v>417857</v>
      </c>
    </row>
    <row r="109" spans="1:4" ht="15.75" customHeight="1" x14ac:dyDescent="0.25">
      <c r="A109" s="1">
        <v>2021</v>
      </c>
      <c r="B109" s="1">
        <v>1</v>
      </c>
      <c r="C109" s="1">
        <v>3</v>
      </c>
      <c r="D109" s="6">
        <f t="shared" ca="1" si="9"/>
        <v>412948</v>
      </c>
    </row>
    <row r="110" spans="1:4" ht="15.75" customHeight="1" x14ac:dyDescent="0.25">
      <c r="A110" s="1">
        <v>2022</v>
      </c>
      <c r="B110" s="1">
        <v>1</v>
      </c>
      <c r="C110" s="1">
        <v>3</v>
      </c>
      <c r="D110" s="6">
        <f t="shared" ca="1" si="9"/>
        <v>408075</v>
      </c>
    </row>
    <row r="111" spans="1:4" ht="15.75" customHeight="1" x14ac:dyDescent="0.25">
      <c r="A111" s="1">
        <v>2023</v>
      </c>
      <c r="B111" s="1">
        <v>1</v>
      </c>
      <c r="C111" s="1">
        <v>3</v>
      </c>
      <c r="D111" s="6">
        <f t="shared" ca="1" si="9"/>
        <v>404028</v>
      </c>
    </row>
    <row r="112" spans="1:4" ht="15.75" customHeight="1" x14ac:dyDescent="0.25">
      <c r="A112" s="1">
        <v>2024</v>
      </c>
      <c r="B112" s="1">
        <v>1</v>
      </c>
      <c r="C112" s="1">
        <v>3</v>
      </c>
      <c r="D112" s="6">
        <f t="shared" ca="1" si="9"/>
        <v>401792</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10" t="s">
        <v>201</v>
      </c>
      <c r="B1" s="11"/>
      <c r="C1" s="11"/>
      <c r="D1" s="11"/>
      <c r="E1" s="11"/>
      <c r="F1" s="11"/>
      <c r="G1" s="11"/>
      <c r="H1" s="11"/>
      <c r="I1" s="11"/>
      <c r="J1" s="11"/>
      <c r="K1" s="11"/>
      <c r="L1" s="11"/>
      <c r="M1" s="11"/>
      <c r="N1" s="11"/>
      <c r="O1" s="11"/>
      <c r="P1" s="11"/>
      <c r="Q1" s="11"/>
      <c r="R1" s="11"/>
      <c r="S1" s="11"/>
      <c r="T1" s="11"/>
      <c r="U1" s="12"/>
    </row>
    <row r="2" spans="1:21" x14ac:dyDescent="0.25">
      <c r="A2" s="1" t="s">
        <v>202</v>
      </c>
      <c r="B2" s="1" t="s">
        <v>203</v>
      </c>
      <c r="C2" s="1" t="s">
        <v>189</v>
      </c>
      <c r="D2" s="1" t="s">
        <v>204</v>
      </c>
      <c r="E2" s="1" t="s">
        <v>205</v>
      </c>
      <c r="F2" s="1" t="s">
        <v>206</v>
      </c>
      <c r="G2" s="1" t="s">
        <v>207</v>
      </c>
    </row>
    <row r="3" spans="1:21" x14ac:dyDescent="0.25">
      <c r="A3" s="1">
        <v>0</v>
      </c>
      <c r="B3" s="1">
        <v>1</v>
      </c>
      <c r="C3" s="1" t="s">
        <v>208</v>
      </c>
      <c r="D3" s="1">
        <v>1960</v>
      </c>
      <c r="E3" s="1">
        <v>1</v>
      </c>
      <c r="F3" s="1">
        <v>0.42715553489211999</v>
      </c>
      <c r="G3" s="1">
        <v>0.13781544979354199</v>
      </c>
    </row>
    <row r="4" spans="1:21" x14ac:dyDescent="0.25">
      <c r="A4" s="1">
        <v>0</v>
      </c>
      <c r="B4" s="1">
        <v>1</v>
      </c>
      <c r="C4" s="1" t="s">
        <v>208</v>
      </c>
      <c r="D4" s="1">
        <v>1961</v>
      </c>
      <c r="E4" s="1">
        <v>1</v>
      </c>
      <c r="F4" s="1">
        <v>0.60846668656264302</v>
      </c>
      <c r="G4" s="1">
        <v>0.13519110136513901</v>
      </c>
    </row>
    <row r="5" spans="1:21" x14ac:dyDescent="0.25">
      <c r="A5" s="1">
        <v>0</v>
      </c>
      <c r="B5" s="1">
        <v>1</v>
      </c>
      <c r="C5" s="1" t="s">
        <v>208</v>
      </c>
      <c r="D5" s="1">
        <v>1962</v>
      </c>
      <c r="E5" s="1">
        <v>1</v>
      </c>
      <c r="F5" s="1">
        <v>0.27151724249213599</v>
      </c>
      <c r="G5" s="1">
        <v>0.28829155393706701</v>
      </c>
    </row>
    <row r="6" spans="1:21" x14ac:dyDescent="0.25">
      <c r="A6" s="1">
        <v>0</v>
      </c>
      <c r="B6" s="1">
        <v>1</v>
      </c>
      <c r="C6" s="1" t="s">
        <v>208</v>
      </c>
      <c r="D6" s="1">
        <v>1963</v>
      </c>
      <c r="E6" s="1">
        <v>1</v>
      </c>
      <c r="F6" s="1">
        <v>0.30894434208472199</v>
      </c>
      <c r="G6" s="1">
        <v>0.19956389441769801</v>
      </c>
    </row>
    <row r="7" spans="1:21" x14ac:dyDescent="0.25">
      <c r="A7" s="1">
        <v>0</v>
      </c>
      <c r="B7" s="1">
        <v>1</v>
      </c>
      <c r="C7" s="1" t="s">
        <v>208</v>
      </c>
      <c r="D7" s="1">
        <v>1964</v>
      </c>
      <c r="E7" s="1">
        <v>1</v>
      </c>
      <c r="F7" s="1">
        <v>0.42208881111156599</v>
      </c>
      <c r="G7" s="1">
        <v>0.121277764357951</v>
      </c>
    </row>
    <row r="8" spans="1:21" x14ac:dyDescent="0.25">
      <c r="A8" s="1">
        <v>0</v>
      </c>
      <c r="B8" s="1">
        <v>1</v>
      </c>
      <c r="C8" s="1" t="s">
        <v>208</v>
      </c>
      <c r="D8" s="1">
        <v>1965</v>
      </c>
      <c r="E8" s="1">
        <v>1</v>
      </c>
      <c r="F8" s="1">
        <v>0.25209887455632402</v>
      </c>
      <c r="G8" s="1">
        <v>0.156202254295742</v>
      </c>
    </row>
    <row r="9" spans="1:21" x14ac:dyDescent="0.25">
      <c r="A9" s="1">
        <v>0</v>
      </c>
      <c r="B9" s="1">
        <v>1</v>
      </c>
      <c r="C9" s="1" t="s">
        <v>208</v>
      </c>
      <c r="D9" s="1">
        <v>1966</v>
      </c>
      <c r="E9" s="1">
        <v>1</v>
      </c>
      <c r="F9" s="1">
        <v>0.25893957861136402</v>
      </c>
      <c r="G9" s="1">
        <v>0.13966010035649301</v>
      </c>
    </row>
    <row r="10" spans="1:21" x14ac:dyDescent="0.25">
      <c r="A10" s="1">
        <v>0</v>
      </c>
      <c r="B10" s="1">
        <v>1</v>
      </c>
      <c r="C10" s="1" t="s">
        <v>208</v>
      </c>
      <c r="D10" s="1">
        <v>1967</v>
      </c>
      <c r="E10" s="1">
        <v>1</v>
      </c>
      <c r="F10" s="1">
        <v>0.190567660370771</v>
      </c>
      <c r="G10" s="1">
        <v>0.19916068930574601</v>
      </c>
    </row>
    <row r="11" spans="1:21" x14ac:dyDescent="0.25">
      <c r="A11" s="1">
        <v>0</v>
      </c>
      <c r="B11" s="1">
        <v>1</v>
      </c>
      <c r="C11" s="1" t="s">
        <v>208</v>
      </c>
      <c r="D11" s="1">
        <v>1968</v>
      </c>
      <c r="E11" s="1">
        <v>1</v>
      </c>
      <c r="F11" s="1">
        <v>3.4070374153251398E-2</v>
      </c>
      <c r="G11" s="1">
        <v>0.678265370202627</v>
      </c>
    </row>
    <row r="12" spans="1:21" x14ac:dyDescent="0.25">
      <c r="A12" s="1">
        <v>0</v>
      </c>
      <c r="B12" s="1">
        <v>1</v>
      </c>
      <c r="C12" s="1" t="s">
        <v>208</v>
      </c>
      <c r="D12" s="1">
        <v>1969</v>
      </c>
      <c r="E12" s="1">
        <v>1</v>
      </c>
      <c r="F12" s="1">
        <v>0.311513938315297</v>
      </c>
      <c r="G12" s="1">
        <v>0.105445402388682</v>
      </c>
    </row>
    <row r="13" spans="1:21" x14ac:dyDescent="0.25">
      <c r="A13" s="1">
        <v>0</v>
      </c>
      <c r="B13" s="1">
        <v>1</v>
      </c>
      <c r="C13" s="1" t="s">
        <v>208</v>
      </c>
      <c r="D13" s="1">
        <v>1970</v>
      </c>
      <c r="E13" s="1">
        <v>1</v>
      </c>
      <c r="F13" s="1">
        <v>1.6309238399999999</v>
      </c>
      <c r="G13" s="1">
        <v>0.105282913678278</v>
      </c>
    </row>
    <row r="14" spans="1:21" x14ac:dyDescent="0.25">
      <c r="A14" s="1">
        <v>0</v>
      </c>
      <c r="B14" s="1">
        <v>1</v>
      </c>
      <c r="C14" s="1" t="s">
        <v>208</v>
      </c>
      <c r="D14" s="1">
        <v>1971</v>
      </c>
      <c r="E14" s="1">
        <v>1</v>
      </c>
      <c r="F14" s="1">
        <v>1.4897862599999998</v>
      </c>
      <c r="G14" s="1">
        <v>0.13898731496998901</v>
      </c>
    </row>
    <row r="15" spans="1:21" x14ac:dyDescent="0.25">
      <c r="A15" s="1">
        <v>0</v>
      </c>
      <c r="B15" s="1">
        <v>1</v>
      </c>
      <c r="C15" s="1" t="s">
        <v>208</v>
      </c>
      <c r="D15" s="1">
        <v>1972</v>
      </c>
      <c r="E15" s="1">
        <v>1</v>
      </c>
      <c r="F15" s="1">
        <v>1.0394508599999996</v>
      </c>
      <c r="G15" s="1">
        <v>0.28145656391721702</v>
      </c>
    </row>
    <row r="16" spans="1:21" x14ac:dyDescent="0.25">
      <c r="A16" s="1">
        <v>0</v>
      </c>
      <c r="B16" s="1">
        <v>1</v>
      </c>
      <c r="C16" s="1" t="s">
        <v>208</v>
      </c>
      <c r="D16" s="1">
        <v>1973</v>
      </c>
      <c r="E16" s="1">
        <v>1</v>
      </c>
      <c r="F16" s="1">
        <v>1.3988766399999997</v>
      </c>
      <c r="G16" s="1">
        <v>0.34327038609194999</v>
      </c>
    </row>
    <row r="17" spans="1:7" x14ac:dyDescent="0.25">
      <c r="A17" s="1">
        <v>0</v>
      </c>
      <c r="B17" s="1">
        <v>1</v>
      </c>
      <c r="C17" s="1" t="s">
        <v>208</v>
      </c>
      <c r="D17" s="1">
        <v>1974</v>
      </c>
      <c r="E17" s="1">
        <v>1</v>
      </c>
      <c r="F17" s="1">
        <v>1.7895168899999998</v>
      </c>
      <c r="G17" s="1">
        <v>5.73714976830954E-2</v>
      </c>
    </row>
    <row r="18" spans="1:7" x14ac:dyDescent="0.25">
      <c r="A18" s="1">
        <v>0</v>
      </c>
      <c r="B18" s="1">
        <v>1</v>
      </c>
      <c r="C18" s="1" t="s">
        <v>208</v>
      </c>
      <c r="D18" s="1">
        <v>1975</v>
      </c>
      <c r="E18" s="1">
        <v>1</v>
      </c>
      <c r="F18" s="1">
        <v>1.9392752699999998</v>
      </c>
      <c r="G18" s="1">
        <v>6.3059031628240197E-2</v>
      </c>
    </row>
    <row r="19" spans="1:7" x14ac:dyDescent="0.25">
      <c r="A19" s="1">
        <v>0</v>
      </c>
      <c r="B19" s="1">
        <v>1</v>
      </c>
      <c r="C19" s="1" t="s">
        <v>208</v>
      </c>
      <c r="D19" s="1">
        <v>1976</v>
      </c>
      <c r="E19" s="1">
        <v>1</v>
      </c>
      <c r="F19" s="1">
        <v>1.7035243499999999</v>
      </c>
      <c r="G19" s="1">
        <v>4.98105833524463E-2</v>
      </c>
    </row>
    <row r="20" spans="1:7" x14ac:dyDescent="0.25">
      <c r="A20" s="1">
        <v>0</v>
      </c>
      <c r="B20" s="1">
        <v>1</v>
      </c>
      <c r="C20" s="1" t="s">
        <v>208</v>
      </c>
      <c r="D20" s="1">
        <v>1977</v>
      </c>
      <c r="E20" s="1">
        <v>1</v>
      </c>
      <c r="F20" s="1">
        <v>1.43163153</v>
      </c>
      <c r="G20" s="1">
        <v>3.9461338436437801E-2</v>
      </c>
    </row>
    <row r="21" spans="1:7" ht="15.75" customHeight="1" x14ac:dyDescent="0.25">
      <c r="A21" s="1">
        <v>0</v>
      </c>
      <c r="B21" s="1">
        <v>1</v>
      </c>
      <c r="C21" s="1" t="s">
        <v>208</v>
      </c>
      <c r="D21" s="1">
        <v>1978</v>
      </c>
      <c r="E21" s="1">
        <v>1</v>
      </c>
      <c r="F21" s="1">
        <v>1.1938930200000002</v>
      </c>
      <c r="G21" s="1">
        <v>3.9034571785991901E-2</v>
      </c>
    </row>
    <row r="22" spans="1:7" ht="15.75" customHeight="1" x14ac:dyDescent="0.25">
      <c r="A22" s="1">
        <v>0</v>
      </c>
      <c r="B22" s="1">
        <v>1</v>
      </c>
      <c r="C22" s="1" t="s">
        <v>208</v>
      </c>
      <c r="D22" s="1">
        <v>1979</v>
      </c>
      <c r="E22" s="1">
        <v>1</v>
      </c>
      <c r="F22" s="1">
        <v>1.20540728</v>
      </c>
      <c r="G22" s="1">
        <v>3.6976973168407298E-2</v>
      </c>
    </row>
    <row r="23" spans="1:7" ht="15.75" customHeight="1" x14ac:dyDescent="0.25">
      <c r="A23" s="1">
        <v>0</v>
      </c>
      <c r="B23" s="1">
        <v>1</v>
      </c>
      <c r="C23" s="1" t="s">
        <v>208</v>
      </c>
      <c r="D23" s="1">
        <v>1980</v>
      </c>
      <c r="E23" s="1">
        <v>1</v>
      </c>
      <c r="F23" s="1">
        <v>1.2575484000000001</v>
      </c>
      <c r="G23" s="1">
        <v>3.62608536937747E-2</v>
      </c>
    </row>
    <row r="24" spans="1:7" ht="15.75" customHeight="1" x14ac:dyDescent="0.25">
      <c r="A24" s="1">
        <v>0</v>
      </c>
      <c r="B24" s="1">
        <v>1</v>
      </c>
      <c r="C24" s="1" t="s">
        <v>208</v>
      </c>
      <c r="D24" s="1">
        <v>1981</v>
      </c>
      <c r="E24" s="1">
        <v>1</v>
      </c>
      <c r="F24" s="1">
        <v>0.99791734000000021</v>
      </c>
      <c r="G24" s="1">
        <v>3.6455751062585001E-2</v>
      </c>
    </row>
    <row r="25" spans="1:7" ht="15.75" customHeight="1" x14ac:dyDescent="0.25">
      <c r="A25" s="1">
        <v>0</v>
      </c>
      <c r="B25" s="1">
        <v>1</v>
      </c>
      <c r="C25" s="1" t="s">
        <v>208</v>
      </c>
      <c r="D25" s="1">
        <v>1982</v>
      </c>
      <c r="E25" s="1">
        <v>1</v>
      </c>
      <c r="F25" s="1">
        <v>0.65160909000000011</v>
      </c>
      <c r="G25" s="1">
        <v>3.8212015336421101E-2</v>
      </c>
    </row>
    <row r="26" spans="1:7" ht="15.75" customHeight="1" x14ac:dyDescent="0.25">
      <c r="A26" s="1">
        <v>0</v>
      </c>
      <c r="B26" s="1">
        <v>1</v>
      </c>
      <c r="C26" s="1" t="s">
        <v>208</v>
      </c>
      <c r="D26" s="1">
        <v>1983</v>
      </c>
      <c r="E26" s="1">
        <v>1</v>
      </c>
      <c r="F26" s="1">
        <v>0.76561920000000017</v>
      </c>
      <c r="G26" s="1">
        <v>3.6664491079729397E-2</v>
      </c>
    </row>
    <row r="27" spans="1:7" ht="15.75" customHeight="1" x14ac:dyDescent="0.25">
      <c r="A27" s="1">
        <v>0</v>
      </c>
      <c r="B27" s="1">
        <v>1</v>
      </c>
      <c r="C27" s="1" t="s">
        <v>208</v>
      </c>
      <c r="D27" s="1">
        <v>1984</v>
      </c>
      <c r="E27" s="1">
        <v>1</v>
      </c>
      <c r="F27" s="1">
        <v>0.89206080000000021</v>
      </c>
      <c r="G27" s="1">
        <v>3.52570136358141E-2</v>
      </c>
    </row>
    <row r="28" spans="1:7" ht="15.75" customHeight="1" x14ac:dyDescent="0.25">
      <c r="A28" s="1">
        <v>0</v>
      </c>
      <c r="B28" s="1">
        <v>1</v>
      </c>
      <c r="C28" s="1" t="s">
        <v>208</v>
      </c>
      <c r="D28" s="1">
        <v>1985</v>
      </c>
      <c r="E28" s="1">
        <v>1</v>
      </c>
      <c r="F28" s="1">
        <v>0.61523578000000012</v>
      </c>
      <c r="G28" s="1">
        <v>3.6754413042365097E-2</v>
      </c>
    </row>
    <row r="29" spans="1:7" ht="15.75" customHeight="1" x14ac:dyDescent="0.25">
      <c r="A29" s="1">
        <v>0</v>
      </c>
      <c r="B29" s="1">
        <v>1</v>
      </c>
      <c r="C29" s="1" t="s">
        <v>208</v>
      </c>
      <c r="D29" s="1">
        <v>1986</v>
      </c>
      <c r="E29" s="1">
        <v>1</v>
      </c>
      <c r="F29" s="1">
        <v>0.42026160000000012</v>
      </c>
      <c r="G29" s="1">
        <v>3.5867045574679499E-2</v>
      </c>
    </row>
    <row r="30" spans="1:7" ht="15.75" customHeight="1" x14ac:dyDescent="0.25">
      <c r="A30" s="1">
        <v>0</v>
      </c>
      <c r="B30" s="1">
        <v>1</v>
      </c>
      <c r="C30" s="1" t="s">
        <v>208</v>
      </c>
      <c r="D30" s="1">
        <v>1987</v>
      </c>
      <c r="E30" s="1">
        <v>1</v>
      </c>
      <c r="F30" s="1">
        <v>0.5028357</v>
      </c>
      <c r="G30" s="1">
        <v>3.68834621281032E-2</v>
      </c>
    </row>
    <row r="31" spans="1:7" ht="15.75" customHeight="1" x14ac:dyDescent="0.25">
      <c r="A31" s="1">
        <v>0</v>
      </c>
      <c r="B31" s="1">
        <v>1</v>
      </c>
      <c r="C31" s="1" t="s">
        <v>208</v>
      </c>
      <c r="D31" s="1">
        <v>1988</v>
      </c>
      <c r="E31" s="1">
        <v>1</v>
      </c>
      <c r="F31" s="1">
        <v>0.27189001000000007</v>
      </c>
      <c r="G31" s="1">
        <v>3.4814045365903899E-2</v>
      </c>
    </row>
    <row r="32" spans="1:7" ht="15.75" customHeight="1" x14ac:dyDescent="0.25">
      <c r="A32" s="1">
        <v>0</v>
      </c>
      <c r="B32" s="1">
        <v>1</v>
      </c>
      <c r="C32" s="1" t="s">
        <v>208</v>
      </c>
      <c r="D32" s="1">
        <v>1989</v>
      </c>
      <c r="E32" s="1">
        <v>1</v>
      </c>
      <c r="F32" s="1">
        <v>0.18319680000000005</v>
      </c>
      <c r="G32" s="1">
        <v>6.4158715969505301E-2</v>
      </c>
    </row>
    <row r="33" spans="1:7" ht="15.75" customHeight="1" x14ac:dyDescent="0.25">
      <c r="A33" s="1">
        <v>0</v>
      </c>
      <c r="B33" s="1">
        <v>1</v>
      </c>
      <c r="C33" s="1" t="s">
        <v>208</v>
      </c>
      <c r="D33" s="1">
        <v>1990</v>
      </c>
      <c r="E33" s="1">
        <v>1</v>
      </c>
      <c r="F33" s="1">
        <v>0.42192593000000006</v>
      </c>
      <c r="G33" s="1">
        <v>6.0715890152875797E-2</v>
      </c>
    </row>
    <row r="34" spans="1:7" ht="15.75" customHeight="1" x14ac:dyDescent="0.25">
      <c r="A34" s="1">
        <v>0</v>
      </c>
      <c r="B34" s="1">
        <v>1</v>
      </c>
      <c r="C34" s="1" t="s">
        <v>208</v>
      </c>
      <c r="D34" s="1">
        <v>1991</v>
      </c>
      <c r="E34" s="1">
        <v>1</v>
      </c>
      <c r="F34" s="1">
        <v>0.49748436000000007</v>
      </c>
      <c r="G34" s="1">
        <v>7.9180828054307401E-2</v>
      </c>
    </row>
    <row r="35" spans="1:7" ht="15.75" customHeight="1" x14ac:dyDescent="0.25">
      <c r="A35" s="1">
        <v>0</v>
      </c>
      <c r="B35" s="1">
        <v>1</v>
      </c>
      <c r="C35" s="1" t="s">
        <v>208</v>
      </c>
      <c r="D35" s="1">
        <v>1992</v>
      </c>
      <c r="E35" s="1">
        <v>1</v>
      </c>
      <c r="F35" s="1">
        <v>0.61414336000000003</v>
      </c>
      <c r="G35" s="1">
        <v>6.9196408335781306E-2</v>
      </c>
    </row>
    <row r="36" spans="1:7" ht="15.75" customHeight="1" x14ac:dyDescent="0.25">
      <c r="A36" s="1">
        <v>0</v>
      </c>
      <c r="B36" s="1">
        <v>1</v>
      </c>
      <c r="C36" s="1" t="s">
        <v>208</v>
      </c>
      <c r="D36" s="1">
        <v>1993</v>
      </c>
      <c r="E36" s="1">
        <v>1</v>
      </c>
      <c r="F36" s="1">
        <v>0.56436158000000003</v>
      </c>
      <c r="G36" s="1">
        <v>6.6871695365603306E-2</v>
      </c>
    </row>
    <row r="37" spans="1:7" ht="15.75" customHeight="1" x14ac:dyDescent="0.25">
      <c r="A37" s="1">
        <v>0</v>
      </c>
      <c r="B37" s="1">
        <v>1</v>
      </c>
      <c r="C37" s="1" t="s">
        <v>208</v>
      </c>
      <c r="D37" s="1">
        <v>1994</v>
      </c>
      <c r="E37" s="1">
        <v>1</v>
      </c>
      <c r="F37" s="1">
        <v>0.29769142000000004</v>
      </c>
      <c r="G37" s="1">
        <v>6.0484186873481303E-2</v>
      </c>
    </row>
    <row r="38" spans="1:7" ht="15.75" customHeight="1" x14ac:dyDescent="0.25">
      <c r="A38" s="1">
        <v>0</v>
      </c>
      <c r="B38" s="1">
        <v>1</v>
      </c>
      <c r="C38" s="1" t="s">
        <v>208</v>
      </c>
      <c r="D38" s="1">
        <v>1995</v>
      </c>
      <c r="E38" s="1">
        <v>1</v>
      </c>
      <c r="F38" s="1">
        <v>0.31855290000000003</v>
      </c>
      <c r="G38" s="1">
        <v>6.4066071664348898E-2</v>
      </c>
    </row>
    <row r="39" spans="1:7" ht="15.75" customHeight="1" x14ac:dyDescent="0.25">
      <c r="A39" s="1">
        <v>0</v>
      </c>
      <c r="B39" s="1">
        <v>1</v>
      </c>
      <c r="C39" s="1" t="s">
        <v>208</v>
      </c>
      <c r="D39" s="1">
        <v>1996</v>
      </c>
      <c r="E39" s="1">
        <v>1</v>
      </c>
      <c r="F39" s="1">
        <v>0.17624439</v>
      </c>
      <c r="G39" s="1">
        <v>5.5072101775418901E-2</v>
      </c>
    </row>
    <row r="40" spans="1:7" ht="15.75" customHeight="1" x14ac:dyDescent="0.25">
      <c r="A40" s="1">
        <v>0</v>
      </c>
      <c r="B40" s="1">
        <v>1</v>
      </c>
      <c r="C40" s="1" t="s">
        <v>208</v>
      </c>
      <c r="D40" s="1">
        <v>1997</v>
      </c>
      <c r="E40" s="1">
        <v>1</v>
      </c>
      <c r="F40" s="1">
        <v>0.26826761999999998</v>
      </c>
      <c r="G40" s="1">
        <v>7.5441305939775799E-2</v>
      </c>
    </row>
    <row r="41" spans="1:7" ht="15.75" customHeight="1" x14ac:dyDescent="0.25">
      <c r="A41" s="1">
        <v>0</v>
      </c>
      <c r="B41" s="1">
        <v>1</v>
      </c>
      <c r="C41" s="1" t="s">
        <v>208</v>
      </c>
      <c r="D41" s="1">
        <v>1998</v>
      </c>
      <c r="E41" s="1">
        <v>1</v>
      </c>
      <c r="F41" s="1">
        <v>0.26521261799999996</v>
      </c>
      <c r="G41" s="1">
        <v>8.4727445773459198E-2</v>
      </c>
    </row>
    <row r="42" spans="1:7" ht="15.75" customHeight="1" x14ac:dyDescent="0.25">
      <c r="A42" s="1">
        <v>0</v>
      </c>
      <c r="B42" s="1">
        <v>1</v>
      </c>
      <c r="C42" s="1" t="s">
        <v>208</v>
      </c>
      <c r="D42" s="1">
        <v>1999</v>
      </c>
      <c r="E42" s="1">
        <v>1</v>
      </c>
      <c r="F42" s="1">
        <v>0.36258623400000001</v>
      </c>
      <c r="G42" s="1">
        <v>5.1622558464541002E-2</v>
      </c>
    </row>
    <row r="43" spans="1:7" ht="15.75" customHeight="1" x14ac:dyDescent="0.25">
      <c r="A43" s="1">
        <v>0</v>
      </c>
      <c r="B43" s="1">
        <v>1</v>
      </c>
      <c r="C43" s="1" t="s">
        <v>208</v>
      </c>
      <c r="D43" s="1">
        <v>2000</v>
      </c>
      <c r="E43" s="1">
        <v>1</v>
      </c>
      <c r="F43" s="1">
        <v>0.36758817199999999</v>
      </c>
      <c r="G43" s="1">
        <v>6.0917450393643803E-2</v>
      </c>
    </row>
    <row r="44" spans="1:7" ht="15.75" customHeight="1" x14ac:dyDescent="0.25">
      <c r="A44" s="1">
        <v>0</v>
      </c>
      <c r="B44" s="1">
        <v>1</v>
      </c>
      <c r="C44" s="1" t="s">
        <v>208</v>
      </c>
      <c r="D44" s="1">
        <v>2001</v>
      </c>
      <c r="E44" s="1">
        <v>1</v>
      </c>
      <c r="F44" s="1">
        <v>0.34205024699999997</v>
      </c>
      <c r="G44" s="1">
        <v>4.9260698216010999E-2</v>
      </c>
    </row>
    <row r="45" spans="1:7" ht="15.75" customHeight="1" x14ac:dyDescent="0.25">
      <c r="A45" s="1">
        <v>0</v>
      </c>
      <c r="B45" s="1">
        <v>1</v>
      </c>
      <c r="C45" s="1" t="s">
        <v>208</v>
      </c>
      <c r="D45" s="1">
        <v>2002</v>
      </c>
      <c r="E45" s="1">
        <v>1</v>
      </c>
      <c r="F45" s="1">
        <v>0.32442571799999997</v>
      </c>
      <c r="G45" s="1">
        <v>4.6924571013520003E-2</v>
      </c>
    </row>
    <row r="46" spans="1:7" ht="15.75" customHeight="1" x14ac:dyDescent="0.25">
      <c r="A46" s="1">
        <v>0</v>
      </c>
      <c r="B46" s="1">
        <v>1</v>
      </c>
      <c r="C46" s="1" t="s">
        <v>208</v>
      </c>
      <c r="D46" s="1">
        <v>2003</v>
      </c>
      <c r="E46" s="1">
        <v>1</v>
      </c>
      <c r="F46" s="1">
        <v>0.31905019000000001</v>
      </c>
      <c r="G46" s="1">
        <v>4.8371763112814298E-2</v>
      </c>
    </row>
    <row r="47" spans="1:7" ht="15.75" customHeight="1" x14ac:dyDescent="0.25">
      <c r="A47" s="1">
        <v>0</v>
      </c>
      <c r="B47" s="1">
        <v>1</v>
      </c>
      <c r="C47" s="1" t="s">
        <v>208</v>
      </c>
      <c r="D47" s="1">
        <v>2004</v>
      </c>
      <c r="E47" s="1">
        <v>1</v>
      </c>
      <c r="F47" s="1">
        <v>0.338501889</v>
      </c>
      <c r="G47" s="1">
        <v>5.7052116920408097E-2</v>
      </c>
    </row>
    <row r="48" spans="1:7" ht="15.75" customHeight="1" x14ac:dyDescent="0.25">
      <c r="A48" s="1">
        <v>0</v>
      </c>
      <c r="B48" s="1">
        <v>1</v>
      </c>
      <c r="C48" s="1" t="s">
        <v>208</v>
      </c>
      <c r="D48" s="1">
        <v>2005</v>
      </c>
      <c r="E48" s="1">
        <v>1</v>
      </c>
      <c r="F48" s="1">
        <v>0.27548532999999997</v>
      </c>
      <c r="G48" s="1">
        <v>4.78655433057407E-2</v>
      </c>
    </row>
    <row r="49" spans="1:7" ht="15.75" customHeight="1" x14ac:dyDescent="0.25">
      <c r="A49" s="1">
        <v>0</v>
      </c>
      <c r="B49" s="1">
        <v>1</v>
      </c>
      <c r="C49" s="1" t="s">
        <v>208</v>
      </c>
      <c r="D49" s="1">
        <v>2006</v>
      </c>
      <c r="E49" s="1">
        <v>1</v>
      </c>
      <c r="F49" s="1">
        <v>0.32198900999999996</v>
      </c>
      <c r="G49" s="1">
        <v>4.2053375280584997E-2</v>
      </c>
    </row>
    <row r="50" spans="1:7" ht="15.75" customHeight="1" x14ac:dyDescent="0.25">
      <c r="A50" s="1">
        <v>0</v>
      </c>
      <c r="B50" s="1">
        <v>1</v>
      </c>
      <c r="C50" s="1" t="s">
        <v>208</v>
      </c>
      <c r="D50" s="1">
        <v>2007</v>
      </c>
      <c r="E50" s="1">
        <v>1</v>
      </c>
      <c r="F50" s="1">
        <v>0.30394582399999998</v>
      </c>
      <c r="G50" s="1">
        <v>4.2968231878700802E-2</v>
      </c>
    </row>
    <row r="51" spans="1:7" ht="15.75" customHeight="1" x14ac:dyDescent="0.25">
      <c r="A51" s="1">
        <v>0</v>
      </c>
      <c r="B51" s="1">
        <v>1</v>
      </c>
      <c r="C51" s="1" t="s">
        <v>208</v>
      </c>
      <c r="D51" s="1">
        <v>2008</v>
      </c>
      <c r="E51" s="1">
        <v>1</v>
      </c>
      <c r="F51" s="1">
        <v>0.36662111199999992</v>
      </c>
      <c r="G51" s="1">
        <v>5.3626373924765401E-2</v>
      </c>
    </row>
    <row r="52" spans="1:7" ht="15.75" customHeight="1" x14ac:dyDescent="0.25">
      <c r="A52" s="1">
        <v>0</v>
      </c>
      <c r="B52" s="1">
        <v>1</v>
      </c>
      <c r="C52" s="1" t="s">
        <v>208</v>
      </c>
      <c r="D52" s="1">
        <v>2009</v>
      </c>
      <c r="E52" s="1">
        <v>1</v>
      </c>
      <c r="F52" s="1">
        <v>0.40565912699999995</v>
      </c>
      <c r="G52" s="1">
        <v>6.6333048785106194E-2</v>
      </c>
    </row>
    <row r="53" spans="1:7" ht="15.75" customHeight="1" x14ac:dyDescent="0.25">
      <c r="A53" s="1">
        <v>0</v>
      </c>
      <c r="B53" s="1">
        <v>1</v>
      </c>
      <c r="C53" s="1" t="s">
        <v>208</v>
      </c>
      <c r="D53" s="1">
        <v>2010</v>
      </c>
      <c r="E53" s="1">
        <v>1</v>
      </c>
      <c r="F53" s="1">
        <v>0.46945982499999994</v>
      </c>
      <c r="G53" s="1">
        <v>6.5099337549702901E-2</v>
      </c>
    </row>
    <row r="54" spans="1:7" ht="15.75" customHeight="1" x14ac:dyDescent="0.25">
      <c r="A54" s="1">
        <v>0</v>
      </c>
      <c r="B54" s="1">
        <v>1</v>
      </c>
      <c r="C54" s="1" t="s">
        <v>208</v>
      </c>
      <c r="D54" s="1">
        <v>2011</v>
      </c>
      <c r="E54" s="1">
        <v>1</v>
      </c>
      <c r="F54" s="1">
        <v>0.54181425699999997</v>
      </c>
      <c r="G54" s="1">
        <v>5.02528798174968E-2</v>
      </c>
    </row>
    <row r="55" spans="1:7" ht="15.75" customHeight="1" x14ac:dyDescent="0.25">
      <c r="A55" s="1">
        <v>0</v>
      </c>
      <c r="B55" s="1">
        <v>1</v>
      </c>
      <c r="C55" s="1" t="s">
        <v>208</v>
      </c>
      <c r="D55" s="1">
        <v>2012</v>
      </c>
      <c r="E55" s="1">
        <v>1</v>
      </c>
      <c r="F55" s="1">
        <v>0.57318294899999989</v>
      </c>
      <c r="G55" s="1">
        <v>4.34837041416491E-2</v>
      </c>
    </row>
    <row r="56" spans="1:7" ht="15.75" customHeight="1" x14ac:dyDescent="0.25">
      <c r="A56" s="1">
        <v>0</v>
      </c>
      <c r="B56" s="1">
        <v>1</v>
      </c>
      <c r="C56" s="1" t="s">
        <v>208</v>
      </c>
      <c r="D56" s="1">
        <v>2013</v>
      </c>
      <c r="E56" s="1">
        <v>1</v>
      </c>
      <c r="F56" s="1">
        <v>0.56916885599999989</v>
      </c>
      <c r="G56" s="1">
        <v>5.3015148030903098E-2</v>
      </c>
    </row>
    <row r="57" spans="1:7" ht="15.75" customHeight="1" x14ac:dyDescent="0.25">
      <c r="A57" s="1">
        <v>0</v>
      </c>
      <c r="B57" s="1">
        <v>1</v>
      </c>
      <c r="C57" s="1" t="s">
        <v>208</v>
      </c>
      <c r="D57" s="1">
        <v>2014</v>
      </c>
      <c r="E57" s="1">
        <v>1</v>
      </c>
      <c r="F57" s="1">
        <v>0.56412328499999986</v>
      </c>
      <c r="G57" s="1">
        <v>4.9253294793636097E-2</v>
      </c>
    </row>
    <row r="58" spans="1:7" ht="15.75" customHeight="1" x14ac:dyDescent="0.25">
      <c r="A58" s="1">
        <v>0</v>
      </c>
      <c r="B58" s="1">
        <v>1</v>
      </c>
      <c r="C58" s="1" t="s">
        <v>208</v>
      </c>
      <c r="D58" s="1">
        <v>2015</v>
      </c>
      <c r="E58" s="1">
        <v>1</v>
      </c>
      <c r="F58" s="1">
        <v>0.75433072099999976</v>
      </c>
      <c r="G58" s="1">
        <v>5.7289868369422903E-2</v>
      </c>
    </row>
    <row r="59" spans="1:7" ht="15.75" customHeight="1" x14ac:dyDescent="0.25">
      <c r="A59" s="1">
        <v>0</v>
      </c>
      <c r="B59" s="1">
        <v>1</v>
      </c>
      <c r="C59" s="1" t="s">
        <v>208</v>
      </c>
      <c r="D59" s="1">
        <v>2016</v>
      </c>
      <c r="E59" s="1">
        <v>1</v>
      </c>
      <c r="F59" s="1">
        <v>0.84750463199999992</v>
      </c>
      <c r="G59" s="1">
        <v>4.8617566921277798E-2</v>
      </c>
    </row>
    <row r="60" spans="1:7" ht="15.75" customHeight="1" x14ac:dyDescent="0.25">
      <c r="A60" s="1">
        <v>0</v>
      </c>
      <c r="B60" s="1">
        <v>1</v>
      </c>
      <c r="C60" s="1" t="s">
        <v>208</v>
      </c>
      <c r="D60" s="1">
        <v>2017</v>
      </c>
      <c r="E60" s="1">
        <v>1</v>
      </c>
      <c r="F60" s="1">
        <v>0.88810639999999974</v>
      </c>
      <c r="G60" s="1">
        <v>4.9164111142390401E-2</v>
      </c>
    </row>
    <row r="61" spans="1:7" ht="15.75" customHeight="1" x14ac:dyDescent="0.25">
      <c r="A61" s="1">
        <v>0</v>
      </c>
      <c r="B61" s="1">
        <v>1</v>
      </c>
      <c r="C61" s="1" t="s">
        <v>208</v>
      </c>
      <c r="D61" s="1">
        <v>2018</v>
      </c>
      <c r="E61" s="1">
        <v>1</v>
      </c>
      <c r="F61" s="1">
        <v>0.96063149999999975</v>
      </c>
      <c r="G61" s="1">
        <v>4.9327279438456002E-2</v>
      </c>
    </row>
    <row r="62" spans="1:7" ht="15.75" customHeight="1" x14ac:dyDescent="0.25">
      <c r="A62" s="1">
        <v>0</v>
      </c>
      <c r="B62" s="1">
        <v>1</v>
      </c>
      <c r="C62" s="1" t="s">
        <v>208</v>
      </c>
      <c r="D62" s="1">
        <v>2019</v>
      </c>
      <c r="E62" s="1">
        <v>1</v>
      </c>
      <c r="F62" s="1">
        <v>1.0720371999999998</v>
      </c>
      <c r="G62" s="1">
        <v>4.8180261015612097E-2</v>
      </c>
    </row>
    <row r="63" spans="1:7" ht="15.75" customHeight="1" x14ac:dyDescent="0.25">
      <c r="A63" s="1">
        <v>0</v>
      </c>
      <c r="B63" s="1">
        <v>1</v>
      </c>
      <c r="C63" s="1" t="s">
        <v>208</v>
      </c>
      <c r="D63" s="1">
        <v>2020</v>
      </c>
      <c r="E63" s="1">
        <v>1</v>
      </c>
      <c r="F63" s="1">
        <v>1.1498861999999999</v>
      </c>
      <c r="G63" s="1">
        <v>4.3893600594459702E-2</v>
      </c>
    </row>
    <row r="64" spans="1:7" ht="15.75" customHeight="1" x14ac:dyDescent="0.25">
      <c r="A64" s="1">
        <v>0</v>
      </c>
      <c r="B64" s="1">
        <v>1</v>
      </c>
      <c r="C64" s="1" t="s">
        <v>208</v>
      </c>
      <c r="D64" s="1">
        <v>2021</v>
      </c>
      <c r="E64" s="1">
        <v>1</v>
      </c>
      <c r="F64" s="1">
        <v>1.2459490999999998</v>
      </c>
      <c r="G64" s="1">
        <v>4.5585716128643497E-2</v>
      </c>
    </row>
    <row r="65" spans="1:7" ht="15.75" customHeight="1" x14ac:dyDescent="0.25">
      <c r="A65" s="1">
        <v>0</v>
      </c>
      <c r="B65" s="1">
        <v>1</v>
      </c>
      <c r="C65" s="1" t="s">
        <v>208</v>
      </c>
      <c r="D65" s="1">
        <v>2022</v>
      </c>
      <c r="E65" s="1">
        <v>1</v>
      </c>
      <c r="F65" s="1">
        <v>1.2434739199999998</v>
      </c>
      <c r="G65" s="1">
        <v>4.9120455316691403E-2</v>
      </c>
    </row>
    <row r="66" spans="1:7" ht="15.75" customHeight="1" x14ac:dyDescent="0.25">
      <c r="A66" s="1">
        <v>0</v>
      </c>
      <c r="B66" s="1">
        <v>1</v>
      </c>
      <c r="C66" s="1" t="s">
        <v>208</v>
      </c>
      <c r="D66" s="1">
        <v>2023</v>
      </c>
      <c r="E66" s="1">
        <v>1</v>
      </c>
      <c r="F66" s="1">
        <v>1.5280919999999996</v>
      </c>
      <c r="G66" s="1">
        <v>4.1317511140728798E-2</v>
      </c>
    </row>
    <row r="67" spans="1:7" ht="15.75" customHeight="1" x14ac:dyDescent="0.25">
      <c r="A67" s="1">
        <v>0</v>
      </c>
      <c r="B67" s="1">
        <v>1</v>
      </c>
      <c r="C67" s="1" t="s">
        <v>208</v>
      </c>
      <c r="D67" s="1">
        <v>2024</v>
      </c>
      <c r="E67" s="1">
        <v>1</v>
      </c>
      <c r="F67" s="1">
        <v>1.5148764599999998</v>
      </c>
      <c r="G67" s="1">
        <v>6.9224520471187698E-2</v>
      </c>
    </row>
    <row r="68" spans="1:7" ht="15.75" customHeight="1" x14ac:dyDescent="0.25">
      <c r="A68" s="1">
        <v>1</v>
      </c>
      <c r="B68" s="1">
        <v>4</v>
      </c>
      <c r="C68" s="1" t="s">
        <v>111</v>
      </c>
      <c r="D68" s="1">
        <v>1990</v>
      </c>
      <c r="E68" s="1">
        <v>1</v>
      </c>
      <c r="F68" s="1">
        <v>2.5863526599999993</v>
      </c>
      <c r="G68" s="1">
        <v>5.0971638524937503E-2</v>
      </c>
    </row>
    <row r="69" spans="1:7" ht="15.75" customHeight="1" x14ac:dyDescent="0.25">
      <c r="A69" s="1">
        <v>1</v>
      </c>
      <c r="B69" s="1">
        <v>4</v>
      </c>
      <c r="C69" s="1" t="s">
        <v>111</v>
      </c>
      <c r="D69" s="1">
        <v>1991</v>
      </c>
      <c r="E69" s="1">
        <v>1</v>
      </c>
      <c r="F69" s="1">
        <v>2.3300990999999991</v>
      </c>
      <c r="G69" s="1">
        <v>4.6829142321856899E-2</v>
      </c>
    </row>
    <row r="70" spans="1:7" ht="15.75" customHeight="1" x14ac:dyDescent="0.25">
      <c r="A70" s="1">
        <v>1</v>
      </c>
      <c r="B70" s="1">
        <v>4</v>
      </c>
      <c r="C70" s="1" t="s">
        <v>111</v>
      </c>
      <c r="D70" s="1">
        <v>1992</v>
      </c>
      <c r="E70" s="1">
        <v>1</v>
      </c>
      <c r="F70" s="1">
        <v>2.6755684999999994</v>
      </c>
      <c r="G70" s="1">
        <v>4.4083765675703199E-2</v>
      </c>
    </row>
    <row r="71" spans="1:7" ht="15.75" customHeight="1" x14ac:dyDescent="0.25">
      <c r="A71" s="1">
        <v>1</v>
      </c>
      <c r="B71" s="1">
        <v>4</v>
      </c>
      <c r="C71" s="1" t="s">
        <v>111</v>
      </c>
      <c r="D71" s="1">
        <v>1993</v>
      </c>
      <c r="E71" s="1">
        <v>1</v>
      </c>
      <c r="F71" s="1">
        <v>2.6851065199999993</v>
      </c>
      <c r="G71" s="1">
        <v>6.3682003957994698E-2</v>
      </c>
    </row>
    <row r="72" spans="1:7" ht="15.75" customHeight="1" x14ac:dyDescent="0.25">
      <c r="A72" s="1">
        <v>1</v>
      </c>
      <c r="B72" s="1">
        <v>4</v>
      </c>
      <c r="C72" s="1" t="s">
        <v>111</v>
      </c>
      <c r="D72" s="1">
        <v>1994</v>
      </c>
      <c r="E72" s="1">
        <v>1</v>
      </c>
      <c r="F72" s="1">
        <v>2.7079841699999991</v>
      </c>
      <c r="G72" s="1">
        <v>5.31361912984748E-2</v>
      </c>
    </row>
    <row r="73" spans="1:7" ht="15.75" customHeight="1" x14ac:dyDescent="0.25">
      <c r="A73" s="1">
        <v>1</v>
      </c>
      <c r="B73" s="1">
        <v>4</v>
      </c>
      <c r="C73" s="1" t="s">
        <v>111</v>
      </c>
      <c r="D73" s="1">
        <v>1995</v>
      </c>
      <c r="E73" s="1">
        <v>1</v>
      </c>
      <c r="F73" s="1">
        <v>2.4858087499999995</v>
      </c>
      <c r="G73" s="1">
        <v>5.22677056527611E-2</v>
      </c>
    </row>
    <row r="74" spans="1:7" ht="15.75" customHeight="1" x14ac:dyDescent="0.25">
      <c r="A74" s="1">
        <v>1</v>
      </c>
      <c r="B74" s="1">
        <v>4</v>
      </c>
      <c r="C74" s="1" t="s">
        <v>111</v>
      </c>
      <c r="D74" s="1">
        <v>1996</v>
      </c>
      <c r="E74" s="1">
        <v>1</v>
      </c>
      <c r="F74" s="1">
        <v>2.0940124199999994</v>
      </c>
      <c r="G74" s="1">
        <v>5.6694334369782398E-2</v>
      </c>
    </row>
    <row r="75" spans="1:7" ht="15.75" customHeight="1" x14ac:dyDescent="0.25">
      <c r="A75" s="1">
        <v>1</v>
      </c>
      <c r="B75" s="1">
        <v>4</v>
      </c>
      <c r="C75" s="1" t="s">
        <v>111</v>
      </c>
      <c r="D75" s="1">
        <v>1997</v>
      </c>
      <c r="E75" s="1">
        <v>1</v>
      </c>
      <c r="F75" s="1">
        <v>2.1012087499999996</v>
      </c>
      <c r="G75" s="1">
        <v>5.4604729849884903E-2</v>
      </c>
    </row>
    <row r="76" spans="1:7" ht="15.75" customHeight="1" x14ac:dyDescent="0.25">
      <c r="A76" s="1">
        <v>1</v>
      </c>
      <c r="B76" s="1">
        <v>4</v>
      </c>
      <c r="C76" s="1" t="s">
        <v>111</v>
      </c>
      <c r="D76" s="1">
        <v>1998</v>
      </c>
      <c r="E76" s="1">
        <v>1</v>
      </c>
      <c r="F76" s="1">
        <v>1.6579371599999997</v>
      </c>
      <c r="G76" s="1">
        <v>4.0733603121883899E-2</v>
      </c>
    </row>
    <row r="77" spans="1:7" ht="15.75" customHeight="1" x14ac:dyDescent="0.25">
      <c r="A77" s="1">
        <v>1</v>
      </c>
      <c r="B77" s="1">
        <v>4</v>
      </c>
      <c r="C77" s="1" t="s">
        <v>111</v>
      </c>
      <c r="D77" s="1">
        <v>1999</v>
      </c>
      <c r="E77" s="1">
        <v>1</v>
      </c>
      <c r="F77" s="1">
        <v>1.4042379999999999</v>
      </c>
      <c r="G77" s="1">
        <v>4.9091855107932798E-2</v>
      </c>
    </row>
    <row r="78" spans="1:7" ht="15.75" customHeight="1" x14ac:dyDescent="0.25">
      <c r="A78" s="1">
        <v>1</v>
      </c>
      <c r="B78" s="1">
        <v>4</v>
      </c>
      <c r="C78" s="1" t="s">
        <v>111</v>
      </c>
      <c r="D78" s="1">
        <v>2000</v>
      </c>
      <c r="E78" s="1">
        <v>1</v>
      </c>
      <c r="F78" s="1">
        <v>1.3406130399999998</v>
      </c>
      <c r="G78" s="1">
        <v>5.5388206762239399E-2</v>
      </c>
    </row>
    <row r="79" spans="1:7" ht="15.75" customHeight="1" x14ac:dyDescent="0.25">
      <c r="A79" s="1">
        <v>1</v>
      </c>
      <c r="B79" s="1">
        <v>4</v>
      </c>
      <c r="C79" s="1" t="s">
        <v>111</v>
      </c>
      <c r="D79" s="1">
        <v>2001</v>
      </c>
      <c r="E79" s="1">
        <v>1</v>
      </c>
      <c r="F79" s="1">
        <v>1.1445126999999997</v>
      </c>
      <c r="G79" s="1">
        <v>4.3311339701524197E-2</v>
      </c>
    </row>
    <row r="80" spans="1:7" ht="15.75" customHeight="1" x14ac:dyDescent="0.25">
      <c r="A80" s="1">
        <v>1</v>
      </c>
      <c r="B80" s="1">
        <v>4</v>
      </c>
      <c r="C80" s="1" t="s">
        <v>111</v>
      </c>
      <c r="D80" s="1">
        <v>2002</v>
      </c>
      <c r="E80" s="1">
        <v>1</v>
      </c>
      <c r="F80" s="1">
        <v>0.92397711999999976</v>
      </c>
      <c r="G80" s="1">
        <v>4.6915258875187701E-2</v>
      </c>
    </row>
    <row r="81" spans="1:7" ht="15.75" customHeight="1" x14ac:dyDescent="0.25">
      <c r="A81" s="1">
        <v>1</v>
      </c>
      <c r="B81" s="1">
        <v>4</v>
      </c>
      <c r="C81" s="1" t="s">
        <v>111</v>
      </c>
      <c r="D81" s="1">
        <v>2003</v>
      </c>
      <c r="E81" s="1">
        <v>1</v>
      </c>
      <c r="F81" s="1">
        <v>0.88672483899999976</v>
      </c>
      <c r="G81" s="1">
        <v>4.5053002060648703E-2</v>
      </c>
    </row>
    <row r="82" spans="1:7" ht="15.75" customHeight="1" x14ac:dyDescent="0.25">
      <c r="A82" s="1">
        <v>1</v>
      </c>
      <c r="B82" s="1">
        <v>4</v>
      </c>
      <c r="C82" s="1" t="s">
        <v>111</v>
      </c>
      <c r="D82" s="1">
        <v>2004</v>
      </c>
      <c r="E82" s="1">
        <v>1</v>
      </c>
      <c r="F82" s="1">
        <v>0.75802395199999972</v>
      </c>
      <c r="G82" s="1">
        <v>4.7432817149281999E-2</v>
      </c>
    </row>
    <row r="83" spans="1:7" ht="15.75" customHeight="1" x14ac:dyDescent="0.25">
      <c r="A83" s="1">
        <v>1</v>
      </c>
      <c r="B83" s="1">
        <v>4</v>
      </c>
      <c r="C83" s="1" t="s">
        <v>111</v>
      </c>
      <c r="D83" s="1">
        <v>2005</v>
      </c>
      <c r="E83" s="1">
        <v>1</v>
      </c>
      <c r="F83" s="1">
        <v>0.73813467199999983</v>
      </c>
      <c r="G83" s="1">
        <v>4.4639568469101797E-2</v>
      </c>
    </row>
    <row r="84" spans="1:7" ht="15.75" customHeight="1" x14ac:dyDescent="0.25">
      <c r="A84" s="1">
        <v>1</v>
      </c>
      <c r="B84" s="1">
        <v>4</v>
      </c>
      <c r="C84" s="1" t="s">
        <v>111</v>
      </c>
      <c r="D84" s="1">
        <v>2006</v>
      </c>
      <c r="E84" s="1">
        <v>1</v>
      </c>
      <c r="F84" s="1">
        <v>0.75161665899999985</v>
      </c>
      <c r="G84" s="1">
        <v>4.7245679927303302E-2</v>
      </c>
    </row>
    <row r="85" spans="1:7" ht="15.75" customHeight="1" x14ac:dyDescent="0.25">
      <c r="A85" s="1">
        <v>1</v>
      </c>
      <c r="B85" s="1">
        <v>4</v>
      </c>
      <c r="C85" s="1" t="s">
        <v>111</v>
      </c>
      <c r="D85" s="1">
        <v>2007</v>
      </c>
      <c r="E85" s="1">
        <v>1</v>
      </c>
      <c r="F85" s="1">
        <v>0.84788422999999979</v>
      </c>
      <c r="G85" s="1">
        <v>4.2255989659841398E-2</v>
      </c>
    </row>
    <row r="86" spans="1:7" ht="15.75" customHeight="1" x14ac:dyDescent="0.25">
      <c r="A86" s="1">
        <v>1</v>
      </c>
      <c r="B86" s="1">
        <v>4</v>
      </c>
      <c r="C86" s="1" t="s">
        <v>111</v>
      </c>
      <c r="D86" s="1">
        <v>2008</v>
      </c>
      <c r="E86" s="1">
        <v>1</v>
      </c>
      <c r="F86" s="1">
        <v>0.7757302399999999</v>
      </c>
      <c r="G86" s="1">
        <v>4.2222684590433199E-2</v>
      </c>
    </row>
    <row r="87" spans="1:7" ht="15.75" customHeight="1" x14ac:dyDescent="0.25">
      <c r="A87" s="1">
        <v>1</v>
      </c>
      <c r="B87" s="1">
        <v>4</v>
      </c>
      <c r="C87" s="1" t="s">
        <v>111</v>
      </c>
      <c r="D87" s="1">
        <v>2009</v>
      </c>
      <c r="E87" s="1">
        <v>1</v>
      </c>
      <c r="F87" s="1">
        <v>0.98482013999999996</v>
      </c>
      <c r="G87" s="1">
        <v>4.2423092981228698E-2</v>
      </c>
    </row>
    <row r="88" spans="1:7" ht="15.75" customHeight="1" x14ac:dyDescent="0.25">
      <c r="A88" s="1">
        <v>1</v>
      </c>
      <c r="B88" s="1">
        <v>4</v>
      </c>
      <c r="C88" s="1" t="s">
        <v>111</v>
      </c>
      <c r="D88" s="1">
        <v>2010</v>
      </c>
      <c r="E88" s="1">
        <v>1</v>
      </c>
      <c r="F88" s="1">
        <v>1.0471994799999997</v>
      </c>
      <c r="G88" s="1">
        <v>4.6342646171541997E-2</v>
      </c>
    </row>
    <row r="89" spans="1:7" ht="15.75" customHeight="1" x14ac:dyDescent="0.25">
      <c r="A89" s="1">
        <v>1</v>
      </c>
      <c r="B89" s="1">
        <v>4</v>
      </c>
      <c r="C89" s="1" t="s">
        <v>111</v>
      </c>
      <c r="D89" s="1">
        <v>2011</v>
      </c>
      <c r="E89" s="1">
        <v>1</v>
      </c>
      <c r="F89" s="1">
        <v>1.3315243199999998</v>
      </c>
      <c r="G89" s="1">
        <v>4.0082639295461603E-2</v>
      </c>
    </row>
    <row r="90" spans="1:7" ht="15.75" customHeight="1" x14ac:dyDescent="0.25">
      <c r="A90" s="1">
        <v>1</v>
      </c>
      <c r="B90" s="1">
        <v>4</v>
      </c>
      <c r="C90" s="1" t="s">
        <v>111</v>
      </c>
      <c r="D90" s="1">
        <v>2012</v>
      </c>
      <c r="E90" s="1">
        <v>1</v>
      </c>
      <c r="F90" s="1">
        <v>1.3205639999999996</v>
      </c>
      <c r="G90" s="1">
        <v>4.1864735261983102E-2</v>
      </c>
    </row>
    <row r="91" spans="1:7" ht="15.75" customHeight="1" x14ac:dyDescent="0.25">
      <c r="A91" s="1">
        <v>1</v>
      </c>
      <c r="B91" s="1">
        <v>4</v>
      </c>
      <c r="C91" s="1" t="s">
        <v>111</v>
      </c>
      <c r="D91" s="1">
        <v>2013</v>
      </c>
      <c r="E91" s="1">
        <v>1</v>
      </c>
      <c r="F91" s="1">
        <v>1.2856758299999997</v>
      </c>
      <c r="G91" s="1">
        <v>0.169714126691766</v>
      </c>
    </row>
    <row r="92" spans="1:7" ht="15.75" customHeight="1" x14ac:dyDescent="0.25">
      <c r="A92" s="1">
        <v>1</v>
      </c>
      <c r="B92" s="1">
        <v>4</v>
      </c>
      <c r="C92" s="1" t="s">
        <v>111</v>
      </c>
      <c r="D92" s="1">
        <v>2014</v>
      </c>
      <c r="E92" s="1">
        <v>1</v>
      </c>
      <c r="F92" s="1">
        <v>1.4468479999999997</v>
      </c>
      <c r="G92" s="1">
        <v>9.5369720457646606E-2</v>
      </c>
    </row>
    <row r="93" spans="1:7" ht="15.75" customHeight="1" x14ac:dyDescent="0.25">
      <c r="A93" s="1">
        <v>1</v>
      </c>
      <c r="B93" s="1">
        <v>4</v>
      </c>
      <c r="C93" s="1" t="s">
        <v>111</v>
      </c>
      <c r="D93" s="1">
        <v>2015</v>
      </c>
      <c r="E93" s="1">
        <v>1</v>
      </c>
      <c r="F93" s="1">
        <v>1.7736409899999996</v>
      </c>
      <c r="G93" s="1">
        <v>7.7095179739025299E-2</v>
      </c>
    </row>
    <row r="94" spans="1:7" ht="15.75" customHeight="1" x14ac:dyDescent="0.25">
      <c r="A94" s="1">
        <v>1</v>
      </c>
      <c r="B94" s="1">
        <v>4</v>
      </c>
      <c r="C94" s="1" t="s">
        <v>111</v>
      </c>
      <c r="D94" s="1">
        <v>2016</v>
      </c>
      <c r="E94" s="1">
        <v>1</v>
      </c>
      <c r="F94" s="1">
        <v>1.7601738999999996</v>
      </c>
      <c r="G94" s="1">
        <v>8.0418506929916603E-2</v>
      </c>
    </row>
    <row r="95" spans="1:7" ht="15.75" customHeight="1" x14ac:dyDescent="0.25">
      <c r="A95" s="1">
        <v>1</v>
      </c>
      <c r="B95" s="1">
        <v>4</v>
      </c>
      <c r="C95" s="1" t="s">
        <v>111</v>
      </c>
      <c r="D95" s="1">
        <v>2017</v>
      </c>
      <c r="E95" s="1">
        <v>1</v>
      </c>
      <c r="F95" s="1">
        <v>1.7677804499999994</v>
      </c>
      <c r="G95" s="1">
        <v>7.0698853026702604E-2</v>
      </c>
    </row>
    <row r="96" spans="1:7" ht="15.75" customHeight="1" x14ac:dyDescent="0.25">
      <c r="A96" s="1">
        <v>1</v>
      </c>
      <c r="B96" s="1">
        <v>4</v>
      </c>
      <c r="C96" s="1" t="s">
        <v>111</v>
      </c>
      <c r="D96" s="1">
        <v>2018</v>
      </c>
      <c r="E96" s="1">
        <v>1</v>
      </c>
      <c r="F96" s="1">
        <v>2.0124595399999996</v>
      </c>
      <c r="G96" s="1">
        <v>7.5854203075401E-2</v>
      </c>
    </row>
    <row r="97" spans="1:7" ht="15.75" customHeight="1" x14ac:dyDescent="0.25">
      <c r="A97" s="1">
        <v>1</v>
      </c>
      <c r="B97" s="1">
        <v>4</v>
      </c>
      <c r="C97" s="1" t="s">
        <v>111</v>
      </c>
      <c r="D97" s="1">
        <v>2019</v>
      </c>
      <c r="E97" s="1">
        <v>1</v>
      </c>
      <c r="F97" s="1">
        <v>2.1217606199999999</v>
      </c>
      <c r="G97" s="1">
        <v>5.2223248197017798E-2</v>
      </c>
    </row>
    <row r="98" spans="1:7" ht="15.75" customHeight="1" x14ac:dyDescent="0.25">
      <c r="A98" s="1">
        <v>1</v>
      </c>
      <c r="B98" s="1">
        <v>4</v>
      </c>
      <c r="C98" s="1" t="s">
        <v>111</v>
      </c>
      <c r="D98" s="1">
        <v>2020</v>
      </c>
      <c r="E98" s="1">
        <v>1</v>
      </c>
      <c r="F98" s="1">
        <v>1.9058071999999999</v>
      </c>
      <c r="G98" s="1">
        <v>5.4505824282937702E-2</v>
      </c>
    </row>
    <row r="99" spans="1:7" ht="15.75" customHeight="1" x14ac:dyDescent="0.25">
      <c r="A99" s="1">
        <v>1</v>
      </c>
      <c r="B99" s="1">
        <v>4</v>
      </c>
      <c r="C99" s="1" t="s">
        <v>111</v>
      </c>
      <c r="D99" s="1">
        <v>2021</v>
      </c>
      <c r="E99" s="1">
        <v>1</v>
      </c>
      <c r="F99" s="1">
        <v>1.9310996199999999</v>
      </c>
      <c r="G99" s="1">
        <v>5.5284015061312801E-2</v>
      </c>
    </row>
    <row r="100" spans="1:7" ht="15.75" customHeight="1" x14ac:dyDescent="0.25">
      <c r="A100" s="1">
        <v>1</v>
      </c>
      <c r="B100" s="1">
        <v>4</v>
      </c>
      <c r="C100" s="1" t="s">
        <v>111</v>
      </c>
      <c r="D100" s="1">
        <v>2022</v>
      </c>
      <c r="E100" s="1">
        <v>1</v>
      </c>
      <c r="F100" s="1">
        <v>2.2771546599999999</v>
      </c>
      <c r="G100" s="1">
        <v>6.05934627000266E-2</v>
      </c>
    </row>
    <row r="101" spans="1:7" ht="15.75" customHeight="1" x14ac:dyDescent="0.25">
      <c r="A101" s="1">
        <v>1</v>
      </c>
      <c r="B101" s="1">
        <v>4</v>
      </c>
      <c r="C101" s="1" t="s">
        <v>111</v>
      </c>
      <c r="D101" s="1">
        <v>2023</v>
      </c>
      <c r="E101" s="1">
        <v>1</v>
      </c>
      <c r="F101" s="1">
        <v>2.6221630500000002</v>
      </c>
      <c r="G101" s="1">
        <v>8.1460254759040507E-2</v>
      </c>
    </row>
    <row r="102" spans="1:7" ht="15.75" customHeight="1" x14ac:dyDescent="0.25">
      <c r="A102" s="1">
        <v>1</v>
      </c>
      <c r="B102" s="1">
        <v>4</v>
      </c>
      <c r="C102" s="1" t="s">
        <v>111</v>
      </c>
      <c r="D102" s="1">
        <v>2024</v>
      </c>
      <c r="E102" s="1">
        <v>1</v>
      </c>
      <c r="F102" s="1">
        <v>3.0085890000000002</v>
      </c>
      <c r="G102" s="1">
        <v>4.6739904035066102E-2</v>
      </c>
    </row>
    <row r="103" spans="1:7" ht="15.75" customHeight="1" x14ac:dyDescent="0.25">
      <c r="A103" s="1">
        <v>2</v>
      </c>
      <c r="B103" s="1">
        <v>4</v>
      </c>
      <c r="C103" s="1" t="s">
        <v>87</v>
      </c>
      <c r="D103" s="1">
        <v>1990</v>
      </c>
      <c r="E103" s="1">
        <v>1</v>
      </c>
      <c r="F103" s="1">
        <v>3.7906586399999997</v>
      </c>
      <c r="G103" s="1">
        <v>4.6918473162275001E-2</v>
      </c>
    </row>
    <row r="104" spans="1:7" ht="15.75" customHeight="1" x14ac:dyDescent="0.25">
      <c r="A104" s="1">
        <v>2</v>
      </c>
      <c r="B104" s="1">
        <v>4</v>
      </c>
      <c r="C104" s="1" t="s">
        <v>87</v>
      </c>
      <c r="D104" s="1">
        <v>1991</v>
      </c>
      <c r="E104" s="1">
        <v>1</v>
      </c>
      <c r="F104" s="1">
        <v>3.9221775000000001</v>
      </c>
      <c r="G104" s="1">
        <v>5.6406866090329799E-2</v>
      </c>
    </row>
    <row r="105" spans="1:7" ht="15.75" customHeight="1" x14ac:dyDescent="0.25">
      <c r="A105" s="1">
        <v>2</v>
      </c>
      <c r="B105" s="1">
        <v>4</v>
      </c>
      <c r="C105" s="1" t="s">
        <v>87</v>
      </c>
      <c r="D105" s="1">
        <v>1992</v>
      </c>
      <c r="E105" s="1">
        <v>1</v>
      </c>
      <c r="F105" s="1">
        <v>3.7947658000000004</v>
      </c>
      <c r="G105" s="1">
        <v>4.2486780173753499E-2</v>
      </c>
    </row>
    <row r="106" spans="1:7" ht="15.75" customHeight="1" x14ac:dyDescent="0.25">
      <c r="A106" s="1">
        <v>2</v>
      </c>
      <c r="B106" s="1">
        <v>4</v>
      </c>
      <c r="C106" s="1" t="s">
        <v>87</v>
      </c>
      <c r="D106" s="1">
        <v>1993</v>
      </c>
      <c r="E106" s="1">
        <v>1</v>
      </c>
      <c r="F106" s="1">
        <v>3.4020499499999999</v>
      </c>
      <c r="G106" s="1">
        <v>5.2002786071755999E-2</v>
      </c>
    </row>
    <row r="107" spans="1:7" ht="15.75" customHeight="1" x14ac:dyDescent="0.25">
      <c r="A107" s="1">
        <v>2</v>
      </c>
      <c r="B107" s="1">
        <v>4</v>
      </c>
      <c r="C107" s="1" t="s">
        <v>87</v>
      </c>
      <c r="D107" s="1">
        <v>1994</v>
      </c>
      <c r="E107" s="1">
        <v>1</v>
      </c>
      <c r="F107" s="1">
        <v>2.9149517400000007</v>
      </c>
      <c r="G107" s="1">
        <v>4.1096620155227997E-2</v>
      </c>
    </row>
    <row r="108" spans="1:7" ht="15.75" customHeight="1" x14ac:dyDescent="0.25">
      <c r="A108" s="1">
        <v>2</v>
      </c>
      <c r="B108" s="1">
        <v>4</v>
      </c>
      <c r="C108" s="1" t="s">
        <v>87</v>
      </c>
      <c r="D108" s="1">
        <v>1995</v>
      </c>
      <c r="E108" s="1">
        <v>1</v>
      </c>
      <c r="F108" s="1">
        <v>2.3460600100000004</v>
      </c>
      <c r="G108" s="1">
        <v>5.1766617952054103E-2</v>
      </c>
    </row>
    <row r="109" spans="1:7" ht="15.75" customHeight="1" x14ac:dyDescent="0.25">
      <c r="A109" s="1">
        <v>2</v>
      </c>
      <c r="B109" s="1">
        <v>4</v>
      </c>
      <c r="C109" s="1" t="s">
        <v>87</v>
      </c>
      <c r="D109" s="1">
        <v>1996</v>
      </c>
      <c r="E109" s="1">
        <v>1</v>
      </c>
      <c r="F109" s="1">
        <v>2.4243360400000005</v>
      </c>
      <c r="G109" s="1">
        <v>6.0430532114050597E-2</v>
      </c>
    </row>
    <row r="110" spans="1:7" ht="15.75" customHeight="1" x14ac:dyDescent="0.25">
      <c r="A110" s="1">
        <v>2</v>
      </c>
      <c r="B110" s="1">
        <v>4</v>
      </c>
      <c r="C110" s="1" t="s">
        <v>87</v>
      </c>
      <c r="D110" s="1">
        <v>1997</v>
      </c>
      <c r="E110" s="1">
        <v>1</v>
      </c>
      <c r="F110" s="1">
        <v>1.8894960000000003</v>
      </c>
      <c r="G110" s="1">
        <v>4.2209277886192997E-2</v>
      </c>
    </row>
    <row r="111" spans="1:7" ht="15.75" customHeight="1" x14ac:dyDescent="0.25">
      <c r="A111" s="1">
        <v>2</v>
      </c>
      <c r="B111" s="1">
        <v>4</v>
      </c>
      <c r="C111" s="1" t="s">
        <v>87</v>
      </c>
      <c r="D111" s="1">
        <v>1998</v>
      </c>
      <c r="E111" s="1">
        <v>1</v>
      </c>
      <c r="F111" s="1">
        <v>1.7933954500000002</v>
      </c>
      <c r="G111" s="1">
        <v>4.7571195085031298E-2</v>
      </c>
    </row>
    <row r="112" spans="1:7" ht="15.75" customHeight="1" x14ac:dyDescent="0.25">
      <c r="A112" s="1">
        <v>2</v>
      </c>
      <c r="B112" s="1">
        <v>4</v>
      </c>
      <c r="C112" s="1" t="s">
        <v>87</v>
      </c>
      <c r="D112" s="1">
        <v>1999</v>
      </c>
      <c r="E112" s="1">
        <v>1</v>
      </c>
      <c r="F112" s="1">
        <v>1.7833081800000004</v>
      </c>
      <c r="G112" s="1">
        <v>5.0189103152307998E-2</v>
      </c>
    </row>
    <row r="113" spans="1:7" ht="15.75" customHeight="1" x14ac:dyDescent="0.25">
      <c r="A113" s="1">
        <v>2</v>
      </c>
      <c r="B113" s="1">
        <v>4</v>
      </c>
      <c r="C113" s="1" t="s">
        <v>87</v>
      </c>
      <c r="D113" s="1">
        <v>2000</v>
      </c>
      <c r="E113" s="1">
        <v>1</v>
      </c>
      <c r="F113" s="1">
        <v>1.7872095000000003</v>
      </c>
      <c r="G113" s="1">
        <v>5.2407393249629002E-2</v>
      </c>
    </row>
    <row r="114" spans="1:7" ht="15.75" customHeight="1" x14ac:dyDescent="0.25">
      <c r="A114" s="1">
        <v>2</v>
      </c>
      <c r="B114" s="1">
        <v>4</v>
      </c>
      <c r="C114" s="1" t="s">
        <v>87</v>
      </c>
      <c r="D114" s="1">
        <v>2001</v>
      </c>
      <c r="E114" s="1">
        <v>1</v>
      </c>
      <c r="F114" s="1">
        <v>1.6214037300000004</v>
      </c>
      <c r="G114" s="1">
        <v>6.0841184260585303E-2</v>
      </c>
    </row>
    <row r="115" spans="1:7" ht="15.75" customHeight="1" x14ac:dyDescent="0.25">
      <c r="A115" s="1">
        <v>2</v>
      </c>
      <c r="B115" s="1">
        <v>4</v>
      </c>
      <c r="C115" s="1" t="s">
        <v>87</v>
      </c>
      <c r="D115" s="1">
        <v>2002</v>
      </c>
      <c r="E115" s="1">
        <v>1</v>
      </c>
      <c r="F115" s="1">
        <v>1.4882458830000003</v>
      </c>
      <c r="G115" s="1">
        <v>5.4903516297552399E-2</v>
      </c>
    </row>
    <row r="116" spans="1:7" ht="15.75" customHeight="1" x14ac:dyDescent="0.25">
      <c r="A116" s="1">
        <v>2</v>
      </c>
      <c r="B116" s="1">
        <v>4</v>
      </c>
      <c r="C116" s="1" t="s">
        <v>87</v>
      </c>
      <c r="D116" s="1">
        <v>2003</v>
      </c>
      <c r="E116" s="1">
        <v>1</v>
      </c>
      <c r="F116" s="1">
        <v>1.2844075920000002</v>
      </c>
      <c r="G116" s="1">
        <v>4.9594687936842297E-2</v>
      </c>
    </row>
    <row r="117" spans="1:7" ht="15.75" customHeight="1" x14ac:dyDescent="0.25">
      <c r="A117" s="1">
        <v>2</v>
      </c>
      <c r="B117" s="1">
        <v>4</v>
      </c>
      <c r="C117" s="1" t="s">
        <v>87</v>
      </c>
      <c r="D117" s="1">
        <v>2004</v>
      </c>
      <c r="E117" s="1">
        <v>1</v>
      </c>
      <c r="F117" s="1">
        <v>1.1338968610000002</v>
      </c>
      <c r="G117" s="1">
        <v>8.8068215678685197E-2</v>
      </c>
    </row>
    <row r="118" spans="1:7" ht="15.75" customHeight="1" x14ac:dyDescent="0.25">
      <c r="A118" s="1">
        <v>2</v>
      </c>
      <c r="B118" s="1">
        <v>4</v>
      </c>
      <c r="C118" s="1" t="s">
        <v>87</v>
      </c>
      <c r="D118" s="1">
        <v>2005</v>
      </c>
      <c r="E118" s="1">
        <v>1</v>
      </c>
      <c r="F118" s="1">
        <v>1.1676218400000002</v>
      </c>
      <c r="G118" s="1">
        <v>5.02500079944561E-2</v>
      </c>
    </row>
    <row r="119" spans="1:7" ht="15.75" customHeight="1" x14ac:dyDescent="0.25">
      <c r="A119" s="1">
        <v>2</v>
      </c>
      <c r="B119" s="1">
        <v>4</v>
      </c>
      <c r="C119" s="1" t="s">
        <v>87</v>
      </c>
      <c r="D119" s="1">
        <v>2006</v>
      </c>
      <c r="E119" s="1">
        <v>1</v>
      </c>
      <c r="F119" s="1">
        <v>1.1161994220000002</v>
      </c>
      <c r="G119" s="1">
        <v>3.3711693691544101E-2</v>
      </c>
    </row>
    <row r="120" spans="1:7" ht="15.75" customHeight="1" x14ac:dyDescent="0.25">
      <c r="A120" s="1">
        <v>2</v>
      </c>
      <c r="B120" s="1">
        <v>4</v>
      </c>
      <c r="C120" s="1" t="s">
        <v>87</v>
      </c>
      <c r="D120" s="1">
        <v>2007</v>
      </c>
      <c r="E120" s="1">
        <v>1</v>
      </c>
      <c r="F120" s="1">
        <v>1.118457072</v>
      </c>
      <c r="G120" s="1">
        <v>6.6513019555693595E-2</v>
      </c>
    </row>
    <row r="121" spans="1:7" ht="15.75" customHeight="1" x14ac:dyDescent="0.25">
      <c r="A121" s="1">
        <v>2</v>
      </c>
      <c r="B121" s="1">
        <v>4</v>
      </c>
      <c r="C121" s="1" t="s">
        <v>87</v>
      </c>
      <c r="D121" s="1">
        <v>2008</v>
      </c>
      <c r="E121" s="1">
        <v>1</v>
      </c>
      <c r="F121" s="1">
        <v>1.2847554360000002</v>
      </c>
      <c r="G121" s="1">
        <v>6.9983363286163697E-2</v>
      </c>
    </row>
    <row r="122" spans="1:7" ht="15.75" customHeight="1" x14ac:dyDescent="0.25">
      <c r="A122" s="1">
        <v>2</v>
      </c>
      <c r="B122" s="1">
        <v>4</v>
      </c>
      <c r="C122" s="1" t="s">
        <v>87</v>
      </c>
      <c r="D122" s="1">
        <v>2009</v>
      </c>
      <c r="E122" s="1">
        <v>1</v>
      </c>
      <c r="F122" s="1">
        <v>1.4837388320000002</v>
      </c>
      <c r="G122" s="1">
        <v>7.9064498720030699E-2</v>
      </c>
    </row>
    <row r="123" spans="1:7" ht="15.75" customHeight="1" x14ac:dyDescent="0.25">
      <c r="A123" s="1">
        <v>2</v>
      </c>
      <c r="B123" s="1">
        <v>4</v>
      </c>
      <c r="C123" s="1" t="s">
        <v>87</v>
      </c>
      <c r="D123" s="1">
        <v>2010</v>
      </c>
      <c r="E123" s="1">
        <v>1</v>
      </c>
      <c r="F123" s="1">
        <v>1.6550883440000004</v>
      </c>
      <c r="G123" s="1">
        <v>6.20882147164298E-2</v>
      </c>
    </row>
    <row r="124" spans="1:7" ht="15.75" customHeight="1" x14ac:dyDescent="0.25">
      <c r="A124" s="1">
        <v>2</v>
      </c>
      <c r="B124" s="1">
        <v>4</v>
      </c>
      <c r="C124" s="1" t="s">
        <v>87</v>
      </c>
      <c r="D124" s="1">
        <v>2011</v>
      </c>
      <c r="E124" s="1">
        <v>1</v>
      </c>
      <c r="F124" s="1">
        <v>1.8617709670000004</v>
      </c>
      <c r="G124" s="1">
        <v>4.3842240720928898E-2</v>
      </c>
    </row>
    <row r="125" spans="1:7" ht="15.75" customHeight="1" x14ac:dyDescent="0.25">
      <c r="A125" s="1">
        <v>2</v>
      </c>
      <c r="B125" s="1">
        <v>4</v>
      </c>
      <c r="C125" s="1" t="s">
        <v>87</v>
      </c>
      <c r="D125" s="1">
        <v>2012</v>
      </c>
      <c r="E125" s="1">
        <v>1</v>
      </c>
      <c r="F125" s="1">
        <v>1.9069293000000003</v>
      </c>
      <c r="G125" s="1">
        <v>5.6313437705257902E-2</v>
      </c>
    </row>
    <row r="126" spans="1:7" ht="15.75" customHeight="1" x14ac:dyDescent="0.25">
      <c r="A126" s="1">
        <v>2</v>
      </c>
      <c r="B126" s="1">
        <v>4</v>
      </c>
      <c r="C126" s="1" t="s">
        <v>87</v>
      </c>
      <c r="D126" s="1">
        <v>2013</v>
      </c>
      <c r="E126" s="1">
        <v>1</v>
      </c>
      <c r="F126" s="1">
        <v>1.9969332000000004</v>
      </c>
      <c r="G126" s="1">
        <v>3.3339689687738101E-2</v>
      </c>
    </row>
    <row r="127" spans="1:7" ht="15.75" customHeight="1" x14ac:dyDescent="0.25">
      <c r="A127" s="1">
        <v>2</v>
      </c>
      <c r="B127" s="1">
        <v>4</v>
      </c>
      <c r="C127" s="1" t="s">
        <v>87</v>
      </c>
      <c r="D127" s="1">
        <v>2014</v>
      </c>
      <c r="E127" s="1">
        <v>1</v>
      </c>
      <c r="F127" s="1">
        <v>2.2313577000000002</v>
      </c>
      <c r="G127" s="1">
        <v>4.3303235598535002E-2</v>
      </c>
    </row>
    <row r="128" spans="1:7" ht="15.75" customHeight="1" x14ac:dyDescent="0.25">
      <c r="A128" s="1">
        <v>2</v>
      </c>
      <c r="B128" s="1">
        <v>4</v>
      </c>
      <c r="C128" s="1" t="s">
        <v>87</v>
      </c>
      <c r="D128" s="1">
        <v>2015</v>
      </c>
      <c r="E128" s="1">
        <v>1</v>
      </c>
      <c r="F128" s="1">
        <v>2.4453840000000002</v>
      </c>
      <c r="G128" s="1">
        <v>3.99607547695685E-2</v>
      </c>
    </row>
    <row r="129" spans="1:7" ht="15.75" customHeight="1" x14ac:dyDescent="0.25">
      <c r="A129" s="1">
        <v>2</v>
      </c>
      <c r="B129" s="1">
        <v>4</v>
      </c>
      <c r="C129" s="1" t="s">
        <v>87</v>
      </c>
      <c r="D129" s="1">
        <v>2016</v>
      </c>
      <c r="E129" s="1">
        <v>1</v>
      </c>
      <c r="F129" s="1">
        <v>2.8272267400000008</v>
      </c>
      <c r="G129" s="1">
        <v>3.5802622851338797E-2</v>
      </c>
    </row>
    <row r="130" spans="1:7" ht="15.75" customHeight="1" x14ac:dyDescent="0.25">
      <c r="A130" s="1">
        <v>2</v>
      </c>
      <c r="B130" s="1">
        <v>4</v>
      </c>
      <c r="C130" s="1" t="s">
        <v>87</v>
      </c>
      <c r="D130" s="1">
        <v>2017</v>
      </c>
      <c r="E130" s="1">
        <v>1</v>
      </c>
      <c r="F130" s="1">
        <v>3.0989074800000007</v>
      </c>
      <c r="G130" s="1">
        <v>3.6764674782380997E-2</v>
      </c>
    </row>
    <row r="131" spans="1:7" ht="15.75" customHeight="1" x14ac:dyDescent="0.25">
      <c r="A131" s="1">
        <v>2</v>
      </c>
      <c r="B131" s="1">
        <v>4</v>
      </c>
      <c r="C131" s="1" t="s">
        <v>87</v>
      </c>
      <c r="D131" s="1">
        <v>2018</v>
      </c>
      <c r="E131" s="1">
        <v>1</v>
      </c>
      <c r="F131" s="1">
        <v>3.3626257100000005</v>
      </c>
      <c r="G131" s="1">
        <v>5.4469226590281798E-2</v>
      </c>
    </row>
    <row r="132" spans="1:7" ht="15.75" customHeight="1" x14ac:dyDescent="0.25">
      <c r="A132" s="1">
        <v>2</v>
      </c>
      <c r="B132" s="1">
        <v>4</v>
      </c>
      <c r="C132" s="1" t="s">
        <v>87</v>
      </c>
      <c r="D132" s="1">
        <v>2019</v>
      </c>
      <c r="E132" s="1">
        <v>1</v>
      </c>
      <c r="F132" s="1">
        <v>3.5573012700000008</v>
      </c>
      <c r="G132" s="1">
        <v>3.3870024725059102E-2</v>
      </c>
    </row>
    <row r="133" spans="1:7" ht="15.75" customHeight="1" x14ac:dyDescent="0.25">
      <c r="A133" s="1">
        <v>2</v>
      </c>
      <c r="B133" s="1">
        <v>4</v>
      </c>
      <c r="C133" s="1" t="s">
        <v>87</v>
      </c>
      <c r="D133" s="1">
        <v>2020</v>
      </c>
      <c r="E133" s="1">
        <v>1</v>
      </c>
      <c r="F133" s="1">
        <v>3.5575076800000005</v>
      </c>
      <c r="G133" s="1">
        <v>6.2567892238757597E-2</v>
      </c>
    </row>
    <row r="134" spans="1:7" ht="15.75" customHeight="1" x14ac:dyDescent="0.25">
      <c r="A134" s="1">
        <v>2</v>
      </c>
      <c r="B134" s="1">
        <v>4</v>
      </c>
      <c r="C134" s="1" t="s">
        <v>87</v>
      </c>
      <c r="D134" s="1">
        <v>2021</v>
      </c>
      <c r="E134" s="1">
        <v>1</v>
      </c>
      <c r="F134" s="1">
        <v>3.7728528600000009</v>
      </c>
      <c r="G134" s="1">
        <v>5.99547434482108E-2</v>
      </c>
    </row>
    <row r="135" spans="1:7" ht="15.75" customHeight="1" x14ac:dyDescent="0.25">
      <c r="A135" s="1">
        <v>2</v>
      </c>
      <c r="B135" s="1">
        <v>4</v>
      </c>
      <c r="C135" s="1" t="s">
        <v>87</v>
      </c>
      <c r="D135" s="1">
        <v>2022</v>
      </c>
      <c r="E135" s="1">
        <v>1</v>
      </c>
      <c r="F135" s="1">
        <v>4.2755107200000015</v>
      </c>
      <c r="G135" s="1">
        <v>4.79301780461776E-2</v>
      </c>
    </row>
    <row r="136" spans="1:7" ht="15.75" customHeight="1" x14ac:dyDescent="0.25">
      <c r="A136" s="1">
        <v>2</v>
      </c>
      <c r="B136" s="1">
        <v>4</v>
      </c>
      <c r="C136" s="1" t="s">
        <v>87</v>
      </c>
      <c r="D136" s="1">
        <v>2023</v>
      </c>
      <c r="E136" s="1">
        <v>1</v>
      </c>
      <c r="F136" s="1">
        <v>4.5996721500000008</v>
      </c>
      <c r="G136" s="1">
        <v>8.6979491117995203E-2</v>
      </c>
    </row>
    <row r="137" spans="1:7" ht="15.75" customHeight="1" x14ac:dyDescent="0.25">
      <c r="A137" s="1">
        <v>2</v>
      </c>
      <c r="B137" s="1">
        <v>4</v>
      </c>
      <c r="C137" s="1" t="s">
        <v>87</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10" t="s">
        <v>209</v>
      </c>
      <c r="B1" s="11"/>
      <c r="C1" s="11"/>
      <c r="D1" s="11"/>
      <c r="E1" s="11"/>
      <c r="F1" s="11"/>
      <c r="G1" s="11"/>
      <c r="H1" s="11"/>
      <c r="I1" s="11"/>
      <c r="J1" s="11"/>
      <c r="K1" s="11"/>
      <c r="L1" s="11"/>
      <c r="M1" s="11"/>
      <c r="N1" s="11"/>
      <c r="O1" s="11"/>
      <c r="P1" s="11"/>
      <c r="Q1" s="11"/>
      <c r="R1" s="11"/>
      <c r="S1" s="11"/>
      <c r="T1" s="11"/>
      <c r="U1" s="12"/>
    </row>
    <row r="2" spans="1:66" x14ac:dyDescent="0.25">
      <c r="A2" s="7" t="s">
        <v>203</v>
      </c>
      <c r="B2" s="1" t="s">
        <v>189</v>
      </c>
      <c r="C2" s="1" t="s">
        <v>184</v>
      </c>
      <c r="D2" s="1" t="s">
        <v>191</v>
      </c>
      <c r="E2" s="1" t="s">
        <v>210</v>
      </c>
      <c r="F2" s="1" t="s">
        <v>211</v>
      </c>
      <c r="G2" s="1" t="s">
        <v>212</v>
      </c>
      <c r="H2" s="1" t="s">
        <v>213</v>
      </c>
      <c r="I2" s="1" t="s">
        <v>214</v>
      </c>
      <c r="J2" s="1" t="s">
        <v>215</v>
      </c>
      <c r="K2" s="1" t="s">
        <v>216</v>
      </c>
      <c r="L2" s="1" t="s">
        <v>217</v>
      </c>
      <c r="M2" s="1" t="s">
        <v>218</v>
      </c>
      <c r="N2" s="1" t="s">
        <v>219</v>
      </c>
      <c r="O2" s="1" t="s">
        <v>220</v>
      </c>
      <c r="P2" s="1" t="s">
        <v>221</v>
      </c>
      <c r="Q2" s="1" t="s">
        <v>222</v>
      </c>
      <c r="R2" s="1" t="s">
        <v>223</v>
      </c>
      <c r="S2" s="1" t="s">
        <v>224</v>
      </c>
      <c r="T2" s="1" t="s">
        <v>225</v>
      </c>
      <c r="U2" s="1" t="s">
        <v>226</v>
      </c>
      <c r="V2" s="1" t="s">
        <v>227</v>
      </c>
      <c r="W2" s="1" t="s">
        <v>228</v>
      </c>
      <c r="X2" s="1" t="s">
        <v>229</v>
      </c>
      <c r="Y2" s="1" t="s">
        <v>230</v>
      </c>
      <c r="Z2" s="1" t="s">
        <v>231</v>
      </c>
      <c r="AA2" s="1" t="s">
        <v>232</v>
      </c>
      <c r="AB2" s="1" t="s">
        <v>233</v>
      </c>
      <c r="AC2" s="1" t="s">
        <v>234</v>
      </c>
      <c r="AD2" s="1" t="s">
        <v>235</v>
      </c>
      <c r="AE2" s="1" t="s">
        <v>236</v>
      </c>
      <c r="AF2" s="1" t="s">
        <v>237</v>
      </c>
      <c r="AG2" s="1" t="s">
        <v>238</v>
      </c>
      <c r="AH2" s="1" t="s">
        <v>239</v>
      </c>
      <c r="AI2" s="1" t="s">
        <v>240</v>
      </c>
      <c r="AJ2" s="1" t="s">
        <v>241</v>
      </c>
      <c r="AK2" s="1" t="s">
        <v>242</v>
      </c>
      <c r="AL2" s="1" t="s">
        <v>243</v>
      </c>
      <c r="AM2" s="1" t="s">
        <v>244</v>
      </c>
      <c r="AN2" s="1" t="s">
        <v>245</v>
      </c>
      <c r="AO2" s="1" t="s">
        <v>246</v>
      </c>
      <c r="AP2" s="1" t="s">
        <v>247</v>
      </c>
      <c r="AQ2" s="1" t="s">
        <v>248</v>
      </c>
      <c r="AR2" s="1" t="s">
        <v>249</v>
      </c>
      <c r="AS2" s="1" t="s">
        <v>250</v>
      </c>
      <c r="AT2" s="1" t="s">
        <v>251</v>
      </c>
      <c r="AU2" s="1"/>
      <c r="AV2" s="1"/>
      <c r="AW2" s="1"/>
      <c r="AX2" s="1"/>
      <c r="AY2" s="1"/>
      <c r="AZ2" s="1"/>
      <c r="BA2" s="1"/>
      <c r="BB2" s="1"/>
      <c r="BC2" s="1"/>
      <c r="BD2" s="1"/>
      <c r="BE2" s="1"/>
      <c r="BF2" s="1"/>
      <c r="BG2" s="1"/>
      <c r="BH2" s="1"/>
      <c r="BI2" s="1"/>
      <c r="BJ2" s="1"/>
      <c r="BK2" s="1"/>
      <c r="BL2" s="1"/>
      <c r="BM2" s="1"/>
      <c r="BN2" s="1"/>
    </row>
    <row r="3" spans="1:66" x14ac:dyDescent="0.25">
      <c r="A3" s="1">
        <v>2</v>
      </c>
      <c r="B3" s="1" t="s">
        <v>111</v>
      </c>
      <c r="C3" s="1">
        <v>1980</v>
      </c>
      <c r="D3" s="1">
        <v>1</v>
      </c>
      <c r="E3" s="1">
        <v>4</v>
      </c>
      <c r="F3" s="1">
        <v>0</v>
      </c>
      <c r="G3" s="1">
        <v>0</v>
      </c>
      <c r="H3" s="1">
        <v>0</v>
      </c>
      <c r="I3" s="1">
        <v>0</v>
      </c>
      <c r="J3" s="5">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111</v>
      </c>
      <c r="C4" s="1">
        <v>1981</v>
      </c>
      <c r="D4" s="1">
        <v>1</v>
      </c>
      <c r="E4" s="1">
        <v>4</v>
      </c>
      <c r="F4" s="1">
        <v>0</v>
      </c>
      <c r="G4" s="1">
        <v>0</v>
      </c>
      <c r="H4" s="1">
        <v>0</v>
      </c>
      <c r="I4" s="1">
        <v>0</v>
      </c>
      <c r="J4" s="5">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111</v>
      </c>
      <c r="C5" s="1">
        <v>1984</v>
      </c>
      <c r="D5" s="1">
        <v>1</v>
      </c>
      <c r="E5" s="1">
        <v>6</v>
      </c>
      <c r="F5" s="1">
        <v>0</v>
      </c>
      <c r="G5" s="1">
        <v>0</v>
      </c>
      <c r="H5" s="1">
        <v>0</v>
      </c>
      <c r="I5" s="1">
        <v>0</v>
      </c>
      <c r="J5" s="5">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111</v>
      </c>
      <c r="C6" s="1">
        <v>1988</v>
      </c>
      <c r="D6" s="1">
        <v>1</v>
      </c>
      <c r="E6" s="1">
        <v>14</v>
      </c>
      <c r="F6" s="1">
        <v>0</v>
      </c>
      <c r="G6" s="1">
        <v>0</v>
      </c>
      <c r="H6" s="1">
        <v>0</v>
      </c>
      <c r="I6" s="1">
        <v>0</v>
      </c>
      <c r="J6" s="5">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111</v>
      </c>
      <c r="C7" s="1">
        <v>1990</v>
      </c>
      <c r="D7" s="1">
        <v>1</v>
      </c>
      <c r="E7" s="1">
        <v>6</v>
      </c>
      <c r="F7" s="1">
        <v>0</v>
      </c>
      <c r="G7" s="1">
        <v>0</v>
      </c>
      <c r="H7" s="1">
        <v>0</v>
      </c>
      <c r="I7" s="1">
        <v>0</v>
      </c>
      <c r="J7" s="5">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111</v>
      </c>
      <c r="C8" s="1">
        <v>1992</v>
      </c>
      <c r="D8" s="1">
        <v>1</v>
      </c>
      <c r="E8" s="1">
        <v>2</v>
      </c>
      <c r="F8" s="1">
        <v>0</v>
      </c>
      <c r="G8" s="1">
        <v>0</v>
      </c>
      <c r="H8" s="1">
        <v>0</v>
      </c>
      <c r="I8" s="1">
        <v>0</v>
      </c>
      <c r="J8" s="5">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111</v>
      </c>
      <c r="C9" s="1">
        <v>1993</v>
      </c>
      <c r="D9" s="1">
        <v>1</v>
      </c>
      <c r="E9" s="1">
        <v>2</v>
      </c>
      <c r="F9" s="1">
        <v>0</v>
      </c>
      <c r="G9" s="1">
        <v>0</v>
      </c>
      <c r="H9" s="1">
        <v>0</v>
      </c>
      <c r="I9" s="1">
        <v>0</v>
      </c>
      <c r="J9" s="5">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111</v>
      </c>
      <c r="C10" s="1">
        <v>1994</v>
      </c>
      <c r="D10" s="1">
        <v>1</v>
      </c>
      <c r="E10" s="1">
        <v>6</v>
      </c>
      <c r="F10" s="1">
        <v>0</v>
      </c>
      <c r="G10" s="1">
        <v>0</v>
      </c>
      <c r="H10" s="1">
        <v>0</v>
      </c>
      <c r="I10" s="1">
        <v>0</v>
      </c>
      <c r="J10" s="5">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111</v>
      </c>
      <c r="C11" s="1">
        <v>1995</v>
      </c>
      <c r="D11" s="1">
        <v>1</v>
      </c>
      <c r="E11" s="1">
        <v>4</v>
      </c>
      <c r="F11" s="1">
        <v>0</v>
      </c>
      <c r="G11" s="1">
        <v>0</v>
      </c>
      <c r="H11" s="1">
        <v>0</v>
      </c>
      <c r="I11" s="1">
        <v>0</v>
      </c>
      <c r="J11" s="5">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111</v>
      </c>
      <c r="C12" s="1">
        <v>1996</v>
      </c>
      <c r="D12" s="1">
        <v>1</v>
      </c>
      <c r="E12" s="1">
        <v>14</v>
      </c>
      <c r="F12" s="1">
        <v>0</v>
      </c>
      <c r="G12" s="1">
        <v>0</v>
      </c>
      <c r="H12" s="1">
        <v>0</v>
      </c>
      <c r="I12" s="1">
        <v>0</v>
      </c>
      <c r="J12" s="5">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111</v>
      </c>
      <c r="C13" s="1">
        <v>1997</v>
      </c>
      <c r="D13" s="1">
        <v>1</v>
      </c>
      <c r="E13" s="1">
        <v>5</v>
      </c>
      <c r="F13" s="1">
        <v>0</v>
      </c>
      <c r="G13" s="1">
        <v>0</v>
      </c>
      <c r="H13" s="1">
        <v>0</v>
      </c>
      <c r="I13" s="1">
        <v>0</v>
      </c>
      <c r="J13" s="5">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111</v>
      </c>
      <c r="C14" s="1">
        <v>1998</v>
      </c>
      <c r="D14" s="1">
        <v>1</v>
      </c>
      <c r="E14" s="1">
        <v>9</v>
      </c>
      <c r="F14" s="1">
        <v>0</v>
      </c>
      <c r="G14" s="1">
        <v>0</v>
      </c>
      <c r="H14" s="1">
        <v>0</v>
      </c>
      <c r="I14" s="1">
        <v>0</v>
      </c>
      <c r="J14" s="5">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111</v>
      </c>
      <c r="C15" s="1">
        <v>1999</v>
      </c>
      <c r="D15" s="1">
        <v>1</v>
      </c>
      <c r="E15" s="1">
        <v>6</v>
      </c>
      <c r="F15" s="1">
        <v>0</v>
      </c>
      <c r="G15" s="1">
        <v>0</v>
      </c>
      <c r="H15" s="1">
        <v>0</v>
      </c>
      <c r="I15" s="1">
        <v>0</v>
      </c>
      <c r="J15" s="5">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111</v>
      </c>
      <c r="C16" s="1">
        <v>2000</v>
      </c>
      <c r="D16" s="1">
        <v>1</v>
      </c>
      <c r="E16" s="1">
        <v>4</v>
      </c>
      <c r="F16" s="1">
        <v>0</v>
      </c>
      <c r="G16" s="1">
        <v>0</v>
      </c>
      <c r="H16" s="1">
        <v>0</v>
      </c>
      <c r="I16" s="1">
        <v>0</v>
      </c>
      <c r="J16" s="5">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111</v>
      </c>
      <c r="C17" s="1">
        <v>2001</v>
      </c>
      <c r="D17" s="1">
        <v>1</v>
      </c>
      <c r="E17" s="1">
        <v>6</v>
      </c>
      <c r="F17" s="1">
        <v>0</v>
      </c>
      <c r="G17" s="1">
        <v>0</v>
      </c>
      <c r="H17" s="1">
        <v>0</v>
      </c>
      <c r="I17" s="1">
        <v>0</v>
      </c>
      <c r="J17" s="5">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111</v>
      </c>
      <c r="C18" s="1">
        <v>2002</v>
      </c>
      <c r="D18" s="1">
        <v>1</v>
      </c>
      <c r="E18" s="1">
        <v>9</v>
      </c>
      <c r="F18" s="1">
        <v>0</v>
      </c>
      <c r="G18" s="1">
        <v>0</v>
      </c>
      <c r="H18" s="1">
        <v>0</v>
      </c>
      <c r="I18" s="1">
        <v>0</v>
      </c>
      <c r="J18" s="5">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111</v>
      </c>
      <c r="C19" s="1">
        <v>2003</v>
      </c>
      <c r="D19" s="1">
        <v>1</v>
      </c>
      <c r="E19" s="1">
        <v>10</v>
      </c>
      <c r="F19" s="1">
        <v>0</v>
      </c>
      <c r="G19" s="1">
        <v>0</v>
      </c>
      <c r="H19" s="1">
        <v>0</v>
      </c>
      <c r="I19" s="1">
        <v>0</v>
      </c>
      <c r="J19" s="5">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111</v>
      </c>
      <c r="C20" s="1">
        <v>2004</v>
      </c>
      <c r="D20" s="1">
        <v>1</v>
      </c>
      <c r="E20" s="1">
        <v>21</v>
      </c>
      <c r="F20" s="1">
        <v>0</v>
      </c>
      <c r="G20" s="1">
        <v>0</v>
      </c>
      <c r="H20" s="1">
        <v>0</v>
      </c>
      <c r="I20" s="1">
        <v>0</v>
      </c>
      <c r="J20" s="5">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111</v>
      </c>
      <c r="C21" s="1">
        <v>2005</v>
      </c>
      <c r="D21" s="1">
        <v>1</v>
      </c>
      <c r="E21" s="1">
        <v>14</v>
      </c>
      <c r="F21" s="1">
        <v>0</v>
      </c>
      <c r="G21" s="1">
        <v>0</v>
      </c>
      <c r="H21" s="1">
        <v>0</v>
      </c>
      <c r="I21" s="1">
        <v>0</v>
      </c>
      <c r="J21" s="5">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111</v>
      </c>
      <c r="C22" s="1">
        <v>2006</v>
      </c>
      <c r="D22" s="1">
        <v>1</v>
      </c>
      <c r="E22" s="1">
        <v>8</v>
      </c>
      <c r="F22" s="1">
        <v>0</v>
      </c>
      <c r="G22" s="1">
        <v>0</v>
      </c>
      <c r="H22" s="1">
        <v>0</v>
      </c>
      <c r="I22" s="1">
        <v>0</v>
      </c>
      <c r="J22" s="5">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5">
        <v>9.5675165096873003E-5</v>
      </c>
      <c r="AT22" s="1">
        <v>3.7147949904896998E-4</v>
      </c>
    </row>
    <row r="23" spans="1:46" ht="15.75" customHeight="1" x14ac:dyDescent="0.25">
      <c r="A23" s="1">
        <v>2</v>
      </c>
      <c r="B23" s="1" t="s">
        <v>111</v>
      </c>
      <c r="C23" s="1">
        <v>2007</v>
      </c>
      <c r="D23" s="1">
        <v>1</v>
      </c>
      <c r="E23" s="1">
        <v>18</v>
      </c>
      <c r="F23" s="1">
        <v>0</v>
      </c>
      <c r="G23" s="1">
        <v>0</v>
      </c>
      <c r="H23" s="1">
        <v>0</v>
      </c>
      <c r="I23" s="1">
        <v>0</v>
      </c>
      <c r="J23" s="5">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5">
        <v>6.5016908645718999E-5</v>
      </c>
      <c r="AO23" s="5">
        <v>7.7340374990332393E-5</v>
      </c>
      <c r="AP23" s="5">
        <v>5.8430228358080798E-5</v>
      </c>
      <c r="AQ23" s="5">
        <v>4.5894288455801703E-5</v>
      </c>
      <c r="AR23" s="5">
        <v>4.46194471098072E-5</v>
      </c>
      <c r="AS23" s="5">
        <v>3.6970399033840198E-5</v>
      </c>
      <c r="AT23" s="1">
        <v>1.17285403831493E-4</v>
      </c>
    </row>
    <row r="24" spans="1:46" ht="15.75" customHeight="1" x14ac:dyDescent="0.25">
      <c r="A24" s="1">
        <v>2</v>
      </c>
      <c r="B24" s="1" t="s">
        <v>111</v>
      </c>
      <c r="C24" s="1">
        <v>2008</v>
      </c>
      <c r="D24" s="1">
        <v>1</v>
      </c>
      <c r="E24" s="1">
        <v>16</v>
      </c>
      <c r="F24" s="1">
        <v>0</v>
      </c>
      <c r="G24" s="1">
        <v>0</v>
      </c>
      <c r="H24" s="1">
        <v>0</v>
      </c>
      <c r="I24" s="1">
        <v>0</v>
      </c>
      <c r="J24" s="5">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5">
        <v>9.8288197453570697E-5</v>
      </c>
      <c r="AQ24" s="5">
        <v>7.5107018808860595E-5</v>
      </c>
      <c r="AR24" s="5">
        <v>6.7225418069659194E-5</v>
      </c>
      <c r="AS24" s="5">
        <v>5.1462216591256401E-5</v>
      </c>
      <c r="AT24" s="1">
        <v>2.0028538349029499E-4</v>
      </c>
    </row>
    <row r="25" spans="1:46" ht="15.75" customHeight="1" x14ac:dyDescent="0.25">
      <c r="A25" s="1">
        <v>2</v>
      </c>
      <c r="B25" s="1" t="s">
        <v>111</v>
      </c>
      <c r="C25" s="1">
        <v>2009</v>
      </c>
      <c r="D25" s="1">
        <v>1</v>
      </c>
      <c r="E25" s="1">
        <v>24</v>
      </c>
      <c r="F25" s="1">
        <v>0</v>
      </c>
      <c r="G25" s="1">
        <v>0</v>
      </c>
      <c r="H25" s="1">
        <v>0</v>
      </c>
      <c r="I25" s="1">
        <v>0</v>
      </c>
      <c r="J25" s="5">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5">
        <v>7.5107695808554204E-5</v>
      </c>
      <c r="AO25" s="5">
        <v>5.6127778083960103E-5</v>
      </c>
      <c r="AP25" s="5">
        <v>5.1763411976165698E-5</v>
      </c>
      <c r="AQ25" s="5">
        <v>3.2479003592888301E-5</v>
      </c>
      <c r="AR25" s="5">
        <v>3.1261040958154997E-5</v>
      </c>
      <c r="AS25" s="5">
        <v>2.4663743353349501E-5</v>
      </c>
      <c r="AT25" s="5">
        <v>8.6475347066065098E-5</v>
      </c>
    </row>
    <row r="26" spans="1:46" ht="15.75" customHeight="1" x14ac:dyDescent="0.25">
      <c r="A26" s="1">
        <v>2</v>
      </c>
      <c r="B26" s="1" t="s">
        <v>111</v>
      </c>
      <c r="C26" s="1">
        <v>2010</v>
      </c>
      <c r="D26" s="1">
        <v>1</v>
      </c>
      <c r="E26" s="1">
        <v>28</v>
      </c>
      <c r="F26" s="1">
        <v>0</v>
      </c>
      <c r="G26" s="1">
        <v>0</v>
      </c>
      <c r="H26" s="1">
        <v>0</v>
      </c>
      <c r="I26" s="1">
        <v>0</v>
      </c>
      <c r="J26" s="5">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5">
        <v>5.9439177210830799E-5</v>
      </c>
      <c r="AO26" s="5">
        <v>4.5286992160633002E-5</v>
      </c>
      <c r="AP26" s="5">
        <v>3.5852202127167802E-5</v>
      </c>
      <c r="AQ26" s="5">
        <v>2.40587145853363E-5</v>
      </c>
      <c r="AR26" s="5">
        <v>2.9011979352905498E-5</v>
      </c>
      <c r="AS26" s="5">
        <v>1.5567403555217599E-5</v>
      </c>
      <c r="AT26" s="5">
        <v>8.7035938058716502E-5</v>
      </c>
    </row>
    <row r="27" spans="1:46" ht="15.75" customHeight="1" x14ac:dyDescent="0.25">
      <c r="A27" s="1">
        <v>2</v>
      </c>
      <c r="B27" s="1" t="s">
        <v>111</v>
      </c>
      <c r="C27" s="1">
        <v>2011</v>
      </c>
      <c r="D27" s="1">
        <v>1</v>
      </c>
      <c r="E27" s="1">
        <v>3</v>
      </c>
      <c r="F27" s="1">
        <v>0</v>
      </c>
      <c r="G27" s="1">
        <v>0</v>
      </c>
      <c r="H27" s="1">
        <v>0</v>
      </c>
      <c r="I27" s="1">
        <v>0</v>
      </c>
      <c r="J27" s="5">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5">
        <v>7.5519210611622197E-5</v>
      </c>
      <c r="AN27" s="5">
        <v>5.6089510794068898E-5</v>
      </c>
      <c r="AO27" s="5">
        <v>4.0325792074167198E-5</v>
      </c>
      <c r="AP27" s="5">
        <v>2.9419498308653801E-5</v>
      </c>
      <c r="AQ27" s="5">
        <v>2.9694446890977702E-5</v>
      </c>
      <c r="AR27" s="5">
        <v>2.0529494146848798E-5</v>
      </c>
      <c r="AS27" s="5">
        <v>2.2179185640792E-5</v>
      </c>
      <c r="AT27" s="5">
        <v>7.6985603050682804E-5</v>
      </c>
    </row>
    <row r="28" spans="1:46" ht="15.75" customHeight="1" x14ac:dyDescent="0.25">
      <c r="A28" s="1">
        <v>2</v>
      </c>
      <c r="B28" s="1" t="s">
        <v>111</v>
      </c>
      <c r="C28" s="1">
        <v>2012</v>
      </c>
      <c r="D28" s="1">
        <v>1</v>
      </c>
      <c r="E28" s="1">
        <v>9</v>
      </c>
      <c r="F28" s="1">
        <v>0</v>
      </c>
      <c r="G28" s="1">
        <v>0</v>
      </c>
      <c r="H28" s="1">
        <v>0</v>
      </c>
      <c r="I28" s="1">
        <v>0</v>
      </c>
      <c r="J28" s="5">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5">
        <v>9.2655935106388305E-5</v>
      </c>
      <c r="AL28" s="5">
        <v>6.40817691778876E-5</v>
      </c>
      <c r="AM28" s="5">
        <v>3.8238957345493599E-5</v>
      </c>
      <c r="AN28" s="5">
        <v>3.2566144992041302E-5</v>
      </c>
      <c r="AO28" s="5">
        <v>2.39518743812432E-5</v>
      </c>
      <c r="AP28" s="5">
        <v>1.9539686995224801E-5</v>
      </c>
      <c r="AQ28" s="5">
        <v>1.3026457996816499E-5</v>
      </c>
      <c r="AR28" s="5">
        <v>1.26062496743386E-5</v>
      </c>
      <c r="AS28" s="5">
        <v>5.77786443407184E-6</v>
      </c>
      <c r="AT28" s="5">
        <v>2.36367181393848E-5</v>
      </c>
    </row>
    <row r="29" spans="1:46" ht="15.75" customHeight="1" x14ac:dyDescent="0.25">
      <c r="A29" s="1">
        <v>2</v>
      </c>
      <c r="B29" s="1" t="s">
        <v>111</v>
      </c>
      <c r="C29" s="1">
        <v>2013</v>
      </c>
      <c r="D29" s="1">
        <v>1</v>
      </c>
      <c r="E29" s="1">
        <v>8</v>
      </c>
      <c r="F29" s="1">
        <v>0</v>
      </c>
      <c r="G29" s="1">
        <v>0</v>
      </c>
      <c r="H29" s="1">
        <v>0</v>
      </c>
      <c r="I29" s="1">
        <v>0</v>
      </c>
      <c r="J29" s="5">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5">
        <v>6.9626878938116002E-5</v>
      </c>
      <c r="AN29" s="5">
        <v>4.8393149900250899E-5</v>
      </c>
      <c r="AO29" s="5">
        <v>3.5554150947123099E-5</v>
      </c>
      <c r="AP29" s="5">
        <v>2.61718055582989E-5</v>
      </c>
      <c r="AQ29" s="5">
        <v>2.86408438185158E-5</v>
      </c>
      <c r="AR29" s="5">
        <v>1.33328066051712E-5</v>
      </c>
      <c r="AS29" s="5">
        <v>1.2345191301084401E-5</v>
      </c>
      <c r="AT29" s="5">
        <v>4.8393149900250899E-5</v>
      </c>
    </row>
    <row r="30" spans="1:46" ht="15.75" customHeight="1" x14ac:dyDescent="0.25">
      <c r="A30" s="1">
        <v>2</v>
      </c>
      <c r="B30" s="1" t="s">
        <v>111</v>
      </c>
      <c r="C30" s="1">
        <v>2014</v>
      </c>
      <c r="D30" s="1">
        <v>1</v>
      </c>
      <c r="E30" s="1">
        <v>16</v>
      </c>
      <c r="F30" s="1">
        <v>0</v>
      </c>
      <c r="G30" s="1">
        <v>0</v>
      </c>
      <c r="H30" s="1">
        <v>0</v>
      </c>
      <c r="I30" s="1">
        <v>0</v>
      </c>
      <c r="J30" s="5">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5">
        <v>7.1191999641336494E-5</v>
      </c>
      <c r="AM30" s="5">
        <v>4.6184683311626503E-5</v>
      </c>
      <c r="AN30" s="5">
        <v>4.01018225827782E-5</v>
      </c>
      <c r="AO30" s="5">
        <v>2.6696999865501199E-5</v>
      </c>
      <c r="AP30" s="5">
        <v>1.7572708772228598E-5</v>
      </c>
      <c r="AQ30" s="5">
        <v>1.8023291048439601E-5</v>
      </c>
      <c r="AR30" s="5">
        <v>8.8989999551670703E-6</v>
      </c>
      <c r="AS30" s="5">
        <v>8.6737088170615706E-6</v>
      </c>
      <c r="AT30" s="5">
        <v>3.06395947823474E-5</v>
      </c>
    </row>
    <row r="31" spans="1:46" ht="15.75" customHeight="1" x14ac:dyDescent="0.25">
      <c r="A31" s="1">
        <v>2</v>
      </c>
      <c r="B31" s="1" t="s">
        <v>111</v>
      </c>
      <c r="C31" s="1">
        <v>2015</v>
      </c>
      <c r="D31" s="1">
        <v>1</v>
      </c>
      <c r="E31" s="1">
        <v>15</v>
      </c>
      <c r="F31" s="1">
        <v>0</v>
      </c>
      <c r="G31" s="1">
        <v>0</v>
      </c>
      <c r="H31" s="1">
        <v>0</v>
      </c>
      <c r="I31" s="1">
        <v>0</v>
      </c>
      <c r="J31" s="5">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5">
        <v>7.3269519413010601E-5</v>
      </c>
      <c r="AK31" s="5">
        <v>3.4240330967517997E-5</v>
      </c>
      <c r="AL31" s="5">
        <v>1.8437101290202002E-5</v>
      </c>
      <c r="AM31" s="5">
        <v>1.07749293254427E-5</v>
      </c>
      <c r="AN31" s="5">
        <v>6.8241219061137303E-6</v>
      </c>
      <c r="AO31" s="5">
        <v>5.7466289735694604E-6</v>
      </c>
      <c r="AP31" s="5">
        <v>7.1832862169618198E-6</v>
      </c>
      <c r="AQ31" s="5">
        <v>2.5141501759366399E-6</v>
      </c>
      <c r="AR31" s="5">
        <v>2.0352644281391802E-6</v>
      </c>
      <c r="AS31" s="5">
        <v>2.0352644281391802E-6</v>
      </c>
      <c r="AT31" s="5">
        <v>5.0283003518732697E-6</v>
      </c>
    </row>
    <row r="32" spans="1:46" ht="15.75" customHeight="1" x14ac:dyDescent="0.25">
      <c r="A32" s="1">
        <v>2</v>
      </c>
      <c r="B32" s="1" t="s">
        <v>111</v>
      </c>
      <c r="C32" s="1">
        <v>2016</v>
      </c>
      <c r="D32" s="1">
        <v>1</v>
      </c>
      <c r="E32" s="1">
        <v>15</v>
      </c>
      <c r="F32" s="1">
        <v>0</v>
      </c>
      <c r="G32" s="1">
        <v>0</v>
      </c>
      <c r="H32" s="1">
        <v>0</v>
      </c>
      <c r="I32" s="1">
        <v>0</v>
      </c>
      <c r="J32" s="5">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5">
        <v>9.1228999430261194E-5</v>
      </c>
      <c r="AM32" s="5">
        <v>5.18090614048397E-5</v>
      </c>
      <c r="AN32" s="5">
        <v>4.0063528850326398E-5</v>
      </c>
      <c r="AO32" s="5">
        <v>2.6226326114872299E-5</v>
      </c>
      <c r="AP32" s="5">
        <v>2.5260939877515001E-5</v>
      </c>
      <c r="AQ32" s="5">
        <v>1.31131630574361E-5</v>
      </c>
      <c r="AR32" s="5">
        <v>1.31936119105492E-5</v>
      </c>
      <c r="AS32" s="5">
        <v>1.23891233794182E-5</v>
      </c>
      <c r="AT32" s="5">
        <v>3.5477944222879402E-5</v>
      </c>
    </row>
    <row r="33" spans="1:46" ht="15.75" customHeight="1" x14ac:dyDescent="0.25">
      <c r="A33" s="1">
        <v>2</v>
      </c>
      <c r="B33" s="1" t="s">
        <v>111</v>
      </c>
      <c r="C33" s="1">
        <v>2017</v>
      </c>
      <c r="D33" s="1">
        <v>1</v>
      </c>
      <c r="E33" s="1">
        <v>8</v>
      </c>
      <c r="F33" s="1">
        <v>0</v>
      </c>
      <c r="G33" s="1">
        <v>0</v>
      </c>
      <c r="H33" s="1">
        <v>0</v>
      </c>
      <c r="I33" s="1">
        <v>0</v>
      </c>
      <c r="J33" s="5">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5">
        <v>8.5744801477817203E-5</v>
      </c>
      <c r="AL33" s="5">
        <v>5.8949551015999302E-5</v>
      </c>
      <c r="AM33" s="5">
        <v>3.1736712235295998E-5</v>
      </c>
      <c r="AN33" s="5">
        <v>2.4220122495357501E-5</v>
      </c>
      <c r="AO33" s="5">
        <v>1.55899639050577E-5</v>
      </c>
      <c r="AP33" s="5">
        <v>8.0733741651191494E-6</v>
      </c>
      <c r="AQ33" s="5">
        <v>7.7949819525288294E-6</v>
      </c>
      <c r="AR33" s="5">
        <v>7.1685994742006196E-6</v>
      </c>
      <c r="AS33" s="5">
        <v>7.4469916867909396E-6</v>
      </c>
      <c r="AT33" s="5">
        <v>1.5729160011352799E-5</v>
      </c>
    </row>
    <row r="34" spans="1:46" ht="15.75" customHeight="1" x14ac:dyDescent="0.25">
      <c r="A34" s="1">
        <v>2</v>
      </c>
      <c r="B34" s="1" t="s">
        <v>111</v>
      </c>
      <c r="C34" s="1">
        <v>2018</v>
      </c>
      <c r="D34" s="1">
        <v>1</v>
      </c>
      <c r="E34" s="1">
        <v>7</v>
      </c>
      <c r="F34" s="1">
        <v>0</v>
      </c>
      <c r="G34" s="1">
        <v>0</v>
      </c>
      <c r="H34" s="1">
        <v>0</v>
      </c>
      <c r="I34" s="1">
        <v>0</v>
      </c>
      <c r="J34" s="5">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5">
        <v>7.9111965496419503E-5</v>
      </c>
      <c r="AM34" s="5">
        <v>4.69290026618216E-5</v>
      </c>
      <c r="AN34" s="5">
        <v>3.8425811812546601E-5</v>
      </c>
      <c r="AO34" s="5">
        <v>2.5617207875031101E-5</v>
      </c>
      <c r="AP34" s="5">
        <v>1.21627919742795E-5</v>
      </c>
      <c r="AQ34" s="5">
        <v>1.1947521319867399E-5</v>
      </c>
      <c r="AR34" s="5">
        <v>1.2485697955897499E-5</v>
      </c>
      <c r="AS34" s="5">
        <v>1.2055156647073401E-5</v>
      </c>
      <c r="AT34" s="5">
        <v>2.4325583948558899E-5</v>
      </c>
    </row>
    <row r="35" spans="1:46" ht="15.75" customHeight="1" x14ac:dyDescent="0.25">
      <c r="A35" s="1">
        <v>2</v>
      </c>
      <c r="B35" s="1" t="s">
        <v>111</v>
      </c>
      <c r="C35" s="1">
        <v>2019</v>
      </c>
      <c r="D35" s="1">
        <v>1</v>
      </c>
      <c r="E35" s="1">
        <v>6</v>
      </c>
      <c r="F35" s="1">
        <v>0</v>
      </c>
      <c r="G35" s="1">
        <v>0</v>
      </c>
      <c r="H35" s="1">
        <v>0</v>
      </c>
      <c r="I35" s="1">
        <v>0</v>
      </c>
      <c r="J35" s="5">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5">
        <v>8.8583082691277696E-5</v>
      </c>
      <c r="AM35" s="5">
        <v>4.6351613036133701E-5</v>
      </c>
      <c r="AN35" s="5">
        <v>3.5922500103003598E-5</v>
      </c>
      <c r="AO35" s="5">
        <v>2.2918297556754999E-5</v>
      </c>
      <c r="AP35" s="5">
        <v>1.1845412220345301E-5</v>
      </c>
      <c r="AQ35" s="5">
        <v>1.2231675662313E-5</v>
      </c>
      <c r="AR35" s="5">
        <v>1.15879032590334E-5</v>
      </c>
      <c r="AS35" s="5">
        <v>1.2360430142969E-5</v>
      </c>
      <c r="AT35" s="5">
        <v>2.5493387169873501E-5</v>
      </c>
    </row>
    <row r="36" spans="1:46" ht="15.75" customHeight="1" x14ac:dyDescent="0.25">
      <c r="A36" s="1">
        <v>2</v>
      </c>
      <c r="B36" s="1" t="s">
        <v>111</v>
      </c>
      <c r="C36" s="1">
        <v>2020</v>
      </c>
      <c r="D36" s="1">
        <v>1</v>
      </c>
      <c r="E36" s="1">
        <v>10</v>
      </c>
      <c r="F36" s="1">
        <v>0</v>
      </c>
      <c r="G36" s="1">
        <v>0</v>
      </c>
      <c r="H36" s="1">
        <v>0</v>
      </c>
      <c r="I36" s="1">
        <v>0</v>
      </c>
      <c r="J36" s="5">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5">
        <v>7.2687021434681995E-5</v>
      </c>
      <c r="AM36" s="5">
        <v>5.2478776251332901E-5</v>
      </c>
      <c r="AN36" s="5">
        <v>2.81975514186267E-5</v>
      </c>
      <c r="AO36" s="5">
        <v>1.5978612470555099E-5</v>
      </c>
      <c r="AP36" s="5">
        <v>9.2425307427720705E-6</v>
      </c>
      <c r="AQ36" s="5">
        <v>1.0339102186829801E-5</v>
      </c>
      <c r="AR36" s="5">
        <v>1.15923266943243E-5</v>
      </c>
      <c r="AS36" s="1">
        <v>0</v>
      </c>
      <c r="AT36" s="5">
        <v>1.9111673739291401E-5</v>
      </c>
    </row>
    <row r="37" spans="1:46" ht="15.75" customHeight="1" x14ac:dyDescent="0.25">
      <c r="A37" s="1">
        <v>2</v>
      </c>
      <c r="B37" s="1" t="s">
        <v>111</v>
      </c>
      <c r="C37" s="1">
        <v>2021</v>
      </c>
      <c r="D37" s="1">
        <v>1</v>
      </c>
      <c r="E37" s="1">
        <v>12</v>
      </c>
      <c r="F37" s="1">
        <v>0</v>
      </c>
      <c r="G37" s="1">
        <v>0</v>
      </c>
      <c r="H37" s="1">
        <v>0</v>
      </c>
      <c r="I37" s="1">
        <v>0</v>
      </c>
      <c r="J37" s="5">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5">
        <v>5.60534513754246E-5</v>
      </c>
      <c r="AN37" s="5">
        <v>3.1838360381241202E-5</v>
      </c>
      <c r="AO37" s="5">
        <v>2.3617187512845601E-5</v>
      </c>
      <c r="AP37" s="5">
        <v>1.2406497237760701E-5</v>
      </c>
      <c r="AQ37" s="5">
        <v>1.37517800707708E-5</v>
      </c>
      <c r="AR37" s="5">
        <v>1.49475870334466E-5</v>
      </c>
      <c r="AS37" s="1">
        <v>0</v>
      </c>
      <c r="AT37" s="5">
        <v>3.3183643214251403E-5</v>
      </c>
    </row>
    <row r="38" spans="1:46" ht="15.75" customHeight="1" x14ac:dyDescent="0.25">
      <c r="A38" s="1">
        <v>2</v>
      </c>
      <c r="B38" s="1" t="s">
        <v>111</v>
      </c>
      <c r="C38" s="1">
        <v>2022</v>
      </c>
      <c r="D38" s="1">
        <v>1</v>
      </c>
      <c r="E38" s="1">
        <v>17</v>
      </c>
      <c r="F38" s="1">
        <v>0</v>
      </c>
      <c r="G38" s="1">
        <v>0</v>
      </c>
      <c r="H38" s="1">
        <v>0</v>
      </c>
      <c r="I38" s="1">
        <v>0</v>
      </c>
      <c r="J38" s="5">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5">
        <v>9.1858895987297201E-5</v>
      </c>
      <c r="AN38" s="5">
        <v>4.6701371489340197E-5</v>
      </c>
      <c r="AO38" s="5">
        <v>2.93330928362798E-5</v>
      </c>
      <c r="AP38" s="5">
        <v>1.35086611746025E-5</v>
      </c>
      <c r="AQ38" s="5">
        <v>1.4537892502191299E-5</v>
      </c>
      <c r="AR38" s="5">
        <v>1.38946229224483E-5</v>
      </c>
      <c r="AS38" s="1">
        <v>0</v>
      </c>
      <c r="AT38" s="5">
        <v>1.4537892502191299E-5</v>
      </c>
    </row>
    <row r="39" spans="1:46" ht="15.75" customHeight="1" x14ac:dyDescent="0.25">
      <c r="A39" s="1">
        <v>2</v>
      </c>
      <c r="B39" s="1" t="s">
        <v>111</v>
      </c>
      <c r="C39" s="1">
        <v>2023</v>
      </c>
      <c r="D39" s="1">
        <v>1</v>
      </c>
      <c r="E39" s="1">
        <v>2</v>
      </c>
      <c r="F39" s="1">
        <v>0</v>
      </c>
      <c r="G39" s="1">
        <v>0</v>
      </c>
      <c r="H39" s="1">
        <v>0</v>
      </c>
      <c r="I39" s="1">
        <v>0</v>
      </c>
      <c r="J39" s="5">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5">
        <v>5.2354960796714799E-5</v>
      </c>
      <c r="AN39" s="5">
        <v>2.62686911314527E-5</v>
      </c>
      <c r="AO39" s="5">
        <v>1.6782774889539199E-5</v>
      </c>
      <c r="AP39" s="5">
        <v>9.8507591742947693E-6</v>
      </c>
      <c r="AQ39" s="5">
        <v>1.02156021066761E-5</v>
      </c>
      <c r="AR39" s="5">
        <v>8.5738089109602595E-6</v>
      </c>
      <c r="AS39" s="1">
        <v>0</v>
      </c>
      <c r="AT39" s="5">
        <v>6.2023298504818901E-6</v>
      </c>
    </row>
    <row r="40" spans="1:46" ht="15.75" customHeight="1" x14ac:dyDescent="0.25">
      <c r="A40" s="1">
        <v>2</v>
      </c>
      <c r="B40" s="1" t="s">
        <v>111</v>
      </c>
      <c r="C40" s="1">
        <v>2024</v>
      </c>
      <c r="D40" s="1">
        <v>1</v>
      </c>
      <c r="E40" s="1">
        <v>9</v>
      </c>
      <c r="F40" s="1">
        <v>0</v>
      </c>
      <c r="G40" s="1">
        <v>0</v>
      </c>
      <c r="H40" s="1">
        <v>0</v>
      </c>
      <c r="I40" s="1">
        <v>0</v>
      </c>
      <c r="J40" s="5">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5">
        <v>8.9712275679150295E-5</v>
      </c>
      <c r="AN40" s="5">
        <v>4.1190209219077302E-5</v>
      </c>
      <c r="AO40" s="5">
        <v>1.94417787514045E-5</v>
      </c>
      <c r="AP40" s="5">
        <v>9.8856502125785501E-6</v>
      </c>
      <c r="AQ40" s="5">
        <v>9.4737481203877798E-6</v>
      </c>
      <c r="AR40" s="5">
        <v>9.7208893757022399E-6</v>
      </c>
      <c r="AS40" s="1">
        <v>0</v>
      </c>
      <c r="AT40" s="5">
        <v>1.04623131416456E-5</v>
      </c>
    </row>
    <row r="41" spans="1:46" ht="15.75" customHeight="1" x14ac:dyDescent="0.25">
      <c r="A41" s="1">
        <v>2</v>
      </c>
      <c r="B41" s="1" t="s">
        <v>87</v>
      </c>
      <c r="C41" s="1">
        <v>1980</v>
      </c>
      <c r="D41" s="1">
        <v>1</v>
      </c>
      <c r="E41" s="1">
        <v>6</v>
      </c>
      <c r="F41" s="1">
        <v>0</v>
      </c>
      <c r="G41" s="1">
        <v>0</v>
      </c>
      <c r="H41" s="1">
        <v>0</v>
      </c>
      <c r="I41" s="1">
        <v>0</v>
      </c>
      <c r="J41" s="5">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87</v>
      </c>
      <c r="C42" s="1">
        <v>1981</v>
      </c>
      <c r="D42" s="1">
        <v>1</v>
      </c>
      <c r="E42" s="1">
        <v>10</v>
      </c>
      <c r="F42" s="1">
        <v>0</v>
      </c>
      <c r="G42" s="1">
        <v>0</v>
      </c>
      <c r="H42" s="1">
        <v>0</v>
      </c>
      <c r="I42" s="1">
        <v>0</v>
      </c>
      <c r="J42" s="5">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87</v>
      </c>
      <c r="C43" s="1">
        <v>1984</v>
      </c>
      <c r="D43" s="1">
        <v>1</v>
      </c>
      <c r="E43" s="1">
        <v>9</v>
      </c>
      <c r="F43" s="1">
        <v>0</v>
      </c>
      <c r="G43" s="1">
        <v>0</v>
      </c>
      <c r="H43" s="1">
        <v>0</v>
      </c>
      <c r="I43" s="1">
        <v>0</v>
      </c>
      <c r="J43" s="5">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87</v>
      </c>
      <c r="C44" s="1">
        <v>1988</v>
      </c>
      <c r="D44" s="1">
        <v>1</v>
      </c>
      <c r="E44" s="1">
        <v>6</v>
      </c>
      <c r="F44" s="1">
        <v>0</v>
      </c>
      <c r="G44" s="1">
        <v>0</v>
      </c>
      <c r="H44" s="1">
        <v>0</v>
      </c>
      <c r="I44" s="1">
        <v>0</v>
      </c>
      <c r="J44" s="5">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87</v>
      </c>
      <c r="C45" s="1">
        <v>1990</v>
      </c>
      <c r="D45" s="1">
        <v>1</v>
      </c>
      <c r="E45" s="1">
        <v>6</v>
      </c>
      <c r="F45" s="1">
        <v>0</v>
      </c>
      <c r="G45" s="1">
        <v>0</v>
      </c>
      <c r="H45" s="1">
        <v>0</v>
      </c>
      <c r="I45" s="1">
        <v>0</v>
      </c>
      <c r="J45" s="5">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87</v>
      </c>
      <c r="C46" s="1">
        <v>1992</v>
      </c>
      <c r="D46" s="1">
        <v>1</v>
      </c>
      <c r="E46" s="1">
        <v>6</v>
      </c>
      <c r="F46" s="1">
        <v>0</v>
      </c>
      <c r="G46" s="1">
        <v>0</v>
      </c>
      <c r="H46" s="1">
        <v>0</v>
      </c>
      <c r="I46" s="1">
        <v>0</v>
      </c>
      <c r="J46" s="5">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87</v>
      </c>
      <c r="C47" s="1">
        <v>1993</v>
      </c>
      <c r="D47" s="1">
        <v>1</v>
      </c>
      <c r="E47" s="1">
        <v>6</v>
      </c>
      <c r="F47" s="1">
        <v>0</v>
      </c>
      <c r="G47" s="1">
        <v>0</v>
      </c>
      <c r="H47" s="1">
        <v>0</v>
      </c>
      <c r="I47" s="1">
        <v>0</v>
      </c>
      <c r="J47" s="5">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87</v>
      </c>
      <c r="C48" s="1">
        <v>1994</v>
      </c>
      <c r="D48" s="1">
        <v>1</v>
      </c>
      <c r="E48" s="1">
        <v>12</v>
      </c>
      <c r="F48" s="1">
        <v>0</v>
      </c>
      <c r="G48" s="1">
        <v>0</v>
      </c>
      <c r="H48" s="1">
        <v>0</v>
      </c>
      <c r="I48" s="1">
        <v>0</v>
      </c>
      <c r="J48" s="5">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87</v>
      </c>
      <c r="C49" s="1">
        <v>1995</v>
      </c>
      <c r="D49" s="1">
        <v>1</v>
      </c>
      <c r="E49" s="1">
        <v>15</v>
      </c>
      <c r="F49" s="1">
        <v>0</v>
      </c>
      <c r="G49" s="1">
        <v>0</v>
      </c>
      <c r="H49" s="1">
        <v>0</v>
      </c>
      <c r="I49" s="1">
        <v>0</v>
      </c>
      <c r="J49" s="5">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87</v>
      </c>
      <c r="C50" s="1">
        <v>1996</v>
      </c>
      <c r="D50" s="1">
        <v>1</v>
      </c>
      <c r="E50" s="1">
        <v>6</v>
      </c>
      <c r="F50" s="1">
        <v>0</v>
      </c>
      <c r="G50" s="1">
        <v>0</v>
      </c>
      <c r="H50" s="1">
        <v>0</v>
      </c>
      <c r="I50" s="1">
        <v>0</v>
      </c>
      <c r="J50" s="5">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87</v>
      </c>
      <c r="C51" s="1">
        <v>1997</v>
      </c>
      <c r="D51" s="1">
        <v>1</v>
      </c>
      <c r="E51" s="1">
        <v>2</v>
      </c>
      <c r="F51" s="1">
        <v>0</v>
      </c>
      <c r="G51" s="1">
        <v>0</v>
      </c>
      <c r="H51" s="1">
        <v>0</v>
      </c>
      <c r="I51" s="1">
        <v>0</v>
      </c>
      <c r="J51" s="5">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87</v>
      </c>
      <c r="C52" s="1">
        <v>1998</v>
      </c>
      <c r="D52" s="1">
        <v>1</v>
      </c>
      <c r="E52" s="1">
        <v>2</v>
      </c>
      <c r="F52" s="1">
        <v>0</v>
      </c>
      <c r="G52" s="1">
        <v>0</v>
      </c>
      <c r="H52" s="1">
        <v>0</v>
      </c>
      <c r="I52" s="1">
        <v>0</v>
      </c>
      <c r="J52" s="5">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87</v>
      </c>
      <c r="C53" s="1">
        <v>1999</v>
      </c>
      <c r="D53" s="1">
        <v>1</v>
      </c>
      <c r="E53" s="1">
        <v>7</v>
      </c>
      <c r="F53" s="1">
        <v>0</v>
      </c>
      <c r="G53" s="1">
        <v>0</v>
      </c>
      <c r="H53" s="1">
        <v>0</v>
      </c>
      <c r="I53" s="1">
        <v>0</v>
      </c>
      <c r="J53" s="5">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87</v>
      </c>
      <c r="C54" s="1">
        <v>2000</v>
      </c>
      <c r="D54" s="1">
        <v>1</v>
      </c>
      <c r="E54" s="1">
        <v>10</v>
      </c>
      <c r="F54" s="1">
        <v>0</v>
      </c>
      <c r="G54" s="1">
        <v>0</v>
      </c>
      <c r="H54" s="1">
        <v>0</v>
      </c>
      <c r="I54" s="1">
        <v>0</v>
      </c>
      <c r="J54" s="5">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87</v>
      </c>
      <c r="C55" s="1">
        <v>2001</v>
      </c>
      <c r="D55" s="1">
        <v>1</v>
      </c>
      <c r="E55" s="1">
        <v>10</v>
      </c>
      <c r="F55" s="1">
        <v>0</v>
      </c>
      <c r="G55" s="1">
        <v>0</v>
      </c>
      <c r="H55" s="1">
        <v>0</v>
      </c>
      <c r="I55" s="1">
        <v>0</v>
      </c>
      <c r="J55" s="5">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87</v>
      </c>
      <c r="C56" s="1">
        <v>2002</v>
      </c>
      <c r="D56" s="1">
        <v>1</v>
      </c>
      <c r="E56" s="1">
        <v>3</v>
      </c>
      <c r="F56" s="1">
        <v>0</v>
      </c>
      <c r="G56" s="1">
        <v>0</v>
      </c>
      <c r="H56" s="1">
        <v>0</v>
      </c>
      <c r="I56" s="1">
        <v>0</v>
      </c>
      <c r="J56" s="5">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87</v>
      </c>
      <c r="C57" s="1">
        <v>2003</v>
      </c>
      <c r="D57" s="1">
        <v>1</v>
      </c>
      <c r="E57" s="1">
        <v>6</v>
      </c>
      <c r="F57" s="1">
        <v>0</v>
      </c>
      <c r="G57" s="1">
        <v>0</v>
      </c>
      <c r="H57" s="1">
        <v>0</v>
      </c>
      <c r="I57" s="1">
        <v>0</v>
      </c>
      <c r="J57" s="5">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87</v>
      </c>
      <c r="C58" s="1">
        <v>2004</v>
      </c>
      <c r="D58" s="1">
        <v>1</v>
      </c>
      <c r="E58" s="1">
        <v>2</v>
      </c>
      <c r="F58" s="1">
        <v>0</v>
      </c>
      <c r="G58" s="1">
        <v>0</v>
      </c>
      <c r="H58" s="1">
        <v>0</v>
      </c>
      <c r="I58" s="1">
        <v>0</v>
      </c>
      <c r="J58" s="5">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87</v>
      </c>
      <c r="C59" s="1">
        <v>2005</v>
      </c>
      <c r="D59" s="1">
        <v>1</v>
      </c>
      <c r="E59" s="1">
        <v>6</v>
      </c>
      <c r="F59" s="1">
        <v>0</v>
      </c>
      <c r="G59" s="1">
        <v>0</v>
      </c>
      <c r="H59" s="1">
        <v>0</v>
      </c>
      <c r="I59" s="1">
        <v>0</v>
      </c>
      <c r="J59" s="5">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87</v>
      </c>
      <c r="C60" s="1">
        <v>2006</v>
      </c>
      <c r="D60" s="1">
        <v>1</v>
      </c>
      <c r="E60" s="1">
        <v>10</v>
      </c>
      <c r="F60" s="1">
        <v>0</v>
      </c>
      <c r="G60" s="1">
        <v>0</v>
      </c>
      <c r="H60" s="1">
        <v>0</v>
      </c>
      <c r="I60" s="1">
        <v>0</v>
      </c>
      <c r="J60" s="5">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87</v>
      </c>
      <c r="C61" s="1">
        <v>2007</v>
      </c>
      <c r="D61" s="1">
        <v>1</v>
      </c>
      <c r="E61" s="1">
        <v>8</v>
      </c>
      <c r="F61" s="1">
        <v>0</v>
      </c>
      <c r="G61" s="1">
        <v>0</v>
      </c>
      <c r="H61" s="1">
        <v>0</v>
      </c>
      <c r="I61" s="1">
        <v>0</v>
      </c>
      <c r="J61" s="5">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87</v>
      </c>
      <c r="C62" s="1">
        <v>2008</v>
      </c>
      <c r="D62" s="1">
        <v>1</v>
      </c>
      <c r="E62" s="1">
        <v>4</v>
      </c>
      <c r="F62" s="1">
        <v>0</v>
      </c>
      <c r="G62" s="1">
        <v>0</v>
      </c>
      <c r="H62" s="1">
        <v>0</v>
      </c>
      <c r="I62" s="1">
        <v>0</v>
      </c>
      <c r="J62" s="5">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87</v>
      </c>
      <c r="C63" s="1">
        <v>2009</v>
      </c>
      <c r="D63" s="1">
        <v>1</v>
      </c>
      <c r="E63" s="1">
        <v>5</v>
      </c>
      <c r="F63" s="1">
        <v>0</v>
      </c>
      <c r="G63" s="1">
        <v>0</v>
      </c>
      <c r="H63" s="1">
        <v>0</v>
      </c>
      <c r="I63" s="1">
        <v>0</v>
      </c>
      <c r="J63" s="5">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87</v>
      </c>
      <c r="C64" s="1">
        <v>2010</v>
      </c>
      <c r="D64" s="1">
        <v>1</v>
      </c>
      <c r="E64" s="1">
        <v>7</v>
      </c>
      <c r="F64" s="1">
        <v>0</v>
      </c>
      <c r="G64" s="1">
        <v>0</v>
      </c>
      <c r="H64" s="1">
        <v>0</v>
      </c>
      <c r="I64" s="1">
        <v>0</v>
      </c>
      <c r="J64" s="5">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87</v>
      </c>
      <c r="C65" s="1">
        <v>2011</v>
      </c>
      <c r="D65" s="1">
        <v>1</v>
      </c>
      <c r="E65" s="1">
        <v>6</v>
      </c>
      <c r="F65" s="1">
        <v>0</v>
      </c>
      <c r="G65" s="1">
        <v>0</v>
      </c>
      <c r="H65" s="1">
        <v>0</v>
      </c>
      <c r="I65" s="1">
        <v>0</v>
      </c>
      <c r="J65" s="5">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87</v>
      </c>
      <c r="C66" s="1">
        <v>2012</v>
      </c>
      <c r="D66" s="1">
        <v>1</v>
      </c>
      <c r="E66" s="1">
        <v>9</v>
      </c>
      <c r="F66" s="1">
        <v>0</v>
      </c>
      <c r="G66" s="1">
        <v>0</v>
      </c>
      <c r="H66" s="1">
        <v>0</v>
      </c>
      <c r="I66" s="1">
        <v>0</v>
      </c>
      <c r="J66" s="5">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87</v>
      </c>
      <c r="C67" s="1">
        <v>2013</v>
      </c>
      <c r="D67" s="1">
        <v>1</v>
      </c>
      <c r="E67" s="1">
        <v>8</v>
      </c>
      <c r="F67" s="1">
        <v>0</v>
      </c>
      <c r="G67" s="1">
        <v>0</v>
      </c>
      <c r="H67" s="1">
        <v>0</v>
      </c>
      <c r="I67" s="1">
        <v>0</v>
      </c>
      <c r="J67" s="5">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87</v>
      </c>
      <c r="C68" s="1">
        <v>2014</v>
      </c>
      <c r="D68" s="1">
        <v>1</v>
      </c>
      <c r="E68" s="1">
        <v>5</v>
      </c>
      <c r="F68" s="1">
        <v>0</v>
      </c>
      <c r="G68" s="1">
        <v>0</v>
      </c>
      <c r="H68" s="1">
        <v>0</v>
      </c>
      <c r="I68" s="1">
        <v>0</v>
      </c>
      <c r="J68" s="5">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87</v>
      </c>
      <c r="C69" s="1">
        <v>2015</v>
      </c>
      <c r="D69" s="1">
        <v>1</v>
      </c>
      <c r="E69" s="1">
        <v>5</v>
      </c>
      <c r="F69" s="1">
        <v>0</v>
      </c>
      <c r="G69" s="1">
        <v>0</v>
      </c>
      <c r="H69" s="1">
        <v>0</v>
      </c>
      <c r="I69" s="1">
        <v>0</v>
      </c>
      <c r="J69" s="5">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5">
        <v>0</v>
      </c>
    </row>
    <row r="70" spans="1:46" ht="15.75" customHeight="1" x14ac:dyDescent="0.25">
      <c r="A70" s="1">
        <v>2</v>
      </c>
      <c r="B70" s="1" t="s">
        <v>87</v>
      </c>
      <c r="C70" s="1">
        <v>2016</v>
      </c>
      <c r="D70" s="1">
        <v>1</v>
      </c>
      <c r="E70" s="1">
        <v>6</v>
      </c>
      <c r="F70" s="1">
        <v>0</v>
      </c>
      <c r="G70" s="1">
        <v>0</v>
      </c>
      <c r="H70" s="1">
        <v>0</v>
      </c>
      <c r="I70" s="1">
        <v>0</v>
      </c>
      <c r="J70" s="5">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87</v>
      </c>
      <c r="C71" s="1">
        <v>2017</v>
      </c>
      <c r="D71" s="1">
        <v>1</v>
      </c>
      <c r="E71" s="1">
        <v>7</v>
      </c>
      <c r="F71" s="1">
        <v>0</v>
      </c>
      <c r="G71" s="1">
        <v>0</v>
      </c>
      <c r="H71" s="1">
        <v>0</v>
      </c>
      <c r="I71" s="1">
        <v>0</v>
      </c>
      <c r="J71" s="5">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87</v>
      </c>
      <c r="C72" s="1">
        <v>2018</v>
      </c>
      <c r="D72" s="1">
        <v>1</v>
      </c>
      <c r="E72" s="1">
        <v>13</v>
      </c>
      <c r="F72" s="1">
        <v>0</v>
      </c>
      <c r="G72" s="1">
        <v>0</v>
      </c>
      <c r="H72" s="1">
        <v>0</v>
      </c>
      <c r="I72" s="1">
        <v>0</v>
      </c>
      <c r="J72" s="5">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87</v>
      </c>
      <c r="C73" s="1">
        <v>2019</v>
      </c>
      <c r="D73" s="1">
        <v>1</v>
      </c>
      <c r="E73" s="1">
        <v>5</v>
      </c>
      <c r="F73" s="1">
        <v>0</v>
      </c>
      <c r="G73" s="1">
        <v>0</v>
      </c>
      <c r="H73" s="1">
        <v>0</v>
      </c>
      <c r="I73" s="1">
        <v>0</v>
      </c>
      <c r="J73" s="5">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87</v>
      </c>
      <c r="C74" s="1">
        <v>2020</v>
      </c>
      <c r="D74" s="1">
        <v>1</v>
      </c>
      <c r="E74" s="1">
        <v>2</v>
      </c>
      <c r="F74" s="1">
        <v>0</v>
      </c>
      <c r="G74" s="1">
        <v>0</v>
      </c>
      <c r="H74" s="1">
        <v>0</v>
      </c>
      <c r="I74" s="1">
        <v>0</v>
      </c>
      <c r="J74" s="5">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87</v>
      </c>
      <c r="C75" s="1">
        <v>2021</v>
      </c>
      <c r="D75" s="1">
        <v>1</v>
      </c>
      <c r="E75" s="1">
        <v>5</v>
      </c>
      <c r="F75" s="1">
        <v>0</v>
      </c>
      <c r="G75" s="1">
        <v>0</v>
      </c>
      <c r="H75" s="1">
        <v>0</v>
      </c>
      <c r="I75" s="1">
        <v>0</v>
      </c>
      <c r="J75" s="5">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87</v>
      </c>
      <c r="C76" s="1">
        <v>2022</v>
      </c>
      <c r="D76" s="1">
        <v>1</v>
      </c>
      <c r="E76" s="1">
        <v>6</v>
      </c>
      <c r="F76" s="1">
        <v>0</v>
      </c>
      <c r="G76" s="1">
        <v>0</v>
      </c>
      <c r="H76" s="1">
        <v>0</v>
      </c>
      <c r="I76" s="1">
        <v>0</v>
      </c>
      <c r="J76" s="5">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87</v>
      </c>
      <c r="C77" s="1">
        <v>2023</v>
      </c>
      <c r="D77" s="1">
        <v>1</v>
      </c>
      <c r="E77" s="1">
        <v>8</v>
      </c>
      <c r="F77" s="1">
        <v>0</v>
      </c>
      <c r="G77" s="1">
        <v>0</v>
      </c>
      <c r="H77" s="1">
        <v>0</v>
      </c>
      <c r="I77" s="1">
        <v>0</v>
      </c>
      <c r="J77" s="5">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87</v>
      </c>
      <c r="C78" s="1">
        <v>2024</v>
      </c>
      <c r="D78" s="1">
        <v>1</v>
      </c>
      <c r="E78" s="1">
        <v>14</v>
      </c>
      <c r="F78" s="1">
        <v>0</v>
      </c>
      <c r="G78" s="1">
        <v>0</v>
      </c>
      <c r="H78" s="1">
        <v>0</v>
      </c>
      <c r="I78" s="1">
        <v>0</v>
      </c>
      <c r="J78" s="5">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111</v>
      </c>
      <c r="C79" s="1">
        <v>1990</v>
      </c>
      <c r="D79" s="1">
        <v>1</v>
      </c>
      <c r="E79" s="1">
        <v>13</v>
      </c>
      <c r="F79" s="1">
        <v>0</v>
      </c>
      <c r="G79" s="1">
        <v>0</v>
      </c>
      <c r="H79" s="1">
        <v>0</v>
      </c>
      <c r="I79" s="1">
        <v>0</v>
      </c>
      <c r="J79" s="5">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111</v>
      </c>
      <c r="C80" s="1">
        <v>1991</v>
      </c>
      <c r="D80" s="1">
        <v>1</v>
      </c>
      <c r="E80" s="1">
        <v>5</v>
      </c>
      <c r="F80" s="1">
        <v>0</v>
      </c>
      <c r="G80" s="1">
        <v>0</v>
      </c>
      <c r="H80" s="1">
        <v>0</v>
      </c>
      <c r="I80" s="1">
        <v>0</v>
      </c>
      <c r="J80" s="5">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111</v>
      </c>
      <c r="C81" s="1">
        <v>1992</v>
      </c>
      <c r="D81" s="1">
        <v>1</v>
      </c>
      <c r="E81" s="1">
        <v>9</v>
      </c>
      <c r="F81" s="1">
        <v>0</v>
      </c>
      <c r="G81" s="1">
        <v>0</v>
      </c>
      <c r="H81" s="1">
        <v>0</v>
      </c>
      <c r="I81" s="1">
        <v>0</v>
      </c>
      <c r="J81" s="5">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111</v>
      </c>
      <c r="C82" s="1">
        <v>1993</v>
      </c>
      <c r="D82" s="1">
        <v>1</v>
      </c>
      <c r="E82" s="1">
        <v>6</v>
      </c>
      <c r="F82" s="1">
        <v>0</v>
      </c>
      <c r="G82" s="1">
        <v>0</v>
      </c>
      <c r="H82" s="1">
        <v>0</v>
      </c>
      <c r="I82" s="1">
        <v>0</v>
      </c>
      <c r="J82" s="5">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111</v>
      </c>
      <c r="C83" s="1">
        <v>1994</v>
      </c>
      <c r="D83" s="1">
        <v>1</v>
      </c>
      <c r="E83" s="1">
        <v>10</v>
      </c>
      <c r="F83" s="1">
        <v>0</v>
      </c>
      <c r="G83" s="1">
        <v>0</v>
      </c>
      <c r="H83" s="1">
        <v>0</v>
      </c>
      <c r="I83" s="1">
        <v>0</v>
      </c>
      <c r="J83" s="5">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111</v>
      </c>
      <c r="C84" s="1">
        <v>1995</v>
      </c>
      <c r="D84" s="1">
        <v>1</v>
      </c>
      <c r="E84" s="1">
        <v>14</v>
      </c>
      <c r="F84" s="1">
        <v>0</v>
      </c>
      <c r="G84" s="1">
        <v>0</v>
      </c>
      <c r="H84" s="1">
        <v>0</v>
      </c>
      <c r="I84" s="1">
        <v>0</v>
      </c>
      <c r="J84" s="5">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111</v>
      </c>
      <c r="C85" s="1">
        <v>1996</v>
      </c>
      <c r="D85" s="1">
        <v>1</v>
      </c>
      <c r="E85" s="1">
        <v>13</v>
      </c>
      <c r="F85" s="1">
        <v>0</v>
      </c>
      <c r="G85" s="1">
        <v>0</v>
      </c>
      <c r="H85" s="1">
        <v>0</v>
      </c>
      <c r="I85" s="1">
        <v>0</v>
      </c>
      <c r="J85" s="5">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111</v>
      </c>
      <c r="C86" s="1">
        <v>1997</v>
      </c>
      <c r="D86" s="1">
        <v>1</v>
      </c>
      <c r="E86" s="1">
        <v>3</v>
      </c>
      <c r="F86" s="1">
        <v>0</v>
      </c>
      <c r="G86" s="1">
        <v>0</v>
      </c>
      <c r="H86" s="1">
        <v>0</v>
      </c>
      <c r="I86" s="1">
        <v>0</v>
      </c>
      <c r="J86" s="5">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111</v>
      </c>
      <c r="C87" s="1">
        <v>1998</v>
      </c>
      <c r="D87" s="1">
        <v>1</v>
      </c>
      <c r="E87" s="1">
        <v>9</v>
      </c>
      <c r="F87" s="1">
        <v>0</v>
      </c>
      <c r="G87" s="1">
        <v>0</v>
      </c>
      <c r="H87" s="1">
        <v>0</v>
      </c>
      <c r="I87" s="1">
        <v>0</v>
      </c>
      <c r="J87" s="5">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111</v>
      </c>
      <c r="C88" s="1">
        <v>1999</v>
      </c>
      <c r="D88" s="1">
        <v>1</v>
      </c>
      <c r="E88" s="1">
        <v>5</v>
      </c>
      <c r="F88" s="1">
        <v>0</v>
      </c>
      <c r="G88" s="1">
        <v>0</v>
      </c>
      <c r="H88" s="1">
        <v>0</v>
      </c>
      <c r="I88" s="1">
        <v>0</v>
      </c>
      <c r="J88" s="5">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111</v>
      </c>
      <c r="C89" s="1">
        <v>2000</v>
      </c>
      <c r="D89" s="1">
        <v>1</v>
      </c>
      <c r="E89" s="1">
        <v>6</v>
      </c>
      <c r="F89" s="1">
        <v>0</v>
      </c>
      <c r="G89" s="1">
        <v>0</v>
      </c>
      <c r="H89" s="1">
        <v>0</v>
      </c>
      <c r="I89" s="1">
        <v>0</v>
      </c>
      <c r="J89" s="5">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111</v>
      </c>
      <c r="C90" s="1">
        <v>2001</v>
      </c>
      <c r="D90" s="1">
        <v>1</v>
      </c>
      <c r="E90" s="1">
        <v>18</v>
      </c>
      <c r="F90" s="1">
        <v>0</v>
      </c>
      <c r="G90" s="1">
        <v>0</v>
      </c>
      <c r="H90" s="1">
        <v>0</v>
      </c>
      <c r="I90" s="1">
        <v>0</v>
      </c>
      <c r="J90" s="5">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111</v>
      </c>
      <c r="C91" s="1">
        <v>2002</v>
      </c>
      <c r="D91" s="1">
        <v>1</v>
      </c>
      <c r="E91" s="1">
        <v>11</v>
      </c>
      <c r="F91" s="1">
        <v>0</v>
      </c>
      <c r="G91" s="1">
        <v>0</v>
      </c>
      <c r="H91" s="1">
        <v>0</v>
      </c>
      <c r="I91" s="1">
        <v>0</v>
      </c>
      <c r="J91" s="5">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111</v>
      </c>
      <c r="C92" s="1">
        <v>2003</v>
      </c>
      <c r="D92" s="1">
        <v>1</v>
      </c>
      <c r="E92" s="1">
        <v>4</v>
      </c>
      <c r="F92" s="1">
        <v>0</v>
      </c>
      <c r="G92" s="1">
        <v>0</v>
      </c>
      <c r="H92" s="1">
        <v>0</v>
      </c>
      <c r="I92" s="1">
        <v>0</v>
      </c>
      <c r="J92" s="5">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111</v>
      </c>
      <c r="C93" s="1">
        <v>2004</v>
      </c>
      <c r="D93" s="1">
        <v>1</v>
      </c>
      <c r="E93" s="1">
        <v>8</v>
      </c>
      <c r="F93" s="1">
        <v>0</v>
      </c>
      <c r="G93" s="1">
        <v>0</v>
      </c>
      <c r="H93" s="1">
        <v>0</v>
      </c>
      <c r="I93" s="1">
        <v>0</v>
      </c>
      <c r="J93" s="5">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111</v>
      </c>
      <c r="C94" s="1">
        <v>2005</v>
      </c>
      <c r="D94" s="1">
        <v>1</v>
      </c>
      <c r="E94" s="1">
        <v>12</v>
      </c>
      <c r="F94" s="1">
        <v>0</v>
      </c>
      <c r="G94" s="1">
        <v>0</v>
      </c>
      <c r="H94" s="1">
        <v>0</v>
      </c>
      <c r="I94" s="1">
        <v>0</v>
      </c>
      <c r="J94" s="5">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5">
        <v>7.7629983863144301E-5</v>
      </c>
      <c r="AT94" s="1">
        <v>2.9388493891047498E-4</v>
      </c>
    </row>
    <row r="95" spans="1:46" ht="15.75" customHeight="1" x14ac:dyDescent="0.25">
      <c r="A95" s="1">
        <v>4</v>
      </c>
      <c r="B95" s="1" t="s">
        <v>111</v>
      </c>
      <c r="C95" s="1">
        <v>2006</v>
      </c>
      <c r="D95" s="1">
        <v>1</v>
      </c>
      <c r="E95" s="1">
        <v>7</v>
      </c>
      <c r="F95" s="1">
        <v>0</v>
      </c>
      <c r="G95" s="1">
        <v>0</v>
      </c>
      <c r="H95" s="1">
        <v>0</v>
      </c>
      <c r="I95" s="1">
        <v>0</v>
      </c>
      <c r="J95" s="5">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5">
        <v>9.2284802906296095E-5</v>
      </c>
      <c r="AT95" s="1">
        <v>3.51632609447838E-4</v>
      </c>
    </row>
    <row r="96" spans="1:46" ht="15.75" customHeight="1" x14ac:dyDescent="0.25">
      <c r="A96" s="1">
        <v>4</v>
      </c>
      <c r="B96" s="1" t="s">
        <v>111</v>
      </c>
      <c r="C96" s="1">
        <v>2007</v>
      </c>
      <c r="D96" s="1">
        <v>1</v>
      </c>
      <c r="E96" s="1">
        <v>17</v>
      </c>
      <c r="F96" s="1">
        <v>0</v>
      </c>
      <c r="G96" s="1">
        <v>0</v>
      </c>
      <c r="H96" s="1">
        <v>0</v>
      </c>
      <c r="I96" s="1">
        <v>0</v>
      </c>
      <c r="J96" s="5">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5">
        <v>8.5372931025386501E-5</v>
      </c>
      <c r="AS96" s="5">
        <v>6.65991083119387E-5</v>
      </c>
      <c r="AT96" s="1">
        <v>2.3350798469864899E-4</v>
      </c>
    </row>
    <row r="97" spans="1:46" ht="15.75" customHeight="1" x14ac:dyDescent="0.25">
      <c r="A97" s="1">
        <v>4</v>
      </c>
      <c r="B97" s="1" t="s">
        <v>111</v>
      </c>
      <c r="C97" s="1">
        <v>2008</v>
      </c>
      <c r="D97" s="1">
        <v>1</v>
      </c>
      <c r="E97" s="1">
        <v>13</v>
      </c>
      <c r="F97" s="1">
        <v>0</v>
      </c>
      <c r="G97" s="1">
        <v>0</v>
      </c>
      <c r="H97" s="1">
        <v>0</v>
      </c>
      <c r="I97" s="1">
        <v>0</v>
      </c>
      <c r="J97" s="5">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5">
        <v>9.3382222385352898E-5</v>
      </c>
      <c r="AQ97" s="5">
        <v>6.6923926042836295E-5</v>
      </c>
      <c r="AR97" s="5">
        <v>5.1230524780853297E-5</v>
      </c>
      <c r="AS97" s="5">
        <v>4.4615950695224197E-5</v>
      </c>
      <c r="AT97" s="1">
        <v>1.6186251880127801E-4</v>
      </c>
    </row>
    <row r="98" spans="1:46" ht="15.75" customHeight="1" x14ac:dyDescent="0.25">
      <c r="A98" s="1">
        <v>4</v>
      </c>
      <c r="B98" s="1" t="s">
        <v>111</v>
      </c>
      <c r="C98" s="1">
        <v>2009</v>
      </c>
      <c r="D98" s="1">
        <v>1</v>
      </c>
      <c r="E98" s="1">
        <v>8</v>
      </c>
      <c r="F98" s="1">
        <v>0</v>
      </c>
      <c r="G98" s="1">
        <v>0</v>
      </c>
      <c r="H98" s="1">
        <v>0</v>
      </c>
      <c r="I98" s="1">
        <v>0</v>
      </c>
      <c r="J98" s="5">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5">
        <v>9.2804314579134905E-5</v>
      </c>
      <c r="AP98" s="5">
        <v>7.8570523999512998E-5</v>
      </c>
      <c r="AQ98" s="5">
        <v>5.1729661763654501E-5</v>
      </c>
      <c r="AR98" s="5">
        <v>4.8801567701560799E-5</v>
      </c>
      <c r="AS98" s="5">
        <v>3.8553238484233102E-5</v>
      </c>
      <c r="AT98" s="1">
        <v>1.4933279716677599E-4</v>
      </c>
    </row>
    <row r="99" spans="1:46" ht="15.75" customHeight="1" x14ac:dyDescent="0.25">
      <c r="A99" s="1">
        <v>4</v>
      </c>
      <c r="B99" s="1" t="s">
        <v>111</v>
      </c>
      <c r="C99" s="1">
        <v>2010</v>
      </c>
      <c r="D99" s="1">
        <v>1</v>
      </c>
      <c r="E99" s="1">
        <v>6</v>
      </c>
      <c r="F99" s="1">
        <v>0</v>
      </c>
      <c r="G99" s="1">
        <v>0</v>
      </c>
      <c r="H99" s="1">
        <v>0</v>
      </c>
      <c r="I99" s="1">
        <v>0</v>
      </c>
      <c r="J99" s="5">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5">
        <v>8.6417803259441095E-5</v>
      </c>
      <c r="AN99" s="5">
        <v>6.1013949025415802E-5</v>
      </c>
      <c r="AO99" s="5">
        <v>5.0062727405469398E-5</v>
      </c>
      <c r="AP99" s="5">
        <v>3.3077159178613699E-5</v>
      </c>
      <c r="AQ99" s="5">
        <v>2.7042812571704401E-5</v>
      </c>
      <c r="AR99" s="5">
        <v>2.52548580215091E-5</v>
      </c>
      <c r="AS99" s="5">
        <v>1.7432556864404501E-5</v>
      </c>
      <c r="AT99" s="5">
        <v>7.6435057020850494E-5</v>
      </c>
    </row>
    <row r="100" spans="1:46" ht="15.75" customHeight="1" x14ac:dyDescent="0.25">
      <c r="A100" s="1">
        <v>4</v>
      </c>
      <c r="B100" s="1" t="s">
        <v>111</v>
      </c>
      <c r="C100" s="1">
        <v>2011</v>
      </c>
      <c r="D100" s="1">
        <v>1</v>
      </c>
      <c r="E100" s="1">
        <v>7</v>
      </c>
      <c r="F100" s="1">
        <v>0</v>
      </c>
      <c r="G100" s="1">
        <v>0</v>
      </c>
      <c r="H100" s="1">
        <v>0</v>
      </c>
      <c r="I100" s="1">
        <v>0</v>
      </c>
      <c r="J100" s="5">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5">
        <v>8.9087492309748194E-5</v>
      </c>
      <c r="AN100" s="5">
        <v>6.9236475001597801E-5</v>
      </c>
      <c r="AO100" s="5">
        <v>4.5189307693350498E-5</v>
      </c>
      <c r="AP100" s="5">
        <v>3.2197381731512201E-5</v>
      </c>
      <c r="AQ100" s="5">
        <v>3.4134066346941601E-5</v>
      </c>
      <c r="AR100" s="5">
        <v>2.2917434615913501E-5</v>
      </c>
      <c r="AS100" s="5">
        <v>2.2110482692817899E-5</v>
      </c>
      <c r="AT100" s="5">
        <v>7.68218230786959E-5</v>
      </c>
    </row>
    <row r="101" spans="1:46" ht="15.75" customHeight="1" x14ac:dyDescent="0.25">
      <c r="A101" s="1">
        <v>4</v>
      </c>
      <c r="B101" s="1" t="s">
        <v>111</v>
      </c>
      <c r="C101" s="1">
        <v>2012</v>
      </c>
      <c r="D101" s="1">
        <v>1</v>
      </c>
      <c r="E101" s="1">
        <v>12</v>
      </c>
      <c r="F101" s="1">
        <v>0</v>
      </c>
      <c r="G101" s="1">
        <v>0</v>
      </c>
      <c r="H101" s="1">
        <v>0</v>
      </c>
      <c r="I101" s="1">
        <v>0</v>
      </c>
      <c r="J101" s="5">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5">
        <v>9.7250961268490404E-5</v>
      </c>
      <c r="AL101" s="5">
        <v>7.8852130758235494E-5</v>
      </c>
      <c r="AM101" s="5">
        <v>5.2568087172157E-5</v>
      </c>
      <c r="AN101" s="5">
        <v>4.1772854985017598E-5</v>
      </c>
      <c r="AO101" s="5">
        <v>3.7173147357453901E-5</v>
      </c>
      <c r="AP101" s="5">
        <v>2.7598245765382399E-5</v>
      </c>
      <c r="AQ101" s="5">
        <v>1.6521398825534999E-5</v>
      </c>
      <c r="AR101" s="5">
        <v>1.6145912488591101E-5</v>
      </c>
      <c r="AS101" s="5">
        <v>7.3219835704075802E-6</v>
      </c>
      <c r="AT101" s="5">
        <v>3.2385696561418099E-5</v>
      </c>
    </row>
    <row r="102" spans="1:46" ht="15.75" customHeight="1" x14ac:dyDescent="0.25">
      <c r="A102" s="1">
        <v>4</v>
      </c>
      <c r="B102" s="1" t="s">
        <v>111</v>
      </c>
      <c r="C102" s="1">
        <v>2013</v>
      </c>
      <c r="D102" s="1">
        <v>1</v>
      </c>
      <c r="E102" s="1">
        <v>18</v>
      </c>
      <c r="F102" s="1">
        <v>0</v>
      </c>
      <c r="G102" s="1">
        <v>0</v>
      </c>
      <c r="H102" s="1">
        <v>0</v>
      </c>
      <c r="I102" s="1">
        <v>0</v>
      </c>
      <c r="J102" s="5">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5">
        <v>7.7790853809421695E-5</v>
      </c>
      <c r="AM102" s="5">
        <v>4.6514118772643903E-5</v>
      </c>
      <c r="AN102" s="5">
        <v>3.2791562659641703E-5</v>
      </c>
      <c r="AO102" s="5">
        <v>2.2989736864640099E-5</v>
      </c>
      <c r="AP102" s="5">
        <v>1.3722556113002201E-5</v>
      </c>
      <c r="AQ102" s="5">
        <v>1.3366126084093101E-5</v>
      </c>
      <c r="AR102" s="5">
        <v>5.7919879697736601E-6</v>
      </c>
      <c r="AS102" s="5">
        <v>5.5246654480918004E-6</v>
      </c>
      <c r="AT102" s="5">
        <v>2.13858017345489E-5</v>
      </c>
    </row>
    <row r="103" spans="1:46" ht="15.75" customHeight="1" x14ac:dyDescent="0.25">
      <c r="A103" s="1">
        <v>4</v>
      </c>
      <c r="B103" s="1" t="s">
        <v>111</v>
      </c>
      <c r="C103" s="1">
        <v>2014</v>
      </c>
      <c r="D103" s="1">
        <v>1</v>
      </c>
      <c r="E103" s="1">
        <v>11</v>
      </c>
      <c r="F103" s="1">
        <v>0</v>
      </c>
      <c r="G103" s="1">
        <v>0</v>
      </c>
      <c r="H103" s="1">
        <v>0</v>
      </c>
      <c r="I103" s="1">
        <v>0</v>
      </c>
      <c r="J103" s="5">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5">
        <v>9.7195293135688703E-5</v>
      </c>
      <c r="AM103" s="5">
        <v>5.77097052993152E-5</v>
      </c>
      <c r="AN103" s="5">
        <v>4.6775234821550197E-5</v>
      </c>
      <c r="AO103" s="5">
        <v>3.5081426116162698E-5</v>
      </c>
      <c r="AP103" s="5">
        <v>2.49062938660202E-5</v>
      </c>
      <c r="AQ103" s="5">
        <v>2.5513764448118299E-5</v>
      </c>
      <c r="AR103" s="5">
        <v>1.2301279287485601E-5</v>
      </c>
      <c r="AS103" s="5">
        <v>1.17697425281498E-5</v>
      </c>
      <c r="AT103" s="5">
        <v>4.4649087784206999E-5</v>
      </c>
    </row>
    <row r="104" spans="1:46" ht="15.75" customHeight="1" x14ac:dyDescent="0.25">
      <c r="A104" s="1">
        <v>4</v>
      </c>
      <c r="B104" s="1" t="s">
        <v>111</v>
      </c>
      <c r="C104" s="1">
        <v>2015</v>
      </c>
      <c r="D104" s="1">
        <v>1</v>
      </c>
      <c r="E104" s="1">
        <v>4</v>
      </c>
      <c r="F104" s="1">
        <v>0</v>
      </c>
      <c r="G104" s="1">
        <v>0</v>
      </c>
      <c r="H104" s="1">
        <v>0</v>
      </c>
      <c r="I104" s="1">
        <v>0</v>
      </c>
      <c r="J104" s="5">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5">
        <v>7.8044351025218604E-5</v>
      </c>
      <c r="AM104" s="5">
        <v>5.4584590746804703E-5</v>
      </c>
      <c r="AN104" s="5">
        <v>3.5073502990500001E-5</v>
      </c>
      <c r="AO104" s="5">
        <v>2.2917785618516599E-5</v>
      </c>
      <c r="AP104" s="5">
        <v>2.2298386007205301E-5</v>
      </c>
      <c r="AQ104" s="5">
        <v>1.0607218343705301E-5</v>
      </c>
      <c r="AR104" s="5">
        <v>1.05297933922914E-5</v>
      </c>
      <c r="AS104" s="5">
        <v>1.10717680521888E-5</v>
      </c>
      <c r="AT104" s="5">
        <v>3.1124830468390801E-5</v>
      </c>
    </row>
    <row r="105" spans="1:46" ht="15.75" customHeight="1" x14ac:dyDescent="0.25">
      <c r="A105" s="1">
        <v>4</v>
      </c>
      <c r="B105" s="1" t="s">
        <v>111</v>
      </c>
      <c r="C105" s="1">
        <v>2016</v>
      </c>
      <c r="D105" s="1">
        <v>1</v>
      </c>
      <c r="E105" s="1">
        <v>4</v>
      </c>
      <c r="F105" s="1">
        <v>0</v>
      </c>
      <c r="G105" s="1">
        <v>0</v>
      </c>
      <c r="H105" s="1">
        <v>0</v>
      </c>
      <c r="I105" s="1">
        <v>0</v>
      </c>
      <c r="J105" s="5">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5">
        <v>8.2182829105126494E-5</v>
      </c>
      <c r="AM105" s="5">
        <v>4.9619821346491498E-5</v>
      </c>
      <c r="AN105" s="5">
        <v>3.6550314831120898E-5</v>
      </c>
      <c r="AO105" s="5">
        <v>2.4957588712967402E-5</v>
      </c>
      <c r="AP105" s="5">
        <v>2.4957588712967402E-5</v>
      </c>
      <c r="AQ105" s="5">
        <v>1.1888082197596899E-5</v>
      </c>
      <c r="AR105" s="5">
        <v>1.25526333763446E-5</v>
      </c>
      <c r="AS105" s="5">
        <v>1.2478794356483701E-5</v>
      </c>
      <c r="AT105" s="5">
        <v>3.8543968367363903E-5</v>
      </c>
    </row>
    <row r="106" spans="1:46" ht="15.75" customHeight="1" x14ac:dyDescent="0.25">
      <c r="A106" s="1">
        <v>4</v>
      </c>
      <c r="B106" s="1" t="s">
        <v>111</v>
      </c>
      <c r="C106" s="1">
        <v>2017</v>
      </c>
      <c r="D106" s="1">
        <v>1</v>
      </c>
      <c r="E106" s="1">
        <v>5</v>
      </c>
      <c r="F106" s="1">
        <v>0</v>
      </c>
      <c r="G106" s="1">
        <v>0</v>
      </c>
      <c r="H106" s="1">
        <v>0</v>
      </c>
      <c r="I106" s="1">
        <v>0</v>
      </c>
      <c r="J106" s="5">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5">
        <v>7.7666098243287107E-5</v>
      </c>
      <c r="AM106" s="5">
        <v>4.2605402464889001E-5</v>
      </c>
      <c r="AN106" s="5">
        <v>3.0622633021638897E-5</v>
      </c>
      <c r="AO106" s="5">
        <v>1.9860330836497699E-5</v>
      </c>
      <c r="AP106" s="5">
        <v>9.9856412027083507E-6</v>
      </c>
      <c r="AQ106" s="5">
        <v>9.5973107114919101E-6</v>
      </c>
      <c r="AR106" s="5">
        <v>9.9301654182488599E-6</v>
      </c>
      <c r="AS106" s="5">
        <v>1.03739716939248E-5</v>
      </c>
      <c r="AT106" s="5">
        <v>2.1413652801363499E-5</v>
      </c>
    </row>
    <row r="107" spans="1:46" ht="15.75" customHeight="1" x14ac:dyDescent="0.25">
      <c r="A107" s="1">
        <v>4</v>
      </c>
      <c r="B107" s="1" t="s">
        <v>111</v>
      </c>
      <c r="C107" s="1">
        <v>2018</v>
      </c>
      <c r="D107" s="1">
        <v>1</v>
      </c>
      <c r="E107" s="1">
        <v>8</v>
      </c>
      <c r="F107" s="1">
        <v>0</v>
      </c>
      <c r="G107" s="1">
        <v>0</v>
      </c>
      <c r="H107" s="1">
        <v>0</v>
      </c>
      <c r="I107" s="1">
        <v>0</v>
      </c>
      <c r="J107" s="5">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5">
        <v>6.1381955711738495E-5</v>
      </c>
      <c r="AL107" s="5">
        <v>2.9608924149412302E-5</v>
      </c>
      <c r="AM107" s="5">
        <v>2.0067177828837599E-5</v>
      </c>
      <c r="AN107" s="5">
        <v>1.2984644477483101E-5</v>
      </c>
      <c r="AO107" s="5">
        <v>8.4596926141178106E-6</v>
      </c>
      <c r="AP107" s="5">
        <v>4.52495186336534E-6</v>
      </c>
      <c r="AQ107" s="5">
        <v>3.73800371321484E-6</v>
      </c>
      <c r="AR107" s="5">
        <v>3.44289815690841E-6</v>
      </c>
      <c r="AS107" s="5">
        <v>2.45921296922029E-6</v>
      </c>
      <c r="AT107" s="5">
        <v>6.4923222387415698E-6</v>
      </c>
    </row>
    <row r="108" spans="1:46" ht="15.75" customHeight="1" x14ac:dyDescent="0.25">
      <c r="A108" s="1">
        <v>4</v>
      </c>
      <c r="B108" s="1" t="s">
        <v>111</v>
      </c>
      <c r="C108" s="1">
        <v>2019</v>
      </c>
      <c r="D108" s="1">
        <v>1</v>
      </c>
      <c r="E108" s="1">
        <v>15</v>
      </c>
      <c r="F108" s="1">
        <v>0</v>
      </c>
      <c r="G108" s="1">
        <v>0</v>
      </c>
      <c r="H108" s="1">
        <v>0</v>
      </c>
      <c r="I108" s="1">
        <v>0</v>
      </c>
      <c r="J108" s="5">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5">
        <v>6.7836443875972794E-5</v>
      </c>
      <c r="AM108" s="5">
        <v>3.2443516636334802E-5</v>
      </c>
      <c r="AN108" s="5">
        <v>2.58073427789027E-5</v>
      </c>
      <c r="AO108" s="5">
        <v>1.4992837233457801E-5</v>
      </c>
      <c r="AP108" s="5">
        <v>8.6024475929675707E-6</v>
      </c>
      <c r="AQ108" s="5">
        <v>8.4795554844966095E-6</v>
      </c>
      <c r="AR108" s="5">
        <v>8.6024475929675707E-6</v>
      </c>
      <c r="AS108" s="5">
        <v>9.3398002437933599E-6</v>
      </c>
      <c r="AT108" s="5">
        <v>1.9416953138412501E-5</v>
      </c>
    </row>
    <row r="109" spans="1:46" ht="15.75" customHeight="1" x14ac:dyDescent="0.25">
      <c r="A109" s="1">
        <v>4</v>
      </c>
      <c r="B109" s="1" t="s">
        <v>111</v>
      </c>
      <c r="C109" s="1">
        <v>2020</v>
      </c>
      <c r="D109" s="1">
        <v>1</v>
      </c>
      <c r="E109" s="1">
        <v>16</v>
      </c>
      <c r="F109" s="1">
        <v>0</v>
      </c>
      <c r="G109" s="1">
        <v>0</v>
      </c>
      <c r="H109" s="1">
        <v>0</v>
      </c>
      <c r="I109" s="1">
        <v>0</v>
      </c>
      <c r="J109" s="5">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5">
        <v>7.4449475212628896E-5</v>
      </c>
      <c r="AM109" s="5">
        <v>3.7224737606314401E-5</v>
      </c>
      <c r="AN109" s="5">
        <v>2.09389149035519E-5</v>
      </c>
      <c r="AO109" s="5">
        <v>1.0702112061815401E-5</v>
      </c>
      <c r="AP109" s="5">
        <v>6.9796383011839603E-6</v>
      </c>
      <c r="AQ109" s="5">
        <v>6.9796383011839603E-6</v>
      </c>
      <c r="AR109" s="5">
        <v>7.9102567413418201E-6</v>
      </c>
      <c r="AS109" s="1">
        <v>0</v>
      </c>
      <c r="AT109" s="5">
        <v>2.0008296463394001E-5</v>
      </c>
    </row>
    <row r="110" spans="1:46" ht="15.75" customHeight="1" x14ac:dyDescent="0.25">
      <c r="A110" s="1">
        <v>4</v>
      </c>
      <c r="B110" s="1" t="s">
        <v>111</v>
      </c>
      <c r="C110" s="1">
        <v>2021</v>
      </c>
      <c r="D110" s="1">
        <v>1</v>
      </c>
      <c r="E110" s="1">
        <v>10</v>
      </c>
      <c r="F110" s="1">
        <v>0</v>
      </c>
      <c r="G110" s="1">
        <v>0</v>
      </c>
      <c r="H110" s="1">
        <v>0</v>
      </c>
      <c r="I110" s="1">
        <v>0</v>
      </c>
      <c r="J110" s="5">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5">
        <v>9.4018144844485398E-5</v>
      </c>
      <c r="AM110" s="5">
        <v>4.6680337650059198E-5</v>
      </c>
      <c r="AN110" s="5">
        <v>2.80082025900355E-5</v>
      </c>
      <c r="AO110" s="5">
        <v>1.9198110695517299E-5</v>
      </c>
      <c r="AP110" s="5">
        <v>9.9935370743788708E-6</v>
      </c>
      <c r="AQ110" s="5">
        <v>9.9935370743788708E-6</v>
      </c>
      <c r="AR110" s="5">
        <v>1.0125030983252301E-5</v>
      </c>
      <c r="AS110" s="1">
        <v>0</v>
      </c>
      <c r="AT110" s="5">
        <v>1.98555802398843E-5</v>
      </c>
    </row>
    <row r="111" spans="1:46" ht="15.75" customHeight="1" x14ac:dyDescent="0.25">
      <c r="A111" s="1">
        <v>4</v>
      </c>
      <c r="B111" s="1" t="s">
        <v>111</v>
      </c>
      <c r="C111" s="1">
        <v>2022</v>
      </c>
      <c r="D111" s="1">
        <v>1</v>
      </c>
      <c r="E111" s="1">
        <v>7</v>
      </c>
      <c r="F111" s="1">
        <v>0</v>
      </c>
      <c r="G111" s="1">
        <v>0</v>
      </c>
      <c r="H111" s="1">
        <v>0</v>
      </c>
      <c r="I111" s="1">
        <v>0</v>
      </c>
      <c r="J111" s="5">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5">
        <v>9.6711137233947096E-5</v>
      </c>
      <c r="AM111" s="5">
        <v>4.27328280801162E-5</v>
      </c>
      <c r="AN111" s="5">
        <v>1.8836180798472301E-5</v>
      </c>
      <c r="AO111" s="5">
        <v>1.38694266575816E-5</v>
      </c>
      <c r="AP111" s="5">
        <v>7.5906997247574798E-6</v>
      </c>
      <c r="AQ111" s="5">
        <v>8.3403984630051295E-6</v>
      </c>
      <c r="AR111" s="5">
        <v>8.6215354898479992E-6</v>
      </c>
      <c r="AS111" s="1">
        <v>0</v>
      </c>
      <c r="AT111" s="5">
        <v>8.1529737784432202E-6</v>
      </c>
    </row>
    <row r="112" spans="1:46" ht="15.75" customHeight="1" x14ac:dyDescent="0.25">
      <c r="A112" s="1">
        <v>4</v>
      </c>
      <c r="B112" s="1" t="s">
        <v>111</v>
      </c>
      <c r="C112" s="1">
        <v>2023</v>
      </c>
      <c r="D112" s="1">
        <v>1</v>
      </c>
      <c r="E112" s="1">
        <v>9</v>
      </c>
      <c r="F112" s="1">
        <v>0</v>
      </c>
      <c r="G112" s="1">
        <v>0</v>
      </c>
      <c r="H112" s="1">
        <v>0</v>
      </c>
      <c r="I112" s="1">
        <v>0</v>
      </c>
      <c r="J112" s="5">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5">
        <v>7.5173285343775796E-5</v>
      </c>
      <c r="AN112" s="5">
        <v>3.2217122290189599E-5</v>
      </c>
      <c r="AO112" s="5">
        <v>2.1114046246677899E-5</v>
      </c>
      <c r="AP112" s="5">
        <v>9.9199613831374795E-6</v>
      </c>
      <c r="AQ112" s="5">
        <v>9.6469349230511308E-6</v>
      </c>
      <c r="AR112" s="5">
        <v>1.0466014303310201E-5</v>
      </c>
      <c r="AS112" s="1">
        <v>0</v>
      </c>
      <c r="AT112" s="5">
        <v>1.0101979023195099E-5</v>
      </c>
    </row>
    <row r="113" spans="1:46" ht="15.75" customHeight="1" x14ac:dyDescent="0.25">
      <c r="A113" s="1">
        <v>4</v>
      </c>
      <c r="B113" s="1" t="s">
        <v>111</v>
      </c>
      <c r="C113" s="1">
        <v>2024</v>
      </c>
      <c r="D113" s="1">
        <v>1</v>
      </c>
      <c r="E113" s="1">
        <v>10</v>
      </c>
      <c r="F113" s="1">
        <v>0</v>
      </c>
      <c r="G113" s="1">
        <v>0</v>
      </c>
      <c r="H113" s="1">
        <v>0</v>
      </c>
      <c r="I113" s="1">
        <v>0</v>
      </c>
      <c r="J113" s="5">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5">
        <v>4.9019311380533397E-5</v>
      </c>
      <c r="AO113" s="5">
        <v>2.4668809298645099E-5</v>
      </c>
      <c r="AP113" s="5">
        <v>1.2095674236755E-5</v>
      </c>
      <c r="AQ113" s="5">
        <v>1.16977902158091E-5</v>
      </c>
      <c r="AR113" s="5">
        <v>1.0902022173917299E-5</v>
      </c>
      <c r="AS113" s="1">
        <v>0</v>
      </c>
      <c r="AT113" s="5">
        <v>9.70837011107967E-6</v>
      </c>
    </row>
    <row r="114" spans="1:46" ht="15.75" customHeight="1" x14ac:dyDescent="0.25">
      <c r="A114" s="1">
        <v>4</v>
      </c>
      <c r="B114" s="1" t="s">
        <v>87</v>
      </c>
      <c r="C114" s="1">
        <v>1990</v>
      </c>
      <c r="D114" s="1">
        <v>1</v>
      </c>
      <c r="E114" s="1">
        <v>12</v>
      </c>
      <c r="F114" s="1">
        <v>0</v>
      </c>
      <c r="G114" s="1">
        <v>0</v>
      </c>
      <c r="H114" s="1">
        <v>0</v>
      </c>
      <c r="I114" s="1">
        <v>0</v>
      </c>
      <c r="J114" s="5">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87</v>
      </c>
      <c r="C115" s="1">
        <v>1991</v>
      </c>
      <c r="D115" s="1">
        <v>1</v>
      </c>
      <c r="E115" s="1">
        <v>18</v>
      </c>
      <c r="F115" s="1">
        <v>0</v>
      </c>
      <c r="G115" s="1">
        <v>0</v>
      </c>
      <c r="H115" s="1">
        <v>0</v>
      </c>
      <c r="I115" s="1">
        <v>0</v>
      </c>
      <c r="J115" s="5">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87</v>
      </c>
      <c r="C116" s="1">
        <v>1992</v>
      </c>
      <c r="D116" s="1">
        <v>1</v>
      </c>
      <c r="E116" s="1">
        <v>7</v>
      </c>
      <c r="F116" s="1">
        <v>0</v>
      </c>
      <c r="G116" s="1">
        <v>0</v>
      </c>
      <c r="H116" s="1">
        <v>0</v>
      </c>
      <c r="I116" s="1">
        <v>0</v>
      </c>
      <c r="J116" s="5">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87</v>
      </c>
      <c r="C117" s="1">
        <v>1993</v>
      </c>
      <c r="D117" s="1">
        <v>1</v>
      </c>
      <c r="E117" s="1">
        <v>8</v>
      </c>
      <c r="F117" s="1">
        <v>0</v>
      </c>
      <c r="G117" s="1">
        <v>0</v>
      </c>
      <c r="H117" s="1">
        <v>0</v>
      </c>
      <c r="I117" s="1">
        <v>0</v>
      </c>
      <c r="J117" s="5">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87</v>
      </c>
      <c r="C118" s="1">
        <v>1994</v>
      </c>
      <c r="D118" s="1">
        <v>1</v>
      </c>
      <c r="E118" s="1">
        <v>5</v>
      </c>
      <c r="F118" s="1">
        <v>0</v>
      </c>
      <c r="G118" s="1">
        <v>0</v>
      </c>
      <c r="H118" s="1">
        <v>0</v>
      </c>
      <c r="I118" s="1">
        <v>0</v>
      </c>
      <c r="J118" s="5">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87</v>
      </c>
      <c r="C119" s="1">
        <v>1995</v>
      </c>
      <c r="D119" s="1">
        <v>1</v>
      </c>
      <c r="E119" s="1">
        <v>9</v>
      </c>
      <c r="F119" s="1">
        <v>0</v>
      </c>
      <c r="G119" s="1">
        <v>0</v>
      </c>
      <c r="H119" s="1">
        <v>0</v>
      </c>
      <c r="I119" s="1">
        <v>0</v>
      </c>
      <c r="J119" s="5">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87</v>
      </c>
      <c r="C120" s="1">
        <v>1996</v>
      </c>
      <c r="D120" s="1">
        <v>1</v>
      </c>
      <c r="E120" s="1">
        <v>19</v>
      </c>
      <c r="F120" s="1">
        <v>0</v>
      </c>
      <c r="G120" s="1">
        <v>0</v>
      </c>
      <c r="H120" s="1">
        <v>0</v>
      </c>
      <c r="I120" s="1">
        <v>0</v>
      </c>
      <c r="J120" s="5">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87</v>
      </c>
      <c r="C121" s="1">
        <v>1997</v>
      </c>
      <c r="D121" s="1">
        <v>1</v>
      </c>
      <c r="E121" s="1">
        <v>20</v>
      </c>
      <c r="F121" s="1">
        <v>0</v>
      </c>
      <c r="G121" s="1">
        <v>0</v>
      </c>
      <c r="H121" s="1">
        <v>0</v>
      </c>
      <c r="I121" s="1">
        <v>0</v>
      </c>
      <c r="J121" s="5">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87</v>
      </c>
      <c r="C122" s="1">
        <v>1998</v>
      </c>
      <c r="D122" s="1">
        <v>1</v>
      </c>
      <c r="E122" s="1">
        <v>6</v>
      </c>
      <c r="F122" s="1">
        <v>0</v>
      </c>
      <c r="G122" s="1">
        <v>0</v>
      </c>
      <c r="H122" s="1">
        <v>0</v>
      </c>
      <c r="I122" s="1">
        <v>0</v>
      </c>
      <c r="J122" s="5">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87</v>
      </c>
      <c r="C123" s="1">
        <v>1999</v>
      </c>
      <c r="D123" s="1">
        <v>1</v>
      </c>
      <c r="E123" s="1">
        <v>9</v>
      </c>
      <c r="F123" s="1">
        <v>0</v>
      </c>
      <c r="G123" s="1">
        <v>0</v>
      </c>
      <c r="H123" s="1">
        <v>0</v>
      </c>
      <c r="I123" s="1">
        <v>0</v>
      </c>
      <c r="J123" s="5">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87</v>
      </c>
      <c r="C124" s="1">
        <v>2000</v>
      </c>
      <c r="D124" s="1">
        <v>1</v>
      </c>
      <c r="E124" s="1">
        <v>8</v>
      </c>
      <c r="F124" s="1">
        <v>0</v>
      </c>
      <c r="G124" s="1">
        <v>0</v>
      </c>
      <c r="H124" s="1">
        <v>0</v>
      </c>
      <c r="I124" s="1">
        <v>0</v>
      </c>
      <c r="J124" s="5">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87</v>
      </c>
      <c r="C125" s="1">
        <v>2001</v>
      </c>
      <c r="D125" s="1">
        <v>1</v>
      </c>
      <c r="E125" s="1">
        <v>9</v>
      </c>
      <c r="F125" s="1">
        <v>0</v>
      </c>
      <c r="G125" s="1">
        <v>0</v>
      </c>
      <c r="H125" s="1">
        <v>0</v>
      </c>
      <c r="I125" s="1">
        <v>0</v>
      </c>
      <c r="J125" s="5">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87</v>
      </c>
      <c r="C126" s="1">
        <v>2002</v>
      </c>
      <c r="D126" s="1">
        <v>1</v>
      </c>
      <c r="E126" s="1">
        <v>20</v>
      </c>
      <c r="F126" s="1">
        <v>0</v>
      </c>
      <c r="G126" s="1">
        <v>0</v>
      </c>
      <c r="H126" s="1">
        <v>0</v>
      </c>
      <c r="I126" s="1">
        <v>0</v>
      </c>
      <c r="J126" s="5">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87</v>
      </c>
      <c r="C127" s="1">
        <v>2003</v>
      </c>
      <c r="D127" s="1">
        <v>1</v>
      </c>
      <c r="E127" s="1">
        <v>21</v>
      </c>
      <c r="F127" s="1">
        <v>0</v>
      </c>
      <c r="G127" s="1">
        <v>0</v>
      </c>
      <c r="H127" s="1">
        <v>0</v>
      </c>
      <c r="I127" s="1">
        <v>0</v>
      </c>
      <c r="J127" s="5">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87</v>
      </c>
      <c r="C128" s="1">
        <v>2004</v>
      </c>
      <c r="D128" s="1">
        <v>1</v>
      </c>
      <c r="E128" s="1">
        <v>11</v>
      </c>
      <c r="F128" s="1">
        <v>0</v>
      </c>
      <c r="G128" s="1">
        <v>0</v>
      </c>
      <c r="H128" s="1">
        <v>0</v>
      </c>
      <c r="I128" s="1">
        <v>0</v>
      </c>
      <c r="J128" s="5">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87</v>
      </c>
      <c r="C129" s="1">
        <v>2005</v>
      </c>
      <c r="D129" s="1">
        <v>1</v>
      </c>
      <c r="E129" s="1">
        <v>18</v>
      </c>
      <c r="F129" s="1">
        <v>0</v>
      </c>
      <c r="G129" s="1">
        <v>0</v>
      </c>
      <c r="H129" s="1">
        <v>0</v>
      </c>
      <c r="I129" s="1">
        <v>0</v>
      </c>
      <c r="J129" s="5">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87</v>
      </c>
      <c r="C130" s="1">
        <v>2006</v>
      </c>
      <c r="D130" s="1">
        <v>1</v>
      </c>
      <c r="E130" s="1">
        <v>13</v>
      </c>
      <c r="F130" s="1">
        <v>0</v>
      </c>
      <c r="G130" s="1">
        <v>0</v>
      </c>
      <c r="H130" s="1">
        <v>0</v>
      </c>
      <c r="I130" s="1">
        <v>0</v>
      </c>
      <c r="J130" s="5">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87</v>
      </c>
      <c r="C131" s="1">
        <v>2007</v>
      </c>
      <c r="D131" s="1">
        <v>1</v>
      </c>
      <c r="E131" s="1">
        <v>20</v>
      </c>
      <c r="F131" s="1">
        <v>0</v>
      </c>
      <c r="G131" s="1">
        <v>0</v>
      </c>
      <c r="H131" s="1">
        <v>0</v>
      </c>
      <c r="I131" s="1">
        <v>0</v>
      </c>
      <c r="J131" s="5">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87</v>
      </c>
      <c r="C132" s="1">
        <v>2008</v>
      </c>
      <c r="D132" s="1">
        <v>1</v>
      </c>
      <c r="E132" s="1">
        <v>22</v>
      </c>
      <c r="F132" s="1">
        <v>0</v>
      </c>
      <c r="G132" s="1">
        <v>0</v>
      </c>
      <c r="H132" s="1">
        <v>0</v>
      </c>
      <c r="I132" s="1">
        <v>0</v>
      </c>
      <c r="J132" s="5">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87</v>
      </c>
      <c r="C133" s="1">
        <v>2009</v>
      </c>
      <c r="D133" s="1">
        <v>1</v>
      </c>
      <c r="E133" s="1">
        <v>17</v>
      </c>
      <c r="F133" s="1">
        <v>0</v>
      </c>
      <c r="G133" s="1">
        <v>0</v>
      </c>
      <c r="H133" s="1">
        <v>0</v>
      </c>
      <c r="I133" s="1">
        <v>0</v>
      </c>
      <c r="J133" s="5">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87</v>
      </c>
      <c r="C134" s="1">
        <v>2010</v>
      </c>
      <c r="D134" s="1">
        <v>1</v>
      </c>
      <c r="E134" s="1">
        <v>10</v>
      </c>
      <c r="F134" s="1">
        <v>0</v>
      </c>
      <c r="G134" s="1">
        <v>0</v>
      </c>
      <c r="H134" s="1">
        <v>0</v>
      </c>
      <c r="I134" s="1">
        <v>0</v>
      </c>
      <c r="J134" s="5">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87</v>
      </c>
      <c r="C135" s="1">
        <v>2011</v>
      </c>
      <c r="D135" s="1">
        <v>1</v>
      </c>
      <c r="E135" s="1">
        <v>12</v>
      </c>
      <c r="F135" s="1">
        <v>0</v>
      </c>
      <c r="G135" s="1">
        <v>0</v>
      </c>
      <c r="H135" s="1">
        <v>0</v>
      </c>
      <c r="I135" s="1">
        <v>0</v>
      </c>
      <c r="J135" s="5">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87</v>
      </c>
      <c r="C136" s="1">
        <v>2012</v>
      </c>
      <c r="D136" s="1">
        <v>1</v>
      </c>
      <c r="E136" s="1">
        <v>11</v>
      </c>
      <c r="F136" s="1">
        <v>0</v>
      </c>
      <c r="G136" s="1">
        <v>0</v>
      </c>
      <c r="H136" s="1">
        <v>0</v>
      </c>
      <c r="I136" s="1">
        <v>0</v>
      </c>
      <c r="J136" s="5">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87</v>
      </c>
      <c r="C137" s="1">
        <v>2013</v>
      </c>
      <c r="D137" s="1">
        <v>1</v>
      </c>
      <c r="E137" s="1">
        <v>19</v>
      </c>
      <c r="F137" s="1">
        <v>0</v>
      </c>
      <c r="G137" s="1">
        <v>0</v>
      </c>
      <c r="H137" s="1">
        <v>0</v>
      </c>
      <c r="I137" s="1">
        <v>0</v>
      </c>
      <c r="J137" s="5">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87</v>
      </c>
      <c r="C138" s="1">
        <v>2014</v>
      </c>
      <c r="D138" s="1">
        <v>1</v>
      </c>
      <c r="E138" s="1">
        <v>29</v>
      </c>
      <c r="F138" s="1">
        <v>0</v>
      </c>
      <c r="G138" s="1">
        <v>0</v>
      </c>
      <c r="H138" s="1">
        <v>0</v>
      </c>
      <c r="I138" s="1">
        <v>0</v>
      </c>
      <c r="J138" s="5">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87</v>
      </c>
      <c r="C139" s="1">
        <v>2015</v>
      </c>
      <c r="D139" s="1">
        <v>1</v>
      </c>
      <c r="E139" s="1">
        <v>27</v>
      </c>
      <c r="F139" s="1">
        <v>0</v>
      </c>
      <c r="G139" s="1">
        <v>0</v>
      </c>
      <c r="H139" s="1">
        <v>0</v>
      </c>
      <c r="I139" s="1">
        <v>0</v>
      </c>
      <c r="J139" s="5">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87</v>
      </c>
      <c r="C140" s="1">
        <v>2016</v>
      </c>
      <c r="D140" s="1">
        <v>1</v>
      </c>
      <c r="E140" s="1">
        <v>6</v>
      </c>
      <c r="F140" s="1">
        <v>0</v>
      </c>
      <c r="G140" s="1">
        <v>0</v>
      </c>
      <c r="H140" s="1">
        <v>0</v>
      </c>
      <c r="I140" s="1">
        <v>0</v>
      </c>
      <c r="J140" s="5">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87</v>
      </c>
      <c r="C141" s="1">
        <v>2017</v>
      </c>
      <c r="D141" s="1">
        <v>1</v>
      </c>
      <c r="E141" s="1">
        <v>17</v>
      </c>
      <c r="F141" s="1">
        <v>0</v>
      </c>
      <c r="G141" s="1">
        <v>0</v>
      </c>
      <c r="H141" s="1">
        <v>0</v>
      </c>
      <c r="I141" s="1">
        <v>0</v>
      </c>
      <c r="J141" s="5">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87</v>
      </c>
      <c r="C142" s="1">
        <v>2018</v>
      </c>
      <c r="D142" s="1">
        <v>1</v>
      </c>
      <c r="E142" s="1">
        <v>11</v>
      </c>
      <c r="F142" s="1">
        <v>0</v>
      </c>
      <c r="G142" s="1">
        <v>0</v>
      </c>
      <c r="H142" s="1">
        <v>0</v>
      </c>
      <c r="I142" s="1">
        <v>0</v>
      </c>
      <c r="J142" s="5">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87</v>
      </c>
      <c r="C143" s="1">
        <v>2019</v>
      </c>
      <c r="D143" s="1">
        <v>1</v>
      </c>
      <c r="E143" s="1">
        <v>25</v>
      </c>
      <c r="F143" s="1">
        <v>0</v>
      </c>
      <c r="G143" s="1">
        <v>0</v>
      </c>
      <c r="H143" s="1">
        <v>0</v>
      </c>
      <c r="I143" s="1">
        <v>0</v>
      </c>
      <c r="J143" s="5">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87</v>
      </c>
      <c r="C144" s="1">
        <v>2020</v>
      </c>
      <c r="D144" s="1">
        <v>1</v>
      </c>
      <c r="E144" s="1">
        <v>24</v>
      </c>
      <c r="F144" s="1">
        <v>0</v>
      </c>
      <c r="G144" s="1">
        <v>0</v>
      </c>
      <c r="H144" s="1">
        <v>0</v>
      </c>
      <c r="I144" s="1">
        <v>0</v>
      </c>
      <c r="J144" s="5">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87</v>
      </c>
      <c r="C145" s="1">
        <v>2021</v>
      </c>
      <c r="D145" s="1">
        <v>1</v>
      </c>
      <c r="E145" s="1">
        <v>29</v>
      </c>
      <c r="F145" s="1">
        <v>0</v>
      </c>
      <c r="G145" s="1">
        <v>0</v>
      </c>
      <c r="H145" s="1">
        <v>0</v>
      </c>
      <c r="I145" s="1">
        <v>0</v>
      </c>
      <c r="J145" s="5">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87</v>
      </c>
      <c r="C146" s="1">
        <v>2022</v>
      </c>
      <c r="D146" s="1">
        <v>1</v>
      </c>
      <c r="E146" s="1">
        <v>11</v>
      </c>
      <c r="F146" s="1">
        <v>0</v>
      </c>
      <c r="G146" s="1">
        <v>0</v>
      </c>
      <c r="H146" s="1">
        <v>0</v>
      </c>
      <c r="I146" s="1">
        <v>0</v>
      </c>
      <c r="J146" s="5">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87</v>
      </c>
      <c r="C147" s="1">
        <v>2023</v>
      </c>
      <c r="D147" s="1">
        <v>1</v>
      </c>
      <c r="E147" s="1">
        <v>9</v>
      </c>
      <c r="F147" s="1">
        <v>0</v>
      </c>
      <c r="G147" s="1">
        <v>0</v>
      </c>
      <c r="H147" s="1">
        <v>0</v>
      </c>
      <c r="I147" s="1">
        <v>0</v>
      </c>
      <c r="J147" s="5">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87</v>
      </c>
      <c r="C148" s="1">
        <v>2024</v>
      </c>
      <c r="D148" s="1">
        <v>1</v>
      </c>
      <c r="E148" s="1">
        <v>11</v>
      </c>
      <c r="F148" s="1">
        <v>0</v>
      </c>
      <c r="G148" s="1">
        <v>0</v>
      </c>
      <c r="H148" s="1">
        <v>0</v>
      </c>
      <c r="I148" s="1">
        <v>0</v>
      </c>
      <c r="J148" s="5">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10" t="s">
        <v>123</v>
      </c>
      <c r="B1" s="11"/>
      <c r="C1" s="11"/>
      <c r="D1" s="11"/>
      <c r="E1" s="11"/>
      <c r="F1" s="11"/>
      <c r="G1" s="11"/>
      <c r="H1" s="11"/>
      <c r="I1" s="11"/>
      <c r="J1" s="11"/>
      <c r="K1" s="11"/>
      <c r="L1" s="11"/>
      <c r="M1" s="11"/>
      <c r="N1" s="11"/>
      <c r="O1" s="11"/>
      <c r="P1" s="11"/>
      <c r="Q1" s="11"/>
      <c r="R1" s="11"/>
      <c r="S1" s="11"/>
      <c r="T1" s="11"/>
      <c r="U1" s="12"/>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O34" sqref="O34"/>
    </sheetView>
  </sheetViews>
  <sheetFormatPr defaultColWidth="14.42578125" defaultRowHeight="15" customHeight="1" x14ac:dyDescent="0.25"/>
  <cols>
    <col min="1" max="26" width="11.42578125" customWidth="1"/>
  </cols>
  <sheetData>
    <row r="1" spans="1:20" x14ac:dyDescent="0.25">
      <c r="A1" s="10" t="s">
        <v>252</v>
      </c>
      <c r="B1" s="11"/>
      <c r="C1" s="11"/>
      <c r="D1" s="11"/>
      <c r="E1" s="11"/>
      <c r="F1" s="11"/>
      <c r="G1" s="11"/>
      <c r="H1" s="11"/>
      <c r="I1" s="11"/>
      <c r="J1" s="11"/>
      <c r="K1" s="11"/>
      <c r="L1" s="11"/>
      <c r="M1" s="11"/>
      <c r="N1" s="11"/>
      <c r="O1" s="11"/>
      <c r="P1" s="11"/>
      <c r="Q1" s="11"/>
      <c r="R1" s="11"/>
      <c r="S1" s="11"/>
      <c r="T1" s="12"/>
    </row>
    <row r="2" spans="1:20" x14ac:dyDescent="0.25">
      <c r="A2" s="1" t="s">
        <v>106</v>
      </c>
      <c r="B2" s="1" t="s">
        <v>131</v>
      </c>
      <c r="C2" s="1" t="s">
        <v>42</v>
      </c>
      <c r="D2" s="1" t="s">
        <v>253</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sqref="A1:W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10" t="s">
        <v>99</v>
      </c>
      <c r="B1" s="11"/>
      <c r="C1" s="11"/>
      <c r="D1" s="11"/>
      <c r="E1" s="11"/>
      <c r="F1" s="11"/>
      <c r="G1" s="11"/>
      <c r="H1" s="11"/>
      <c r="I1" s="11"/>
      <c r="J1" s="11"/>
      <c r="K1" s="11"/>
      <c r="L1" s="11"/>
      <c r="M1" s="11"/>
      <c r="N1" s="11"/>
      <c r="O1" s="11"/>
      <c r="P1" s="11"/>
      <c r="Q1" s="11"/>
      <c r="R1" s="11"/>
      <c r="S1" s="11"/>
      <c r="T1" s="11"/>
      <c r="U1" s="11"/>
      <c r="V1" s="11"/>
      <c r="W1" s="12"/>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1"/>
      <c r="AH2" s="1"/>
      <c r="AI2" s="1"/>
      <c r="AJ2" s="1"/>
      <c r="AK2" s="1"/>
      <c r="AL2" s="1"/>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1"/>
      <c r="AH3" s="1"/>
      <c r="AI3" s="1"/>
      <c r="AJ3" s="1"/>
      <c r="AK3" s="1"/>
      <c r="AL3" s="1"/>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1"/>
      <c r="AH4" s="1"/>
      <c r="AI4" s="1"/>
      <c r="AJ4" s="1"/>
      <c r="AK4" s="1"/>
      <c r="AL4" s="1"/>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1"/>
      <c r="AH5" s="1"/>
      <c r="AI5" s="1"/>
      <c r="AJ5" s="1"/>
      <c r="AK5" s="1"/>
      <c r="AL5" s="1"/>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1"/>
      <c r="AH6" s="1"/>
      <c r="AI6" s="1"/>
      <c r="AJ6" s="1"/>
      <c r="AK6" s="1"/>
      <c r="AL6" s="1"/>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1"/>
      <c r="AH7" s="1"/>
      <c r="AI7" s="1"/>
      <c r="AJ7" s="1"/>
      <c r="AK7" s="1"/>
      <c r="AL7" s="1"/>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1"/>
      <c r="AH8" s="1"/>
      <c r="AI8" s="1"/>
      <c r="AJ8" s="1"/>
      <c r="AK8" s="1"/>
      <c r="AL8" s="1"/>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1"/>
      <c r="AH9" s="1"/>
      <c r="AI9" s="1"/>
      <c r="AJ9" s="1"/>
      <c r="AK9" s="1"/>
      <c r="AL9" s="1"/>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1"/>
      <c r="AH10" s="1"/>
      <c r="AI10" s="1"/>
      <c r="AJ10" s="1"/>
      <c r="AK10" s="1"/>
      <c r="AL10" s="1"/>
    </row>
    <row r="11" spans="1:38" x14ac:dyDescent="0.25">
      <c r="A11" s="1">
        <v>1</v>
      </c>
      <c r="B11" s="1" t="s">
        <v>111</v>
      </c>
      <c r="C11" s="1" t="s">
        <v>112</v>
      </c>
      <c r="D11" s="1">
        <v>50</v>
      </c>
      <c r="E11" s="1">
        <v>80</v>
      </c>
      <c r="F11" s="1">
        <v>75</v>
      </c>
      <c r="G11" s="1">
        <v>5</v>
      </c>
      <c r="H11" s="1">
        <v>0</v>
      </c>
      <c r="I11" s="1">
        <v>0</v>
      </c>
      <c r="J11" s="1">
        <v>65</v>
      </c>
      <c r="K11" s="1">
        <f t="shared" ref="K11:K13" si="2">J11*0.05</f>
        <v>3.25</v>
      </c>
      <c r="L11" s="1" t="s">
        <v>113</v>
      </c>
      <c r="M11" s="1" t="s">
        <v>119</v>
      </c>
      <c r="N11" s="1">
        <v>1978</v>
      </c>
      <c r="O11" s="1">
        <v>1</v>
      </c>
      <c r="P11" s="1">
        <v>1</v>
      </c>
      <c r="Q11" s="1">
        <v>1</v>
      </c>
      <c r="R11" s="1">
        <v>0</v>
      </c>
      <c r="AG11" s="1"/>
      <c r="AH11" s="1"/>
      <c r="AI11" s="1"/>
      <c r="AJ11" s="1"/>
      <c r="AK11" s="1"/>
      <c r="AL11" s="1"/>
    </row>
    <row r="12" spans="1:38" x14ac:dyDescent="0.25">
      <c r="A12" s="1">
        <v>1</v>
      </c>
      <c r="B12" s="1" t="s">
        <v>111</v>
      </c>
      <c r="C12" s="1" t="s">
        <v>115</v>
      </c>
      <c r="D12" s="1">
        <v>0.01</v>
      </c>
      <c r="E12" s="1">
        <v>2</v>
      </c>
      <c r="F12" s="1">
        <v>1.5</v>
      </c>
      <c r="G12" s="1">
        <v>5</v>
      </c>
      <c r="H12" s="1">
        <v>0</v>
      </c>
      <c r="I12" s="1">
        <v>0</v>
      </c>
      <c r="J12" s="1">
        <v>1.5</v>
      </c>
      <c r="K12" s="1">
        <f t="shared" si="2"/>
        <v>7.5000000000000011E-2</v>
      </c>
      <c r="L12" s="1" t="s">
        <v>113</v>
      </c>
      <c r="M12" s="1" t="s">
        <v>119</v>
      </c>
      <c r="N12" s="1">
        <v>1979</v>
      </c>
      <c r="O12" s="1">
        <v>1</v>
      </c>
      <c r="P12" s="1">
        <v>1</v>
      </c>
      <c r="Q12" s="1">
        <v>1</v>
      </c>
      <c r="R12" s="1">
        <v>0</v>
      </c>
      <c r="AG12" s="1"/>
      <c r="AH12" s="1"/>
      <c r="AI12" s="1"/>
      <c r="AJ12" s="1"/>
      <c r="AK12" s="1"/>
      <c r="AL12" s="1"/>
    </row>
    <row r="13" spans="1:38" x14ac:dyDescent="0.25">
      <c r="A13" s="1">
        <v>1</v>
      </c>
      <c r="B13" s="1" t="s">
        <v>111</v>
      </c>
      <c r="C13" s="1" t="s">
        <v>116</v>
      </c>
      <c r="D13" s="1">
        <v>75</v>
      </c>
      <c r="E13" s="1">
        <v>150</v>
      </c>
      <c r="F13" s="1">
        <v>149</v>
      </c>
      <c r="G13" s="1">
        <v>5</v>
      </c>
      <c r="H13" s="1">
        <v>0</v>
      </c>
      <c r="I13" s="1">
        <v>0</v>
      </c>
      <c r="J13" s="1">
        <v>120</v>
      </c>
      <c r="K13" s="1">
        <f t="shared" si="2"/>
        <v>6</v>
      </c>
      <c r="L13" s="1" t="s">
        <v>113</v>
      </c>
      <c r="M13" s="1" t="s">
        <v>119</v>
      </c>
      <c r="N13" s="1">
        <v>1980</v>
      </c>
      <c r="O13" s="1">
        <v>1</v>
      </c>
      <c r="P13" s="1">
        <v>1</v>
      </c>
      <c r="Q13" s="1">
        <v>1</v>
      </c>
      <c r="R13" s="1">
        <v>0</v>
      </c>
      <c r="AG13" s="1"/>
      <c r="AH13" s="1"/>
      <c r="AI13" s="1"/>
      <c r="AJ13" s="1"/>
      <c r="AK13" s="1"/>
      <c r="AL13" s="1"/>
    </row>
    <row r="14" spans="1:38" x14ac:dyDescent="0.25">
      <c r="A14" s="1">
        <v>1</v>
      </c>
      <c r="B14" s="1" t="s">
        <v>111</v>
      </c>
      <c r="C14" s="1" t="s">
        <v>117</v>
      </c>
      <c r="D14" s="1">
        <v>-10</v>
      </c>
      <c r="E14" s="1">
        <v>0</v>
      </c>
      <c r="F14" s="1">
        <v>-5</v>
      </c>
      <c r="G14" s="1">
        <v>5</v>
      </c>
      <c r="H14" s="1">
        <v>0</v>
      </c>
      <c r="I14" s="1">
        <v>0</v>
      </c>
      <c r="J14" s="1">
        <v>-0.1</v>
      </c>
      <c r="K14" s="1">
        <v>1E-3</v>
      </c>
      <c r="L14" s="1" t="s">
        <v>113</v>
      </c>
      <c r="M14" s="1" t="s">
        <v>119</v>
      </c>
      <c r="N14" s="1">
        <v>1981</v>
      </c>
      <c r="O14" s="1">
        <v>1</v>
      </c>
      <c r="P14" s="1">
        <v>1</v>
      </c>
      <c r="Q14" s="1">
        <v>1</v>
      </c>
      <c r="R14" s="1">
        <v>0</v>
      </c>
      <c r="AG14" s="1"/>
      <c r="AH14" s="1"/>
      <c r="AI14" s="1"/>
      <c r="AJ14" s="1"/>
      <c r="AK14" s="1"/>
      <c r="AL14" s="1"/>
    </row>
    <row r="15" spans="1:38" x14ac:dyDescent="0.25">
      <c r="A15" s="1">
        <v>1</v>
      </c>
      <c r="B15" s="1" t="s">
        <v>87</v>
      </c>
      <c r="C15" s="1" t="s">
        <v>112</v>
      </c>
      <c r="D15" s="1">
        <v>50</v>
      </c>
      <c r="E15" s="1">
        <v>80</v>
      </c>
      <c r="F15" s="1">
        <v>75</v>
      </c>
      <c r="G15" s="1">
        <v>5</v>
      </c>
      <c r="H15" s="1">
        <v>0</v>
      </c>
      <c r="I15" s="1">
        <v>0</v>
      </c>
      <c r="J15" s="1">
        <v>65</v>
      </c>
      <c r="K15" s="1">
        <f t="shared" ref="K15:K17" si="3">J15*0.05</f>
        <v>3.25</v>
      </c>
      <c r="L15" s="1" t="s">
        <v>113</v>
      </c>
      <c r="M15" s="1" t="s">
        <v>120</v>
      </c>
      <c r="N15" s="1">
        <v>1982</v>
      </c>
      <c r="O15" s="1">
        <v>1</v>
      </c>
      <c r="P15" s="1">
        <v>1</v>
      </c>
      <c r="Q15" s="1">
        <v>1</v>
      </c>
      <c r="R15" s="1">
        <v>0</v>
      </c>
      <c r="AG15" s="1"/>
      <c r="AH15" s="1"/>
      <c r="AI15" s="1"/>
      <c r="AJ15" s="1"/>
      <c r="AK15" s="1"/>
      <c r="AL15" s="1"/>
    </row>
    <row r="16" spans="1:38" x14ac:dyDescent="0.25">
      <c r="A16" s="1">
        <v>1</v>
      </c>
      <c r="B16" s="1" t="s">
        <v>87</v>
      </c>
      <c r="C16" s="1" t="s">
        <v>115</v>
      </c>
      <c r="D16" s="1">
        <v>0.01</v>
      </c>
      <c r="E16" s="1">
        <v>2</v>
      </c>
      <c r="F16" s="1">
        <v>1.5</v>
      </c>
      <c r="G16" s="1">
        <v>5</v>
      </c>
      <c r="H16" s="1">
        <v>0</v>
      </c>
      <c r="I16" s="1">
        <v>0</v>
      </c>
      <c r="J16" s="1">
        <v>1.5</v>
      </c>
      <c r="K16" s="1">
        <f t="shared" si="3"/>
        <v>7.5000000000000011E-2</v>
      </c>
      <c r="L16" s="1" t="s">
        <v>113</v>
      </c>
      <c r="M16" s="1" t="s">
        <v>120</v>
      </c>
      <c r="N16" s="1">
        <v>1983</v>
      </c>
      <c r="O16" s="1">
        <v>1</v>
      </c>
      <c r="P16" s="1">
        <v>1</v>
      </c>
      <c r="Q16" s="1">
        <v>1</v>
      </c>
      <c r="R16" s="1">
        <v>0</v>
      </c>
      <c r="AG16" s="1"/>
      <c r="AH16" s="1"/>
      <c r="AI16" s="1"/>
      <c r="AJ16" s="1"/>
      <c r="AK16" s="1"/>
      <c r="AL16" s="1"/>
    </row>
    <row r="17" spans="1:38" x14ac:dyDescent="0.25">
      <c r="A17" s="1">
        <v>1</v>
      </c>
      <c r="B17" s="1" t="s">
        <v>87</v>
      </c>
      <c r="C17" s="1" t="s">
        <v>116</v>
      </c>
      <c r="D17" s="1">
        <v>75</v>
      </c>
      <c r="E17" s="1">
        <v>150</v>
      </c>
      <c r="F17" s="1">
        <v>120</v>
      </c>
      <c r="G17" s="1">
        <v>5</v>
      </c>
      <c r="H17" s="1">
        <v>0</v>
      </c>
      <c r="I17" s="1">
        <v>0</v>
      </c>
      <c r="J17" s="1">
        <v>120</v>
      </c>
      <c r="K17" s="1">
        <f t="shared" si="3"/>
        <v>6</v>
      </c>
      <c r="L17" s="1" t="s">
        <v>113</v>
      </c>
      <c r="M17" s="1" t="s">
        <v>120</v>
      </c>
      <c r="N17" s="1">
        <v>1984</v>
      </c>
      <c r="O17" s="1">
        <v>1</v>
      </c>
      <c r="P17" s="1">
        <v>1</v>
      </c>
      <c r="Q17" s="1">
        <v>1</v>
      </c>
      <c r="R17" s="1">
        <v>0</v>
      </c>
      <c r="AG17" s="1"/>
      <c r="AH17" s="1"/>
      <c r="AI17" s="1"/>
      <c r="AJ17" s="1"/>
      <c r="AK17" s="1"/>
      <c r="AL17" s="1"/>
    </row>
    <row r="18" spans="1:38" x14ac:dyDescent="0.25">
      <c r="A18" s="1">
        <v>1</v>
      </c>
      <c r="B18" s="1" t="s">
        <v>87</v>
      </c>
      <c r="C18" s="1" t="s">
        <v>117</v>
      </c>
      <c r="D18" s="1">
        <v>-10</v>
      </c>
      <c r="E18" s="1">
        <v>0</v>
      </c>
      <c r="F18" s="1">
        <v>-5</v>
      </c>
      <c r="G18" s="1">
        <v>5</v>
      </c>
      <c r="H18" s="1">
        <v>0</v>
      </c>
      <c r="I18" s="1">
        <v>0</v>
      </c>
      <c r="J18" s="1">
        <v>-0.1</v>
      </c>
      <c r="K18" s="1">
        <v>1E-3</v>
      </c>
      <c r="L18" s="1" t="s">
        <v>113</v>
      </c>
      <c r="M18" s="1" t="s">
        <v>120</v>
      </c>
      <c r="N18" s="1">
        <v>1985</v>
      </c>
      <c r="O18" s="1">
        <v>1</v>
      </c>
      <c r="P18" s="1">
        <v>1</v>
      </c>
      <c r="Q18" s="1">
        <v>1</v>
      </c>
      <c r="R18" s="1">
        <v>0</v>
      </c>
      <c r="AG18" s="1"/>
      <c r="AH18" s="1"/>
      <c r="AI18" s="1"/>
      <c r="AJ18" s="1"/>
      <c r="AK18" s="1"/>
      <c r="AL18" s="1"/>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1"/>
      <c r="AH19" s="1"/>
      <c r="AI19" s="1"/>
      <c r="AJ19" s="1"/>
      <c r="AK19" s="1"/>
      <c r="AL19" s="1"/>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1"/>
      <c r="AH20" s="1"/>
      <c r="AI20" s="1"/>
      <c r="AJ20" s="1"/>
      <c r="AK20" s="1"/>
      <c r="AL20" s="1"/>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1"/>
      <c r="AH21" s="1"/>
      <c r="AI21" s="1"/>
      <c r="AJ21" s="1"/>
      <c r="AK21" s="1"/>
      <c r="AL21" s="1"/>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1"/>
      <c r="AH22" s="1"/>
      <c r="AI22" s="1"/>
      <c r="AJ22" s="1"/>
      <c r="AK22" s="1"/>
      <c r="AL22" s="1"/>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1"/>
      <c r="AH23" s="1"/>
      <c r="AI23" s="1"/>
      <c r="AJ23" s="1"/>
      <c r="AK23" s="1"/>
      <c r="AL23" s="1"/>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1"/>
      <c r="AH24" s="1"/>
      <c r="AI24" s="1"/>
      <c r="AJ24" s="1"/>
      <c r="AK24" s="1"/>
      <c r="AL24" s="1"/>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1"/>
      <c r="AH25" s="1"/>
      <c r="AI25" s="1"/>
      <c r="AJ25" s="1"/>
      <c r="AK25" s="1"/>
      <c r="AL25" s="1"/>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E1000"/>
  <sheetViews>
    <sheetView workbookViewId="0">
      <selection activeCell="B14" sqref="B13:B14"/>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26" width="11.42578125" customWidth="1"/>
  </cols>
  <sheetData>
    <row r="1" spans="1:83" ht="50.25" customHeight="1" x14ac:dyDescent="0.25">
      <c r="A1" s="13" t="s">
        <v>298</v>
      </c>
      <c r="B1" s="16"/>
      <c r="C1" s="16"/>
      <c r="D1" s="16"/>
      <c r="E1" s="16"/>
      <c r="F1" s="16"/>
      <c r="G1" s="16"/>
      <c r="H1" s="16"/>
      <c r="I1" s="16"/>
      <c r="J1" s="16"/>
      <c r="K1" s="16"/>
      <c r="L1" s="16"/>
      <c r="M1" s="16"/>
      <c r="N1" s="16"/>
      <c r="O1" s="16"/>
      <c r="P1" s="16"/>
      <c r="Q1" s="16"/>
      <c r="R1" s="16"/>
      <c r="S1" s="16"/>
      <c r="T1" s="16"/>
      <c r="U1" s="16"/>
      <c r="V1" s="16"/>
      <c r="W1" s="16"/>
    </row>
    <row r="2" spans="1:83" ht="15" customHeight="1" x14ac:dyDescent="0.25">
      <c r="A2" t="s">
        <v>299</v>
      </c>
      <c r="B2" t="s">
        <v>300</v>
      </c>
      <c r="C2" t="s">
        <v>203</v>
      </c>
      <c r="D2" t="s">
        <v>189</v>
      </c>
      <c r="E2" t="s">
        <v>301</v>
      </c>
      <c r="F2" t="s">
        <v>185</v>
      </c>
      <c r="G2" t="s">
        <v>48</v>
      </c>
      <c r="H2" s="8" t="s">
        <v>254</v>
      </c>
      <c r="I2" s="8" t="s">
        <v>302</v>
      </c>
      <c r="J2" s="8" t="s">
        <v>303</v>
      </c>
      <c r="K2" s="1" t="s">
        <v>256</v>
      </c>
      <c r="L2" s="1" t="s">
        <v>257</v>
      </c>
      <c r="M2" s="1" t="s">
        <v>258</v>
      </c>
      <c r="N2" s="1" t="s">
        <v>259</v>
      </c>
      <c r="O2" s="1" t="s">
        <v>260</v>
      </c>
      <c r="P2" s="1" t="s">
        <v>261</v>
      </c>
      <c r="Q2" s="1" t="s">
        <v>262</v>
      </c>
      <c r="R2" s="1" t="s">
        <v>263</v>
      </c>
      <c r="S2" s="1" t="s">
        <v>264</v>
      </c>
      <c r="T2" s="1" t="s">
        <v>265</v>
      </c>
      <c r="U2" s="1" t="s">
        <v>266</v>
      </c>
      <c r="V2" s="1" t="s">
        <v>267</v>
      </c>
      <c r="W2" s="1" t="s">
        <v>268</v>
      </c>
      <c r="X2" s="1" t="s">
        <v>269</v>
      </c>
      <c r="Y2" s="1" t="s">
        <v>270</v>
      </c>
      <c r="Z2" s="1" t="s">
        <v>271</v>
      </c>
      <c r="AA2" s="1" t="s">
        <v>272</v>
      </c>
      <c r="AB2" s="1" t="s">
        <v>273</v>
      </c>
      <c r="AC2" s="1" t="s">
        <v>274</v>
      </c>
      <c r="AD2" s="1" t="s">
        <v>275</v>
      </c>
      <c r="AE2" s="1" t="s">
        <v>276</v>
      </c>
      <c r="AF2" s="1" t="s">
        <v>277</v>
      </c>
      <c r="AG2" s="1" t="s">
        <v>278</v>
      </c>
      <c r="AH2" s="1" t="s">
        <v>279</v>
      </c>
      <c r="AI2" s="1" t="s">
        <v>280</v>
      </c>
      <c r="AJ2" s="1" t="s">
        <v>281</v>
      </c>
      <c r="AK2" s="1" t="s">
        <v>282</v>
      </c>
      <c r="AL2" s="1" t="s">
        <v>283</v>
      </c>
      <c r="AM2" s="1" t="s">
        <v>284</v>
      </c>
      <c r="AN2" s="1" t="s">
        <v>285</v>
      </c>
      <c r="AO2" s="1" t="s">
        <v>286</v>
      </c>
      <c r="AP2" s="1" t="s">
        <v>287</v>
      </c>
      <c r="AQ2" s="1" t="s">
        <v>288</v>
      </c>
      <c r="AR2" s="1" t="s">
        <v>289</v>
      </c>
      <c r="AS2" s="1" t="s">
        <v>290</v>
      </c>
      <c r="AT2" s="1" t="s">
        <v>291</v>
      </c>
      <c r="AU2" s="1" t="s">
        <v>292</v>
      </c>
      <c r="AV2" s="1" t="s">
        <v>293</v>
      </c>
      <c r="AW2" s="1" t="s">
        <v>294</v>
      </c>
      <c r="AX2" s="1" t="s">
        <v>295</v>
      </c>
      <c r="AY2" s="1" t="s">
        <v>296</v>
      </c>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row>
    <row r="3" spans="1:83" ht="15" customHeight="1" x14ac:dyDescent="0.25">
      <c r="A3" t="s">
        <v>297</v>
      </c>
      <c r="B3" t="s">
        <v>297</v>
      </c>
      <c r="C3">
        <v>1</v>
      </c>
      <c r="D3" t="s">
        <v>297</v>
      </c>
      <c r="E3" t="s">
        <v>297</v>
      </c>
      <c r="F3" t="s">
        <v>297</v>
      </c>
      <c r="G3" t="s">
        <v>304</v>
      </c>
      <c r="H3" s="8">
        <v>1</v>
      </c>
      <c r="I3" s="8">
        <v>1</v>
      </c>
      <c r="J3" s="8">
        <v>1</v>
      </c>
      <c r="K3" s="1">
        <v>0</v>
      </c>
      <c r="L3" s="1">
        <v>0</v>
      </c>
      <c r="M3" s="1">
        <v>0</v>
      </c>
      <c r="N3" s="1">
        <v>0</v>
      </c>
      <c r="O3" s="1">
        <v>0</v>
      </c>
      <c r="P3" s="1">
        <v>0</v>
      </c>
      <c r="Q3" s="1">
        <v>0</v>
      </c>
      <c r="R3" s="1">
        <v>0</v>
      </c>
      <c r="S3" s="1">
        <v>0</v>
      </c>
      <c r="T3" s="1">
        <v>0</v>
      </c>
      <c r="U3" s="1">
        <v>0</v>
      </c>
      <c r="V3" s="1">
        <v>0</v>
      </c>
      <c r="W3" s="1">
        <v>0.5</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row>
    <row r="4" spans="1:83" ht="15" customHeight="1" x14ac:dyDescent="0.25">
      <c r="A4" t="s">
        <v>297</v>
      </c>
      <c r="B4" t="s">
        <v>297</v>
      </c>
      <c r="C4">
        <v>3</v>
      </c>
      <c r="D4" t="s">
        <v>297</v>
      </c>
      <c r="E4" t="s">
        <v>297</v>
      </c>
      <c r="F4" t="s">
        <v>297</v>
      </c>
      <c r="G4" t="s">
        <v>305</v>
      </c>
      <c r="H4" s="8">
        <v>2</v>
      </c>
      <c r="I4" s="8">
        <v>0</v>
      </c>
      <c r="J4" s="8">
        <v>0</v>
      </c>
      <c r="K4" s="1">
        <v>0</v>
      </c>
      <c r="L4" s="1">
        <v>0</v>
      </c>
      <c r="M4" s="1">
        <v>0</v>
      </c>
      <c r="N4" s="1">
        <v>0</v>
      </c>
      <c r="O4" s="1">
        <v>0</v>
      </c>
      <c r="P4" s="1">
        <v>0</v>
      </c>
      <c r="Q4" s="1">
        <v>0</v>
      </c>
      <c r="R4" s="1">
        <v>0</v>
      </c>
      <c r="S4" s="1">
        <v>0</v>
      </c>
      <c r="T4" s="1">
        <v>0</v>
      </c>
      <c r="U4" s="1">
        <v>0</v>
      </c>
      <c r="V4" s="1">
        <v>0</v>
      </c>
      <c r="W4" s="1">
        <v>0.5</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row>
    <row r="5" spans="1:83" ht="15" customHeight="1" x14ac:dyDescent="0.25">
      <c r="A5" t="s">
        <v>297</v>
      </c>
      <c r="B5" t="s">
        <v>297</v>
      </c>
      <c r="C5" t="s">
        <v>297</v>
      </c>
      <c r="D5" t="s">
        <v>297</v>
      </c>
      <c r="E5" t="s">
        <v>297</v>
      </c>
      <c r="F5" t="s">
        <v>297</v>
      </c>
      <c r="G5" t="s">
        <v>255</v>
      </c>
      <c r="H5" s="8">
        <v>3</v>
      </c>
      <c r="I5" s="8">
        <v>0</v>
      </c>
      <c r="J5" s="8">
        <v>0</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row>
    <row r="6" spans="1:83" ht="15" customHeight="1" x14ac:dyDescent="0.25">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row>
    <row r="7" spans="1:83" ht="15" customHeight="1" x14ac:dyDescent="0.25">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row>
    <row r="13" spans="1:83" ht="15" customHeight="1" x14ac:dyDescent="0.25">
      <c r="G13" s="1"/>
    </row>
    <row r="14" spans="1:83" ht="15" customHeight="1" x14ac:dyDescent="0.25">
      <c r="G14" s="1"/>
    </row>
    <row r="15" spans="1:83"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2026-02-20T07:13:14Z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